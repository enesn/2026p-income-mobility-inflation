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sisik/Library/CloudStorage/Dropbox/research/2025_redistribution_inflation/01_analysis/input_data/others/"/>
    </mc:Choice>
  </mc:AlternateContent>
  <xr:revisionPtr revIDLastSave="0" documentId="13_ncr:1_{461718AA-E08E-3945-A026-A1AC8B63FA54}" xr6:coauthVersionLast="47" xr6:coauthVersionMax="47" xr10:uidLastSave="{00000000-0000-0000-0000-000000000000}"/>
  <bookViews>
    <workbookView xWindow="13760" yWindow="3120" windowWidth="34520" windowHeight="19740" xr2:uid="{B5AA5A2F-897B-4A4D-9A64-2F2AC657E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8" i="1"/>
  <c r="G19" i="1"/>
  <c r="G2" i="1"/>
  <c r="F3" i="1"/>
  <c r="G3" i="1" s="1"/>
  <c r="F4" i="1"/>
  <c r="G4" i="1" s="1"/>
  <c r="F5" i="1"/>
  <c r="G5" i="1" s="1"/>
  <c r="F6" i="1"/>
  <c r="J6" i="1" s="1"/>
  <c r="F7" i="1"/>
  <c r="J7" i="1" s="1"/>
  <c r="F8" i="1"/>
  <c r="J8" i="1" s="1"/>
  <c r="F9" i="1"/>
  <c r="J9" i="1" s="1"/>
  <c r="F10" i="1"/>
  <c r="J10" i="1" s="1"/>
  <c r="F11" i="1"/>
  <c r="J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H18" i="1" s="1"/>
  <c r="F19" i="1"/>
  <c r="H19" i="1" s="1"/>
  <c r="F2" i="1"/>
  <c r="H2" i="1" s="1"/>
  <c r="H17" i="1" l="1"/>
  <c r="H5" i="1"/>
  <c r="H16" i="1"/>
  <c r="H4" i="1"/>
  <c r="H15" i="1"/>
  <c r="H3" i="1"/>
  <c r="H14" i="1"/>
  <c r="J5" i="1"/>
  <c r="H13" i="1"/>
  <c r="J13" i="1"/>
  <c r="H12" i="1"/>
  <c r="J12" i="1"/>
  <c r="H11" i="1"/>
  <c r="H10" i="1"/>
  <c r="H9" i="1"/>
  <c r="H8" i="1"/>
  <c r="H7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tc={4930CC52-66DE-6B42-AD61-22B2D3F95E5A}</author>
    <author>tc={EEB223B6-78F7-E249-965C-D36E1A29A2CA}</author>
    <author>tc={0FE0EC70-B3A5-4F4C-A833-411D4751A24E}</author>
    <author>tc={45DE3FCD-A206-2043-8ADB-32543AE0787C}</author>
    <author>tc={FE65C98B-70E4-C048-9A84-B7EEC8867B42}</author>
  </authors>
  <commentList>
    <comment ref="B1" authorId="0" shapeId="0" xr:uid="{4930CC52-66DE-6B42-AD61-22B2D3F95E5A}">
      <text>
        <t>[Threaded comment]
Your version of Excel allows you to read this threaded comment; however, any edits to it will get removed if the file is opened in a newer version of Excel. Learn more: https://go.microsoft.com/fwlink/?linkid=870924
Comment:
    WID</t>
      </text>
    </comment>
    <comment ref="C1" authorId="1" shapeId="0" xr:uid="{EEB223B6-78F7-E249-965C-D36E1A29A2CA}">
      <text>
        <t>[Threaded comment]
Your version of Excel allows you to read this threaded comment; however, any edits to it will get removed if the file is opened in a newer version of Excel. Learn more: https://go.microsoft.com/fwlink/?linkid=870924
Comment:
    TÜİK</t>
      </text>
    </comment>
    <comment ref="D1" authorId="2" shapeId="0" xr:uid="{0FE0EC70-B3A5-4F4C-A833-411D4751A24E}">
      <text>
        <t>[Threaded comment]
Your version of Excel allows you to read this threaded comment; however, any edits to it will get removed if the file is opened in a newer version of Excel. Learn more: https://go.microsoft.com/fwlink/?linkid=870924
Comment:
    TÜİK</t>
      </text>
    </comment>
    <comment ref="E1" authorId="3" shapeId="0" xr:uid="{45DE3FCD-A206-2043-8ADB-32543AE0787C}">
      <text>
        <t>[Threaded comment]
Your version of Excel allows you to read this threaded comment; however, any edits to it will get removed if the file is opened in a newer version of Excel. Learn more: https://go.microsoft.com/fwlink/?linkid=870924
Comment:
    TÜİK</t>
      </text>
    </comment>
    <comment ref="I1" authorId="4" shapeId="0" xr:uid="{FE65C98B-70E4-C048-9A84-B7EEC8867B42}">
      <text>
        <t>[Threaded comment]
Your version of Excel allows you to read this threaded comment; however, any edits to it will get removed if the file is opened in a newer version of Excel. Learn more: https://go.microsoft.com/fwlink/?linkid=870924
Comment:
    TÜİK</t>
      </text>
    </comment>
  </commentList>
</comments>
</file>

<file path=xl/sharedStrings.xml><?xml version="1.0" encoding="utf-8"?>
<sst xmlns="http://schemas.openxmlformats.org/spreadsheetml/2006/main" count="10" uniqueCount="10">
  <si>
    <t>income_year</t>
  </si>
  <si>
    <t>current_nationalincome_peradult</t>
  </si>
  <si>
    <t>current_compensation_of_employees</t>
  </si>
  <si>
    <t>current_net_operating_surplus</t>
  </si>
  <si>
    <t>adult_population</t>
  </si>
  <si>
    <t>current_national_income</t>
  </si>
  <si>
    <t>current_compensation_of_employees_per_adult</t>
  </si>
  <si>
    <t>current_net_operation_surplus_per_adult</t>
  </si>
  <si>
    <t>current_net_primary_income_hhs</t>
  </si>
  <si>
    <t>current_net_primary_income_hhs_peradult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</si>
</sst>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nes Isik" id="{5FA78927-6801-624A-ACE8-3495DCCAA979}" userId="S::eisik@umass.edu::81c18b33-ba8e-42c3-bf0a-afe1dc2c2c5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5-20T16:27:49.06" personId="{5FA78927-6801-624A-ACE8-3495DCCAA979}" id="{4930CC52-66DE-6B42-AD61-22B2D3F95E5A}">
    <text>WID</text>
  </threadedComment>
  <threadedComment ref="C1" dT="2025-05-20T16:28:00.07" personId="{5FA78927-6801-624A-ACE8-3495DCCAA979}" id="{EEB223B6-78F7-E249-965C-D36E1A29A2CA}">
    <text>TÜİK</text>
  </threadedComment>
  <threadedComment ref="D1" dT="2025-05-20T16:28:08.77" personId="{5FA78927-6801-624A-ACE8-3495DCCAA979}" id="{0FE0EC70-B3A5-4F4C-A833-411D4751A24E}">
    <text>TÜİK</text>
  </threadedComment>
  <threadedComment ref="E1" dT="2025-05-20T16:28:40.27" personId="{5FA78927-6801-624A-ACE8-3495DCCAA979}" id="{45DE3FCD-A206-2043-8ADB-32543AE0787C}">
    <text>TÜİK</text>
  </threadedComment>
  <threadedComment ref="I1" dT="2025-05-20T16:28:22.62" personId="{5FA78927-6801-624A-ACE8-3495DCCAA979}" id="{FE65C98B-70E4-C048-9A84-B7EEC8867B42}">
    <text>TÜİK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7DAF-F955-BE4F-8A68-AC287B00D48D}">
  <dimension ref="A1:J19"/>
  <sheetViews>
    <sheetView tabSelected="1" workbookViewId="0">
      <selection activeCell="E1" sqref="E1"/>
    </sheetView>
  </sheetViews>
  <sheetFormatPr baseColWidth="10" defaultRowHeight="16" x14ac:dyDescent="0.2"/>
  <cols>
    <col min="2" max="3" width="29.6640625" customWidth="1"/>
    <col min="4" max="4" width="37.5" customWidth="1"/>
    <col min="5" max="5" width="26.5" customWidth="1"/>
    <col min="6" max="6" width="14.5" customWidth="1"/>
    <col min="7" max="7" width="16.33203125" customWidth="1"/>
  </cols>
  <sheetData>
    <row r="1" spans="1:10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2006</v>
      </c>
      <c r="B2">
        <v>15019.2009</v>
      </c>
      <c r="C2">
        <v>669469693428.64697</v>
      </c>
      <c r="D2">
        <v>196886213638.28961</v>
      </c>
      <c r="E2">
        <v>388448392535.78546</v>
      </c>
      <c r="F2">
        <f>C2/B2</f>
        <v>44574255.174164891</v>
      </c>
      <c r="G2">
        <f>D2/F2</f>
        <v>4417.0387787523659</v>
      </c>
      <c r="H2">
        <f>E2/F2</f>
        <v>8714.6356348076242</v>
      </c>
    </row>
    <row r="3" spans="1:10" x14ac:dyDescent="0.2">
      <c r="A3">
        <v>2007</v>
      </c>
      <c r="B3">
        <v>16298.097299999999</v>
      </c>
      <c r="C3">
        <v>739735674636.94202</v>
      </c>
      <c r="D3">
        <v>226818410875.14059</v>
      </c>
      <c r="E3">
        <v>434618659534.0271</v>
      </c>
      <c r="F3">
        <f t="shared" ref="F3:F19" si="0">C3/B3</f>
        <v>45387854.853274316</v>
      </c>
      <c r="G3">
        <f t="shared" ref="G3:G19" si="1">D3/F3</f>
        <v>4997.3370984017265</v>
      </c>
      <c r="H3">
        <f t="shared" ref="H3:H19" si="2">E3/F3</f>
        <v>9575.6598530382707</v>
      </c>
    </row>
    <row r="4" spans="1:10" x14ac:dyDescent="0.2">
      <c r="A4">
        <v>2008</v>
      </c>
      <c r="B4">
        <v>17885.2019</v>
      </c>
      <c r="C4">
        <v>827069517404.28406</v>
      </c>
      <c r="D4">
        <v>257067519611.10303</v>
      </c>
      <c r="E4">
        <v>486634348526.11053</v>
      </c>
      <c r="F4">
        <f t="shared" si="0"/>
        <v>46243230.690299563</v>
      </c>
      <c r="G4">
        <f t="shared" si="1"/>
        <v>5559.0302791069498</v>
      </c>
      <c r="H4">
        <f t="shared" si="2"/>
        <v>10523.363987806149</v>
      </c>
    </row>
    <row r="5" spans="1:10" x14ac:dyDescent="0.2">
      <c r="A5">
        <v>2009</v>
      </c>
      <c r="B5">
        <v>17749.811099999999</v>
      </c>
      <c r="C5">
        <v>837094291400.67603</v>
      </c>
      <c r="D5">
        <v>268995548902.98962</v>
      </c>
      <c r="E5">
        <v>466106414218.87445</v>
      </c>
      <c r="F5">
        <f t="shared" si="0"/>
        <v>47160743.665642507</v>
      </c>
      <c r="G5">
        <f t="shared" si="1"/>
        <v>5703.8021030817199</v>
      </c>
      <c r="H5">
        <f t="shared" si="2"/>
        <v>9883.3559013286249</v>
      </c>
      <c r="I5">
        <v>664879792221.91394</v>
      </c>
      <c r="J5">
        <f>I5/F5</f>
        <v>14098.161745195113</v>
      </c>
    </row>
    <row r="6" spans="1:10" x14ac:dyDescent="0.2">
      <c r="A6">
        <v>2010</v>
      </c>
      <c r="B6">
        <v>20504.6662</v>
      </c>
      <c r="C6">
        <v>985998521422.64795</v>
      </c>
      <c r="D6">
        <v>314230940984.14435</v>
      </c>
      <c r="E6">
        <v>535498663832.42725</v>
      </c>
      <c r="F6">
        <f t="shared" si="0"/>
        <v>48086543.414330147</v>
      </c>
      <c r="G6">
        <f t="shared" si="1"/>
        <v>6534.6959600864384</v>
      </c>
      <c r="H6">
        <f t="shared" si="2"/>
        <v>11136.14383172413</v>
      </c>
      <c r="I6">
        <v>786624058527.57397</v>
      </c>
      <c r="J6">
        <f t="shared" ref="J6:J13" si="3">I6/F6</f>
        <v>16358.507030745615</v>
      </c>
    </row>
    <row r="7" spans="1:10" x14ac:dyDescent="0.2">
      <c r="A7">
        <v>2011</v>
      </c>
      <c r="B7">
        <v>24183.7261</v>
      </c>
      <c r="C7">
        <v>1184600912294.3401</v>
      </c>
      <c r="D7">
        <v>371489345687.44958</v>
      </c>
      <c r="E7">
        <v>661615517095.84448</v>
      </c>
      <c r="F7">
        <f t="shared" si="0"/>
        <v>48983391.037262037</v>
      </c>
      <c r="G7">
        <f t="shared" si="1"/>
        <v>7583.9858740048194</v>
      </c>
      <c r="H7">
        <f t="shared" si="2"/>
        <v>13506.935781406977</v>
      </c>
      <c r="I7">
        <v>949094012502.03894</v>
      </c>
      <c r="J7">
        <f t="shared" si="3"/>
        <v>19375.83316312372</v>
      </c>
    </row>
    <row r="8" spans="1:10" x14ac:dyDescent="0.2">
      <c r="A8">
        <v>2012</v>
      </c>
      <c r="B8">
        <v>26828.474099999999</v>
      </c>
      <c r="C8">
        <v>1339524373656.5601</v>
      </c>
      <c r="D8">
        <v>438577768500.9632</v>
      </c>
      <c r="E8">
        <v>726098712211.54358</v>
      </c>
      <c r="F8">
        <f t="shared" si="0"/>
        <v>49929204.645170636</v>
      </c>
      <c r="G8">
        <f t="shared" si="1"/>
        <v>8783.9926876020108</v>
      </c>
      <c r="H8">
        <f t="shared" si="2"/>
        <v>14542.565165451217</v>
      </c>
      <c r="I8">
        <v>1065316690875.39</v>
      </c>
      <c r="J8">
        <f t="shared" si="3"/>
        <v>21336.544382115088</v>
      </c>
    </row>
    <row r="9" spans="1:10" x14ac:dyDescent="0.2">
      <c r="A9">
        <v>2013</v>
      </c>
      <c r="B9">
        <v>30111.873500000002</v>
      </c>
      <c r="C9">
        <v>1536859026505.96</v>
      </c>
      <c r="D9">
        <v>506358759151.7038</v>
      </c>
      <c r="E9">
        <v>832387794226.74915</v>
      </c>
      <c r="F9">
        <f t="shared" si="0"/>
        <v>51038306.417764403</v>
      </c>
      <c r="G9">
        <f t="shared" si="1"/>
        <v>9921.15128207821</v>
      </c>
      <c r="H9">
        <f t="shared" si="2"/>
        <v>16309.079447374219</v>
      </c>
      <c r="I9">
        <v>1244009721606.1899</v>
      </c>
      <c r="J9">
        <f t="shared" si="3"/>
        <v>24374.039989171735</v>
      </c>
    </row>
    <row r="10" spans="1:10" x14ac:dyDescent="0.2">
      <c r="A10">
        <v>2014</v>
      </c>
      <c r="B10">
        <v>32959.712800000001</v>
      </c>
      <c r="C10">
        <v>1729332144647.6201</v>
      </c>
      <c r="D10">
        <v>590557989738.04285</v>
      </c>
      <c r="E10">
        <v>933634311820.55334</v>
      </c>
      <c r="F10">
        <f t="shared" si="0"/>
        <v>52468058.661227778</v>
      </c>
      <c r="G10">
        <f t="shared" si="1"/>
        <v>11255.571576435063</v>
      </c>
      <c r="H10">
        <f t="shared" si="2"/>
        <v>17794.336890731567</v>
      </c>
      <c r="I10">
        <v>1417185298374.6201</v>
      </c>
      <c r="J10">
        <f t="shared" si="3"/>
        <v>27010.439008712074</v>
      </c>
    </row>
    <row r="11" spans="1:10" x14ac:dyDescent="0.2">
      <c r="A11">
        <v>2015</v>
      </c>
      <c r="B11">
        <v>36295.431299999997</v>
      </c>
      <c r="C11">
        <v>1965866529356.8501</v>
      </c>
      <c r="D11">
        <v>683728668278.85291</v>
      </c>
      <c r="E11">
        <v>1051155171499.5905</v>
      </c>
      <c r="F11">
        <f t="shared" si="0"/>
        <v>54162919.655313484</v>
      </c>
      <c r="G11">
        <f t="shared" si="1"/>
        <v>12623.556348698012</v>
      </c>
      <c r="H11">
        <f t="shared" si="2"/>
        <v>19407.284138097053</v>
      </c>
      <c r="I11">
        <v>1616658501471</v>
      </c>
      <c r="J11">
        <f t="shared" si="3"/>
        <v>29848.067861910444</v>
      </c>
    </row>
    <row r="12" spans="1:10" x14ac:dyDescent="0.2">
      <c r="A12">
        <v>2016</v>
      </c>
      <c r="B12">
        <v>39476.183700000001</v>
      </c>
      <c r="C12">
        <v>2195639884807.46</v>
      </c>
      <c r="D12">
        <v>840205090225.40466</v>
      </c>
      <c r="E12">
        <v>1099817372761.8232</v>
      </c>
      <c r="F12">
        <f t="shared" si="0"/>
        <v>55619355.24196732</v>
      </c>
      <c r="G12">
        <f t="shared" si="1"/>
        <v>15106.343584354101</v>
      </c>
      <c r="H12">
        <f t="shared" si="2"/>
        <v>19774.00435472796</v>
      </c>
      <c r="I12">
        <v>1784472290025.5601</v>
      </c>
      <c r="J12">
        <f t="shared" si="3"/>
        <v>32083.656530399599</v>
      </c>
    </row>
    <row r="13" spans="1:10" x14ac:dyDescent="0.2">
      <c r="A13">
        <v>2017</v>
      </c>
      <c r="B13">
        <v>45328.8122</v>
      </c>
      <c r="C13">
        <v>2581069647975.8599</v>
      </c>
      <c r="D13">
        <v>947014585193.87024</v>
      </c>
      <c r="E13">
        <v>1386198476698.1033</v>
      </c>
      <c r="F13">
        <f t="shared" si="0"/>
        <v>56941038.661848277</v>
      </c>
      <c r="G13">
        <f t="shared" si="1"/>
        <v>16631.494743498424</v>
      </c>
      <c r="H13">
        <f t="shared" si="2"/>
        <v>24344.453653721041</v>
      </c>
      <c r="I13">
        <v>2121714965663.47</v>
      </c>
      <c r="J13">
        <f t="shared" si="3"/>
        <v>37261.613337676339</v>
      </c>
    </row>
    <row r="14" spans="1:10" x14ac:dyDescent="0.2">
      <c r="A14">
        <v>2018</v>
      </c>
      <c r="B14">
        <v>53297.940699999999</v>
      </c>
      <c r="C14">
        <v>3102752112469.3799</v>
      </c>
      <c r="D14">
        <v>1129021664460.0889</v>
      </c>
      <c r="E14">
        <v>1669280386658.894</v>
      </c>
      <c r="F14">
        <f t="shared" si="0"/>
        <v>58215234.429674312</v>
      </c>
      <c r="G14">
        <f t="shared" si="1"/>
        <v>19393.921119118393</v>
      </c>
      <c r="H14">
        <f t="shared" si="2"/>
        <v>28674.28780477442</v>
      </c>
    </row>
    <row r="15" spans="1:10" x14ac:dyDescent="0.2">
      <c r="A15">
        <v>2019</v>
      </c>
      <c r="B15">
        <v>60237.715100000001</v>
      </c>
      <c r="C15">
        <v>3565091014549.8301</v>
      </c>
      <c r="D15">
        <v>1350548966722.845</v>
      </c>
      <c r="E15">
        <v>1843228111427.1211</v>
      </c>
      <c r="F15">
        <f t="shared" si="0"/>
        <v>59183702.579546049</v>
      </c>
      <c r="G15">
        <f t="shared" si="1"/>
        <v>22819.609248131022</v>
      </c>
      <c r="H15">
        <f t="shared" si="2"/>
        <v>31144.183805494838</v>
      </c>
    </row>
    <row r="16" spans="1:10" x14ac:dyDescent="0.2">
      <c r="A16">
        <v>2020</v>
      </c>
      <c r="B16">
        <v>70912.736799999999</v>
      </c>
      <c r="C16">
        <v>4254913407942.1401</v>
      </c>
      <c r="D16">
        <v>1478627919798.7722</v>
      </c>
      <c r="E16">
        <v>2212339749368.9399</v>
      </c>
      <c r="F16">
        <f t="shared" si="0"/>
        <v>60002103.993568331</v>
      </c>
      <c r="G16">
        <f t="shared" si="1"/>
        <v>24642.934520383944</v>
      </c>
      <c r="H16">
        <f t="shared" si="2"/>
        <v>36871.03621576474</v>
      </c>
    </row>
    <row r="17" spans="1:8" x14ac:dyDescent="0.2">
      <c r="A17">
        <v>2021</v>
      </c>
      <c r="B17">
        <v>101022.4433</v>
      </c>
      <c r="C17">
        <v>6138433863146.3896</v>
      </c>
      <c r="D17">
        <v>1946220352489.8901</v>
      </c>
      <c r="E17">
        <v>3392205711313.0029</v>
      </c>
      <c r="F17">
        <f t="shared" si="0"/>
        <v>60763070.686356977</v>
      </c>
      <c r="G17">
        <f t="shared" si="1"/>
        <v>32029.657660584155</v>
      </c>
      <c r="H17">
        <f t="shared" si="2"/>
        <v>55826.765714699948</v>
      </c>
    </row>
    <row r="18" spans="1:8" x14ac:dyDescent="0.2">
      <c r="A18">
        <v>2022</v>
      </c>
      <c r="B18">
        <v>208220.4516</v>
      </c>
      <c r="C18">
        <v>12784437228215.9</v>
      </c>
      <c r="D18">
        <v>3535880036174.0342</v>
      </c>
      <c r="E18">
        <v>7214888069566.8496</v>
      </c>
      <c r="F18">
        <f t="shared" si="0"/>
        <v>61398566.423126042</v>
      </c>
      <c r="G18">
        <f t="shared" si="1"/>
        <v>57588.967335273635</v>
      </c>
      <c r="H18">
        <f t="shared" si="2"/>
        <v>117509.06397139152</v>
      </c>
    </row>
    <row r="19" spans="1:8" x14ac:dyDescent="0.2">
      <c r="A19">
        <v>2023</v>
      </c>
      <c r="B19">
        <v>351695.6</v>
      </c>
      <c r="C19">
        <v>21777826823521</v>
      </c>
      <c r="D19">
        <v>7661316760021.5195</v>
      </c>
      <c r="E19">
        <v>11054833011124.682</v>
      </c>
      <c r="F19">
        <f t="shared" si="0"/>
        <v>61922374.984279022</v>
      </c>
      <c r="G19">
        <f t="shared" si="1"/>
        <v>123724.53030050269</v>
      </c>
      <c r="H19">
        <f t="shared" si="2"/>
        <v>178527.27731989132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Isik</dc:creator>
  <cp:lastModifiedBy>Enes Isik</cp:lastModifiedBy>
  <dcterms:created xsi:type="dcterms:W3CDTF">2025-05-20T15:51:18Z</dcterms:created>
  <dcterms:modified xsi:type="dcterms:W3CDTF">2025-05-20T19:14:52Z</dcterms:modified>
</cp:coreProperties>
</file>