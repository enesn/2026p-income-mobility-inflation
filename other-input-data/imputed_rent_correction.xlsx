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nesisik/Library/CloudStorage/Dropbox/research/with_ÖO/GYK/01_analysis/input_data/others/"/>
    </mc:Choice>
  </mc:AlternateContent>
  <xr:revisionPtr revIDLastSave="0" documentId="13_ncr:1_{ED827EEF-4705-3A4A-8DEC-EEC99CD1186D}" xr6:coauthVersionLast="47" xr6:coauthVersionMax="47" xr10:uidLastSave="{00000000-0000-0000-0000-000000000000}"/>
  <bookViews>
    <workbookView xWindow="3200" yWindow="500" windowWidth="28800" windowHeight="15820" xr2:uid="{9BD5EBA1-B29C-9C49-B8FC-FCB0E3B828BA}"/>
  </bookViews>
  <sheets>
    <sheet name="turkey_rental_multiplier" sheetId="1" r:id="rId1"/>
    <sheet name="regional_rent_multiplier_ibbs1" sheetId="28" r:id="rId2"/>
    <sheet name="regional_rent_multiplier_ibbs2" sheetId="27" r:id="rId3"/>
    <sheet name="regional_houseprice" sheetId="25" r:id="rId4"/>
    <sheet name="regional_houseprice_growth" sheetId="20" r:id="rId5"/>
    <sheet name="sahibinden_rent_price_ibbs" sheetId="16" r:id="rId6"/>
    <sheet name="regional_rent" sheetId="26" r:id="rId7"/>
    <sheet name="regional_rent_growth" sheetId="11" r:id="rId8"/>
    <sheet name="house_price_index_evds" sheetId="18" r:id="rId9"/>
    <sheet name="sahibinden_rent_and_price_june" sheetId="14" r:id="rId10"/>
    <sheet name="sahibinden_rent_and_price" sheetId="2" r:id="rId11"/>
    <sheet name="regional_rental_cpi_transposed" sheetId="12" r:id="rId12"/>
    <sheet name="regional_rental_cpi" sheetId="8" r:id="rId13"/>
    <sheet name="cpi_june" sheetId="10" r:id="rId14"/>
    <sheet name="cpi" sheetId="7" r:id="rId15"/>
    <sheet name="regional_rent_relative_tuik" sheetId="24" r:id="rId16"/>
    <sheet name="tuik_regional_relativecpi" sheetId="5" r:id="rId17"/>
  </sheets>
  <externalReferences>
    <externalReference r:id="rId18"/>
  </externalReferences>
  <definedNames>
    <definedName name="_xlnm._FilterDatabase" localSheetId="14" hidden="1">cpi!$A$1:$KF$249</definedName>
    <definedName name="_xlnm._FilterDatabase" localSheetId="10" hidden="1">sahibinden_rent_and_price!$A$1:$G$1651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1" l="1"/>
  <c r="N5" i="1"/>
  <c r="N6" i="1"/>
  <c r="N7" i="1"/>
  <c r="N8" i="1"/>
  <c r="N9" i="1"/>
  <c r="N10" i="1"/>
  <c r="N11" i="1"/>
  <c r="N12" i="1"/>
  <c r="N13" i="1"/>
  <c r="N14" i="1" s="1"/>
  <c r="N15" i="1" s="1"/>
  <c r="N16" i="1" s="1"/>
  <c r="N17" i="1" s="1"/>
  <c r="N18" i="1" s="1"/>
  <c r="N19" i="1" s="1"/>
  <c r="N20" i="1" s="1"/>
  <c r="N3" i="1"/>
  <c r="B21" i="1"/>
  <c r="F21" i="1"/>
  <c r="C20" i="1"/>
  <c r="C19" i="1"/>
  <c r="B9" i="1"/>
  <c r="B10" i="1"/>
  <c r="B11" i="1"/>
  <c r="B12" i="1"/>
  <c r="B13" i="1"/>
  <c r="B14" i="1"/>
  <c r="B15" i="1"/>
  <c r="B16" i="1"/>
  <c r="B17" i="1"/>
  <c r="B18" i="1"/>
  <c r="B19" i="1"/>
  <c r="B20" i="1"/>
  <c r="B4" i="1"/>
  <c r="B5" i="1"/>
  <c r="B6" i="1"/>
  <c r="B7" i="1"/>
  <c r="B8" i="1"/>
  <c r="B3" i="1"/>
  <c r="AA19" i="25"/>
  <c r="AA18" i="25"/>
  <c r="AA18" i="28" s="1"/>
  <c r="Z19" i="25"/>
  <c r="Z18" i="25"/>
  <c r="Y19" i="25"/>
  <c r="Y19" i="28" s="1"/>
  <c r="Y18" i="25"/>
  <c r="X19" i="25"/>
  <c r="X18" i="25"/>
  <c r="W19" i="25"/>
  <c r="W18" i="25"/>
  <c r="V19" i="25"/>
  <c r="V18" i="25"/>
  <c r="U19" i="25"/>
  <c r="U18" i="25"/>
  <c r="T19" i="25"/>
  <c r="T18" i="25"/>
  <c r="S19" i="25"/>
  <c r="S18" i="25"/>
  <c r="R19" i="25"/>
  <c r="R18" i="25"/>
  <c r="R18" i="28" s="1"/>
  <c r="Q19" i="25"/>
  <c r="Q18" i="25"/>
  <c r="P19" i="25"/>
  <c r="P18" i="25"/>
  <c r="O19" i="25"/>
  <c r="O19" i="28" s="1"/>
  <c r="O18" i="25"/>
  <c r="N19" i="25"/>
  <c r="N18" i="25"/>
  <c r="M19" i="25"/>
  <c r="M18" i="25"/>
  <c r="L19" i="25"/>
  <c r="L18" i="25"/>
  <c r="K19" i="25"/>
  <c r="K18" i="25"/>
  <c r="J19" i="25"/>
  <c r="J18" i="25"/>
  <c r="I19" i="25"/>
  <c r="I18" i="25"/>
  <c r="I18" i="28" s="1"/>
  <c r="H19" i="25"/>
  <c r="H19" i="28" s="1"/>
  <c r="H18" i="25"/>
  <c r="H18" i="28" s="1"/>
  <c r="G19" i="25"/>
  <c r="G19" i="28" s="1"/>
  <c r="G18" i="25"/>
  <c r="F19" i="25"/>
  <c r="F18" i="25"/>
  <c r="E19" i="25"/>
  <c r="E18" i="25"/>
  <c r="D19" i="25"/>
  <c r="D18" i="25"/>
  <c r="C19" i="25"/>
  <c r="C18" i="25"/>
  <c r="B19" i="25"/>
  <c r="B18" i="25"/>
  <c r="B17" i="25" s="1"/>
  <c r="AA19" i="28"/>
  <c r="Z19" i="28"/>
  <c r="X19" i="28"/>
  <c r="W19" i="28"/>
  <c r="V19" i="28"/>
  <c r="U19" i="28"/>
  <c r="T19" i="28"/>
  <c r="S19" i="28"/>
  <c r="R19" i="28"/>
  <c r="Q19" i="28"/>
  <c r="P19" i="28"/>
  <c r="N19" i="28"/>
  <c r="M19" i="28"/>
  <c r="L19" i="28"/>
  <c r="K19" i="28"/>
  <c r="J19" i="28"/>
  <c r="I19" i="28"/>
  <c r="F19" i="28"/>
  <c r="E19" i="28"/>
  <c r="D19" i="28"/>
  <c r="C19" i="28"/>
  <c r="B19" i="28"/>
  <c r="Z18" i="28"/>
  <c r="Y18" i="28"/>
  <c r="X18" i="28"/>
  <c r="W18" i="28"/>
  <c r="V18" i="28"/>
  <c r="U18" i="28"/>
  <c r="T18" i="28"/>
  <c r="S18" i="28"/>
  <c r="Q18" i="28"/>
  <c r="P18" i="28"/>
  <c r="O18" i="28"/>
  <c r="N18" i="28"/>
  <c r="M18" i="28"/>
  <c r="L18" i="28"/>
  <c r="K18" i="28"/>
  <c r="J18" i="28"/>
  <c r="G18" i="28"/>
  <c r="F18" i="28"/>
  <c r="E18" i="28"/>
  <c r="D18" i="28"/>
  <c r="C18" i="28"/>
  <c r="AA17" i="28"/>
  <c r="P17" i="28"/>
  <c r="N17" i="28"/>
  <c r="L17" i="28"/>
  <c r="J17" i="28"/>
  <c r="H19" i="26"/>
  <c r="H18" i="26"/>
  <c r="G19" i="26"/>
  <c r="G18" i="26"/>
  <c r="F19" i="26"/>
  <c r="F18" i="26"/>
  <c r="E19" i="26"/>
  <c r="E18" i="26"/>
  <c r="D19" i="26"/>
  <c r="D19" i="27" s="1"/>
  <c r="D18" i="26"/>
  <c r="C19" i="26"/>
  <c r="C19" i="27" s="1"/>
  <c r="C18" i="26"/>
  <c r="C18" i="27" s="1"/>
  <c r="B19" i="26"/>
  <c r="B19" i="27" s="1"/>
  <c r="B18" i="26"/>
  <c r="B17" i="26" s="1"/>
  <c r="AA17" i="27"/>
  <c r="AA18" i="27"/>
  <c r="AA19" i="27"/>
  <c r="Z17" i="27"/>
  <c r="Z18" i="27"/>
  <c r="Z19" i="27"/>
  <c r="Y18" i="27"/>
  <c r="Y19" i="27"/>
  <c r="X18" i="27"/>
  <c r="X19" i="27"/>
  <c r="W18" i="27"/>
  <c r="W19" i="27"/>
  <c r="V18" i="27"/>
  <c r="V19" i="27"/>
  <c r="U18" i="27"/>
  <c r="U19" i="27"/>
  <c r="T18" i="27"/>
  <c r="T19" i="27"/>
  <c r="S18" i="27"/>
  <c r="S19" i="27"/>
  <c r="R18" i="27"/>
  <c r="R19" i="27"/>
  <c r="Q18" i="27"/>
  <c r="Q19" i="27"/>
  <c r="P18" i="27"/>
  <c r="P19" i="27"/>
  <c r="O18" i="27"/>
  <c r="O19" i="27"/>
  <c r="N18" i="27"/>
  <c r="N19" i="27"/>
  <c r="M18" i="27"/>
  <c r="M19" i="27"/>
  <c r="L18" i="27"/>
  <c r="L19" i="27"/>
  <c r="K17" i="27"/>
  <c r="K18" i="27"/>
  <c r="K19" i="27"/>
  <c r="J17" i="27"/>
  <c r="J18" i="27"/>
  <c r="J19" i="27"/>
  <c r="I17" i="27"/>
  <c r="I18" i="27"/>
  <c r="I19" i="27"/>
  <c r="H18" i="27"/>
  <c r="H19" i="27"/>
  <c r="G18" i="27"/>
  <c r="G19" i="27"/>
  <c r="F18" i="27"/>
  <c r="F19" i="27"/>
  <c r="E18" i="27"/>
  <c r="E19" i="27"/>
  <c r="AA17" i="25"/>
  <c r="AA16" i="25" s="1"/>
  <c r="Z17" i="25"/>
  <c r="Z17" i="28" s="1"/>
  <c r="Y17" i="25"/>
  <c r="Y17" i="28" s="1"/>
  <c r="X17" i="25"/>
  <c r="X17" i="27" s="1"/>
  <c r="W17" i="25"/>
  <c r="W17" i="27" s="1"/>
  <c r="U17" i="25"/>
  <c r="U16" i="25" s="1"/>
  <c r="V17" i="25"/>
  <c r="V16" i="25" s="1"/>
  <c r="T17" i="25"/>
  <c r="T16" i="25" s="1"/>
  <c r="S17" i="25"/>
  <c r="S17" i="28" s="1"/>
  <c r="R17" i="25"/>
  <c r="R17" i="28" s="1"/>
  <c r="Q17" i="25"/>
  <c r="Q17" i="28" s="1"/>
  <c r="P17" i="25"/>
  <c r="P16" i="25" s="1"/>
  <c r="O17" i="25"/>
  <c r="O17" i="27" s="1"/>
  <c r="N17" i="25"/>
  <c r="N17" i="27" s="1"/>
  <c r="M17" i="25"/>
  <c r="M17" i="28" s="1"/>
  <c r="L17" i="25"/>
  <c r="L17" i="27" s="1"/>
  <c r="K17" i="25"/>
  <c r="K16" i="25" s="1"/>
  <c r="J17" i="25"/>
  <c r="J16" i="25" s="1"/>
  <c r="I17" i="25"/>
  <c r="I16" i="25" s="1"/>
  <c r="H17" i="25"/>
  <c r="H16" i="25" s="1"/>
  <c r="D17" i="25"/>
  <c r="D17" i="28" s="1"/>
  <c r="E17" i="25"/>
  <c r="E16" i="25" s="1"/>
  <c r="F17" i="25"/>
  <c r="F17" i="28" s="1"/>
  <c r="G17" i="25"/>
  <c r="G16" i="25" s="1"/>
  <c r="F16" i="25"/>
  <c r="F15" i="25" s="1"/>
  <c r="F14" i="25" s="1"/>
  <c r="F13" i="25" s="1"/>
  <c r="F12" i="25" s="1"/>
  <c r="F11" i="25" s="1"/>
  <c r="F10" i="25" s="1"/>
  <c r="F9" i="25" s="1"/>
  <c r="F8" i="25" s="1"/>
  <c r="F7" i="25" s="1"/>
  <c r="F7" i="28" s="1"/>
  <c r="C17" i="25"/>
  <c r="C16" i="25" s="1"/>
  <c r="AA16" i="26"/>
  <c r="AA15" i="26" s="1"/>
  <c r="AA14" i="26" s="1"/>
  <c r="AA13" i="26" s="1"/>
  <c r="AA12" i="26" s="1"/>
  <c r="AA11" i="26" s="1"/>
  <c r="AA10" i="26" s="1"/>
  <c r="AA9" i="26" s="1"/>
  <c r="AA8" i="26" s="1"/>
  <c r="AA7" i="26" s="1"/>
  <c r="AA6" i="26" s="1"/>
  <c r="AA5" i="26" s="1"/>
  <c r="AA4" i="26" s="1"/>
  <c r="AA3" i="26" s="1"/>
  <c r="AA2" i="26" s="1"/>
  <c r="Z16" i="26"/>
  <c r="Z15" i="26" s="1"/>
  <c r="Z14" i="26" s="1"/>
  <c r="Z13" i="26" s="1"/>
  <c r="Z12" i="26" s="1"/>
  <c r="Z11" i="26" s="1"/>
  <c r="Z10" i="26" s="1"/>
  <c r="Z9" i="26" s="1"/>
  <c r="Z8" i="26" s="1"/>
  <c r="Z7" i="26" s="1"/>
  <c r="Z6" i="26" s="1"/>
  <c r="Z5" i="26" s="1"/>
  <c r="Z4" i="26" s="1"/>
  <c r="Z3" i="26" s="1"/>
  <c r="Z2" i="26" s="1"/>
  <c r="Y16" i="26"/>
  <c r="Y15" i="26" s="1"/>
  <c r="Y14" i="26" s="1"/>
  <c r="Y13" i="26" s="1"/>
  <c r="Y12" i="26" s="1"/>
  <c r="Y11" i="26" s="1"/>
  <c r="Y10" i="26" s="1"/>
  <c r="Y9" i="26" s="1"/>
  <c r="Y8" i="26" s="1"/>
  <c r="Y7" i="26" s="1"/>
  <c r="Y6" i="26" s="1"/>
  <c r="Y5" i="26" s="1"/>
  <c r="Y4" i="26" s="1"/>
  <c r="Y3" i="26" s="1"/>
  <c r="Y2" i="26" s="1"/>
  <c r="X16" i="26"/>
  <c r="X15" i="26" s="1"/>
  <c r="X14" i="26" s="1"/>
  <c r="X13" i="26" s="1"/>
  <c r="X12" i="26" s="1"/>
  <c r="X11" i="26" s="1"/>
  <c r="X10" i="26" s="1"/>
  <c r="X9" i="26" s="1"/>
  <c r="X8" i="26" s="1"/>
  <c r="X7" i="26" s="1"/>
  <c r="X6" i="26" s="1"/>
  <c r="X5" i="26" s="1"/>
  <c r="X4" i="26" s="1"/>
  <c r="X3" i="26" s="1"/>
  <c r="X2" i="26" s="1"/>
  <c r="W16" i="26"/>
  <c r="W15" i="26" s="1"/>
  <c r="W14" i="26" s="1"/>
  <c r="W13" i="26" s="1"/>
  <c r="W12" i="26" s="1"/>
  <c r="W11" i="26" s="1"/>
  <c r="W10" i="26" s="1"/>
  <c r="W9" i="26" s="1"/>
  <c r="W8" i="26" s="1"/>
  <c r="W7" i="26" s="1"/>
  <c r="W6" i="26" s="1"/>
  <c r="W5" i="26" s="1"/>
  <c r="W4" i="26" s="1"/>
  <c r="W3" i="26" s="1"/>
  <c r="W2" i="26" s="1"/>
  <c r="V16" i="26"/>
  <c r="V15" i="26" s="1"/>
  <c r="V14" i="26" s="1"/>
  <c r="V13" i="26" s="1"/>
  <c r="V12" i="26" s="1"/>
  <c r="V11" i="26" s="1"/>
  <c r="V10" i="26" s="1"/>
  <c r="V9" i="26" s="1"/>
  <c r="V8" i="26" s="1"/>
  <c r="V7" i="26" s="1"/>
  <c r="V6" i="26" s="1"/>
  <c r="V5" i="26" s="1"/>
  <c r="V4" i="26" s="1"/>
  <c r="V3" i="26" s="1"/>
  <c r="V2" i="26" s="1"/>
  <c r="U16" i="26"/>
  <c r="U15" i="26" s="1"/>
  <c r="U14" i="26" s="1"/>
  <c r="U13" i="26" s="1"/>
  <c r="U12" i="26" s="1"/>
  <c r="U11" i="26" s="1"/>
  <c r="U10" i="26" s="1"/>
  <c r="U9" i="26" s="1"/>
  <c r="U8" i="26" s="1"/>
  <c r="U7" i="26" s="1"/>
  <c r="U6" i="26" s="1"/>
  <c r="U5" i="26" s="1"/>
  <c r="U4" i="26" s="1"/>
  <c r="U3" i="26" s="1"/>
  <c r="U2" i="26" s="1"/>
  <c r="T16" i="26"/>
  <c r="T15" i="26" s="1"/>
  <c r="T14" i="26" s="1"/>
  <c r="T13" i="26" s="1"/>
  <c r="T12" i="26" s="1"/>
  <c r="T11" i="26" s="1"/>
  <c r="T10" i="26" s="1"/>
  <c r="T9" i="26" s="1"/>
  <c r="T8" i="26" s="1"/>
  <c r="T7" i="26" s="1"/>
  <c r="T6" i="26" s="1"/>
  <c r="T5" i="26" s="1"/>
  <c r="T4" i="26" s="1"/>
  <c r="T3" i="26" s="1"/>
  <c r="T2" i="26" s="1"/>
  <c r="S16" i="26"/>
  <c r="S15" i="26" s="1"/>
  <c r="S14" i="26" s="1"/>
  <c r="S13" i="26" s="1"/>
  <c r="S12" i="26" s="1"/>
  <c r="S11" i="26" s="1"/>
  <c r="S10" i="26" s="1"/>
  <c r="S9" i="26" s="1"/>
  <c r="S8" i="26" s="1"/>
  <c r="S7" i="26" s="1"/>
  <c r="S6" i="26" s="1"/>
  <c r="S5" i="26" s="1"/>
  <c r="S4" i="26" s="1"/>
  <c r="S3" i="26" s="1"/>
  <c r="S2" i="26" s="1"/>
  <c r="R16" i="26"/>
  <c r="R15" i="26" s="1"/>
  <c r="R14" i="26" s="1"/>
  <c r="R13" i="26" s="1"/>
  <c r="R12" i="26" s="1"/>
  <c r="R11" i="26" s="1"/>
  <c r="R10" i="26" s="1"/>
  <c r="R9" i="26" s="1"/>
  <c r="R8" i="26" s="1"/>
  <c r="R7" i="26" s="1"/>
  <c r="R6" i="26" s="1"/>
  <c r="R5" i="26" s="1"/>
  <c r="R4" i="26" s="1"/>
  <c r="R3" i="26" s="1"/>
  <c r="R2" i="26" s="1"/>
  <c r="Q16" i="26"/>
  <c r="Q15" i="26" s="1"/>
  <c r="Q14" i="26" s="1"/>
  <c r="Q13" i="26" s="1"/>
  <c r="Q12" i="26" s="1"/>
  <c r="Q11" i="26" s="1"/>
  <c r="Q10" i="26" s="1"/>
  <c r="Q9" i="26" s="1"/>
  <c r="Q8" i="26" s="1"/>
  <c r="Q7" i="26" s="1"/>
  <c r="Q6" i="26" s="1"/>
  <c r="Q5" i="26" s="1"/>
  <c r="Q4" i="26" s="1"/>
  <c r="Q3" i="26" s="1"/>
  <c r="Q2" i="26" s="1"/>
  <c r="P16" i="26"/>
  <c r="P15" i="26" s="1"/>
  <c r="P14" i="26" s="1"/>
  <c r="P13" i="26" s="1"/>
  <c r="P12" i="26" s="1"/>
  <c r="P11" i="26" s="1"/>
  <c r="P10" i="26" s="1"/>
  <c r="P9" i="26" s="1"/>
  <c r="P8" i="26" s="1"/>
  <c r="P7" i="26" s="1"/>
  <c r="P6" i="26" s="1"/>
  <c r="P5" i="26" s="1"/>
  <c r="P4" i="26" s="1"/>
  <c r="P3" i="26" s="1"/>
  <c r="P2" i="26" s="1"/>
  <c r="O16" i="26"/>
  <c r="O15" i="26" s="1"/>
  <c r="O14" i="26" s="1"/>
  <c r="O13" i="26" s="1"/>
  <c r="O12" i="26" s="1"/>
  <c r="O11" i="26" s="1"/>
  <c r="O10" i="26" s="1"/>
  <c r="O9" i="26" s="1"/>
  <c r="O8" i="26" s="1"/>
  <c r="O7" i="26" s="1"/>
  <c r="O6" i="26" s="1"/>
  <c r="O5" i="26" s="1"/>
  <c r="O4" i="26" s="1"/>
  <c r="O3" i="26" s="1"/>
  <c r="O2" i="26" s="1"/>
  <c r="N16" i="26"/>
  <c r="N15" i="26" s="1"/>
  <c r="N14" i="26" s="1"/>
  <c r="N13" i="26" s="1"/>
  <c r="N12" i="26" s="1"/>
  <c r="N11" i="26" s="1"/>
  <c r="N10" i="26" s="1"/>
  <c r="N9" i="26" s="1"/>
  <c r="N8" i="26" s="1"/>
  <c r="N7" i="26" s="1"/>
  <c r="N6" i="26" s="1"/>
  <c r="N5" i="26" s="1"/>
  <c r="N4" i="26" s="1"/>
  <c r="N3" i="26" s="1"/>
  <c r="N2" i="26" s="1"/>
  <c r="M16" i="26"/>
  <c r="M15" i="26" s="1"/>
  <c r="M14" i="26" s="1"/>
  <c r="M13" i="26" s="1"/>
  <c r="M12" i="26" s="1"/>
  <c r="M11" i="26" s="1"/>
  <c r="M10" i="26" s="1"/>
  <c r="M9" i="26" s="1"/>
  <c r="M8" i="26" s="1"/>
  <c r="M7" i="26" s="1"/>
  <c r="M6" i="26" s="1"/>
  <c r="M5" i="26" s="1"/>
  <c r="M4" i="26" s="1"/>
  <c r="M3" i="26" s="1"/>
  <c r="M2" i="26" s="1"/>
  <c r="L16" i="26"/>
  <c r="L15" i="26" s="1"/>
  <c r="L14" i="26" s="1"/>
  <c r="L13" i="26" s="1"/>
  <c r="L12" i="26" s="1"/>
  <c r="L11" i="26" s="1"/>
  <c r="L10" i="26" s="1"/>
  <c r="L9" i="26" s="1"/>
  <c r="L8" i="26" s="1"/>
  <c r="L7" i="26" s="1"/>
  <c r="L6" i="26" s="1"/>
  <c r="L5" i="26" s="1"/>
  <c r="L4" i="26" s="1"/>
  <c r="L3" i="26" s="1"/>
  <c r="L2" i="26" s="1"/>
  <c r="K16" i="26"/>
  <c r="K15" i="26" s="1"/>
  <c r="K14" i="26" s="1"/>
  <c r="K13" i="26" s="1"/>
  <c r="K12" i="26" s="1"/>
  <c r="K11" i="26" s="1"/>
  <c r="K10" i="26" s="1"/>
  <c r="K9" i="26" s="1"/>
  <c r="K8" i="26" s="1"/>
  <c r="K7" i="26" s="1"/>
  <c r="K6" i="26" s="1"/>
  <c r="K5" i="26" s="1"/>
  <c r="K4" i="26" s="1"/>
  <c r="K3" i="26" s="1"/>
  <c r="K2" i="26" s="1"/>
  <c r="J16" i="26"/>
  <c r="J15" i="26" s="1"/>
  <c r="J14" i="26" s="1"/>
  <c r="J13" i="26" s="1"/>
  <c r="J12" i="26" s="1"/>
  <c r="J11" i="26" s="1"/>
  <c r="J10" i="26" s="1"/>
  <c r="J9" i="26" s="1"/>
  <c r="J8" i="26" s="1"/>
  <c r="J7" i="26" s="1"/>
  <c r="J6" i="26" s="1"/>
  <c r="J5" i="26" s="1"/>
  <c r="J4" i="26" s="1"/>
  <c r="J3" i="26" s="1"/>
  <c r="J2" i="26" s="1"/>
  <c r="I16" i="26"/>
  <c r="I15" i="26" s="1"/>
  <c r="I14" i="26" s="1"/>
  <c r="I13" i="26" s="1"/>
  <c r="I12" i="26" s="1"/>
  <c r="I11" i="26" s="1"/>
  <c r="I10" i="26" s="1"/>
  <c r="I9" i="26" s="1"/>
  <c r="I8" i="26" s="1"/>
  <c r="I7" i="26" s="1"/>
  <c r="I6" i="26" s="1"/>
  <c r="I5" i="26" s="1"/>
  <c r="I4" i="26" s="1"/>
  <c r="I3" i="26" s="1"/>
  <c r="I2" i="26" s="1"/>
  <c r="H16" i="26"/>
  <c r="H15" i="26" s="1"/>
  <c r="H14" i="26" s="1"/>
  <c r="H13" i="26" s="1"/>
  <c r="H12" i="26" s="1"/>
  <c r="H11" i="26" s="1"/>
  <c r="H10" i="26" s="1"/>
  <c r="H9" i="26" s="1"/>
  <c r="H8" i="26" s="1"/>
  <c r="H7" i="26" s="1"/>
  <c r="H6" i="26" s="1"/>
  <c r="H5" i="26" s="1"/>
  <c r="H4" i="26" s="1"/>
  <c r="H3" i="26" s="1"/>
  <c r="H2" i="26" s="1"/>
  <c r="E16" i="26"/>
  <c r="E15" i="26" s="1"/>
  <c r="E14" i="26" s="1"/>
  <c r="E13" i="26" s="1"/>
  <c r="E12" i="26" s="1"/>
  <c r="E11" i="26" s="1"/>
  <c r="E10" i="26" s="1"/>
  <c r="E9" i="26" s="1"/>
  <c r="E8" i="26" s="1"/>
  <c r="E7" i="26" s="1"/>
  <c r="E6" i="26" s="1"/>
  <c r="E5" i="26" s="1"/>
  <c r="E4" i="26" s="1"/>
  <c r="E3" i="26" s="1"/>
  <c r="E2" i="26" s="1"/>
  <c r="E17" i="26"/>
  <c r="F17" i="26"/>
  <c r="F16" i="26" s="1"/>
  <c r="G17" i="26"/>
  <c r="H17" i="26"/>
  <c r="I17" i="26"/>
  <c r="J17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I18" i="26"/>
  <c r="J18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I19" i="26"/>
  <c r="J19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A15" i="25" l="1"/>
  <c r="AA16" i="28"/>
  <c r="AA16" i="27"/>
  <c r="Z16" i="25"/>
  <c r="Y16" i="25"/>
  <c r="Y17" i="27"/>
  <c r="X16" i="25"/>
  <c r="X17" i="28"/>
  <c r="W17" i="28"/>
  <c r="W16" i="25"/>
  <c r="V15" i="25"/>
  <c r="V16" i="28"/>
  <c r="V16" i="27"/>
  <c r="V17" i="27"/>
  <c r="V17" i="28"/>
  <c r="U15" i="25"/>
  <c r="U16" i="27"/>
  <c r="U16" i="28"/>
  <c r="U17" i="27"/>
  <c r="U17" i="28"/>
  <c r="T15" i="25"/>
  <c r="T16" i="27"/>
  <c r="T16" i="28"/>
  <c r="T17" i="27"/>
  <c r="T17" i="28"/>
  <c r="S16" i="25"/>
  <c r="S17" i="27"/>
  <c r="R16" i="25"/>
  <c r="R17" i="27"/>
  <c r="Q17" i="27"/>
  <c r="Q16" i="25"/>
  <c r="P15" i="25"/>
  <c r="P16" i="27"/>
  <c r="P16" i="28"/>
  <c r="P17" i="27"/>
  <c r="O17" i="28"/>
  <c r="O16" i="25"/>
  <c r="N16" i="25"/>
  <c r="M16" i="25"/>
  <c r="M17" i="27"/>
  <c r="L16" i="25"/>
  <c r="K15" i="25"/>
  <c r="K16" i="28"/>
  <c r="K16" i="27"/>
  <c r="K17" i="28"/>
  <c r="J15" i="25"/>
  <c r="J16" i="28"/>
  <c r="J16" i="27"/>
  <c r="I15" i="25"/>
  <c r="I16" i="28"/>
  <c r="I16" i="27"/>
  <c r="I17" i="28"/>
  <c r="H15" i="25"/>
  <c r="H16" i="27"/>
  <c r="H16" i="28"/>
  <c r="H17" i="27"/>
  <c r="H17" i="28"/>
  <c r="G15" i="25"/>
  <c r="G16" i="28"/>
  <c r="G17" i="28"/>
  <c r="G17" i="27"/>
  <c r="F15" i="28"/>
  <c r="F9" i="28"/>
  <c r="F13" i="28"/>
  <c r="F14" i="28"/>
  <c r="F11" i="28"/>
  <c r="F10" i="28"/>
  <c r="F8" i="28"/>
  <c r="F12" i="28"/>
  <c r="F16" i="28"/>
  <c r="E15" i="25"/>
  <c r="E16" i="28"/>
  <c r="E17" i="27"/>
  <c r="E17" i="28"/>
  <c r="D16" i="25"/>
  <c r="D18" i="27"/>
  <c r="C15" i="25"/>
  <c r="C16" i="28"/>
  <c r="C17" i="28"/>
  <c r="B16" i="25"/>
  <c r="B17" i="28"/>
  <c r="B18" i="28"/>
  <c r="B17" i="27"/>
  <c r="G16" i="26"/>
  <c r="F15" i="26"/>
  <c r="F16" i="27"/>
  <c r="F17" i="27"/>
  <c r="B18" i="27"/>
  <c r="C17" i="26"/>
  <c r="C17" i="27" s="1"/>
  <c r="D17" i="26"/>
  <c r="D16" i="26" s="1"/>
  <c r="E16" i="27"/>
  <c r="E15" i="27"/>
  <c r="D15" i="26"/>
  <c r="D16" i="27"/>
  <c r="D17" i="27"/>
  <c r="C16" i="26"/>
  <c r="B16" i="26"/>
  <c r="AA3" i="11"/>
  <c r="AA4" i="11"/>
  <c r="AA5" i="11"/>
  <c r="AA6" i="11"/>
  <c r="AA7" i="11"/>
  <c r="AA8" i="11"/>
  <c r="AA9" i="11"/>
  <c r="AA10" i="11"/>
  <c r="AA11" i="11"/>
  <c r="AA12" i="11"/>
  <c r="AA13" i="11"/>
  <c r="AA14" i="11"/>
  <c r="AA15" i="11"/>
  <c r="AA16" i="11"/>
  <c r="AA17" i="11"/>
  <c r="AA18" i="11"/>
  <c r="AA19" i="11"/>
  <c r="Z3" i="11"/>
  <c r="Z4" i="11"/>
  <c r="Z5" i="11"/>
  <c r="Z6" i="11"/>
  <c r="Z7" i="11"/>
  <c r="Z8" i="11"/>
  <c r="Z9" i="11"/>
  <c r="Z10" i="11"/>
  <c r="Z11" i="11"/>
  <c r="Z12" i="11"/>
  <c r="Z13" i="11"/>
  <c r="Z14" i="11"/>
  <c r="Z15" i="11"/>
  <c r="Z16" i="11"/>
  <c r="Z17" i="11"/>
  <c r="Z18" i="11"/>
  <c r="Z19" i="11"/>
  <c r="Y3" i="11"/>
  <c r="Y4" i="11"/>
  <c r="Y5" i="11"/>
  <c r="Y6" i="11"/>
  <c r="Y7" i="11"/>
  <c r="Y8" i="11"/>
  <c r="Y9" i="11"/>
  <c r="Y10" i="11"/>
  <c r="Y11" i="11"/>
  <c r="Y12" i="11"/>
  <c r="Y13" i="11"/>
  <c r="Y14" i="11"/>
  <c r="Y15" i="11"/>
  <c r="Y16" i="11"/>
  <c r="Y17" i="11"/>
  <c r="Y18" i="11"/>
  <c r="Y19" i="11"/>
  <c r="X3" i="11"/>
  <c r="X4" i="11"/>
  <c r="X5" i="11"/>
  <c r="X6" i="11"/>
  <c r="X7" i="11"/>
  <c r="X8" i="11"/>
  <c r="X9" i="11"/>
  <c r="X10" i="11"/>
  <c r="X11" i="11"/>
  <c r="X12" i="11"/>
  <c r="X13" i="11"/>
  <c r="X14" i="11"/>
  <c r="X15" i="11"/>
  <c r="X16" i="11"/>
  <c r="X17" i="11"/>
  <c r="X18" i="11"/>
  <c r="X19" i="11"/>
  <c r="W3" i="11"/>
  <c r="W4" i="11"/>
  <c r="W5" i="11"/>
  <c r="W6" i="11"/>
  <c r="W7" i="11"/>
  <c r="W8" i="11"/>
  <c r="W9" i="11"/>
  <c r="W10" i="11"/>
  <c r="W11" i="11"/>
  <c r="W12" i="11"/>
  <c r="W13" i="11"/>
  <c r="W14" i="11"/>
  <c r="W15" i="11"/>
  <c r="W16" i="11"/>
  <c r="W17" i="11"/>
  <c r="W18" i="11"/>
  <c r="W19" i="11"/>
  <c r="V3" i="11"/>
  <c r="V4" i="11"/>
  <c r="V5" i="11"/>
  <c r="V6" i="11"/>
  <c r="V7" i="11"/>
  <c r="V8" i="11"/>
  <c r="V9" i="11"/>
  <c r="V10" i="11"/>
  <c r="V11" i="11"/>
  <c r="V12" i="11"/>
  <c r="V13" i="11"/>
  <c r="V14" i="11"/>
  <c r="V15" i="11"/>
  <c r="V16" i="11"/>
  <c r="V17" i="11"/>
  <c r="V18" i="11"/>
  <c r="V19" i="11"/>
  <c r="U3" i="11"/>
  <c r="U4" i="11"/>
  <c r="U5" i="11"/>
  <c r="U6" i="11"/>
  <c r="U7" i="11"/>
  <c r="U8" i="11"/>
  <c r="U9" i="11"/>
  <c r="U10" i="11"/>
  <c r="U11" i="11"/>
  <c r="U12" i="11"/>
  <c r="U13" i="11"/>
  <c r="U14" i="11"/>
  <c r="U15" i="11"/>
  <c r="U16" i="11"/>
  <c r="U17" i="11"/>
  <c r="U18" i="11"/>
  <c r="U19" i="11"/>
  <c r="T3" i="11"/>
  <c r="T4" i="11"/>
  <c r="T5" i="11"/>
  <c r="T6" i="11"/>
  <c r="T7" i="11"/>
  <c r="T8" i="11"/>
  <c r="T9" i="11"/>
  <c r="T10" i="11"/>
  <c r="T11" i="11"/>
  <c r="T12" i="11"/>
  <c r="T13" i="11"/>
  <c r="T14" i="11"/>
  <c r="T15" i="11"/>
  <c r="T16" i="11"/>
  <c r="T17" i="11"/>
  <c r="T18" i="11"/>
  <c r="T19" i="11"/>
  <c r="S3" i="11"/>
  <c r="S4" i="11"/>
  <c r="S5" i="11"/>
  <c r="S6" i="11"/>
  <c r="S7" i="11"/>
  <c r="S8" i="11"/>
  <c r="S9" i="11"/>
  <c r="S10" i="11"/>
  <c r="S11" i="11"/>
  <c r="S12" i="11"/>
  <c r="S13" i="11"/>
  <c r="S14" i="11"/>
  <c r="S15" i="11"/>
  <c r="S16" i="11"/>
  <c r="S17" i="11"/>
  <c r="S18" i="11"/>
  <c r="S19" i="11"/>
  <c r="R3" i="11"/>
  <c r="R4" i="11"/>
  <c r="R5" i="11"/>
  <c r="R6" i="11"/>
  <c r="R7" i="11"/>
  <c r="R8" i="11"/>
  <c r="R9" i="11"/>
  <c r="R10" i="11"/>
  <c r="R11" i="11"/>
  <c r="R12" i="11"/>
  <c r="R13" i="11"/>
  <c r="R14" i="11"/>
  <c r="R15" i="11"/>
  <c r="R16" i="11"/>
  <c r="R17" i="11"/>
  <c r="R18" i="11"/>
  <c r="R19" i="1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J3" i="11"/>
  <c r="J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G19" i="11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H2" i="11"/>
  <c r="I2" i="11"/>
  <c r="J2" i="11"/>
  <c r="K2" i="11"/>
  <c r="L2" i="11"/>
  <c r="M2" i="11"/>
  <c r="N2" i="11"/>
  <c r="O2" i="11"/>
  <c r="P2" i="11"/>
  <c r="Q2" i="11"/>
  <c r="R2" i="11"/>
  <c r="S2" i="11"/>
  <c r="T2" i="11"/>
  <c r="U2" i="11"/>
  <c r="V2" i="11"/>
  <c r="W2" i="11"/>
  <c r="X2" i="11"/>
  <c r="Y2" i="11"/>
  <c r="Z2" i="11"/>
  <c r="AA2" i="11"/>
  <c r="G2" i="1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" i="11"/>
  <c r="D3" i="1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" i="11"/>
  <c r="C3" i="11"/>
  <c r="C4" i="1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" i="11"/>
  <c r="B3" i="11"/>
  <c r="B4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" i="11"/>
  <c r="U4" i="8"/>
  <c r="U5" i="8"/>
  <c r="U6" i="8"/>
  <c r="U7" i="8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3" i="8"/>
  <c r="T4" i="8"/>
  <c r="T5" i="8"/>
  <c r="T6" i="8"/>
  <c r="T7" i="8"/>
  <c r="T8" i="8"/>
  <c r="T9" i="8"/>
  <c r="T10" i="8"/>
  <c r="T11" i="8"/>
  <c r="T12" i="8"/>
  <c r="T13" i="8"/>
  <c r="T14" i="8"/>
  <c r="T15" i="8"/>
  <c r="T16" i="8"/>
  <c r="T17" i="8"/>
  <c r="T18" i="8"/>
  <c r="T19" i="8"/>
  <c r="T20" i="8"/>
  <c r="T21" i="8"/>
  <c r="T22" i="8"/>
  <c r="T23" i="8"/>
  <c r="T24" i="8"/>
  <c r="T25" i="8"/>
  <c r="T26" i="8"/>
  <c r="T27" i="8"/>
  <c r="T28" i="8"/>
  <c r="T3" i="8"/>
  <c r="S4" i="8"/>
  <c r="S5" i="8"/>
  <c r="S6" i="8"/>
  <c r="S7" i="8"/>
  <c r="S8" i="8"/>
  <c r="S9" i="8"/>
  <c r="S10" i="8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3" i="8"/>
  <c r="R4" i="8"/>
  <c r="R5" i="8"/>
  <c r="R6" i="8"/>
  <c r="R7" i="8"/>
  <c r="R8" i="8"/>
  <c r="R9" i="8"/>
  <c r="R10" i="8"/>
  <c r="R11" i="8"/>
  <c r="R12" i="8"/>
  <c r="R13" i="8"/>
  <c r="R14" i="8"/>
  <c r="R15" i="8"/>
  <c r="R16" i="8"/>
  <c r="R17" i="8"/>
  <c r="R18" i="8"/>
  <c r="R19" i="8"/>
  <c r="R20" i="8"/>
  <c r="R21" i="8"/>
  <c r="R22" i="8"/>
  <c r="R23" i="8"/>
  <c r="R24" i="8"/>
  <c r="R25" i="8"/>
  <c r="R26" i="8"/>
  <c r="R27" i="8"/>
  <c r="R28" i="8"/>
  <c r="R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3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3" i="8"/>
  <c r="P5" i="24"/>
  <c r="P6" i="24"/>
  <c r="P7" i="24"/>
  <c r="P8" i="24"/>
  <c r="P9" i="24"/>
  <c r="P10" i="24"/>
  <c r="P11" i="24"/>
  <c r="P12" i="24"/>
  <c r="P13" i="24"/>
  <c r="P14" i="24"/>
  <c r="P15" i="24"/>
  <c r="P16" i="24"/>
  <c r="P17" i="24"/>
  <c r="P18" i="24"/>
  <c r="P19" i="24"/>
  <c r="P20" i="24"/>
  <c r="P21" i="24"/>
  <c r="P22" i="24"/>
  <c r="P23" i="24"/>
  <c r="P24" i="24"/>
  <c r="P25" i="24"/>
  <c r="P26" i="24"/>
  <c r="P27" i="24"/>
  <c r="P28" i="24"/>
  <c r="P29" i="24"/>
  <c r="P30" i="24"/>
  <c r="P31" i="24"/>
  <c r="P32" i="24"/>
  <c r="P33" i="24"/>
  <c r="P34" i="24"/>
  <c r="P35" i="24"/>
  <c r="P36" i="24"/>
  <c r="P37" i="24"/>
  <c r="P38" i="24"/>
  <c r="P39" i="24"/>
  <c r="P40" i="24"/>
  <c r="P41" i="24"/>
  <c r="P42" i="24"/>
  <c r="P43" i="24"/>
  <c r="P44" i="24"/>
  <c r="P45" i="24"/>
  <c r="P46" i="24"/>
  <c r="P47" i="24"/>
  <c r="P48" i="24"/>
  <c r="P49" i="24"/>
  <c r="P50" i="24"/>
  <c r="P51" i="24"/>
  <c r="P52" i="24"/>
  <c r="P53" i="24"/>
  <c r="P54" i="24"/>
  <c r="P55" i="24"/>
  <c r="P56" i="24"/>
  <c r="P57" i="24"/>
  <c r="P58" i="24"/>
  <c r="P59" i="24"/>
  <c r="P60" i="24"/>
  <c r="P61" i="24"/>
  <c r="P62" i="24"/>
  <c r="P63" i="24"/>
  <c r="P64" i="24"/>
  <c r="P65" i="24"/>
  <c r="P66" i="24"/>
  <c r="P67" i="24"/>
  <c r="P68" i="24"/>
  <c r="P69" i="24"/>
  <c r="P70" i="24"/>
  <c r="P71" i="24"/>
  <c r="P72" i="24"/>
  <c r="P73" i="24"/>
  <c r="P74" i="24"/>
  <c r="P75" i="24"/>
  <c r="P76" i="24"/>
  <c r="P77" i="24"/>
  <c r="P78" i="24"/>
  <c r="P79" i="24"/>
  <c r="P80" i="24"/>
  <c r="P81" i="24"/>
  <c r="P82" i="24"/>
  <c r="P83" i="24"/>
  <c r="P84" i="24"/>
  <c r="P85" i="24"/>
  <c r="P4" i="24"/>
  <c r="V7" i="20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" i="10"/>
  <c r="V8" i="20"/>
  <c r="V9" i="20"/>
  <c r="V10" i="20"/>
  <c r="V11" i="20"/>
  <c r="V12" i="20"/>
  <c r="V13" i="20"/>
  <c r="V14" i="20"/>
  <c r="V15" i="20"/>
  <c r="V16" i="20"/>
  <c r="V17" i="20"/>
  <c r="V18" i="20"/>
  <c r="V19" i="20"/>
  <c r="U8" i="20"/>
  <c r="U9" i="20"/>
  <c r="U10" i="20"/>
  <c r="U11" i="20"/>
  <c r="U12" i="20"/>
  <c r="U13" i="20"/>
  <c r="U14" i="20"/>
  <c r="U15" i="20"/>
  <c r="U16" i="20"/>
  <c r="U17" i="20"/>
  <c r="U18" i="20"/>
  <c r="U19" i="20"/>
  <c r="T8" i="20"/>
  <c r="T9" i="20"/>
  <c r="T10" i="20"/>
  <c r="T11" i="20"/>
  <c r="T12" i="20"/>
  <c r="T13" i="20"/>
  <c r="T14" i="20"/>
  <c r="T15" i="20"/>
  <c r="T16" i="20"/>
  <c r="T17" i="20"/>
  <c r="T18" i="20"/>
  <c r="T19" i="20"/>
  <c r="S8" i="20"/>
  <c r="S9" i="20"/>
  <c r="S10" i="20"/>
  <c r="S11" i="20"/>
  <c r="S12" i="20"/>
  <c r="S13" i="20"/>
  <c r="S14" i="20"/>
  <c r="S15" i="20"/>
  <c r="S16" i="20"/>
  <c r="S17" i="20"/>
  <c r="S18" i="20"/>
  <c r="S19" i="20"/>
  <c r="R8" i="20"/>
  <c r="R9" i="20"/>
  <c r="R10" i="20"/>
  <c r="R11" i="20"/>
  <c r="R12" i="20"/>
  <c r="R13" i="20"/>
  <c r="R14" i="20"/>
  <c r="R15" i="20"/>
  <c r="R16" i="20"/>
  <c r="R17" i="20"/>
  <c r="R18" i="20"/>
  <c r="R19" i="20"/>
  <c r="Q8" i="20"/>
  <c r="Q9" i="20"/>
  <c r="Q10" i="20"/>
  <c r="Q11" i="20"/>
  <c r="Q12" i="20"/>
  <c r="Q13" i="20"/>
  <c r="Q14" i="20"/>
  <c r="Q15" i="20"/>
  <c r="Q16" i="20"/>
  <c r="Q17" i="20"/>
  <c r="Q18" i="20"/>
  <c r="Q19" i="20"/>
  <c r="P8" i="20"/>
  <c r="P9" i="20"/>
  <c r="P10" i="20"/>
  <c r="P11" i="20"/>
  <c r="P12" i="20"/>
  <c r="P13" i="20"/>
  <c r="P14" i="20"/>
  <c r="P15" i="20"/>
  <c r="P16" i="20"/>
  <c r="P17" i="20"/>
  <c r="P18" i="20"/>
  <c r="P19" i="20"/>
  <c r="O8" i="20"/>
  <c r="O9" i="20"/>
  <c r="O10" i="20"/>
  <c r="O11" i="20"/>
  <c r="O12" i="20"/>
  <c r="O13" i="20"/>
  <c r="O14" i="20"/>
  <c r="O15" i="20"/>
  <c r="O16" i="20"/>
  <c r="O17" i="20"/>
  <c r="O18" i="20"/>
  <c r="O19" i="20"/>
  <c r="N8" i="20"/>
  <c r="N9" i="20"/>
  <c r="N10" i="20"/>
  <c r="N11" i="20"/>
  <c r="N12" i="20"/>
  <c r="N13" i="20"/>
  <c r="N14" i="20"/>
  <c r="N15" i="20"/>
  <c r="N16" i="20"/>
  <c r="N17" i="20"/>
  <c r="N18" i="20"/>
  <c r="N19" i="20"/>
  <c r="M8" i="20"/>
  <c r="M9" i="20"/>
  <c r="M10" i="20"/>
  <c r="M11" i="20"/>
  <c r="M12" i="20"/>
  <c r="M13" i="20"/>
  <c r="M14" i="20"/>
  <c r="M15" i="20"/>
  <c r="M16" i="20"/>
  <c r="M17" i="20"/>
  <c r="M18" i="20"/>
  <c r="M19" i="20"/>
  <c r="K8" i="20"/>
  <c r="K9" i="20"/>
  <c r="K10" i="20"/>
  <c r="K11" i="20"/>
  <c r="K12" i="20"/>
  <c r="K13" i="20"/>
  <c r="K14" i="20"/>
  <c r="K15" i="20"/>
  <c r="K16" i="20"/>
  <c r="K17" i="20"/>
  <c r="K18" i="20"/>
  <c r="K19" i="20"/>
  <c r="J8" i="20"/>
  <c r="J9" i="20"/>
  <c r="J10" i="20"/>
  <c r="J11" i="20"/>
  <c r="J12" i="20"/>
  <c r="J13" i="20"/>
  <c r="J14" i="20"/>
  <c r="J15" i="20"/>
  <c r="J16" i="20"/>
  <c r="J17" i="20"/>
  <c r="J18" i="20"/>
  <c r="J19" i="20"/>
  <c r="I8" i="20"/>
  <c r="I9" i="20"/>
  <c r="I10" i="20"/>
  <c r="I11" i="20"/>
  <c r="I12" i="20"/>
  <c r="I13" i="20"/>
  <c r="I14" i="20"/>
  <c r="I15" i="20"/>
  <c r="I16" i="20"/>
  <c r="I17" i="20"/>
  <c r="I18" i="20"/>
  <c r="I19" i="20"/>
  <c r="H8" i="20"/>
  <c r="H9" i="20"/>
  <c r="H10" i="20"/>
  <c r="H11" i="20"/>
  <c r="H12" i="20"/>
  <c r="H13" i="20"/>
  <c r="H14" i="20"/>
  <c r="H15" i="20"/>
  <c r="H16" i="20"/>
  <c r="H17" i="20"/>
  <c r="H18" i="20"/>
  <c r="H19" i="20"/>
  <c r="F8" i="20"/>
  <c r="F9" i="20"/>
  <c r="F10" i="20"/>
  <c r="F11" i="20"/>
  <c r="F12" i="20"/>
  <c r="F13" i="20"/>
  <c r="F14" i="20"/>
  <c r="F15" i="20"/>
  <c r="F16" i="20"/>
  <c r="F17" i="20"/>
  <c r="F18" i="20"/>
  <c r="F19" i="20"/>
  <c r="E8" i="20"/>
  <c r="E9" i="20"/>
  <c r="E10" i="20"/>
  <c r="E11" i="20"/>
  <c r="E12" i="20"/>
  <c r="E13" i="20"/>
  <c r="E14" i="20"/>
  <c r="E15" i="20"/>
  <c r="E16" i="20"/>
  <c r="E17" i="20"/>
  <c r="E18" i="20"/>
  <c r="E19" i="20"/>
  <c r="G8" i="20"/>
  <c r="G9" i="20"/>
  <c r="G10" i="20"/>
  <c r="G11" i="20"/>
  <c r="G12" i="20"/>
  <c r="G13" i="20"/>
  <c r="G14" i="20"/>
  <c r="G15" i="20"/>
  <c r="G16" i="20"/>
  <c r="G17" i="20"/>
  <c r="G18" i="20"/>
  <c r="G19" i="20"/>
  <c r="L8" i="20"/>
  <c r="L9" i="20"/>
  <c r="L10" i="20"/>
  <c r="L11" i="20"/>
  <c r="L12" i="20"/>
  <c r="L13" i="20"/>
  <c r="L14" i="20"/>
  <c r="L15" i="20"/>
  <c r="L16" i="20"/>
  <c r="L17" i="20"/>
  <c r="L18" i="20"/>
  <c r="L19" i="20"/>
  <c r="D8" i="20"/>
  <c r="D9" i="20"/>
  <c r="D10" i="20"/>
  <c r="D11" i="20"/>
  <c r="D12" i="20"/>
  <c r="D13" i="20"/>
  <c r="D14" i="20"/>
  <c r="D15" i="20"/>
  <c r="D16" i="20"/>
  <c r="D17" i="20"/>
  <c r="D18" i="20"/>
  <c r="D19" i="20"/>
  <c r="L7" i="20"/>
  <c r="G7" i="20"/>
  <c r="E7" i="20"/>
  <c r="F7" i="20"/>
  <c r="H7" i="20"/>
  <c r="I7" i="20"/>
  <c r="J7" i="20"/>
  <c r="K7" i="20"/>
  <c r="M7" i="20"/>
  <c r="N7" i="20"/>
  <c r="O7" i="20"/>
  <c r="P7" i="20"/>
  <c r="Q7" i="20"/>
  <c r="R7" i="20"/>
  <c r="S7" i="20"/>
  <c r="T7" i="20"/>
  <c r="U7" i="20"/>
  <c r="D7" i="20"/>
  <c r="C8" i="20"/>
  <c r="C9" i="20"/>
  <c r="C10" i="20"/>
  <c r="C11" i="20"/>
  <c r="C12" i="20"/>
  <c r="C13" i="20"/>
  <c r="C14" i="20"/>
  <c r="C15" i="20"/>
  <c r="C16" i="20"/>
  <c r="C17" i="20"/>
  <c r="C18" i="20"/>
  <c r="C19" i="20"/>
  <c r="C7" i="20"/>
  <c r="F15" i="1"/>
  <c r="F16" i="1"/>
  <c r="F17" i="1"/>
  <c r="F18" i="1"/>
  <c r="G17" i="1" s="1"/>
  <c r="F19" i="1"/>
  <c r="F20" i="1"/>
  <c r="F14" i="1"/>
  <c r="F13" i="1"/>
  <c r="F12" i="1"/>
  <c r="F11" i="1"/>
  <c r="F10" i="1"/>
  <c r="I20" i="1"/>
  <c r="I19" i="1"/>
  <c r="H20" i="1"/>
  <c r="M20" i="1" s="1"/>
  <c r="H19" i="1"/>
  <c r="M19" i="1" s="1"/>
  <c r="C2" i="1"/>
  <c r="E30" i="5"/>
  <c r="D30" i="5"/>
  <c r="C30" i="5" s="1"/>
  <c r="E29" i="5"/>
  <c r="D29" i="5"/>
  <c r="C29" i="5"/>
  <c r="E28" i="5"/>
  <c r="D28" i="5"/>
  <c r="C28" i="5"/>
  <c r="E27" i="5"/>
  <c r="D27" i="5"/>
  <c r="C27" i="5"/>
  <c r="E26" i="5"/>
  <c r="D26" i="5"/>
  <c r="C26" i="5"/>
  <c r="E25" i="5"/>
  <c r="D25" i="5"/>
  <c r="C25" i="5"/>
  <c r="E24" i="5"/>
  <c r="D24" i="5"/>
  <c r="C24" i="5"/>
  <c r="E23" i="5"/>
  <c r="D23" i="5"/>
  <c r="C23" i="5"/>
  <c r="E22" i="5"/>
  <c r="D22" i="5"/>
  <c r="C22" i="5"/>
  <c r="E21" i="5"/>
  <c r="D21" i="5"/>
  <c r="C21" i="5"/>
  <c r="E20" i="5"/>
  <c r="D20" i="5"/>
  <c r="C20" i="5"/>
  <c r="E19" i="5"/>
  <c r="D19" i="5"/>
  <c r="C19" i="5"/>
  <c r="E18" i="5"/>
  <c r="D18" i="5"/>
  <c r="C18" i="5"/>
  <c r="E17" i="5"/>
  <c r="D17" i="5"/>
  <c r="C17" i="5"/>
  <c r="E16" i="5"/>
  <c r="D16" i="5"/>
  <c r="C16" i="5"/>
  <c r="E15" i="5"/>
  <c r="D15" i="5"/>
  <c r="C15" i="5"/>
  <c r="E14" i="5"/>
  <c r="D14" i="5"/>
  <c r="C14" i="5"/>
  <c r="E13" i="5"/>
  <c r="D13" i="5"/>
  <c r="C13" i="5"/>
  <c r="E12" i="5"/>
  <c r="D12" i="5"/>
  <c r="C12" i="5"/>
  <c r="E11" i="5"/>
  <c r="D11" i="5"/>
  <c r="C11" i="5"/>
  <c r="E10" i="5"/>
  <c r="D10" i="5"/>
  <c r="C10" i="5"/>
  <c r="E9" i="5"/>
  <c r="D9" i="5"/>
  <c r="C9" i="5"/>
  <c r="E8" i="5"/>
  <c r="D8" i="5"/>
  <c r="C8" i="5"/>
  <c r="E7" i="5"/>
  <c r="D7" i="5"/>
  <c r="C7" i="5"/>
  <c r="E6" i="5"/>
  <c r="D6" i="5"/>
  <c r="C6" i="5"/>
  <c r="E5" i="5"/>
  <c r="D5" i="5"/>
  <c r="C5" i="5"/>
  <c r="D157" i="2"/>
  <c r="G3" i="1"/>
  <c r="C2" i="20" s="1"/>
  <c r="G4" i="1"/>
  <c r="C3" i="20" s="1"/>
  <c r="G5" i="1"/>
  <c r="C4" i="20" s="1"/>
  <c r="G6" i="1"/>
  <c r="G7" i="1"/>
  <c r="C6" i="20" s="1"/>
  <c r="G8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" i="1"/>
  <c r="V6" i="20" l="1"/>
  <c r="F6" i="20"/>
  <c r="O6" i="20"/>
  <c r="H6" i="20"/>
  <c r="I6" i="20"/>
  <c r="J6" i="20"/>
  <c r="K6" i="20"/>
  <c r="L6" i="20"/>
  <c r="U6" i="20"/>
  <c r="G6" i="20"/>
  <c r="P6" i="20"/>
  <c r="D6" i="20"/>
  <c r="S6" i="20"/>
  <c r="R6" i="20"/>
  <c r="Q6" i="20"/>
  <c r="M6" i="20"/>
  <c r="N6" i="20"/>
  <c r="T6" i="20"/>
  <c r="E6" i="20"/>
  <c r="AA14" i="25"/>
  <c r="AA15" i="28"/>
  <c r="AA15" i="27"/>
  <c r="Z15" i="25"/>
  <c r="Z16" i="28"/>
  <c r="Z16" i="27"/>
  <c r="Y15" i="25"/>
  <c r="Y16" i="27"/>
  <c r="Y16" i="28"/>
  <c r="X15" i="25"/>
  <c r="X16" i="27"/>
  <c r="X16" i="28"/>
  <c r="W15" i="25"/>
  <c r="W16" i="28"/>
  <c r="W16" i="27"/>
  <c r="V14" i="25"/>
  <c r="V15" i="27"/>
  <c r="V15" i="28"/>
  <c r="U14" i="25"/>
  <c r="U15" i="27"/>
  <c r="U15" i="28"/>
  <c r="T14" i="25"/>
  <c r="T15" i="28"/>
  <c r="T15" i="27"/>
  <c r="S15" i="25"/>
  <c r="S16" i="27"/>
  <c r="S16" i="28"/>
  <c r="R15" i="25"/>
  <c r="R16" i="28"/>
  <c r="R16" i="27"/>
  <c r="Q15" i="25"/>
  <c r="Q16" i="28"/>
  <c r="Q16" i="27"/>
  <c r="P14" i="25"/>
  <c r="P15" i="27"/>
  <c r="P15" i="28"/>
  <c r="O15" i="25"/>
  <c r="O16" i="27"/>
  <c r="O16" i="28"/>
  <c r="N15" i="25"/>
  <c r="N16" i="28"/>
  <c r="N16" i="27"/>
  <c r="M16" i="27"/>
  <c r="M15" i="25"/>
  <c r="M16" i="28"/>
  <c r="L15" i="25"/>
  <c r="L16" i="28"/>
  <c r="L16" i="27"/>
  <c r="K14" i="25"/>
  <c r="K15" i="27"/>
  <c r="K15" i="28"/>
  <c r="J14" i="25"/>
  <c r="J15" i="27"/>
  <c r="J15" i="28"/>
  <c r="I14" i="25"/>
  <c r="I15" i="28"/>
  <c r="I15" i="27"/>
  <c r="H14" i="25"/>
  <c r="H15" i="28"/>
  <c r="H15" i="27"/>
  <c r="G14" i="25"/>
  <c r="G15" i="28"/>
  <c r="E14" i="25"/>
  <c r="E15" i="28"/>
  <c r="D15" i="25"/>
  <c r="D16" i="28"/>
  <c r="C14" i="25"/>
  <c r="C15" i="28"/>
  <c r="B15" i="25"/>
  <c r="B16" i="28"/>
  <c r="G15" i="26"/>
  <c r="G16" i="27"/>
  <c r="F14" i="26"/>
  <c r="F15" i="27"/>
  <c r="D14" i="26"/>
  <c r="D15" i="27"/>
  <c r="C15" i="26"/>
  <c r="C16" i="27"/>
  <c r="B15" i="26"/>
  <c r="B16" i="27"/>
  <c r="C5" i="20"/>
  <c r="G18" i="1"/>
  <c r="I18" i="1" s="1"/>
  <c r="C10" i="1"/>
  <c r="C4" i="1"/>
  <c r="C9" i="1"/>
  <c r="G10" i="1"/>
  <c r="G9" i="1" s="1"/>
  <c r="C5" i="1"/>
  <c r="C3" i="1"/>
  <c r="C6" i="1"/>
  <c r="C13" i="1"/>
  <c r="C14" i="1"/>
  <c r="G11" i="1"/>
  <c r="G20" i="1"/>
  <c r="G15" i="1"/>
  <c r="G12" i="1"/>
  <c r="J13" i="1" s="1"/>
  <c r="G14" i="1"/>
  <c r="G13" i="1"/>
  <c r="G16" i="1"/>
  <c r="G19" i="1"/>
  <c r="C7" i="1"/>
  <c r="C11" i="1"/>
  <c r="C15" i="1"/>
  <c r="C17" i="1"/>
  <c r="C18" i="1"/>
  <c r="H18" i="1" s="1"/>
  <c r="C16" i="1"/>
  <c r="C12" i="1"/>
  <c r="C8" i="1"/>
  <c r="K20" i="1"/>
  <c r="K19" i="1"/>
  <c r="V5" i="20" l="1"/>
  <c r="V4" i="20" s="1"/>
  <c r="V3" i="20" s="1"/>
  <c r="V2" i="20" s="1"/>
  <c r="R5" i="20"/>
  <c r="R4" i="20" s="1"/>
  <c r="R3" i="20" s="1"/>
  <c r="R2" i="20" s="1"/>
  <c r="F5" i="20"/>
  <c r="F4" i="20" s="1"/>
  <c r="F3" i="20" s="1"/>
  <c r="F2" i="20" s="1"/>
  <c r="J5" i="20"/>
  <c r="J4" i="20" s="1"/>
  <c r="J3" i="20" s="1"/>
  <c r="J2" i="20" s="1"/>
  <c r="O5" i="20"/>
  <c r="O4" i="20" s="1"/>
  <c r="O3" i="20" s="1"/>
  <c r="O2" i="20" s="1"/>
  <c r="M5" i="20"/>
  <c r="M4" i="20" s="1"/>
  <c r="M3" i="20" s="1"/>
  <c r="M2" i="20" s="1"/>
  <c r="G5" i="20"/>
  <c r="G4" i="20" s="1"/>
  <c r="G3" i="20" s="1"/>
  <c r="G2" i="20" s="1"/>
  <c r="D5" i="20"/>
  <c r="D4" i="20" s="1"/>
  <c r="D3" i="20" s="1"/>
  <c r="D2" i="20" s="1"/>
  <c r="N5" i="20"/>
  <c r="N4" i="20" s="1"/>
  <c r="N3" i="20" s="1"/>
  <c r="N2" i="20" s="1"/>
  <c r="U5" i="20"/>
  <c r="U4" i="20" s="1"/>
  <c r="U3" i="20" s="1"/>
  <c r="U2" i="20" s="1"/>
  <c r="Q5" i="20"/>
  <c r="Q4" i="20" s="1"/>
  <c r="Q3" i="20" s="1"/>
  <c r="Q2" i="20" s="1"/>
  <c r="I5" i="20"/>
  <c r="I4" i="20" s="1"/>
  <c r="I3" i="20" s="1"/>
  <c r="I2" i="20" s="1"/>
  <c r="K5" i="20"/>
  <c r="K4" i="20" s="1"/>
  <c r="K3" i="20" s="1"/>
  <c r="K2" i="20" s="1"/>
  <c r="P5" i="20"/>
  <c r="P4" i="20" s="1"/>
  <c r="P3" i="20" s="1"/>
  <c r="P2" i="20" s="1"/>
  <c r="L5" i="20"/>
  <c r="L4" i="20" s="1"/>
  <c r="L3" i="20" s="1"/>
  <c r="L2" i="20" s="1"/>
  <c r="T5" i="20"/>
  <c r="T4" i="20" s="1"/>
  <c r="T3" i="20" s="1"/>
  <c r="T2" i="20" s="1"/>
  <c r="H5" i="20"/>
  <c r="H4" i="20" s="1"/>
  <c r="H3" i="20" s="1"/>
  <c r="H2" i="20" s="1"/>
  <c r="S5" i="20"/>
  <c r="S4" i="20" s="1"/>
  <c r="S3" i="20" s="1"/>
  <c r="S2" i="20" s="1"/>
  <c r="E5" i="20"/>
  <c r="E4" i="20" s="1"/>
  <c r="E3" i="20" s="1"/>
  <c r="E2" i="20" s="1"/>
  <c r="AA13" i="25"/>
  <c r="AA14" i="27"/>
  <c r="AA14" i="28"/>
  <c r="Z14" i="25"/>
  <c r="Z15" i="27"/>
  <c r="Z15" i="28"/>
  <c r="Y14" i="25"/>
  <c r="Y15" i="28"/>
  <c r="Y15" i="27"/>
  <c r="X14" i="25"/>
  <c r="X15" i="28"/>
  <c r="X15" i="27"/>
  <c r="W14" i="25"/>
  <c r="W15" i="27"/>
  <c r="W15" i="28"/>
  <c r="V13" i="25"/>
  <c r="V14" i="27"/>
  <c r="V14" i="28"/>
  <c r="U13" i="25"/>
  <c r="U14" i="28"/>
  <c r="U14" i="27"/>
  <c r="T13" i="25"/>
  <c r="T14" i="28"/>
  <c r="T14" i="27"/>
  <c r="S14" i="25"/>
  <c r="S15" i="28"/>
  <c r="S15" i="27"/>
  <c r="R14" i="25"/>
  <c r="R15" i="28"/>
  <c r="R15" i="27"/>
  <c r="Q14" i="25"/>
  <c r="Q15" i="28"/>
  <c r="Q15" i="27"/>
  <c r="P13" i="25"/>
  <c r="P14" i="27"/>
  <c r="P14" i="28"/>
  <c r="O14" i="25"/>
  <c r="O15" i="27"/>
  <c r="O15" i="28"/>
  <c r="N14" i="25"/>
  <c r="N15" i="27"/>
  <c r="N15" i="28"/>
  <c r="M14" i="25"/>
  <c r="M15" i="27"/>
  <c r="M15" i="28"/>
  <c r="L14" i="25"/>
  <c r="L15" i="28"/>
  <c r="L15" i="27"/>
  <c r="K13" i="25"/>
  <c r="K14" i="27"/>
  <c r="K14" i="28"/>
  <c r="J13" i="25"/>
  <c r="J14" i="28"/>
  <c r="J14" i="27"/>
  <c r="I13" i="25"/>
  <c r="I14" i="27"/>
  <c r="I14" i="28"/>
  <c r="H13" i="25"/>
  <c r="H14" i="28"/>
  <c r="H14" i="27"/>
  <c r="G13" i="25"/>
  <c r="G14" i="28"/>
  <c r="E13" i="25"/>
  <c r="E14" i="28"/>
  <c r="E14" i="27"/>
  <c r="D14" i="25"/>
  <c r="D15" i="28"/>
  <c r="C13" i="25"/>
  <c r="C14" i="28"/>
  <c r="B14" i="25"/>
  <c r="B15" i="28"/>
  <c r="G14" i="26"/>
  <c r="G15" i="27"/>
  <c r="F13" i="26"/>
  <c r="F14" i="27"/>
  <c r="D13" i="26"/>
  <c r="D14" i="27"/>
  <c r="C14" i="26"/>
  <c r="C15" i="27"/>
  <c r="B14" i="26"/>
  <c r="B15" i="27"/>
  <c r="F6" i="25"/>
  <c r="H17" i="1"/>
  <c r="H16" i="1" s="1"/>
  <c r="H15" i="1" s="1"/>
  <c r="H14" i="1" s="1"/>
  <c r="H13" i="1" s="1"/>
  <c r="H12" i="1" s="1"/>
  <c r="H11" i="1" s="1"/>
  <c r="H10" i="1" s="1"/>
  <c r="H9" i="1" s="1"/>
  <c r="H8" i="1" s="1"/>
  <c r="H7" i="1" s="1"/>
  <c r="H6" i="1" s="1"/>
  <c r="H5" i="1" s="1"/>
  <c r="H4" i="1" s="1"/>
  <c r="H3" i="1" s="1"/>
  <c r="J14" i="1"/>
  <c r="J15" i="1" s="1"/>
  <c r="J16" i="1" s="1"/>
  <c r="J17" i="1" s="1"/>
  <c r="J18" i="1" s="1"/>
  <c r="J19" i="1" s="1"/>
  <c r="J20" i="1" s="1"/>
  <c r="M18" i="1"/>
  <c r="I17" i="1"/>
  <c r="K18" i="1"/>
  <c r="AA12" i="25" l="1"/>
  <c r="AA13" i="27"/>
  <c r="AA13" i="28"/>
  <c r="Z13" i="25"/>
  <c r="Z14" i="28"/>
  <c r="Z14" i="27"/>
  <c r="Y13" i="25"/>
  <c r="Y14" i="28"/>
  <c r="Y14" i="27"/>
  <c r="X13" i="25"/>
  <c r="X14" i="28"/>
  <c r="X14" i="27"/>
  <c r="W13" i="25"/>
  <c r="W14" i="28"/>
  <c r="W14" i="27"/>
  <c r="V12" i="25"/>
  <c r="V13" i="27"/>
  <c r="V13" i="28"/>
  <c r="U12" i="25"/>
  <c r="U13" i="27"/>
  <c r="U13" i="28"/>
  <c r="T12" i="25"/>
  <c r="T13" i="28"/>
  <c r="T13" i="27"/>
  <c r="S13" i="25"/>
  <c r="S14" i="28"/>
  <c r="S14" i="27"/>
  <c r="R13" i="25"/>
  <c r="R14" i="28"/>
  <c r="R14" i="27"/>
  <c r="Q13" i="25"/>
  <c r="Q14" i="27"/>
  <c r="Q14" i="28"/>
  <c r="P12" i="25"/>
  <c r="P13" i="27"/>
  <c r="P13" i="28"/>
  <c r="O13" i="25"/>
  <c r="O14" i="28"/>
  <c r="O14" i="27"/>
  <c r="N13" i="25"/>
  <c r="N14" i="27"/>
  <c r="N14" i="28"/>
  <c r="M13" i="25"/>
  <c r="M14" i="27"/>
  <c r="M14" i="28"/>
  <c r="L13" i="25"/>
  <c r="L14" i="28"/>
  <c r="L14" i="27"/>
  <c r="K12" i="25"/>
  <c r="K13" i="28"/>
  <c r="K13" i="27"/>
  <c r="J12" i="25"/>
  <c r="J13" i="27"/>
  <c r="J13" i="28"/>
  <c r="I12" i="25"/>
  <c r="I13" i="27"/>
  <c r="I13" i="28"/>
  <c r="H12" i="25"/>
  <c r="H13" i="28"/>
  <c r="H13" i="27"/>
  <c r="G12" i="25"/>
  <c r="G13" i="28"/>
  <c r="F5" i="25"/>
  <c r="F6" i="28"/>
  <c r="E12" i="25"/>
  <c r="E13" i="28"/>
  <c r="E13" i="27"/>
  <c r="D13" i="25"/>
  <c r="D14" i="28"/>
  <c r="C12" i="25"/>
  <c r="C13" i="28"/>
  <c r="B13" i="25"/>
  <c r="B14" i="28"/>
  <c r="G13" i="26"/>
  <c r="G14" i="27"/>
  <c r="F12" i="26"/>
  <c r="F13" i="27"/>
  <c r="D12" i="26"/>
  <c r="D13" i="27"/>
  <c r="C13" i="26"/>
  <c r="C14" i="27"/>
  <c r="B13" i="26"/>
  <c r="B14" i="27"/>
  <c r="M17" i="1"/>
  <c r="K17" i="1"/>
  <c r="I16" i="1"/>
  <c r="AA11" i="25" l="1"/>
  <c r="AA12" i="28"/>
  <c r="AA12" i="27"/>
  <c r="Z12" i="25"/>
  <c r="Z13" i="28"/>
  <c r="Z13" i="27"/>
  <c r="Y12" i="25"/>
  <c r="Y13" i="28"/>
  <c r="Y13" i="27"/>
  <c r="X12" i="25"/>
  <c r="X13" i="28"/>
  <c r="X13" i="27"/>
  <c r="W12" i="25"/>
  <c r="W13" i="27"/>
  <c r="W13" i="28"/>
  <c r="V11" i="25"/>
  <c r="V12" i="28"/>
  <c r="V12" i="27"/>
  <c r="U11" i="25"/>
  <c r="U12" i="28"/>
  <c r="U12" i="27"/>
  <c r="T11" i="25"/>
  <c r="T12" i="27"/>
  <c r="T12" i="28"/>
  <c r="S12" i="25"/>
  <c r="S13" i="28"/>
  <c r="S13" i="27"/>
  <c r="R12" i="25"/>
  <c r="R13" i="28"/>
  <c r="R13" i="27"/>
  <c r="Q12" i="25"/>
  <c r="Q13" i="28"/>
  <c r="Q13" i="27"/>
  <c r="P11" i="25"/>
  <c r="P12" i="27"/>
  <c r="P12" i="28"/>
  <c r="O12" i="25"/>
  <c r="O13" i="27"/>
  <c r="O13" i="28"/>
  <c r="N12" i="25"/>
  <c r="N13" i="28"/>
  <c r="N13" i="27"/>
  <c r="M12" i="25"/>
  <c r="M13" i="27"/>
  <c r="M13" i="28"/>
  <c r="L12" i="25"/>
  <c r="L13" i="27"/>
  <c r="L13" i="28"/>
  <c r="K11" i="25"/>
  <c r="K12" i="28"/>
  <c r="K12" i="27"/>
  <c r="J11" i="25"/>
  <c r="J12" i="27"/>
  <c r="J12" i="28"/>
  <c r="I11" i="25"/>
  <c r="I12" i="27"/>
  <c r="I12" i="28"/>
  <c r="H11" i="25"/>
  <c r="H12" i="28"/>
  <c r="H12" i="27"/>
  <c r="G11" i="25"/>
  <c r="G12" i="28"/>
  <c r="F4" i="25"/>
  <c r="F5" i="28"/>
  <c r="E11" i="25"/>
  <c r="E12" i="28"/>
  <c r="E12" i="27"/>
  <c r="D12" i="25"/>
  <c r="D13" i="28"/>
  <c r="C11" i="25"/>
  <c r="C12" i="28"/>
  <c r="B12" i="25"/>
  <c r="B13" i="28"/>
  <c r="G12" i="26"/>
  <c r="G13" i="27"/>
  <c r="F11" i="26"/>
  <c r="F12" i="27"/>
  <c r="D11" i="26"/>
  <c r="D12" i="27"/>
  <c r="C12" i="26"/>
  <c r="C13" i="27"/>
  <c r="B12" i="26"/>
  <c r="B13" i="27"/>
  <c r="M16" i="1"/>
  <c r="K16" i="1"/>
  <c r="I15" i="1"/>
  <c r="I14" i="1" s="1"/>
  <c r="AA10" i="25" l="1"/>
  <c r="AA11" i="28"/>
  <c r="AA11" i="27"/>
  <c r="Z11" i="25"/>
  <c r="Z12" i="28"/>
  <c r="Z12" i="27"/>
  <c r="Y11" i="25"/>
  <c r="Y12" i="28"/>
  <c r="Y12" i="27"/>
  <c r="X11" i="25"/>
  <c r="X12" i="27"/>
  <c r="X12" i="28"/>
  <c r="W11" i="25"/>
  <c r="W12" i="28"/>
  <c r="W12" i="27"/>
  <c r="V10" i="25"/>
  <c r="V11" i="27"/>
  <c r="V11" i="28"/>
  <c r="U10" i="25"/>
  <c r="U11" i="28"/>
  <c r="U11" i="27"/>
  <c r="T10" i="25"/>
  <c r="T11" i="28"/>
  <c r="T11" i="27"/>
  <c r="S11" i="25"/>
  <c r="S12" i="28"/>
  <c r="S12" i="27"/>
  <c r="R11" i="25"/>
  <c r="R12" i="27"/>
  <c r="R12" i="28"/>
  <c r="Q11" i="25"/>
  <c r="Q12" i="27"/>
  <c r="Q12" i="28"/>
  <c r="P10" i="25"/>
  <c r="P11" i="28"/>
  <c r="P11" i="27"/>
  <c r="O11" i="25"/>
  <c r="O12" i="27"/>
  <c r="O12" i="28"/>
  <c r="N11" i="25"/>
  <c r="N12" i="27"/>
  <c r="N12" i="28"/>
  <c r="M11" i="25"/>
  <c r="M12" i="28"/>
  <c r="M12" i="27"/>
  <c r="L11" i="25"/>
  <c r="L12" i="27"/>
  <c r="L12" i="28"/>
  <c r="K10" i="25"/>
  <c r="K11" i="27"/>
  <c r="K11" i="28"/>
  <c r="J10" i="25"/>
  <c r="J11" i="27"/>
  <c r="J11" i="28"/>
  <c r="I10" i="25"/>
  <c r="I11" i="27"/>
  <c r="I11" i="28"/>
  <c r="H10" i="25"/>
  <c r="H11" i="28"/>
  <c r="H11" i="27"/>
  <c r="G10" i="25"/>
  <c r="G11" i="28"/>
  <c r="F3" i="25"/>
  <c r="F4" i="28"/>
  <c r="E10" i="25"/>
  <c r="E11" i="28"/>
  <c r="E11" i="27"/>
  <c r="D11" i="25"/>
  <c r="D12" i="28"/>
  <c r="C10" i="25"/>
  <c r="C11" i="28"/>
  <c r="B11" i="25"/>
  <c r="B12" i="28"/>
  <c r="G11" i="26"/>
  <c r="G12" i="27"/>
  <c r="F10" i="26"/>
  <c r="F11" i="27"/>
  <c r="D10" i="26"/>
  <c r="D11" i="27"/>
  <c r="C11" i="26"/>
  <c r="C12" i="27"/>
  <c r="B11" i="26"/>
  <c r="B12" i="27"/>
  <c r="M15" i="1"/>
  <c r="K14" i="1"/>
  <c r="K15" i="1"/>
  <c r="I13" i="1"/>
  <c r="AA9" i="25" l="1"/>
  <c r="AA10" i="27"/>
  <c r="AA10" i="28"/>
  <c r="Z10" i="25"/>
  <c r="Z11" i="27"/>
  <c r="Z11" i="28"/>
  <c r="Y10" i="25"/>
  <c r="Y11" i="27"/>
  <c r="Y11" i="28"/>
  <c r="X10" i="25"/>
  <c r="X11" i="28"/>
  <c r="X11" i="27"/>
  <c r="W10" i="25"/>
  <c r="W11" i="28"/>
  <c r="W11" i="27"/>
  <c r="V9" i="25"/>
  <c r="V10" i="28"/>
  <c r="V10" i="27"/>
  <c r="U9" i="25"/>
  <c r="U10" i="28"/>
  <c r="U10" i="27"/>
  <c r="T9" i="25"/>
  <c r="T10" i="28"/>
  <c r="T10" i="27"/>
  <c r="S10" i="25"/>
  <c r="S11" i="28"/>
  <c r="S11" i="27"/>
  <c r="R10" i="25"/>
  <c r="R11" i="28"/>
  <c r="R11" i="27"/>
  <c r="Q10" i="25"/>
  <c r="Q11" i="27"/>
  <c r="Q11" i="28"/>
  <c r="P9" i="25"/>
  <c r="P10" i="28"/>
  <c r="P10" i="27"/>
  <c r="O10" i="25"/>
  <c r="O11" i="28"/>
  <c r="O11" i="27"/>
  <c r="N10" i="25"/>
  <c r="N11" i="27"/>
  <c r="N11" i="28"/>
  <c r="M10" i="25"/>
  <c r="M11" i="27"/>
  <c r="M11" i="28"/>
  <c r="L10" i="25"/>
  <c r="L11" i="27"/>
  <c r="L11" i="28"/>
  <c r="K9" i="25"/>
  <c r="K10" i="27"/>
  <c r="K10" i="28"/>
  <c r="J9" i="25"/>
  <c r="J10" i="28"/>
  <c r="J10" i="27"/>
  <c r="I9" i="25"/>
  <c r="I10" i="27"/>
  <c r="I10" i="28"/>
  <c r="H9" i="25"/>
  <c r="H10" i="28"/>
  <c r="H10" i="27"/>
  <c r="G9" i="25"/>
  <c r="G10" i="28"/>
  <c r="F2" i="25"/>
  <c r="F2" i="28" s="1"/>
  <c r="F3" i="28"/>
  <c r="E9" i="25"/>
  <c r="E10" i="28"/>
  <c r="E10" i="27"/>
  <c r="D10" i="25"/>
  <c r="D11" i="28"/>
  <c r="C9" i="25"/>
  <c r="C10" i="28"/>
  <c r="B10" i="25"/>
  <c r="B11" i="28"/>
  <c r="G10" i="26"/>
  <c r="G11" i="27"/>
  <c r="F9" i="26"/>
  <c r="F10" i="27"/>
  <c r="D9" i="26"/>
  <c r="D10" i="27"/>
  <c r="C10" i="26"/>
  <c r="C11" i="27"/>
  <c r="B10" i="26"/>
  <c r="B11" i="27"/>
  <c r="M14" i="1"/>
  <c r="K13" i="1"/>
  <c r="I12" i="1"/>
  <c r="AA8" i="25" l="1"/>
  <c r="AA9" i="27"/>
  <c r="AA9" i="28"/>
  <c r="Z9" i="25"/>
  <c r="Z10" i="28"/>
  <c r="Z10" i="27"/>
  <c r="Y9" i="25"/>
  <c r="Y10" i="28"/>
  <c r="Y10" i="27"/>
  <c r="X9" i="25"/>
  <c r="X10" i="28"/>
  <c r="X10" i="27"/>
  <c r="W9" i="25"/>
  <c r="W10" i="27"/>
  <c r="W10" i="28"/>
  <c r="V8" i="25"/>
  <c r="V9" i="28"/>
  <c r="V9" i="27"/>
  <c r="U8" i="25"/>
  <c r="U9" i="28"/>
  <c r="U9" i="27"/>
  <c r="T8" i="25"/>
  <c r="T9" i="27"/>
  <c r="T9" i="28"/>
  <c r="S9" i="25"/>
  <c r="S10" i="27"/>
  <c r="S10" i="28"/>
  <c r="R9" i="25"/>
  <c r="R10" i="27"/>
  <c r="R10" i="28"/>
  <c r="Q9" i="25"/>
  <c r="Q10" i="27"/>
  <c r="Q10" i="28"/>
  <c r="P8" i="25"/>
  <c r="P9" i="28"/>
  <c r="P9" i="27"/>
  <c r="O9" i="25"/>
  <c r="O10" i="28"/>
  <c r="O10" i="27"/>
  <c r="N9" i="25"/>
  <c r="N10" i="28"/>
  <c r="N10" i="27"/>
  <c r="M9" i="25"/>
  <c r="M10" i="28"/>
  <c r="M10" i="27"/>
  <c r="L9" i="25"/>
  <c r="L10" i="27"/>
  <c r="L10" i="28"/>
  <c r="K8" i="25"/>
  <c r="K9" i="28"/>
  <c r="K9" i="27"/>
  <c r="J8" i="25"/>
  <c r="J9" i="28"/>
  <c r="J9" i="27"/>
  <c r="I8" i="25"/>
  <c r="I9" i="28"/>
  <c r="I9" i="27"/>
  <c r="H8" i="25"/>
  <c r="H9" i="27"/>
  <c r="H9" i="28"/>
  <c r="G8" i="25"/>
  <c r="G9" i="28"/>
  <c r="E8" i="25"/>
  <c r="E9" i="28"/>
  <c r="E9" i="27"/>
  <c r="D9" i="25"/>
  <c r="D10" i="28"/>
  <c r="C8" i="25"/>
  <c r="C9" i="28"/>
  <c r="B9" i="25"/>
  <c r="B10" i="28"/>
  <c r="G9" i="26"/>
  <c r="G10" i="27"/>
  <c r="F8" i="26"/>
  <c r="F9" i="27"/>
  <c r="D8" i="26"/>
  <c r="D9" i="27"/>
  <c r="C9" i="26"/>
  <c r="C10" i="27"/>
  <c r="B9" i="26"/>
  <c r="B10" i="27"/>
  <c r="M13" i="1"/>
  <c r="K12" i="1"/>
  <c r="I11" i="1"/>
  <c r="AA7" i="25" l="1"/>
  <c r="AA8" i="28"/>
  <c r="AA8" i="27"/>
  <c r="Z8" i="25"/>
  <c r="Z9" i="28"/>
  <c r="Z9" i="27"/>
  <c r="Y8" i="25"/>
  <c r="Y9" i="27"/>
  <c r="Y9" i="28"/>
  <c r="X8" i="25"/>
  <c r="X9" i="27"/>
  <c r="X9" i="28"/>
  <c r="W8" i="25"/>
  <c r="W9" i="28"/>
  <c r="W9" i="27"/>
  <c r="V7" i="25"/>
  <c r="V8" i="28"/>
  <c r="V8" i="27"/>
  <c r="U7" i="25"/>
  <c r="U8" i="28"/>
  <c r="U8" i="27"/>
  <c r="T7" i="25"/>
  <c r="T8" i="27"/>
  <c r="T8" i="28"/>
  <c r="S8" i="25"/>
  <c r="S9" i="27"/>
  <c r="S9" i="28"/>
  <c r="R8" i="25"/>
  <c r="R9" i="27"/>
  <c r="R9" i="28"/>
  <c r="Q8" i="25"/>
  <c r="Q9" i="27"/>
  <c r="Q9" i="28"/>
  <c r="P7" i="25"/>
  <c r="P8" i="27"/>
  <c r="P8" i="28"/>
  <c r="O8" i="25"/>
  <c r="O9" i="28"/>
  <c r="O9" i="27"/>
  <c r="N8" i="25"/>
  <c r="N9" i="28"/>
  <c r="N9" i="27"/>
  <c r="M8" i="25"/>
  <c r="M9" i="27"/>
  <c r="M9" i="28"/>
  <c r="L8" i="25"/>
  <c r="L9" i="27"/>
  <c r="L9" i="28"/>
  <c r="K7" i="25"/>
  <c r="K8" i="27"/>
  <c r="K8" i="28"/>
  <c r="J7" i="25"/>
  <c r="J8" i="28"/>
  <c r="J8" i="27"/>
  <c r="I7" i="25"/>
  <c r="I8" i="28"/>
  <c r="I8" i="27"/>
  <c r="H7" i="25"/>
  <c r="H8" i="27"/>
  <c r="H8" i="28"/>
  <c r="G7" i="25"/>
  <c r="G8" i="28"/>
  <c r="E7" i="25"/>
  <c r="E8" i="28"/>
  <c r="E8" i="27"/>
  <c r="D8" i="25"/>
  <c r="D9" i="28"/>
  <c r="C7" i="25"/>
  <c r="C8" i="28"/>
  <c r="B8" i="25"/>
  <c r="B9" i="28"/>
  <c r="G8" i="26"/>
  <c r="G9" i="27"/>
  <c r="F7" i="26"/>
  <c r="F8" i="27"/>
  <c r="D7" i="26"/>
  <c r="D8" i="27"/>
  <c r="C8" i="26"/>
  <c r="C9" i="27"/>
  <c r="B8" i="26"/>
  <c r="B9" i="27"/>
  <c r="M12" i="1"/>
  <c r="K11" i="1"/>
  <c r="I10" i="1"/>
  <c r="AA7" i="27" l="1"/>
  <c r="AA7" i="28"/>
  <c r="AA6" i="25"/>
  <c r="Z7" i="25"/>
  <c r="Z8" i="28"/>
  <c r="Z8" i="27"/>
  <c r="Y7" i="25"/>
  <c r="Y8" i="28"/>
  <c r="Y8" i="27"/>
  <c r="X7" i="25"/>
  <c r="X8" i="28"/>
  <c r="X8" i="27"/>
  <c r="W7" i="25"/>
  <c r="W8" i="28"/>
  <c r="W8" i="27"/>
  <c r="V7" i="27"/>
  <c r="V7" i="28"/>
  <c r="V6" i="25"/>
  <c r="U7" i="27"/>
  <c r="U7" i="28"/>
  <c r="U6" i="25"/>
  <c r="T7" i="28"/>
  <c r="T7" i="27"/>
  <c r="T6" i="25"/>
  <c r="S7" i="25"/>
  <c r="S8" i="28"/>
  <c r="S8" i="27"/>
  <c r="R7" i="25"/>
  <c r="R8" i="27"/>
  <c r="R8" i="28"/>
  <c r="Q7" i="25"/>
  <c r="Q8" i="28"/>
  <c r="Q8" i="27"/>
  <c r="P7" i="28"/>
  <c r="P7" i="27"/>
  <c r="P6" i="25"/>
  <c r="O7" i="25"/>
  <c r="O8" i="28"/>
  <c r="O8" i="27"/>
  <c r="N7" i="25"/>
  <c r="N8" i="27"/>
  <c r="N8" i="28"/>
  <c r="M7" i="25"/>
  <c r="M8" i="27"/>
  <c r="M8" i="28"/>
  <c r="L7" i="25"/>
  <c r="L8" i="28"/>
  <c r="L8" i="27"/>
  <c r="K7" i="27"/>
  <c r="K7" i="28"/>
  <c r="K6" i="25"/>
  <c r="J7" i="27"/>
  <c r="J7" i="28"/>
  <c r="J6" i="25"/>
  <c r="I7" i="28"/>
  <c r="I7" i="27"/>
  <c r="I6" i="25"/>
  <c r="H7" i="28"/>
  <c r="H7" i="27"/>
  <c r="H6" i="25"/>
  <c r="G7" i="28"/>
  <c r="G6" i="25"/>
  <c r="E7" i="28"/>
  <c r="E7" i="27"/>
  <c r="E6" i="25"/>
  <c r="D7" i="25"/>
  <c r="D8" i="28"/>
  <c r="C7" i="28"/>
  <c r="C6" i="25"/>
  <c r="B7" i="25"/>
  <c r="B8" i="28"/>
  <c r="G7" i="26"/>
  <c r="G8" i="27"/>
  <c r="F6" i="26"/>
  <c r="F7" i="27"/>
  <c r="D6" i="26"/>
  <c r="D7" i="27"/>
  <c r="C7" i="26"/>
  <c r="C8" i="27"/>
  <c r="B7" i="26"/>
  <c r="B8" i="27"/>
  <c r="M11" i="1"/>
  <c r="K10" i="1"/>
  <c r="I9" i="1"/>
  <c r="AA5" i="25" l="1"/>
  <c r="AA6" i="27"/>
  <c r="AA6" i="28"/>
  <c r="Z7" i="27"/>
  <c r="Z7" i="28"/>
  <c r="Z6" i="25"/>
  <c r="Y7" i="28"/>
  <c r="Y7" i="27"/>
  <c r="Y6" i="25"/>
  <c r="X7" i="28"/>
  <c r="X7" i="27"/>
  <c r="X6" i="25"/>
  <c r="W7" i="28"/>
  <c r="W7" i="27"/>
  <c r="W6" i="25"/>
  <c r="V5" i="25"/>
  <c r="V6" i="27"/>
  <c r="V6" i="28"/>
  <c r="U5" i="25"/>
  <c r="U6" i="27"/>
  <c r="U6" i="28"/>
  <c r="T6" i="27"/>
  <c r="T6" i="28"/>
  <c r="T5" i="25"/>
  <c r="S7" i="28"/>
  <c r="S7" i="27"/>
  <c r="S6" i="25"/>
  <c r="R7" i="28"/>
  <c r="R7" i="27"/>
  <c r="R6" i="25"/>
  <c r="Q7" i="27"/>
  <c r="Q7" i="28"/>
  <c r="Q6" i="25"/>
  <c r="P6" i="27"/>
  <c r="P6" i="28"/>
  <c r="P5" i="25"/>
  <c r="O7" i="27"/>
  <c r="O7" i="28"/>
  <c r="O6" i="25"/>
  <c r="N7" i="27"/>
  <c r="N7" i="28"/>
  <c r="N6" i="25"/>
  <c r="M7" i="27"/>
  <c r="M7" i="28"/>
  <c r="M6" i="25"/>
  <c r="L7" i="28"/>
  <c r="L7" i="27"/>
  <c r="L6" i="25"/>
  <c r="K6" i="27"/>
  <c r="K6" i="28"/>
  <c r="K5" i="25"/>
  <c r="J6" i="28"/>
  <c r="J6" i="27"/>
  <c r="J5" i="25"/>
  <c r="I6" i="27"/>
  <c r="I6" i="28"/>
  <c r="I5" i="25"/>
  <c r="H6" i="28"/>
  <c r="H6" i="27"/>
  <c r="H5" i="25"/>
  <c r="G5" i="25"/>
  <c r="G6" i="28"/>
  <c r="E6" i="28"/>
  <c r="E6" i="27"/>
  <c r="E5" i="25"/>
  <c r="D7" i="28"/>
  <c r="D6" i="25"/>
  <c r="D6" i="27" s="1"/>
  <c r="C6" i="28"/>
  <c r="C5" i="25"/>
  <c r="B7" i="28"/>
  <c r="B6" i="25"/>
  <c r="G6" i="26"/>
  <c r="G7" i="27"/>
  <c r="F5" i="26"/>
  <c r="F6" i="27"/>
  <c r="D5" i="26"/>
  <c r="C6" i="26"/>
  <c r="C7" i="27"/>
  <c r="B6" i="26"/>
  <c r="B7" i="27"/>
  <c r="M10" i="1"/>
  <c r="K9" i="1"/>
  <c r="I8" i="1"/>
  <c r="AA4" i="25" l="1"/>
  <c r="AA5" i="27"/>
  <c r="AA5" i="28"/>
  <c r="Z6" i="28"/>
  <c r="Z6" i="27"/>
  <c r="Z5" i="25"/>
  <c r="Y6" i="28"/>
  <c r="Y6" i="27"/>
  <c r="Y5" i="25"/>
  <c r="X6" i="28"/>
  <c r="X6" i="27"/>
  <c r="X5" i="25"/>
  <c r="W5" i="25"/>
  <c r="W6" i="28"/>
  <c r="W6" i="27"/>
  <c r="V4" i="25"/>
  <c r="V5" i="28"/>
  <c r="V5" i="27"/>
  <c r="U4" i="25"/>
  <c r="U5" i="28"/>
  <c r="U5" i="27"/>
  <c r="T4" i="25"/>
  <c r="T5" i="28"/>
  <c r="T5" i="27"/>
  <c r="S6" i="27"/>
  <c r="S6" i="28"/>
  <c r="S5" i="25"/>
  <c r="R6" i="28"/>
  <c r="R6" i="27"/>
  <c r="R5" i="25"/>
  <c r="Q6" i="27"/>
  <c r="Q6" i="28"/>
  <c r="Q5" i="25"/>
  <c r="P4" i="25"/>
  <c r="P5" i="27"/>
  <c r="P5" i="28"/>
  <c r="O6" i="28"/>
  <c r="O6" i="27"/>
  <c r="O5" i="25"/>
  <c r="N6" i="27"/>
  <c r="N6" i="28"/>
  <c r="N5" i="25"/>
  <c r="M6" i="28"/>
  <c r="M6" i="27"/>
  <c r="M5" i="25"/>
  <c r="L5" i="25"/>
  <c r="L6" i="28"/>
  <c r="L6" i="27"/>
  <c r="K4" i="25"/>
  <c r="K5" i="28"/>
  <c r="K5" i="27"/>
  <c r="J4" i="25"/>
  <c r="J5" i="28"/>
  <c r="J5" i="27"/>
  <c r="I4" i="25"/>
  <c r="I5" i="27"/>
  <c r="I5" i="28"/>
  <c r="H4" i="25"/>
  <c r="H5" i="28"/>
  <c r="H5" i="27"/>
  <c r="G4" i="25"/>
  <c r="G5" i="28"/>
  <c r="E4" i="25"/>
  <c r="E5" i="28"/>
  <c r="E5" i="27"/>
  <c r="D6" i="28"/>
  <c r="D5" i="25"/>
  <c r="D5" i="27" s="1"/>
  <c r="C4" i="25"/>
  <c r="C5" i="28"/>
  <c r="B6" i="28"/>
  <c r="B5" i="25"/>
  <c r="G5" i="26"/>
  <c r="G6" i="27"/>
  <c r="F4" i="26"/>
  <c r="F5" i="27"/>
  <c r="D4" i="26"/>
  <c r="C5" i="26"/>
  <c r="C6" i="27"/>
  <c r="B5" i="26"/>
  <c r="B6" i="27"/>
  <c r="M9" i="1"/>
  <c r="K8" i="1"/>
  <c r="I7" i="1"/>
  <c r="AA3" i="25" l="1"/>
  <c r="AA4" i="28"/>
  <c r="AA4" i="27"/>
  <c r="Z4" i="25"/>
  <c r="Z5" i="28"/>
  <c r="Z5" i="27"/>
  <c r="Y4" i="25"/>
  <c r="Y5" i="27"/>
  <c r="Y5" i="28"/>
  <c r="X4" i="25"/>
  <c r="X5" i="28"/>
  <c r="X5" i="27"/>
  <c r="W4" i="25"/>
  <c r="W5" i="27"/>
  <c r="W5" i="28"/>
  <c r="V3" i="25"/>
  <c r="V4" i="28"/>
  <c r="V4" i="27"/>
  <c r="U3" i="25"/>
  <c r="U4" i="27"/>
  <c r="U4" i="28"/>
  <c r="T3" i="25"/>
  <c r="T4" i="28"/>
  <c r="T4" i="27"/>
  <c r="S4" i="25"/>
  <c r="S5" i="28"/>
  <c r="S5" i="27"/>
  <c r="R4" i="25"/>
  <c r="R5" i="28"/>
  <c r="R5" i="27"/>
  <c r="Q4" i="25"/>
  <c r="Q5" i="28"/>
  <c r="Q5" i="27"/>
  <c r="P3" i="25"/>
  <c r="P4" i="27"/>
  <c r="P4" i="28"/>
  <c r="O4" i="25"/>
  <c r="O5" i="28"/>
  <c r="O5" i="27"/>
  <c r="N4" i="25"/>
  <c r="N5" i="28"/>
  <c r="N5" i="27"/>
  <c r="M4" i="25"/>
  <c r="M5" i="28"/>
  <c r="M5" i="27"/>
  <c r="L4" i="25"/>
  <c r="L5" i="27"/>
  <c r="L5" i="28"/>
  <c r="K3" i="25"/>
  <c r="K4" i="28"/>
  <c r="K4" i="27"/>
  <c r="J3" i="25"/>
  <c r="J4" i="27"/>
  <c r="J4" i="28"/>
  <c r="I3" i="25"/>
  <c r="I4" i="27"/>
  <c r="I4" i="28"/>
  <c r="H3" i="25"/>
  <c r="H4" i="28"/>
  <c r="H4" i="27"/>
  <c r="G3" i="25"/>
  <c r="G4" i="28"/>
  <c r="E3" i="25"/>
  <c r="E4" i="28"/>
  <c r="E4" i="27"/>
  <c r="D4" i="25"/>
  <c r="D4" i="27" s="1"/>
  <c r="D5" i="28"/>
  <c r="C3" i="25"/>
  <c r="C4" i="28"/>
  <c r="B4" i="25"/>
  <c r="B5" i="28"/>
  <c r="G4" i="26"/>
  <c r="G5" i="27"/>
  <c r="F3" i="26"/>
  <c r="F4" i="27"/>
  <c r="D3" i="26"/>
  <c r="C4" i="26"/>
  <c r="C5" i="27"/>
  <c r="B4" i="26"/>
  <c r="B5" i="27"/>
  <c r="M8" i="1"/>
  <c r="K7" i="1"/>
  <c r="I6" i="1"/>
  <c r="AA2" i="25" l="1"/>
  <c r="AA3" i="28"/>
  <c r="AA3" i="27"/>
  <c r="Z3" i="25"/>
  <c r="Z4" i="28"/>
  <c r="Z4" i="27"/>
  <c r="Y3" i="25"/>
  <c r="Y4" i="28"/>
  <c r="Y4" i="27"/>
  <c r="X3" i="25"/>
  <c r="X4" i="27"/>
  <c r="X4" i="28"/>
  <c r="W3" i="25"/>
  <c r="W4" i="27"/>
  <c r="W4" i="28"/>
  <c r="V2" i="25"/>
  <c r="V3" i="27"/>
  <c r="V3" i="28"/>
  <c r="U2" i="25"/>
  <c r="U3" i="28"/>
  <c r="U3" i="27"/>
  <c r="T2" i="25"/>
  <c r="T3" i="27"/>
  <c r="T3" i="28"/>
  <c r="S3" i="25"/>
  <c r="S4" i="28"/>
  <c r="S4" i="27"/>
  <c r="R3" i="25"/>
  <c r="R4" i="27"/>
  <c r="R4" i="28"/>
  <c r="Q3" i="25"/>
  <c r="Q4" i="27"/>
  <c r="Q4" i="28"/>
  <c r="P2" i="25"/>
  <c r="P3" i="28"/>
  <c r="P3" i="27"/>
  <c r="O3" i="25"/>
  <c r="O4" i="27"/>
  <c r="O4" i="28"/>
  <c r="N3" i="25"/>
  <c r="N4" i="28"/>
  <c r="N4" i="27"/>
  <c r="M3" i="25"/>
  <c r="M4" i="28"/>
  <c r="M4" i="27"/>
  <c r="L3" i="25"/>
  <c r="L4" i="27"/>
  <c r="L4" i="28"/>
  <c r="K2" i="25"/>
  <c r="K3" i="27"/>
  <c r="K3" i="28"/>
  <c r="J2" i="25"/>
  <c r="J3" i="28"/>
  <c r="J3" i="27"/>
  <c r="I2" i="25"/>
  <c r="I3" i="28"/>
  <c r="I3" i="27"/>
  <c r="H2" i="25"/>
  <c r="H3" i="28"/>
  <c r="H3" i="27"/>
  <c r="G2" i="25"/>
  <c r="G2" i="28" s="1"/>
  <c r="G3" i="28"/>
  <c r="E2" i="25"/>
  <c r="E3" i="28"/>
  <c r="E3" i="27"/>
  <c r="D3" i="25"/>
  <c r="D3" i="27" s="1"/>
  <c r="D4" i="28"/>
  <c r="C2" i="25"/>
  <c r="C2" i="28" s="1"/>
  <c r="C3" i="28"/>
  <c r="B3" i="25"/>
  <c r="B4" i="28"/>
  <c r="G3" i="26"/>
  <c r="G4" i="27"/>
  <c r="F2" i="26"/>
  <c r="F2" i="27" s="1"/>
  <c r="F3" i="27"/>
  <c r="D2" i="26"/>
  <c r="C3" i="26"/>
  <c r="C4" i="27"/>
  <c r="B3" i="26"/>
  <c r="B4" i="27"/>
  <c r="M7" i="1"/>
  <c r="K6" i="1"/>
  <c r="I5" i="1"/>
  <c r="AA2" i="28" l="1"/>
  <c r="AA2" i="27"/>
  <c r="Z2" i="25"/>
  <c r="Z3" i="27"/>
  <c r="Z3" i="28"/>
  <c r="Y2" i="25"/>
  <c r="Y3" i="27"/>
  <c r="Y3" i="28"/>
  <c r="X2" i="25"/>
  <c r="X3" i="28"/>
  <c r="X3" i="27"/>
  <c r="W2" i="25"/>
  <c r="W3" i="28"/>
  <c r="W3" i="27"/>
  <c r="V2" i="28"/>
  <c r="V2" i="27"/>
  <c r="U2" i="27"/>
  <c r="U2" i="28"/>
  <c r="T2" i="27"/>
  <c r="T2" i="28"/>
  <c r="S2" i="25"/>
  <c r="S3" i="28"/>
  <c r="S3" i="27"/>
  <c r="R2" i="25"/>
  <c r="R3" i="28"/>
  <c r="R3" i="27"/>
  <c r="Q2" i="25"/>
  <c r="Q3" i="27"/>
  <c r="Q3" i="28"/>
  <c r="P2" i="27"/>
  <c r="P2" i="28"/>
  <c r="O2" i="25"/>
  <c r="O3" i="28"/>
  <c r="O3" i="27"/>
  <c r="N2" i="25"/>
  <c r="N3" i="27"/>
  <c r="N3" i="28"/>
  <c r="M2" i="25"/>
  <c r="M3" i="28"/>
  <c r="M3" i="27"/>
  <c r="L2" i="25"/>
  <c r="L3" i="27"/>
  <c r="L3" i="28"/>
  <c r="K2" i="27"/>
  <c r="K2" i="28"/>
  <c r="J2" i="27"/>
  <c r="J2" i="28"/>
  <c r="I2" i="27"/>
  <c r="I2" i="28"/>
  <c r="H2" i="27"/>
  <c r="H2" i="28"/>
  <c r="E2" i="28"/>
  <c r="E2" i="27"/>
  <c r="D2" i="25"/>
  <c r="D2" i="28" s="1"/>
  <c r="D3" i="28"/>
  <c r="B2" i="25"/>
  <c r="B2" i="28" s="1"/>
  <c r="B3" i="28"/>
  <c r="G2" i="26"/>
  <c r="G2" i="27" s="1"/>
  <c r="G3" i="27"/>
  <c r="C2" i="26"/>
  <c r="C2" i="27" s="1"/>
  <c r="C3" i="27"/>
  <c r="B2" i="26"/>
  <c r="B3" i="27"/>
  <c r="M6" i="1"/>
  <c r="K5" i="1"/>
  <c r="I4" i="1"/>
  <c r="B2" i="27" l="1"/>
  <c r="Z2" i="28"/>
  <c r="Z2" i="27"/>
  <c r="Y2" i="28"/>
  <c r="Y2" i="27"/>
  <c r="X2" i="28"/>
  <c r="X2" i="27"/>
  <c r="W2" i="27"/>
  <c r="W2" i="28"/>
  <c r="S2" i="27"/>
  <c r="S2" i="28"/>
  <c r="R2" i="27"/>
  <c r="R2" i="28"/>
  <c r="Q2" i="27"/>
  <c r="Q2" i="28"/>
  <c r="O2" i="27"/>
  <c r="O2" i="28"/>
  <c r="N2" i="27"/>
  <c r="N2" i="28"/>
  <c r="M2" i="27"/>
  <c r="M2" i="28"/>
  <c r="L2" i="28"/>
  <c r="L2" i="27"/>
  <c r="D2" i="27"/>
  <c r="M5" i="1"/>
  <c r="K4" i="1"/>
  <c r="I3" i="1"/>
  <c r="K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Enes Isik</author>
  </authors>
  <commentList>
    <comment ref="E366" authorId="0" shapeId="0" xr:uid="{A6D60E18-CA35-C144-B4D0-5C7F4D93AE67}">
      <text>
        <r>
          <rPr>
            <b/>
            <sz val="10"/>
            <color rgb="FF000000"/>
            <rFont val="Tahoma"/>
            <family val="2"/>
          </rPr>
          <t>Enes Isik:</t>
        </r>
        <r>
          <rPr>
            <sz val="10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<sst xmlns="http://schemas.openxmlformats.org/spreadsheetml/2006/main" count="7749" uniqueCount="1076">
  <si>
    <t>year</t>
  </si>
  <si>
    <t>cpi_2003_100</t>
  </si>
  <si>
    <t>house_price_index_2023100</t>
  </si>
  <si>
    <t>sahibinden_kondeger_turkiye</t>
  </si>
  <si>
    <t>sahibinden_rental_turkiye</t>
  </si>
  <si>
    <t>house_price_growth</t>
  </si>
  <si>
    <t>inflation</t>
  </si>
  <si>
    <t>cpi_rent</t>
  </si>
  <si>
    <t>cpi_rent_growth</t>
  </si>
  <si>
    <t>hba_rental_val_original</t>
  </si>
  <si>
    <t>price_to_rent_sahibinden2</t>
  </si>
  <si>
    <t>silc_mean_imputed_rent</t>
  </si>
  <si>
    <t>imprent_upgrade_factor</t>
  </si>
  <si>
    <t>imprent_correction</t>
  </si>
  <si>
    <t>province</t>
  </si>
  <si>
    <t>house_value</t>
  </si>
  <si>
    <t>month</t>
  </si>
  <si>
    <t>istanbul</t>
  </si>
  <si>
    <t>ankara</t>
  </si>
  <si>
    <t>izmir</t>
  </si>
  <si>
    <t>adana</t>
  </si>
  <si>
    <t>adıyaman</t>
  </si>
  <si>
    <t>afyonkarahisar</t>
  </si>
  <si>
    <t>ağrı</t>
  </si>
  <si>
    <t>aksaray</t>
  </si>
  <si>
    <t>amasya</t>
  </si>
  <si>
    <t>antalya</t>
  </si>
  <si>
    <t>artvin</t>
  </si>
  <si>
    <t>aydın</t>
  </si>
  <si>
    <t>balıkesir</t>
  </si>
  <si>
    <t>bartın</t>
  </si>
  <si>
    <t>batman</t>
  </si>
  <si>
    <t>bayburt</t>
  </si>
  <si>
    <t>bilecik</t>
  </si>
  <si>
    <t>bingöl</t>
  </si>
  <si>
    <t>bitlis</t>
  </si>
  <si>
    <t>bolu</t>
  </si>
  <si>
    <t>burdur</t>
  </si>
  <si>
    <t>bursa</t>
  </si>
  <si>
    <t>çanakkale</t>
  </si>
  <si>
    <t>çankırı</t>
  </si>
  <si>
    <t>çorum</t>
  </si>
  <si>
    <t>denizli</t>
  </si>
  <si>
    <t>diyarbakır</t>
  </si>
  <si>
    <t>düzce</t>
  </si>
  <si>
    <t>edirne</t>
  </si>
  <si>
    <t>elazığ</t>
  </si>
  <si>
    <t>erzincan</t>
  </si>
  <si>
    <t>erzurum</t>
  </si>
  <si>
    <t>eskişehir</t>
  </si>
  <si>
    <t>gaziantep</t>
  </si>
  <si>
    <t>giresun</t>
  </si>
  <si>
    <t>gümüşhane</t>
  </si>
  <si>
    <t>hatay</t>
  </si>
  <si>
    <t>ığdır</t>
  </si>
  <si>
    <t>ısparta</t>
  </si>
  <si>
    <t>kmaraş</t>
  </si>
  <si>
    <t>karabük</t>
  </si>
  <si>
    <t>karaman</t>
  </si>
  <si>
    <t>kars</t>
  </si>
  <si>
    <t>kastamonu</t>
  </si>
  <si>
    <t>kayseri</t>
  </si>
  <si>
    <t>kırıkkale</t>
  </si>
  <si>
    <t>kırklareli</t>
  </si>
  <si>
    <t>kırşehir</t>
  </si>
  <si>
    <t>kilis</t>
  </si>
  <si>
    <t>kocaeli</t>
  </si>
  <si>
    <t>konya</t>
  </si>
  <si>
    <t>kütahya</t>
  </si>
  <si>
    <t>malatya</t>
  </si>
  <si>
    <t>manisa</t>
  </si>
  <si>
    <t>mardin</t>
  </si>
  <si>
    <t>mersin</t>
  </si>
  <si>
    <t>muğla</t>
  </si>
  <si>
    <t>muş</t>
  </si>
  <si>
    <t>nevşehir</t>
  </si>
  <si>
    <t>niğde</t>
  </si>
  <si>
    <t>ordu</t>
  </si>
  <si>
    <t>osmaniye</t>
  </si>
  <si>
    <t>rize</t>
  </si>
  <si>
    <t>sakarya</t>
  </si>
  <si>
    <t>samsun</t>
  </si>
  <si>
    <t>siirt</t>
  </si>
  <si>
    <t>sinop</t>
  </si>
  <si>
    <t>sivas</t>
  </si>
  <si>
    <t>şanlıurfa</t>
  </si>
  <si>
    <t>tekirdağ</t>
  </si>
  <si>
    <t>tokat</t>
  </si>
  <si>
    <t>trabzon</t>
  </si>
  <si>
    <t>uşak</t>
  </si>
  <si>
    <t>van</t>
  </si>
  <si>
    <t>yalova</t>
  </si>
  <si>
    <t>yozgat</t>
  </si>
  <si>
    <t>zonguldak</t>
  </si>
  <si>
    <t>ibbs_1</t>
  </si>
  <si>
    <t>TR1</t>
  </si>
  <si>
    <t>TR2</t>
  </si>
  <si>
    <t>TR3</t>
  </si>
  <si>
    <t>TR4</t>
  </si>
  <si>
    <t>TR5</t>
  </si>
  <si>
    <t>TR6</t>
  </si>
  <si>
    <t>TR7</t>
  </si>
  <si>
    <t>TR8</t>
  </si>
  <si>
    <t>TR9</t>
  </si>
  <si>
    <t>TR10</t>
  </si>
  <si>
    <t>TR21</t>
  </si>
  <si>
    <t>TR22</t>
  </si>
  <si>
    <t>TR31</t>
  </si>
  <si>
    <t>TR32</t>
  </si>
  <si>
    <t>TR33</t>
  </si>
  <si>
    <t>ibbs_2</t>
  </si>
  <si>
    <t>TR41</t>
  </si>
  <si>
    <t>TR42</t>
  </si>
  <si>
    <t>TR51</t>
  </si>
  <si>
    <t>TR52</t>
  </si>
  <si>
    <t>TR61</t>
  </si>
  <si>
    <t>TR62</t>
  </si>
  <si>
    <t>TR63</t>
  </si>
  <si>
    <t>TR71</t>
  </si>
  <si>
    <t>TR72</t>
  </si>
  <si>
    <t>TR81</t>
  </si>
  <si>
    <t>TR82</t>
  </si>
  <si>
    <t>TR83</t>
  </si>
  <si>
    <t>TR90</t>
  </si>
  <si>
    <t>TRC</t>
  </si>
  <si>
    <t>TRC1</t>
  </si>
  <si>
    <t>TRC2</t>
  </si>
  <si>
    <t>TRC3</t>
  </si>
  <si>
    <t>TRA</t>
  </si>
  <si>
    <t>TRA2</t>
  </si>
  <si>
    <t>TRA1</t>
  </si>
  <si>
    <t>TRB</t>
  </si>
  <si>
    <t>TRB1</t>
  </si>
  <si>
    <t>TRB2</t>
  </si>
  <si>
    <t>Tüketim harcamalarına ilişkin bölgesel fiyat düzeyi endeksleri. 2008-2023</t>
  </si>
  <si>
    <t>Regional price level indices for consumption expenditures. 2008-2023</t>
  </si>
  <si>
    <r>
      <t xml:space="preserve">İstatistiki Bölge Birimleri Sınıflaması (2. Düzey)
</t>
    </r>
    <r>
      <rPr>
        <sz val="9"/>
        <rFont val="Arial"/>
        <family val="2"/>
        <charset val="162"/>
      </rPr>
      <t>Statistical Regions (Level 2)</t>
    </r>
  </si>
  <si>
    <r>
      <t>2009</t>
    </r>
    <r>
      <rPr>
        <vertAlign val="superscript"/>
        <sz val="10"/>
        <rFont val="Arial"/>
        <family val="2"/>
        <charset val="162"/>
      </rPr>
      <t>(1)</t>
    </r>
  </si>
  <si>
    <r>
      <t>2010</t>
    </r>
    <r>
      <rPr>
        <vertAlign val="superscript"/>
        <sz val="10"/>
        <rFont val="Arial"/>
        <family val="2"/>
        <charset val="162"/>
      </rPr>
      <t>(1)</t>
    </r>
  </si>
  <si>
    <r>
      <t>2011</t>
    </r>
    <r>
      <rPr>
        <vertAlign val="superscript"/>
        <sz val="10"/>
        <rFont val="Arial"/>
        <family val="2"/>
        <charset val="162"/>
      </rPr>
      <t>(1)</t>
    </r>
  </si>
  <si>
    <r>
      <t>2013</t>
    </r>
    <r>
      <rPr>
        <vertAlign val="superscript"/>
        <sz val="10"/>
        <rFont val="Arial"/>
        <family val="2"/>
        <charset val="162"/>
      </rPr>
      <t>(2)</t>
    </r>
  </si>
  <si>
    <r>
      <t>2014</t>
    </r>
    <r>
      <rPr>
        <vertAlign val="superscript"/>
        <sz val="10"/>
        <rFont val="Arial"/>
        <family val="2"/>
        <charset val="162"/>
      </rPr>
      <t>(2)</t>
    </r>
  </si>
  <si>
    <r>
      <t>2015</t>
    </r>
    <r>
      <rPr>
        <vertAlign val="superscript"/>
        <sz val="10"/>
        <rFont val="Arial"/>
        <family val="2"/>
        <charset val="162"/>
      </rPr>
      <t>(2)</t>
    </r>
  </si>
  <si>
    <r>
      <t>2016</t>
    </r>
    <r>
      <rPr>
        <vertAlign val="superscript"/>
        <sz val="10"/>
        <rFont val="Arial"/>
        <family val="2"/>
        <charset val="162"/>
      </rPr>
      <t>(2)</t>
    </r>
  </si>
  <si>
    <r>
      <t>2018</t>
    </r>
    <r>
      <rPr>
        <vertAlign val="superscript"/>
        <sz val="10"/>
        <rFont val="Arial"/>
        <family val="2"/>
        <charset val="162"/>
      </rPr>
      <t>(3)</t>
    </r>
  </si>
  <si>
    <r>
      <t>2019</t>
    </r>
    <r>
      <rPr>
        <vertAlign val="superscript"/>
        <sz val="10"/>
        <rFont val="Arial"/>
        <family val="2"/>
        <charset val="162"/>
      </rPr>
      <t>(3)</t>
    </r>
  </si>
  <si>
    <r>
      <t>2020</t>
    </r>
    <r>
      <rPr>
        <vertAlign val="superscript"/>
        <sz val="10"/>
        <rFont val="Arial"/>
        <family val="2"/>
        <charset val="162"/>
      </rPr>
      <t>(3)</t>
    </r>
  </si>
  <si>
    <r>
      <t>2021</t>
    </r>
    <r>
      <rPr>
        <vertAlign val="superscript"/>
        <sz val="10"/>
        <rFont val="Arial"/>
        <family val="2"/>
        <charset val="162"/>
      </rPr>
      <t>(3)</t>
    </r>
  </si>
  <si>
    <r>
      <t>2022</t>
    </r>
    <r>
      <rPr>
        <vertAlign val="superscript"/>
        <sz val="10"/>
        <rFont val="Arial"/>
        <family val="2"/>
        <charset val="162"/>
      </rPr>
      <t>(3)</t>
    </r>
  </si>
  <si>
    <r>
      <t>2023</t>
    </r>
    <r>
      <rPr>
        <vertAlign val="superscript"/>
        <sz val="10"/>
        <rFont val="Arial"/>
        <family val="2"/>
        <charset val="162"/>
      </rPr>
      <t>(3)</t>
    </r>
  </si>
  <si>
    <t>TR Türkiye</t>
  </si>
  <si>
    <t>TR10 (İstanbul)</t>
  </si>
  <si>
    <t>TR21 (Tekirdağ, Edirne, Kırklareli)</t>
  </si>
  <si>
    <t>TR22 (Balıkesir, Çanakkale)</t>
  </si>
  <si>
    <t>TR31 (İzmir)</t>
  </si>
  <si>
    <t>TR32 (Aydın, Denizli, Muğla)</t>
  </si>
  <si>
    <t>TR33 (Manisa, Afyon, Kütahya, Uşak)</t>
  </si>
  <si>
    <t>TR41 (Bursa, Eskişehir, Bilecik)</t>
  </si>
  <si>
    <t>TR42 (Kocaeli, Sakarya, Düzce, Bolu, Yalova)</t>
  </si>
  <si>
    <t>TR51 (Ankara)</t>
  </si>
  <si>
    <t>TR52 (Konya, Karaman)</t>
  </si>
  <si>
    <t>TR61 (Antalya, Isparta, Burdur)</t>
  </si>
  <si>
    <t>TR62 (Adana, Mersin)</t>
  </si>
  <si>
    <t>TR63 (Hatay, K.Maraş, Osmaniye)</t>
  </si>
  <si>
    <t>TR71 (Kırıkkale, Aksaray, Niğde, Nevşehir, Kırşehir)</t>
  </si>
  <si>
    <t>TR72 (Kayseri, Sivas, Yozgat)</t>
  </si>
  <si>
    <t>TR81 (Zonguldak, Karabük, Bartın)</t>
  </si>
  <si>
    <t>TR82 (Kastamonu, Çankırı, Sinop)</t>
  </si>
  <si>
    <t>TR83 (Samsun, Tokat, Çorum, Amasya)</t>
  </si>
  <si>
    <t>TR90 (Trabzon, Ordu, Giresun, Rize, Artvin, Gümüşhane)</t>
  </si>
  <si>
    <t>TRA1 (Erzurum, Erzincan, Bayburt)</t>
  </si>
  <si>
    <t>TRA2 (Ağrı, Kars, Iğdır, Ardahan)</t>
  </si>
  <si>
    <t>TRB1 (Malatya, Elazığ, Bingöl, Tunceli)</t>
  </si>
  <si>
    <t>TRB2 (Van, Muş, Bitlis, Hakkari)</t>
  </si>
  <si>
    <t>TRC1 (Gaziantep, Adıyaman, Kilis)</t>
  </si>
  <si>
    <t>TRC2 (Şanlıurfa, Diyarbakır)</t>
  </si>
  <si>
    <t>TRC3 (Mardin, Batman, Şırnak, Siirt)</t>
  </si>
  <si>
    <t>TÜİK, Bölgesel Satınalma Gücü Paritesi, 2017</t>
  </si>
  <si>
    <t>TurkStat, Regional Purchasing Power Parity, 2017</t>
  </si>
  <si>
    <t>* İlgili yıl sonuçları (2009,2010 ve 2011); 2008 yılı alan çalışması fiyatlarının ilgili madde çeşidine karşılık gelen Tüketici Fiyatları Endeksi kullanılarak ileriye çekilmesiyle hesaplanmıştır.</t>
  </si>
  <si>
    <t>* Results of 2009, 2010 and 2011 calculated by using 2008 field survey prices updated forecast with Consumer Prices Index for related items.</t>
  </si>
  <si>
    <t>** İlgili yıl sonuçları (2013, 2014, 2015 ve 2016); 2012 yılı alan çalışması fiyatlarının ilgili madde çeşidine karşılık gelen Tüketici Fiyatları Endeksi kullanılarak ileriye çekilmesiyle hesaplanmıştır.</t>
  </si>
  <si>
    <t>** Results of 2013, 2014, 2015 and 2016 calculated by using 2012 field survey prices updated forecast with Consumer Prices Index for related items.</t>
  </si>
  <si>
    <t>*** İlgili yıl sonuçları (2018,2019,2020,2021,2022 ve 2023); 2017 yılı alan çalışması fiyatlarının ilgili madde çeşidine karşılık gelen Tüketici Fiyatları Endeksi kullanılarak ileriye çekilmesiyle hesaplanmıştır.</t>
  </si>
  <si>
    <t>*** Results of 2018, 2019, 2020, 2021, 2022 and 2023 calculated by using 2017 field survey prices updated forecast with Consumer Prices Index for related items.</t>
  </si>
  <si>
    <t>Tüketici fiyat endeksi (2003=100) ana grup ve alt ana gruplara göre endeks rakamları, 2005-2025</t>
  </si>
  <si>
    <t>Consumer price index (2003=100) according to main and sub-main groups, 2005-2025</t>
  </si>
  <si>
    <t>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</si>
  <si>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</si>
  <si>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</si>
  <si>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</si>
  <si>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</si>
  <si>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</si>
  <si>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</si>
  <si>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</si>
  <si>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</si>
  <si>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</si>
  <si>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</si>
  <si>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</si>
  <si>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</si>
  <si>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011</t>
  </si>
  <si>
    <t>012</t>
  </si>
  <si>
    <t>021</t>
  </si>
  <si>
    <t>022</t>
  </si>
  <si>
    <t>031</t>
  </si>
  <si>
    <t>032</t>
  </si>
  <si>
    <t>041</t>
  </si>
  <si>
    <t>043</t>
  </si>
  <si>
    <t>044</t>
  </si>
  <si>
    <t>045</t>
  </si>
  <si>
    <t>051</t>
  </si>
  <si>
    <t>052</t>
  </si>
  <si>
    <t>053</t>
  </si>
  <si>
    <t>054</t>
  </si>
  <si>
    <t>055</t>
  </si>
  <si>
    <t>056</t>
  </si>
  <si>
    <t>061</t>
  </si>
  <si>
    <t>062</t>
  </si>
  <si>
    <t>063</t>
  </si>
  <si>
    <t>071</t>
  </si>
  <si>
    <t>072</t>
  </si>
  <si>
    <t>073</t>
  </si>
  <si>
    <t>081</t>
  </si>
  <si>
    <t>082</t>
  </si>
  <si>
    <t>083</t>
  </si>
  <si>
    <t>091</t>
  </si>
  <si>
    <t>092</t>
  </si>
  <si>
    <t>093</t>
  </si>
  <si>
    <t>094</t>
  </si>
  <si>
    <t>095</t>
  </si>
  <si>
    <t>096</t>
  </si>
  <si>
    <t>101</t>
  </si>
  <si>
    <t>102</t>
  </si>
  <si>
    <t>104</t>
  </si>
  <si>
    <t>105</t>
  </si>
  <si>
    <t>111</t>
  </si>
  <si>
    <t>112</t>
  </si>
  <si>
    <t>121</t>
  </si>
  <si>
    <t>123</t>
  </si>
  <si>
    <t>124</t>
  </si>
  <si>
    <t>125</t>
  </si>
  <si>
    <t>126</t>
  </si>
  <si>
    <t>127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</si>
  <si>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</si>
  <si>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</si>
  <si>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</si>
  <si>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</si>
  <si>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</si>
  <si>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</si>
  <si>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</si>
  <si>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</si>
  <si>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</si>
  <si>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0121</t>
  </si>
  <si>
    <t>0122</t>
  </si>
  <si>
    <t>0211</t>
  </si>
  <si>
    <t>0212</t>
  </si>
  <si>
    <t>0213</t>
  </si>
  <si>
    <t>0220</t>
  </si>
  <si>
    <t>0312</t>
  </si>
  <si>
    <t>0313</t>
  </si>
  <si>
    <t>0314</t>
  </si>
  <si>
    <t>0321</t>
  </si>
  <si>
    <t>0322</t>
  </si>
  <si>
    <t>0411</t>
  </si>
  <si>
    <t>0431</t>
  </si>
  <si>
    <t>0441</t>
  </si>
  <si>
    <t>0451</t>
  </si>
  <si>
    <t>0452</t>
  </si>
  <si>
    <t>0454</t>
  </si>
  <si>
    <t>0511</t>
  </si>
  <si>
    <t>0512</t>
  </si>
  <si>
    <t>0520</t>
  </si>
  <si>
    <t>0531</t>
  </si>
  <si>
    <t>0532</t>
  </si>
  <si>
    <t>0533</t>
  </si>
  <si>
    <t>0540</t>
  </si>
  <si>
    <t>0552</t>
  </si>
  <si>
    <t>0561</t>
  </si>
  <si>
    <t>0562</t>
  </si>
  <si>
    <t>0611</t>
  </si>
  <si>
    <t>0612</t>
  </si>
  <si>
    <t>0613</t>
  </si>
  <si>
    <t>0621</t>
  </si>
  <si>
    <t>0622</t>
  </si>
  <si>
    <t>0623</t>
  </si>
  <si>
    <t>0630</t>
  </si>
  <si>
    <t>0711</t>
  </si>
  <si>
    <t>0712</t>
  </si>
  <si>
    <t>0713</t>
  </si>
  <si>
    <t>0721</t>
  </si>
  <si>
    <t>0722</t>
  </si>
  <si>
    <t>0723</t>
  </si>
  <si>
    <t>0724</t>
  </si>
  <si>
    <t>0731</t>
  </si>
  <si>
    <t>0732</t>
  </si>
  <si>
    <t>0733</t>
  </si>
  <si>
    <t>0734</t>
  </si>
  <si>
    <t>0736</t>
  </si>
  <si>
    <t>0810</t>
  </si>
  <si>
    <t>0820</t>
  </si>
  <si>
    <t>0830</t>
  </si>
  <si>
    <t>0911</t>
  </si>
  <si>
    <t>0913</t>
  </si>
  <si>
    <t>0915</t>
  </si>
  <si>
    <t>0922</t>
  </si>
  <si>
    <t>0931</t>
  </si>
  <si>
    <t>0932</t>
  </si>
  <si>
    <t>0934</t>
  </si>
  <si>
    <t>0935</t>
  </si>
  <si>
    <t>0941</t>
  </si>
  <si>
    <t>0942</t>
  </si>
  <si>
    <t>0943</t>
  </si>
  <si>
    <t>0951</t>
  </si>
  <si>
    <t>0952</t>
  </si>
  <si>
    <t>0954</t>
  </si>
  <si>
    <t>0960</t>
  </si>
  <si>
    <t>1010</t>
  </si>
  <si>
    <t>1020</t>
  </si>
  <si>
    <t>1040</t>
  </si>
  <si>
    <t>1050</t>
  </si>
  <si>
    <t>1110</t>
  </si>
  <si>
    <t>1120</t>
  </si>
  <si>
    <t>1211</t>
  </si>
  <si>
    <t>1212</t>
  </si>
  <si>
    <t>1213</t>
  </si>
  <si>
    <t>1231</t>
  </si>
  <si>
    <t>1232</t>
  </si>
  <si>
    <t>1240</t>
  </si>
  <si>
    <t>1252</t>
  </si>
  <si>
    <t>1253</t>
  </si>
  <si>
    <t>1254</t>
  </si>
  <si>
    <t>1262</t>
  </si>
  <si>
    <t>1270</t>
  </si>
  <si>
    <t>01111</t>
  </si>
  <si>
    <t>01112</t>
  </si>
  <si>
    <t>01113</t>
  </si>
  <si>
    <t>01114</t>
  </si>
  <si>
    <t>01115</t>
  </si>
  <si>
    <t>01116</t>
  </si>
  <si>
    <t>01122</t>
  </si>
  <si>
    <t>01124</t>
  </si>
  <si>
    <t>01125</t>
  </si>
  <si>
    <t>01126</t>
  </si>
  <si>
    <t>01127</t>
  </si>
  <si>
    <t>01131</t>
  </si>
  <si>
    <t>01133</t>
  </si>
  <si>
    <t>01141</t>
  </si>
  <si>
    <t>01143</t>
  </si>
  <si>
    <t>01144</t>
  </si>
  <si>
    <t>01145</t>
  </si>
  <si>
    <t>01151</t>
  </si>
  <si>
    <t>01152</t>
  </si>
  <si>
    <t>01153</t>
  </si>
  <si>
    <t>01161</t>
  </si>
  <si>
    <t>01162</t>
  </si>
  <si>
    <t>01171</t>
  </si>
  <si>
    <t>01172</t>
  </si>
  <si>
    <t>01174</t>
  </si>
  <si>
    <t>01175</t>
  </si>
  <si>
    <t>01181</t>
  </si>
  <si>
    <t>01182</t>
  </si>
  <si>
    <t>01183</t>
  </si>
  <si>
    <t>01184</t>
  </si>
  <si>
    <t>01190</t>
  </si>
  <si>
    <t>01211</t>
  </si>
  <si>
    <t>01212</t>
  </si>
  <si>
    <t>01213</t>
  </si>
  <si>
    <t>01221</t>
  </si>
  <si>
    <t>01222</t>
  </si>
  <si>
    <t>01223</t>
  </si>
  <si>
    <t>02110</t>
  </si>
  <si>
    <t>02121</t>
  </si>
  <si>
    <t>02130</t>
  </si>
  <si>
    <t>02201</t>
  </si>
  <si>
    <t>03121</t>
  </si>
  <si>
    <t>03122</t>
  </si>
  <si>
    <t>03123</t>
  </si>
  <si>
    <t>03124</t>
  </si>
  <si>
    <t>03130</t>
  </si>
  <si>
    <t>03140</t>
  </si>
  <si>
    <t>03211</t>
  </si>
  <si>
    <t>03212</t>
  </si>
  <si>
    <t>03213</t>
  </si>
  <si>
    <t>03220</t>
  </si>
  <si>
    <t>04111</t>
  </si>
  <si>
    <t>04310</t>
  </si>
  <si>
    <t>04410</t>
  </si>
  <si>
    <t>04510</t>
  </si>
  <si>
    <t>04521</t>
  </si>
  <si>
    <t>04522</t>
  </si>
  <si>
    <t>04540</t>
  </si>
  <si>
    <t>05111</t>
  </si>
  <si>
    <t>05112</t>
  </si>
  <si>
    <t>05113</t>
  </si>
  <si>
    <t>05120</t>
  </si>
  <si>
    <t>05200</t>
  </si>
  <si>
    <t>05311</t>
  </si>
  <si>
    <t>05312</t>
  </si>
  <si>
    <t>05313</t>
  </si>
  <si>
    <t>05314</t>
  </si>
  <si>
    <t>05315</t>
  </si>
  <si>
    <t>05320</t>
  </si>
  <si>
    <t>05330</t>
  </si>
  <si>
    <t>05401</t>
  </si>
  <si>
    <t>05402</t>
  </si>
  <si>
    <t>05403</t>
  </si>
  <si>
    <t>05521</t>
  </si>
  <si>
    <t>05522</t>
  </si>
  <si>
    <t>05611</t>
  </si>
  <si>
    <t>05612</t>
  </si>
  <si>
    <t>05621</t>
  </si>
  <si>
    <t>05622</t>
  </si>
  <si>
    <t>06110</t>
  </si>
  <si>
    <t>06120</t>
  </si>
  <si>
    <t>06131</t>
  </si>
  <si>
    <t>06132</t>
  </si>
  <si>
    <t>06212</t>
  </si>
  <si>
    <t>06220</t>
  </si>
  <si>
    <t>06231</t>
  </si>
  <si>
    <t>06300</t>
  </si>
  <si>
    <t>07111</t>
  </si>
  <si>
    <t>07113</t>
  </si>
  <si>
    <t>07120</t>
  </si>
  <si>
    <t>07130</t>
  </si>
  <si>
    <t>07210</t>
  </si>
  <si>
    <t>07220</t>
  </si>
  <si>
    <t>07230</t>
  </si>
  <si>
    <t>07240</t>
  </si>
  <si>
    <t>07311</t>
  </si>
  <si>
    <t>07312</t>
  </si>
  <si>
    <t>07321</t>
  </si>
  <si>
    <t>07322</t>
  </si>
  <si>
    <t>07323</t>
  </si>
  <si>
    <t>07330</t>
  </si>
  <si>
    <t>07340</t>
  </si>
  <si>
    <t>07360</t>
  </si>
  <si>
    <t>08100</t>
  </si>
  <si>
    <t>08200</t>
  </si>
  <si>
    <t>08300</t>
  </si>
  <si>
    <t>09111</t>
  </si>
  <si>
    <t>09130</t>
  </si>
  <si>
    <t>09150</t>
  </si>
  <si>
    <t>09220</t>
  </si>
  <si>
    <t>09310</t>
  </si>
  <si>
    <t>09320</t>
  </si>
  <si>
    <t>09340</t>
  </si>
  <si>
    <t>09350</t>
  </si>
  <si>
    <t>09410</t>
  </si>
  <si>
    <t>09421</t>
  </si>
  <si>
    <t>09422</t>
  </si>
  <si>
    <t>09430</t>
  </si>
  <si>
    <t>09510</t>
  </si>
  <si>
    <t>09520</t>
  </si>
  <si>
    <t>09540</t>
  </si>
  <si>
    <t>09600</t>
  </si>
  <si>
    <t>10100</t>
  </si>
  <si>
    <t>10200</t>
  </si>
  <si>
    <t>10400</t>
  </si>
  <si>
    <t>10500</t>
  </si>
  <si>
    <t>11101</t>
  </si>
  <si>
    <t>11102</t>
  </si>
  <si>
    <t>11201</t>
  </si>
  <si>
    <t>11202</t>
  </si>
  <si>
    <t>12111</t>
  </si>
  <si>
    <t>12112</t>
  </si>
  <si>
    <t>12120</t>
  </si>
  <si>
    <t>12130</t>
  </si>
  <si>
    <t>12310</t>
  </si>
  <si>
    <t>12321</t>
  </si>
  <si>
    <t>12322</t>
  </si>
  <si>
    <t>12400</t>
  </si>
  <si>
    <t>12520</t>
  </si>
  <si>
    <t>12530</t>
  </si>
  <si>
    <t>12540</t>
  </si>
  <si>
    <t>12620</t>
  </si>
  <si>
    <t>12700</t>
  </si>
  <si>
    <t>Yıl</t>
  </si>
  <si>
    <t>Ay</t>
  </si>
  <si>
    <t>Genel</t>
  </si>
  <si>
    <t>Gıda ve alkolsüz içecekler</t>
  </si>
  <si>
    <t>Alkollü içecekler ve tütün</t>
  </si>
  <si>
    <t>Giyim ve ayakkabı</t>
  </si>
  <si>
    <t>Konut, su, elektrik, gaz ve diğer yakıtlar</t>
  </si>
  <si>
    <t>Mobilya, ev aletleri ve ev bakım hizmetleri</t>
  </si>
  <si>
    <t>Sağlık</t>
  </si>
  <si>
    <t>Ulaştırma</t>
  </si>
  <si>
    <t>Haberleşme</t>
  </si>
  <si>
    <t>Eğlence ve kültür</t>
  </si>
  <si>
    <t>Eğitim</t>
  </si>
  <si>
    <t>Lokanta ve oteller</t>
  </si>
  <si>
    <t>Çeşitli mal ve hizmetler</t>
  </si>
  <si>
    <t>Gıda</t>
  </si>
  <si>
    <t>Alkolsüz içecekler</t>
  </si>
  <si>
    <t>Alkollü içecekler</t>
  </si>
  <si>
    <t>Tütün</t>
  </si>
  <si>
    <t>Giyim</t>
  </si>
  <si>
    <t>Ayakkabı</t>
  </si>
  <si>
    <t>Gerçek kira</t>
  </si>
  <si>
    <t>Konutun bakım ve onarımı</t>
  </si>
  <si>
    <t>Su (Şebeke suyu) ve konutla ilgili çeşitli hizmetler</t>
  </si>
  <si>
    <t>Elektrik, gaz ve diğer yakıtlar</t>
  </si>
  <si>
    <t>Mobilya, mefruşat, halı ve diğer yer döşemeleri</t>
  </si>
  <si>
    <t>Ev içi tekstil</t>
  </si>
  <si>
    <t>Ev aletleri</t>
  </si>
  <si>
    <t>Züccaciye, yemek takımı ve hanehalkı aletleri</t>
  </si>
  <si>
    <t>Ev ve bahçe araç gereçleri</t>
  </si>
  <si>
    <t>Ev bakım için mal ve hizmetler</t>
  </si>
  <si>
    <t>Tıbbi ürünler, aletler ve malzemeler</t>
  </si>
  <si>
    <t>Ayakta tedavi hizmetleri</t>
  </si>
  <si>
    <t>Yataklı tedavi hizmetleri</t>
  </si>
  <si>
    <t>Araç satın alımı</t>
  </si>
  <si>
    <t>Kişisel ulaştırma araçlarının işletimi</t>
  </si>
  <si>
    <t>Ulaştırma hizmetleri</t>
  </si>
  <si>
    <t>Posta hizmetleri</t>
  </si>
  <si>
    <t>Telefon ve telefaks ekipmanı</t>
  </si>
  <si>
    <t>Telefon ve telefaks hizmetleri</t>
  </si>
  <si>
    <t>Görsel-işitsel sistemle (audıo-vısual), fotoğrafla ve veri işlemle ile ilgili ekipman</t>
  </si>
  <si>
    <t>Diğer temel dayanıklı eğlence ve kültür araçları</t>
  </si>
  <si>
    <t>Diğer eğlence araçları ve malzemeleri, bahçe ve evcil hayvanlara ilişkin ürünler, hizmetler</t>
  </si>
  <si>
    <t>Eğlence ve kültür hizmetleri</t>
  </si>
  <si>
    <t>Gazete, kitap ve kırtasiye</t>
  </si>
  <si>
    <t>Paket turlar</t>
  </si>
  <si>
    <t>Okul öncesi eğitim ve ilköğretim</t>
  </si>
  <si>
    <t>Orta öğretim</t>
  </si>
  <si>
    <t>Üniversite eğitimi</t>
  </si>
  <si>
    <t>Düzeyi belirlenemeyen eğitim programları</t>
  </si>
  <si>
    <t>Yemek hizmetleri</t>
  </si>
  <si>
    <t>Konaklama hizmetleri</t>
  </si>
  <si>
    <t>Kişisel bakım</t>
  </si>
  <si>
    <t>Başka yerde sınıflandırılamayan kişisel bakım ürünleri</t>
  </si>
  <si>
    <t>Sosyal hizmetler</t>
  </si>
  <si>
    <t>Sigorta</t>
  </si>
  <si>
    <t>Başka yerde sınıflandırılmayan mali hizmetler</t>
  </si>
  <si>
    <t>Başka yerde sınıflandırılmayan diğer hizmetler</t>
  </si>
  <si>
    <t>Ekmek ve tahıllar</t>
  </si>
  <si>
    <t>Et</t>
  </si>
  <si>
    <t>Balık</t>
  </si>
  <si>
    <t>Süt, peynir ve yumurta</t>
  </si>
  <si>
    <t>Katı ve sıvı yağlar</t>
  </si>
  <si>
    <t>Meyveler</t>
  </si>
  <si>
    <t>Sebze</t>
  </si>
  <si>
    <t>Şeker, reçel, bal, çikolata ve şekerlemeler</t>
  </si>
  <si>
    <t>Başka yerde sınıflandırılamayan diğer gıda ürünleri</t>
  </si>
  <si>
    <t>Kahve, çay ve kakao</t>
  </si>
  <si>
    <t>Maden suyu, alkolsüz içecekler, meyve ve sebze suları</t>
  </si>
  <si>
    <t>İçkiler</t>
  </si>
  <si>
    <t>Şarap</t>
  </si>
  <si>
    <t>Bira</t>
  </si>
  <si>
    <t>Giysiler</t>
  </si>
  <si>
    <t>Diğer giysi çeşitleri ve giysi aksesuarları</t>
  </si>
  <si>
    <t>Kuru temizleme, giysi onarımı, dikişi ve kiralanması</t>
  </si>
  <si>
    <t>Ayakkabı ve diğer ayak giyecekleri</t>
  </si>
  <si>
    <t>Ayakkabı onarımı ve kiralanması</t>
  </si>
  <si>
    <t>Kiracı tarafından ödenen gerçek kira</t>
  </si>
  <si>
    <t>Konutun bakım ve onarımı için malzemeler</t>
  </si>
  <si>
    <t>Su (şebeke suyu)</t>
  </si>
  <si>
    <t>Elektrik</t>
  </si>
  <si>
    <t>Gaz</t>
  </si>
  <si>
    <t>Katı yakıtlar</t>
  </si>
  <si>
    <t>Mobilya ve mefruşat</t>
  </si>
  <si>
    <t>Halı ve diğer yer döşemeleri</t>
  </si>
  <si>
    <t>Elektrikli ve elektriksiz büyük ev aletleri</t>
  </si>
  <si>
    <t>Elektrikli küçük ev aletleri</t>
  </si>
  <si>
    <t>Ev aletlerinin onarımı</t>
  </si>
  <si>
    <t>Küçük araçlar ve çeşitli aksesuarlar</t>
  </si>
  <si>
    <t>Dayanıksız ev malzemeleri</t>
  </si>
  <si>
    <t>Ev işi ve hanehalkı hizmetleri</t>
  </si>
  <si>
    <t>İlaçlar</t>
  </si>
  <si>
    <t>Diğer sağlık ürünleri</t>
  </si>
  <si>
    <t>Tedavi edici aletler ve malzemeler</t>
  </si>
  <si>
    <t>Tıbbi hizmetler</t>
  </si>
  <si>
    <t>Dişçilik ücreti</t>
  </si>
  <si>
    <t>Diğer tıbbi hizmetler</t>
  </si>
  <si>
    <t>Temel hastahane hizmetleri</t>
  </si>
  <si>
    <t>Motorlu araçlar</t>
  </si>
  <si>
    <t>Motosikletler</t>
  </si>
  <si>
    <t>Bisikletler</t>
  </si>
  <si>
    <t>Kişisel ulaştırma araçlarının yedek parça ve aksesuarları</t>
  </si>
  <si>
    <t>Kişisel ulaştırma araçlarının yakıt ve yağları</t>
  </si>
  <si>
    <t>Kişisel ulaştırma araçlarının bakım ve onarımı</t>
  </si>
  <si>
    <t>Kişisel ulaştırma araçları ile ilgili diğer hizmetler</t>
  </si>
  <si>
    <t>Demiryolu ile yolcu taşımacılığı</t>
  </si>
  <si>
    <t>Karayolu ile yolcu taşımacılığı</t>
  </si>
  <si>
    <t>Havayolu ile yolcu taşımacılığı</t>
  </si>
  <si>
    <t>Deniz ve yurtiçi su yolu ile yolcu taşımacılığı</t>
  </si>
  <si>
    <t>Diğer satınalınan ulaştırma hizmetleri</t>
  </si>
  <si>
    <t>Ses alma, kayıt, ses ve resim kopyalama ile ilgili ekipman</t>
  </si>
  <si>
    <t>Veri işlem ekipmanı</t>
  </si>
  <si>
    <t>Görsel ve işitsel fotoğraf ve veri işleme ile ilgili araçların onarımı</t>
  </si>
  <si>
    <t>Müzik enstrümanları ve kapalı yerlerde kullanılan temel eğlence araçları</t>
  </si>
  <si>
    <t>Oyunlar, oyuncaklar ve hobiler</t>
  </si>
  <si>
    <t>Spor, kamp ve açık hava eğlence malzemeleri</t>
  </si>
  <si>
    <t>Evcil hayvanlar ve bununla ilgili diğer ürünler</t>
  </si>
  <si>
    <t>Evcil hayvanlarla ilgili veterinerlik ve diğer hizmetler</t>
  </si>
  <si>
    <t>Eğlence ve spor hizmetleri</t>
  </si>
  <si>
    <t>Kültür hizmetleri</t>
  </si>
  <si>
    <t>Şans oyunları</t>
  </si>
  <si>
    <t>Kitaplar</t>
  </si>
  <si>
    <t>Gazete ve dergiler</t>
  </si>
  <si>
    <t>Kırtasiye ve çizim malzemeleri</t>
  </si>
  <si>
    <t>Yiyecek ve içecek hizmetleri</t>
  </si>
  <si>
    <t>Kuaförler ve kişisel bakım merkezleri</t>
  </si>
  <si>
    <t>Kişisel bakımda kullanılan elektrikli aletler</t>
  </si>
  <si>
    <t>Kişisel bakımda kullanılan diğer aletler, ürünler ve eşyalar</t>
  </si>
  <si>
    <t>Mücevherler, saat ve kol saatleri</t>
  </si>
  <si>
    <t>Diğer kişisel aksesuarlar</t>
  </si>
  <si>
    <t>Konut sigortası</t>
  </si>
  <si>
    <t>Sağlık sigortası</t>
  </si>
  <si>
    <t>Ulaştırma sigortası</t>
  </si>
  <si>
    <t>Başka yerde sınıflandırılmayan diğer mali hizmetler</t>
  </si>
  <si>
    <t>Pirinç</t>
  </si>
  <si>
    <t>Un ve diğer tahıllar</t>
  </si>
  <si>
    <t>Ekmek</t>
  </si>
  <si>
    <t>Diğer fırıncılık ürünleri (bisküvi, kek, kraker, yufka, baklava vb.)</t>
  </si>
  <si>
    <t>Makarna çeşitleri</t>
  </si>
  <si>
    <t>Kahvaltılık tahıl ürünleri</t>
  </si>
  <si>
    <t>Dana eti</t>
  </si>
  <si>
    <t>Kuzu eti</t>
  </si>
  <si>
    <t>Tavuk eti</t>
  </si>
  <si>
    <t>Diğer etler ve yenilebilir sakatatlar</t>
  </si>
  <si>
    <t>Şarküteri ürünleri (sucuk, sosis, salam vb.)</t>
  </si>
  <si>
    <t>Taze balık</t>
  </si>
  <si>
    <t>Konserve edilmiş veya işlenmiş balık</t>
  </si>
  <si>
    <t>Süt</t>
  </si>
  <si>
    <t>Diğer süt ürünleri (yoğurt, hazır sütlü tatlı vb.)</t>
  </si>
  <si>
    <t>Peynir</t>
  </si>
  <si>
    <t>Yumurta</t>
  </si>
  <si>
    <t>Tereyağı</t>
  </si>
  <si>
    <t>Margarin</t>
  </si>
  <si>
    <t>Sıvı yağlar (zeytinyağı, ayçiçek yağı)</t>
  </si>
  <si>
    <t>Taze meyveler</t>
  </si>
  <si>
    <t>Kuru meyve ve sert kabuklu yemişler</t>
  </si>
  <si>
    <t>Taze sebzeler (patates hariç)</t>
  </si>
  <si>
    <t>Patates</t>
  </si>
  <si>
    <t>Kuru baklagiller</t>
  </si>
  <si>
    <t>Konserve edilmiş veya işlenmiş sebze içerikli ürünler (salça, turşu, zeytin vb. dahil)</t>
  </si>
  <si>
    <t>Şeker</t>
  </si>
  <si>
    <t>Reçel, marmelat, bal vb. ürünler</t>
  </si>
  <si>
    <t>Çikolata ve şekerlemeler</t>
  </si>
  <si>
    <t>Dondurma</t>
  </si>
  <si>
    <t>Başka yerde sınıflandırılamayan diğer gıda ürünleri (tuz, sirke, ketçap, mayonez vb.)</t>
  </si>
  <si>
    <t>Kahve</t>
  </si>
  <si>
    <t>Çay ve bitki çayları</t>
  </si>
  <si>
    <t>Toz kakao</t>
  </si>
  <si>
    <t>Su ve maden suyu</t>
  </si>
  <si>
    <t>Alkolsüz içecekler (meşrubat, ayran vb.)</t>
  </si>
  <si>
    <t>Meyve ve sebze suları</t>
  </si>
  <si>
    <t>Alkollü içecekler (rakı, viski, votka vb.)</t>
  </si>
  <si>
    <t>Sigaralar</t>
  </si>
  <si>
    <t>Erkek giyim</t>
  </si>
  <si>
    <t>Kadın giyim</t>
  </si>
  <si>
    <t>Çocuk giyim</t>
  </si>
  <si>
    <t>Bebek giyim</t>
  </si>
  <si>
    <t>Diğer giyim eşyaları ve aksesuarları (kravat, kemer, eşarp vb.)</t>
  </si>
  <si>
    <t>Giyim eşyalarının temizlenmesi ve tadilatı</t>
  </si>
  <si>
    <t>Erkek ayakkabısı</t>
  </si>
  <si>
    <t>Kadın ayakkabısı</t>
  </si>
  <si>
    <t>Çocuk ve bebek ayakkabısı</t>
  </si>
  <si>
    <t>Ayakkabı bakım ve tamiri</t>
  </si>
  <si>
    <t>Doğalgaz ve ilgili abonelik ücretleri</t>
  </si>
  <si>
    <t>Tüpgaz (ev tüpü)</t>
  </si>
  <si>
    <t>Katı yakıtlar (odun, kömür)</t>
  </si>
  <si>
    <t>Mutfak mobilyaları</t>
  </si>
  <si>
    <t>Yatak odası mobilyaları</t>
  </si>
  <si>
    <t>Yemek odası ve oturma odası mobilyaları</t>
  </si>
  <si>
    <t>Halı</t>
  </si>
  <si>
    <t>Ev tekstili</t>
  </si>
  <si>
    <t>Buzdolabı, derin dondurucu</t>
  </si>
  <si>
    <t>Çamaşır ve bulaşık makineleri</t>
  </si>
  <si>
    <t>Fırın, ocak ve fırınlı ocak</t>
  </si>
  <si>
    <t>Klima ve ısıtıcılar</t>
  </si>
  <si>
    <t>Diğer büyük ev aletleri (elektrikli süpürge vb.)</t>
  </si>
  <si>
    <t>Cam, porselen, seramik vb. mutfak eşyaları</t>
  </si>
  <si>
    <t>Çatal-bıçak takımı</t>
  </si>
  <si>
    <t>Elektriksiz mutfak eşyaları ve ev gereçleri (tencere, tava, çaydanlık vb.)</t>
  </si>
  <si>
    <t>Çeşitli küçük aksesuarlar (pil, ampul vb.)</t>
  </si>
  <si>
    <t>Evle ilgili küçük bakım-tamir mal ve hizmetleri</t>
  </si>
  <si>
    <t>Ev ile ilgili temizlik malzemeleri (deterjan, yumuşatıcı vb.)</t>
  </si>
  <si>
    <t>Ev ile ilgili diğer temizlik malzemeleri (bulaşık süngeri, çöp torbası vb.)</t>
  </si>
  <si>
    <t>Ev içi hizmetler (gündelikçi ücreti)</t>
  </si>
  <si>
    <t>Ev eşyalarının yıkanması ve temizlenmesi hizmetleri</t>
  </si>
  <si>
    <t>Diğer sağlık ürünleri (hasta bezi vb.)</t>
  </si>
  <si>
    <t>Gözlükler ve kontakt lensler</t>
  </si>
  <si>
    <t>Diğer sağlık ekipmanları (tansiyon aleti vb.)</t>
  </si>
  <si>
    <t>Ayakta tedavi hizmetleri (muayene ücreti, muayene katkı payı vb.)</t>
  </si>
  <si>
    <t>Diş hekimliği hizmetleri</t>
  </si>
  <si>
    <t>Tıbbi tahlil, analiz ve röntgen çekim hizmetleri</t>
  </si>
  <si>
    <t>Hastane hizmetleri</t>
  </si>
  <si>
    <t>Dizel otomobiller (sıfır km)</t>
  </si>
  <si>
    <t>Benzinli ve elektrikli otomobiller (sıfır km)</t>
  </si>
  <si>
    <t>Kişisel ulaştırma araçlarının yakıt ve yağları (benzin, motorin, motor yağı)</t>
  </si>
  <si>
    <t>Kişisel ulaştırma araçları ile ilgili diğer hizmetler (köprü ve otoban geçiş ücretleri dahil)</t>
  </si>
  <si>
    <t>Demiryolu ile şehir içi yolcu taşımacılığı</t>
  </si>
  <si>
    <t>Demiryolu ile şehirler arası yolcu taşımacılığı</t>
  </si>
  <si>
    <t>Otobüs ile şehir içi yolcu taşımacılığı</t>
  </si>
  <si>
    <t>Taksi ile şehir içi yolcu taşımacılığı</t>
  </si>
  <si>
    <t>Karayolu ile şehirler arası yolcu taşımacılığı</t>
  </si>
  <si>
    <t>Deniz ve yurt içi su yolu ile yolcu taşımacılığı</t>
  </si>
  <si>
    <t>Diğer satın alınan ulaştırma hizmetleri (nakliye, kargo vb.)</t>
  </si>
  <si>
    <t>Mobil telefon, ekipman ve aksesuarları</t>
  </si>
  <si>
    <t>Telefon (mobil ve sabit hat) ve internet ücretleri</t>
  </si>
  <si>
    <t>Televizyonlar</t>
  </si>
  <si>
    <t>Bilgisayar ve ekipmanları</t>
  </si>
  <si>
    <t>Görsel ve işitsel cihazların bakım ve onarımı</t>
  </si>
  <si>
    <t>Müzik enstrümanları</t>
  </si>
  <si>
    <t>Evcil hayvanlar ile ilgili ürünler</t>
  </si>
  <si>
    <t>Fotoğrafçılık hizmetleri</t>
  </si>
  <si>
    <t>Diğer eğlence ve kültür hizmetleri (sinema, tiyatro vb.)</t>
  </si>
  <si>
    <t>Kırtasiye malzemeleri</t>
  </si>
  <si>
    <t>Yaygın eğitim hizmetleri (dershane ve kurslar)</t>
  </si>
  <si>
    <t>Lokanta, pastane, kafe vb. yerlerde yenen yemekler</t>
  </si>
  <si>
    <t>Lokanta, pastane, kafe vb. yerlerde içilen içecekler</t>
  </si>
  <si>
    <t>Otel, pansyion vb. yerlerde konaklama hizmetleri</t>
  </si>
  <si>
    <t>Diğer konaklama hizmetleri (öğrenci yurtları)</t>
  </si>
  <si>
    <t>Erkekler için kuaförlük hizmetleri</t>
  </si>
  <si>
    <t>Kadınlar için kuaförlük hizmetleri</t>
  </si>
  <si>
    <t>Kişisel hijyen ve bakım için kullanılan ürünler, kozmetikler</t>
  </si>
  <si>
    <t>Mücevheratlar, saat ve kol saatleri</t>
  </si>
  <si>
    <t>Seyahat malzemeleri ve diğer kişisel aksesuarlar</t>
  </si>
  <si>
    <t>Başka yerde sınıflandırılmamış diğer kişisel aksesuarlar</t>
  </si>
  <si>
    <t>Çocuk bakım hizmetleri (kreşler)</t>
  </si>
  <si>
    <t>Başka yerde sınıflandırılmayan diğer mali hizmetler (para havale ücreti vb.)</t>
  </si>
  <si>
    <t>Başka yerde sınıflandırılmayan diğer hizmetler (noterlik, avukatlık hizmetleri vb.)</t>
  </si>
  <si>
    <t>Year</t>
  </si>
  <si>
    <t>Months</t>
  </si>
  <si>
    <t>General</t>
  </si>
  <si>
    <t xml:space="preserve">Food and non-alcoholic beverages </t>
  </si>
  <si>
    <t>Alcoholic beverages and tobacco</t>
  </si>
  <si>
    <t>Clothing and footwear</t>
  </si>
  <si>
    <t>Housing, water, electricity, gas and other fuels</t>
  </si>
  <si>
    <t>Furnishings, household equipment, routine maintenance of the house</t>
  </si>
  <si>
    <t>Health</t>
  </si>
  <si>
    <t>Transport</t>
  </si>
  <si>
    <t>Communications</t>
  </si>
  <si>
    <t>Recreation and culture</t>
  </si>
  <si>
    <t>Education</t>
  </si>
  <si>
    <t>Hotels, cafes and restaurants</t>
  </si>
  <si>
    <t>Miscellaneous goods and services</t>
  </si>
  <si>
    <t>Food</t>
  </si>
  <si>
    <t>Non-alcoholic beverages</t>
  </si>
  <si>
    <t>Alcoholic beverages</t>
  </si>
  <si>
    <t>Tobacco</t>
  </si>
  <si>
    <t>Clothing</t>
  </si>
  <si>
    <t>Footwear</t>
  </si>
  <si>
    <t>Actual rentals for housing</t>
  </si>
  <si>
    <t>Maintenance and repair of the dwelling</t>
  </si>
  <si>
    <t>Water supply and miscellaneous services relating to the dwelling</t>
  </si>
  <si>
    <t>Electricity, gas and other fuels</t>
  </si>
  <si>
    <t>Furniture and furnishings, carpets and other floor coverings</t>
  </si>
  <si>
    <t>Household textiles</t>
  </si>
  <si>
    <t>Household appliances</t>
  </si>
  <si>
    <t>Glassware, tableware and household utensils</t>
  </si>
  <si>
    <t>Tools and equipment for house and garden</t>
  </si>
  <si>
    <t>Goods and services for routine household maintenance</t>
  </si>
  <si>
    <t>Medical products, appliances and equipment</t>
  </si>
  <si>
    <t>Outpatient services</t>
  </si>
  <si>
    <t>Hospital services</t>
  </si>
  <si>
    <t>Purchase of vehicles</t>
  </si>
  <si>
    <t>Operation of personal transport equipment</t>
  </si>
  <si>
    <t>Transport services</t>
  </si>
  <si>
    <t>Postal services</t>
  </si>
  <si>
    <t>Telephone and telefax equipment</t>
  </si>
  <si>
    <t>Telephone and telefax services</t>
  </si>
  <si>
    <t>Audio-visual, photographic and information processing equipment</t>
  </si>
  <si>
    <t>Other major durables for recreation and culture</t>
  </si>
  <si>
    <t>Other recreational items and equipment, gardens and pets</t>
  </si>
  <si>
    <t>Recreational and cultural services</t>
  </si>
  <si>
    <t>Newspapers, books and stationery</t>
  </si>
  <si>
    <t>Package holidays</t>
  </si>
  <si>
    <t>Pre-primary and primary education</t>
  </si>
  <si>
    <t>Secondary education</t>
  </si>
  <si>
    <t>Tertiary education</t>
  </si>
  <si>
    <t>Education not definable by level</t>
  </si>
  <si>
    <t>Catering services</t>
  </si>
  <si>
    <t>Accommodation services</t>
  </si>
  <si>
    <t>Personal care</t>
  </si>
  <si>
    <t>Personal effects n.e.c.</t>
  </si>
  <si>
    <t>Social protection</t>
  </si>
  <si>
    <t>insurance</t>
  </si>
  <si>
    <t>Financial services n.e.c.</t>
  </si>
  <si>
    <t>Other services n.e.c.</t>
  </si>
  <si>
    <t>Bread and cereals</t>
  </si>
  <si>
    <t>Meat</t>
  </si>
  <si>
    <t>Fish and seafood</t>
  </si>
  <si>
    <t>Milk, cheese and eggs</t>
  </si>
  <si>
    <t>Oils and fats</t>
  </si>
  <si>
    <t>Fruit</t>
  </si>
  <si>
    <t>Vegetables</t>
  </si>
  <si>
    <t>Sugar, jam, honey, chocolate and confectionery</t>
  </si>
  <si>
    <t>Food products n.e.c.</t>
  </si>
  <si>
    <t>Coffee, tea and cacao</t>
  </si>
  <si>
    <t>Mineral waters, soft drinks, fruit and vegetable juices</t>
  </si>
  <si>
    <t>Spirits</t>
  </si>
  <si>
    <t>Wine</t>
  </si>
  <si>
    <t>Beer</t>
  </si>
  <si>
    <t>Garments</t>
  </si>
  <si>
    <t>Other articles of clothing and clothing accessories</t>
  </si>
  <si>
    <t>Cleaning, repair and hire of clothing</t>
  </si>
  <si>
    <t>Shoes and other footwear</t>
  </si>
  <si>
    <t>Repair and hire of footwear</t>
  </si>
  <si>
    <t>Actual rentals paid by tenants</t>
  </si>
  <si>
    <t>Materials for the maintenance and repair of the dwelling</t>
  </si>
  <si>
    <t>Water supply</t>
  </si>
  <si>
    <t>Electricity</t>
  </si>
  <si>
    <t>Gas</t>
  </si>
  <si>
    <t>Solid fuels</t>
  </si>
  <si>
    <t>Furniture and furnishings</t>
  </si>
  <si>
    <t>Carpets and other floor coverings</t>
  </si>
  <si>
    <t>Major household appliances whether electric or not</t>
  </si>
  <si>
    <t>Small electric household appliances</t>
  </si>
  <si>
    <t>Repair of household appliances</t>
  </si>
  <si>
    <t>Small tools and miscellaneous accessories</t>
  </si>
  <si>
    <t>Non-durable household goods</t>
  </si>
  <si>
    <t>Domestic services and household services</t>
  </si>
  <si>
    <t>Pharmaceutical products</t>
  </si>
  <si>
    <t>Other medical products</t>
  </si>
  <si>
    <t>Therapeutic appliances and equipment</t>
  </si>
  <si>
    <t>Medical services</t>
  </si>
  <si>
    <t>Dental services</t>
  </si>
  <si>
    <t>Paramedical services</t>
  </si>
  <si>
    <t>Motor cars</t>
  </si>
  <si>
    <t>Motor cycles</t>
  </si>
  <si>
    <t>Bicycles</t>
  </si>
  <si>
    <t>Spare parts and accessories for personal transport equipment</t>
  </si>
  <si>
    <t>Fuels and lubricants for personal transport equipment</t>
  </si>
  <si>
    <t>Maintenance and repair of personal transport equipment</t>
  </si>
  <si>
    <t>Other services in respect of personal transport equipment</t>
  </si>
  <si>
    <t>Passenger transport by railway</t>
  </si>
  <si>
    <t>Passenger transport by road</t>
  </si>
  <si>
    <t>Passenger transport by air</t>
  </si>
  <si>
    <t>Passenger transport by sea and inland waterway</t>
  </si>
  <si>
    <t>Other purchased transport services</t>
  </si>
  <si>
    <t>Equipment for the reception, recording and reproduction of sound and picture</t>
  </si>
  <si>
    <t>Information processing equipment</t>
  </si>
  <si>
    <t>Repair of audio-visual, photographic and information processing equipment</t>
  </si>
  <si>
    <t>Musical instruments and major durables for indoor recreation</t>
  </si>
  <si>
    <t>Games, toys and hobbies</t>
  </si>
  <si>
    <t>Equipment for sport, camping and open-air recreation</t>
  </si>
  <si>
    <t>Pets and other related products</t>
  </si>
  <si>
    <t>Veterinary and other services for pets</t>
  </si>
  <si>
    <t>Recreational and sporting services</t>
  </si>
  <si>
    <t>Cultural services</t>
  </si>
  <si>
    <t>Games of chance</t>
  </si>
  <si>
    <t>Books</t>
  </si>
  <si>
    <t>Newspapers and periodicals</t>
  </si>
  <si>
    <t>Stationery and drawing materials</t>
  </si>
  <si>
    <t>Hairdressing salons and personal grooming establishments</t>
  </si>
  <si>
    <t>Electric appliances for personal care</t>
  </si>
  <si>
    <t>Other appliances, articles and products for personal care</t>
  </si>
  <si>
    <t>Jewellery, clocks and watches</t>
  </si>
  <si>
    <t>Other personal effects</t>
  </si>
  <si>
    <t>Insurance connected with the dwelling</t>
  </si>
  <si>
    <t>Insurance connected with health</t>
  </si>
  <si>
    <t>Insurance connected with transport</t>
  </si>
  <si>
    <t>Other financial services n.e.c.</t>
  </si>
  <si>
    <t>Rice</t>
  </si>
  <si>
    <t>Flours and other cereals</t>
  </si>
  <si>
    <t>Bread</t>
  </si>
  <si>
    <t>Other bakery products (biscuits, cakes, crackers, phyllo dough, baklava, etc.)</t>
  </si>
  <si>
    <t>Pasta products</t>
  </si>
  <si>
    <t>Breakfast cereals</t>
  </si>
  <si>
    <t>Beef and veal</t>
  </si>
  <si>
    <t>Lamb</t>
  </si>
  <si>
    <t>Chicken</t>
  </si>
  <si>
    <t>Other meat and edible offal</t>
  </si>
  <si>
    <t>Dried, salted or smoked meat</t>
  </si>
  <si>
    <t>Fresh or chilled fish</t>
  </si>
  <si>
    <t>Other preserved or processed fish</t>
  </si>
  <si>
    <t>Milk</t>
  </si>
  <si>
    <t>Other milk products (yoghurt, milk desserts etc.)</t>
  </si>
  <si>
    <t>Cheese</t>
  </si>
  <si>
    <t>Eggs</t>
  </si>
  <si>
    <t>Butter</t>
  </si>
  <si>
    <t>Margarine</t>
  </si>
  <si>
    <t>Other edible oils</t>
  </si>
  <si>
    <t>Fresh fruit</t>
  </si>
  <si>
    <t>Dried fruit and nuts</t>
  </si>
  <si>
    <t>Fresh vegetables other than potatoes</t>
  </si>
  <si>
    <t>Potatoes</t>
  </si>
  <si>
    <t>Legumes</t>
  </si>
  <si>
    <t>Canned or processed vegetables (including tomato paste, pickles, olives, etc.)</t>
  </si>
  <si>
    <t>Sugar</t>
  </si>
  <si>
    <t>Jams, marmalades, honey etc.</t>
  </si>
  <si>
    <t>Chocolates and confectionery products</t>
  </si>
  <si>
    <t>Ice cream</t>
  </si>
  <si>
    <t>Other food products n.e.c. (salt, vinegar, ketchup, mayonnaise etc.)</t>
  </si>
  <si>
    <t>Coffee</t>
  </si>
  <si>
    <t>Tea and herbal tea</t>
  </si>
  <si>
    <t>Cacao</t>
  </si>
  <si>
    <t>Mineral or spring waters</t>
  </si>
  <si>
    <t>Soft drinks</t>
  </si>
  <si>
    <t>Fruit and vegetable juices</t>
  </si>
  <si>
    <t>Alcoholic beverages (raki, whiskey, vodka, etc.)</t>
  </si>
  <si>
    <t>Wine from grapes</t>
  </si>
  <si>
    <t>Cigarettes</t>
  </si>
  <si>
    <t>Garments for men</t>
  </si>
  <si>
    <t>Garments for women</t>
  </si>
  <si>
    <t>Garments for children</t>
  </si>
  <si>
    <t>Garments for baby</t>
  </si>
  <si>
    <t>Other articles of clothing (tie, belt, scarf, etc.)</t>
  </si>
  <si>
    <t>Dry cleaning and repairing of clothing</t>
  </si>
  <si>
    <t>Footwear for men</t>
  </si>
  <si>
    <t>Footwear for women</t>
  </si>
  <si>
    <t>Footwear for infants and children</t>
  </si>
  <si>
    <t>Repair of footwear</t>
  </si>
  <si>
    <t>Natural gas and related subscription fees</t>
  </si>
  <si>
    <t>Liquefied hydrocarbons</t>
  </si>
  <si>
    <t>Solid fuels (wood, coal)</t>
  </si>
  <si>
    <t>Kitchen furniture</t>
  </si>
  <si>
    <t>Bedroom furniture</t>
  </si>
  <si>
    <t>Dining and living room furniture</t>
  </si>
  <si>
    <t>Carpets and rugs</t>
  </si>
  <si>
    <t>Home textile</t>
  </si>
  <si>
    <t>Refrigerators and freezers</t>
  </si>
  <si>
    <t>Washing machines, dishwashers</t>
  </si>
  <si>
    <t>Cookers</t>
  </si>
  <si>
    <t>Air conditioners and heaters</t>
  </si>
  <si>
    <t>Other large appliances (vacuum cleaner, etc.)</t>
  </si>
  <si>
    <t>Small electirical appliances</t>
  </si>
  <si>
    <t>Glassware, ceramic ware and chinaware</t>
  </si>
  <si>
    <t>Cutlery</t>
  </si>
  <si>
    <t>Non-electric kitchen utensils and articles (pots, pans, teapots, etc.)</t>
  </si>
  <si>
    <t>Miscellaneous small tool accessories (battery, bulb, etc.)</t>
  </si>
  <si>
    <t>Small maintenance and repair for home</t>
  </si>
  <si>
    <t>Cleaning and maintenance products (detergent, softener, etc.)</t>
  </si>
  <si>
    <t>Other non-durable small household articles (sponge, garbage bag, etc.)</t>
  </si>
  <si>
    <t>Domestic services (fee for homeworker)</t>
  </si>
  <si>
    <t>Cleaning services of furnitures</t>
  </si>
  <si>
    <t>Other medical products (patient diapers, etc.)</t>
  </si>
  <si>
    <t>Corrective eye-glasses and contact lenses</t>
  </si>
  <si>
    <t>Other therapeutic appliances and equipment</t>
  </si>
  <si>
    <t>Outpatient treatment services (examination fee, examination contribution fee etc.)</t>
  </si>
  <si>
    <t>Services of medical analysis laboratories and x-ray centres</t>
  </si>
  <si>
    <t>New diesel motor cars</t>
  </si>
  <si>
    <t>New gasoline and electric motor cars</t>
  </si>
  <si>
    <t>Spare parts for personal transport equipments</t>
  </si>
  <si>
    <t>Fuel and oils of personal transportation vehicles (gasoline, diesel, engine oil)</t>
  </si>
  <si>
    <t>Maintenance and repair of personal transportation vehicles</t>
  </si>
  <si>
    <t>Other services related to personal transportation vehicles (including bridge and highway tolls)</t>
  </si>
  <si>
    <t>Passenger transport by underground and tram</t>
  </si>
  <si>
    <t>Passenger transport by train</t>
  </si>
  <si>
    <t>Passenger transport by local bus</t>
  </si>
  <si>
    <t>Taxi fees</t>
  </si>
  <si>
    <t>Passenger transport between cities</t>
  </si>
  <si>
    <t>Passenger transport by plane</t>
  </si>
  <si>
    <t>Passenger transport by sea</t>
  </si>
  <si>
    <t>Other purchased transportation services (shipping, cargo, etc.)</t>
  </si>
  <si>
    <t>Mobile phones, equipment and accessories</t>
  </si>
  <si>
    <t>Telephone (mobile and wired phone) and internet charges</t>
  </si>
  <si>
    <t>Televisions</t>
  </si>
  <si>
    <t>Computers and equipments</t>
  </si>
  <si>
    <t>Maintenance and repair of visual and audio devices</t>
  </si>
  <si>
    <t>Musical instruments</t>
  </si>
  <si>
    <t>Toys and celebration articles</t>
  </si>
  <si>
    <t>Equipment for sport</t>
  </si>
  <si>
    <t>Products for pets</t>
  </si>
  <si>
    <t>Photographic services</t>
  </si>
  <si>
    <t>Other cultural services (cinema, theatre etc.)</t>
  </si>
  <si>
    <t>Game of chance</t>
  </si>
  <si>
    <t>Newspapers and magazines</t>
  </si>
  <si>
    <t>Package tours</t>
  </si>
  <si>
    <t>Primary education</t>
  </si>
  <si>
    <t>Non-formal education (courses etc.)</t>
  </si>
  <si>
    <t>Restauranst and food services</t>
  </si>
  <si>
    <t>Cafes and beverage services</t>
  </si>
  <si>
    <t>Hotels and other accomodation services</t>
  </si>
  <si>
    <t>Accommodation services of other establishments</t>
  </si>
  <si>
    <t>Hairdressing for men</t>
  </si>
  <si>
    <t>Hairdressing for women</t>
  </si>
  <si>
    <t>Articles for personal hygiene and wellness and beauty products</t>
  </si>
  <si>
    <t>Travel goods</t>
  </si>
  <si>
    <t>Other personal effects n.e.c.</t>
  </si>
  <si>
    <t>Child care services (nursery)</t>
  </si>
  <si>
    <t>Insurance connected with the health</t>
  </si>
  <si>
    <t>Motor vehicle insurance</t>
  </si>
  <si>
    <t>Legal services and accountancy</t>
  </si>
  <si>
    <t>Other fees and services</t>
  </si>
  <si>
    <t>Ocak</t>
  </si>
  <si>
    <t>January</t>
  </si>
  <si>
    <t>Şubat</t>
  </si>
  <si>
    <t>February</t>
  </si>
  <si>
    <t>Mart</t>
  </si>
  <si>
    <t>March</t>
  </si>
  <si>
    <t>Nisan</t>
  </si>
  <si>
    <t>April</t>
  </si>
  <si>
    <t>Mayıs</t>
  </si>
  <si>
    <t>May</t>
  </si>
  <si>
    <t>Haziran</t>
  </si>
  <si>
    <t>June</t>
  </si>
  <si>
    <t>Temmuz</t>
  </si>
  <si>
    <t>July</t>
  </si>
  <si>
    <t>Ağustos</t>
  </si>
  <si>
    <t>August</t>
  </si>
  <si>
    <t>Eylül</t>
  </si>
  <si>
    <t>September</t>
  </si>
  <si>
    <t>Ekim</t>
  </si>
  <si>
    <t>October</t>
  </si>
  <si>
    <t>Kasım</t>
  </si>
  <si>
    <t>November</t>
  </si>
  <si>
    <t>Aralık</t>
  </si>
  <si>
    <t>December</t>
  </si>
  <si>
    <r>
      <t xml:space="preserve">İstatistiki Bölge Birimleri Sınıflaması (2. Düzey)
</t>
    </r>
    <r>
      <rPr>
        <sz val="9"/>
        <color theme="1"/>
        <rFont val="Arial"/>
        <family val="2"/>
        <charset val="162"/>
      </rPr>
      <t>Statistical Regions (Level 2)</t>
    </r>
  </si>
  <si>
    <r>
      <t>2009</t>
    </r>
    <r>
      <rPr>
        <vertAlign val="superscript"/>
        <sz val="10"/>
        <color theme="1"/>
        <rFont val="Arial"/>
        <family val="2"/>
        <charset val="162"/>
      </rPr>
      <t>(1)</t>
    </r>
  </si>
  <si>
    <r>
      <t>2010</t>
    </r>
    <r>
      <rPr>
        <vertAlign val="superscript"/>
        <sz val="10"/>
        <color theme="1"/>
        <rFont val="Arial"/>
        <family val="2"/>
        <charset val="162"/>
      </rPr>
      <t>(1)</t>
    </r>
  </si>
  <si>
    <r>
      <t>2011</t>
    </r>
    <r>
      <rPr>
        <vertAlign val="superscript"/>
        <sz val="10"/>
        <color theme="1"/>
        <rFont val="Arial"/>
        <family val="2"/>
        <charset val="162"/>
      </rPr>
      <t>(1)</t>
    </r>
  </si>
  <si>
    <r>
      <t>2013</t>
    </r>
    <r>
      <rPr>
        <vertAlign val="superscript"/>
        <sz val="10"/>
        <color theme="1"/>
        <rFont val="Arial"/>
        <family val="2"/>
        <charset val="162"/>
      </rPr>
      <t>(2)</t>
    </r>
  </si>
  <si>
    <r>
      <t>2014</t>
    </r>
    <r>
      <rPr>
        <vertAlign val="superscript"/>
        <sz val="10"/>
        <color theme="1"/>
        <rFont val="Arial"/>
        <family val="2"/>
        <charset val="162"/>
      </rPr>
      <t>(2)</t>
    </r>
  </si>
  <si>
    <r>
      <t>2015</t>
    </r>
    <r>
      <rPr>
        <vertAlign val="superscript"/>
        <sz val="10"/>
        <color theme="1"/>
        <rFont val="Arial"/>
        <family val="2"/>
        <charset val="162"/>
      </rPr>
      <t>(2)</t>
    </r>
  </si>
  <si>
    <r>
      <t>2016</t>
    </r>
    <r>
      <rPr>
        <vertAlign val="superscript"/>
        <sz val="10"/>
        <color theme="1"/>
        <rFont val="Arial"/>
        <family val="2"/>
        <charset val="162"/>
      </rPr>
      <t>(2)</t>
    </r>
  </si>
  <si>
    <r>
      <t>2018</t>
    </r>
    <r>
      <rPr>
        <vertAlign val="superscript"/>
        <sz val="10"/>
        <color theme="1"/>
        <rFont val="Arial"/>
        <family val="2"/>
        <charset val="162"/>
      </rPr>
      <t>(3)</t>
    </r>
  </si>
  <si>
    <r>
      <t>2019</t>
    </r>
    <r>
      <rPr>
        <vertAlign val="superscript"/>
        <sz val="10"/>
        <color theme="1"/>
        <rFont val="Arial"/>
        <family val="2"/>
        <charset val="162"/>
      </rPr>
      <t>(3)</t>
    </r>
  </si>
  <si>
    <r>
      <t>2020</t>
    </r>
    <r>
      <rPr>
        <vertAlign val="superscript"/>
        <sz val="10"/>
        <color theme="1"/>
        <rFont val="Arial"/>
        <family val="2"/>
        <charset val="162"/>
      </rPr>
      <t>(3)</t>
    </r>
  </si>
  <si>
    <r>
      <t>2021</t>
    </r>
    <r>
      <rPr>
        <vertAlign val="superscript"/>
        <sz val="10"/>
        <color theme="1"/>
        <rFont val="Arial"/>
        <family val="2"/>
        <charset val="162"/>
      </rPr>
      <t>(3)</t>
    </r>
  </si>
  <si>
    <r>
      <t>2022</t>
    </r>
    <r>
      <rPr>
        <vertAlign val="superscript"/>
        <sz val="10"/>
        <color theme="1"/>
        <rFont val="Arial"/>
        <family val="2"/>
        <charset val="162"/>
      </rPr>
      <t>(3)</t>
    </r>
  </si>
  <si>
    <r>
      <t>2023</t>
    </r>
    <r>
      <rPr>
        <vertAlign val="superscript"/>
        <sz val="10"/>
        <color theme="1"/>
        <rFont val="Arial"/>
        <family val="2"/>
        <charset val="162"/>
      </rPr>
      <t>(3)</t>
    </r>
  </si>
  <si>
    <t>İstatistiki Bölge Birimleri Sınıflaması (2. Düzey)
Statistical Regions (Level 2)</t>
  </si>
  <si>
    <t>2009(1)</t>
  </si>
  <si>
    <t>2010(1)</t>
  </si>
  <si>
    <t>2011(1)</t>
  </si>
  <si>
    <t>2013(2)</t>
  </si>
  <si>
    <t>2014(2)</t>
  </si>
  <si>
    <t>2015(2)</t>
  </si>
  <si>
    <t>2016(2)</t>
  </si>
  <si>
    <t>2018(3)</t>
  </si>
  <si>
    <t>2019(3)</t>
  </si>
  <si>
    <t>2020(3)</t>
  </si>
  <si>
    <t>2021(3)</t>
  </si>
  <si>
    <t>2022(3)</t>
  </si>
  <si>
    <t>2023(3)</t>
  </si>
  <si>
    <t>rent</t>
  </si>
  <si>
    <t>rental</t>
  </si>
  <si>
    <t>TP KFE TR</t>
  </si>
  <si>
    <t>TP KFE TR10</t>
  </si>
  <si>
    <t>TP KFE TR51</t>
  </si>
  <si>
    <t>TP KFE TR31</t>
  </si>
  <si>
    <t>TP KFE TR21</t>
  </si>
  <si>
    <t>TP KFE TR22</t>
  </si>
  <si>
    <t>TP KFE TR32</t>
  </si>
  <si>
    <t>TP KFE TR33</t>
  </si>
  <si>
    <t>TP KFE TR41</t>
  </si>
  <si>
    <t>TP KFE TR42</t>
  </si>
  <si>
    <t>TP KFE TR52</t>
  </si>
  <si>
    <t>TP KFE TR61</t>
  </si>
  <si>
    <t>TP KFE TR62</t>
  </si>
  <si>
    <t>TP KFE TR63</t>
  </si>
  <si>
    <t>TP KFE TR7</t>
  </si>
  <si>
    <t>TP KFE TR8</t>
  </si>
  <si>
    <t>TP KFE TR9</t>
  </si>
  <si>
    <t>TP KFE TRA</t>
  </si>
  <si>
    <t>TP KFE TRB</t>
  </si>
  <si>
    <t>TP KFE TRC</t>
  </si>
  <si>
    <t>source</t>
  </si>
  <si>
    <t>evds</t>
  </si>
  <si>
    <t>cpi</t>
  </si>
  <si>
    <t>rental_cpi</t>
  </si>
  <si>
    <t>Tüketim harcamaları ana gruplarına göre bölgesel satınalma gücü paritesi değerleri, 2008,2012,2017</t>
  </si>
  <si>
    <t>Regional purchasing power parities for the main groups of consumption expenditures, 2008, 2012,2017</t>
  </si>
  <si>
    <r>
      <t xml:space="preserve">Yıl
</t>
    </r>
    <r>
      <rPr>
        <sz val="9"/>
        <rFont val="Arial"/>
        <family val="2"/>
        <charset val="162"/>
      </rPr>
      <t>Year</t>
    </r>
  </si>
  <si>
    <r>
      <t xml:space="preserve">Tüketim Harcamaları Genel
</t>
    </r>
    <r>
      <rPr>
        <sz val="9"/>
        <color indexed="8"/>
        <rFont val="Arial"/>
        <family val="2"/>
        <charset val="162"/>
      </rPr>
      <t xml:space="preserve">Consumption Expenditure
General </t>
    </r>
  </si>
  <si>
    <r>
      <t xml:space="preserve">Gıda ve alkolsüz içecekler 
</t>
    </r>
    <r>
      <rPr>
        <sz val="9"/>
        <color indexed="8"/>
        <rFont val="Arial"/>
        <family val="2"/>
        <charset val="162"/>
      </rPr>
      <t>Food and non-alcoholic beverages</t>
    </r>
  </si>
  <si>
    <r>
      <t xml:space="preserve">Alkollü içecekler ve tütün 
</t>
    </r>
    <r>
      <rPr>
        <sz val="9"/>
        <rFont val="Arial"/>
        <family val="2"/>
        <charset val="162"/>
      </rPr>
      <t>Alcoholic beverages and tobacco</t>
    </r>
  </si>
  <si>
    <r>
      <t xml:space="preserve">Giyim ve ayakkabı 
</t>
    </r>
    <r>
      <rPr>
        <sz val="9"/>
        <color indexed="8"/>
        <rFont val="Arial"/>
        <family val="2"/>
        <charset val="162"/>
      </rPr>
      <t>Clothing and footwear</t>
    </r>
  </si>
  <si>
    <r>
      <t xml:space="preserve">Konut 
</t>
    </r>
    <r>
      <rPr>
        <sz val="9"/>
        <rFont val="Arial"/>
        <family val="2"/>
        <charset val="162"/>
      </rPr>
      <t>Rent, water, electricity, gas and other fuels</t>
    </r>
  </si>
  <si>
    <r>
      <t xml:space="preserve">Ev eşyası 
</t>
    </r>
    <r>
      <rPr>
        <sz val="9"/>
        <color indexed="8"/>
        <rFont val="Arial"/>
        <family val="2"/>
        <charset val="162"/>
      </rPr>
      <t>Furnishings, household equipment, routine maintenance of the house</t>
    </r>
  </si>
  <si>
    <r>
      <t xml:space="preserve">Sağlık 
</t>
    </r>
    <r>
      <rPr>
        <sz val="9"/>
        <rFont val="Arial"/>
        <family val="2"/>
        <charset val="162"/>
      </rPr>
      <t>Health</t>
    </r>
  </si>
  <si>
    <r>
      <t xml:space="preserve">Ulaştırma 
</t>
    </r>
    <r>
      <rPr>
        <sz val="9"/>
        <color indexed="8"/>
        <rFont val="Arial"/>
        <family val="2"/>
        <charset val="162"/>
      </rPr>
      <t>Transportation</t>
    </r>
  </si>
  <si>
    <r>
      <t xml:space="preserve">Haberleşme 
</t>
    </r>
    <r>
      <rPr>
        <sz val="9"/>
        <rFont val="Arial"/>
        <family val="2"/>
        <charset val="162"/>
      </rPr>
      <t>Communications</t>
    </r>
  </si>
  <si>
    <r>
      <t xml:space="preserve">Eğlence ve kültür 
</t>
    </r>
    <r>
      <rPr>
        <sz val="9"/>
        <color indexed="8"/>
        <rFont val="Arial"/>
        <family val="2"/>
        <charset val="162"/>
      </rPr>
      <t>Recreation and culture</t>
    </r>
  </si>
  <si>
    <r>
      <t xml:space="preserve">Eğitim 
</t>
    </r>
    <r>
      <rPr>
        <sz val="9"/>
        <rFont val="Arial"/>
        <family val="2"/>
        <charset val="162"/>
      </rPr>
      <t>Education</t>
    </r>
  </si>
  <si>
    <r>
      <t xml:space="preserve">Lokanta ve oteller 
</t>
    </r>
    <r>
      <rPr>
        <sz val="9"/>
        <color indexed="8"/>
        <rFont val="Arial"/>
        <family val="2"/>
        <charset val="162"/>
      </rPr>
      <t>Hotels, cafes and restaurants</t>
    </r>
  </si>
  <si>
    <r>
      <t xml:space="preserve">Çeşitli mal ve hizmetler 
</t>
    </r>
    <r>
      <rPr>
        <sz val="9"/>
        <rFont val="Arial"/>
        <family val="2"/>
        <charset val="162"/>
      </rPr>
      <t>Miscellaneous goods and services</t>
    </r>
  </si>
  <si>
    <t>Türkiye</t>
  </si>
  <si>
    <t>TÜİK, Bölgesel Satınalma Gücü Paritesi</t>
  </si>
  <si>
    <t>TurkStat, Regional Purchasing Power Parity</t>
  </si>
  <si>
    <t>extrapolated from hbs national</t>
  </si>
  <si>
    <t>FB010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</si>
</sst>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7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FF0000"/>
      <name val="Aptos Narrow"/>
      <scheme val="minor"/>
    </font>
    <font>
      <sz val="11"/>
      <color theme="1"/>
      <name val="Lucida Grande"/>
      <family val="2"/>
    </font>
    <font>
      <sz val="12"/>
      <color rgb="FF000000"/>
      <name val="Aptos Narrow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0"/>
      <name val="Arial"/>
      <family val="2"/>
      <charset val="162"/>
    </font>
    <font>
      <sz val="11"/>
      <name val="Arial"/>
      <family val="2"/>
      <charset val="162"/>
    </font>
    <font>
      <b/>
      <sz val="11"/>
      <name val="Arial"/>
      <family val="2"/>
      <charset val="162"/>
    </font>
    <font>
      <sz val="10"/>
      <name val="Arial"/>
      <family val="2"/>
      <charset val="162"/>
    </font>
    <font>
      <b/>
      <sz val="9"/>
      <name val="Arial"/>
      <family val="2"/>
      <charset val="162"/>
    </font>
    <font>
      <sz val="9"/>
      <name val="Arial"/>
      <family val="2"/>
      <charset val="162"/>
    </font>
    <font>
      <vertAlign val="superscript"/>
      <sz val="10"/>
      <name val="Arial"/>
      <family val="2"/>
      <charset val="162"/>
    </font>
    <font>
      <b/>
      <sz val="9"/>
      <color rgb="FFFF0000"/>
      <name val="Arial"/>
      <family val="2"/>
      <charset val="162"/>
    </font>
    <font>
      <sz val="9"/>
      <color indexed="8"/>
      <name val="Arial"/>
      <family val="2"/>
      <charset val="162"/>
    </font>
    <font>
      <sz val="9"/>
      <color rgb="FFFF0000"/>
      <name val="Arial"/>
      <family val="2"/>
      <charset val="162"/>
    </font>
    <font>
      <b/>
      <sz val="8"/>
      <name val="Arial"/>
      <family val="2"/>
      <charset val="162"/>
    </font>
    <font>
      <sz val="8"/>
      <name val="Arial"/>
      <family val="2"/>
      <charset val="162"/>
    </font>
    <font>
      <b/>
      <sz val="9"/>
      <color indexed="8"/>
      <name val="Arial"/>
      <family val="2"/>
      <charset val="162"/>
    </font>
    <font>
      <sz val="10"/>
      <name val="MS Sans Serif"/>
      <family val="2"/>
      <charset val="162"/>
    </font>
    <font>
      <b/>
      <sz val="9"/>
      <color theme="1"/>
      <name val="Arial"/>
      <family val="2"/>
      <charset val="162"/>
    </font>
    <font>
      <sz val="9"/>
      <color theme="1"/>
      <name val="Arial"/>
      <family val="2"/>
      <charset val="162"/>
    </font>
    <font>
      <sz val="10"/>
      <color theme="1"/>
      <name val="Arial"/>
      <family val="2"/>
      <charset val="162"/>
    </font>
    <font>
      <vertAlign val="superscript"/>
      <sz val="10"/>
      <color theme="1"/>
      <name val="Arial"/>
      <family val="2"/>
      <charset val="16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2"/>
      <color theme="1"/>
      <name val="Aptos Narrow"/>
      <scheme val="minor"/>
    </font>
    <font>
      <b/>
      <sz val="10"/>
      <name val="Arial Tur"/>
      <charset val="162"/>
    </font>
    <font>
      <i/>
      <sz val="11"/>
      <name val="Arial"/>
      <family val="2"/>
      <charset val="162"/>
    </font>
    <font>
      <sz val="10"/>
      <name val="Arial Tur"/>
      <charset val="162"/>
    </font>
    <font>
      <sz val="9"/>
      <name val="Arial"/>
      <family val="2"/>
    </font>
    <font>
      <sz val="12"/>
      <name val="Arial"/>
      <family val="2"/>
    </font>
    <font>
      <i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8"/>
      </bottom>
      <diagonal/>
    </border>
  </borders>
  <cellStyleXfs count="5">
    <xf numFmtId="0" fontId="0" fillId="0" borderId="0"/>
    <xf numFmtId="0" fontId="13" fillId="0" borderId="0"/>
    <xf numFmtId="0" fontId="13" fillId="0" borderId="0"/>
    <xf numFmtId="0" fontId="23" fillId="0" borderId="0"/>
    <xf numFmtId="0" fontId="13" fillId="0" borderId="0"/>
  </cellStyleXfs>
  <cellXfs count="101">
    <xf numFmtId="0" fontId="0" fillId="0" borderId="0" xfId="0"/>
    <xf numFmtId="4" fontId="0" fillId="0" borderId="0" xfId="0" applyNumberFormat="1"/>
    <xf numFmtId="3" fontId="0" fillId="0" borderId="0" xfId="0" applyNumberFormat="1"/>
    <xf numFmtId="3" fontId="2" fillId="0" borderId="0" xfId="0" applyNumberFormat="1" applyFont="1"/>
    <xf numFmtId="3" fontId="3" fillId="0" borderId="0" xfId="0" applyNumberFormat="1" applyFont="1"/>
    <xf numFmtId="3" fontId="1" fillId="0" borderId="0" xfId="0" applyNumberFormat="1" applyFont="1"/>
    <xf numFmtId="0" fontId="1" fillId="0" borderId="0" xfId="0" applyFont="1"/>
    <xf numFmtId="4" fontId="1" fillId="0" borderId="0" xfId="0" applyNumberFormat="1" applyFont="1"/>
    <xf numFmtId="2" fontId="0" fillId="0" borderId="0" xfId="0" applyNumberFormat="1"/>
    <xf numFmtId="0" fontId="4" fillId="0" borderId="0" xfId="0" applyFont="1"/>
    <xf numFmtId="0" fontId="5" fillId="0" borderId="0" xfId="0" applyFont="1"/>
    <xf numFmtId="14" fontId="10" fillId="0" borderId="0" xfId="0" applyNumberFormat="1" applyFont="1" applyAlignment="1">
      <alignment horizontal="left"/>
    </xf>
    <xf numFmtId="0" fontId="11" fillId="0" borderId="0" xfId="0" applyFont="1" applyAlignment="1">
      <alignment vertical="top"/>
    </xf>
    <xf numFmtId="0" fontId="12" fillId="0" borderId="0" xfId="0" applyFont="1" applyAlignment="1">
      <alignment vertical="top"/>
    </xf>
    <xf numFmtId="14" fontId="13" fillId="0" borderId="0" xfId="0" applyNumberFormat="1" applyFont="1" applyAlignment="1">
      <alignment horizontal="left"/>
    </xf>
    <xf numFmtId="0" fontId="14" fillId="2" borderId="1" xfId="1" applyFont="1" applyFill="1" applyBorder="1" applyAlignment="1">
      <alignment horizontal="left" wrapText="1"/>
    </xf>
    <xf numFmtId="0" fontId="13" fillId="0" borderId="1" xfId="0" applyFont="1" applyBorder="1" applyAlignment="1">
      <alignment horizontal="right"/>
    </xf>
    <xf numFmtId="0" fontId="14" fillId="2" borderId="0" xfId="1" applyFont="1" applyFill="1" applyAlignment="1">
      <alignment horizontal="left"/>
    </xf>
    <xf numFmtId="0" fontId="17" fillId="2" borderId="0" xfId="1" applyFont="1" applyFill="1" applyAlignment="1">
      <alignment horizontal="left"/>
    </xf>
    <xf numFmtId="164" fontId="14" fillId="2" borderId="0" xfId="0" applyNumberFormat="1" applyFont="1" applyFill="1" applyAlignment="1">
      <alignment horizontal="right"/>
    </xf>
    <xf numFmtId="0" fontId="18" fillId="2" borderId="0" xfId="1" applyFont="1" applyFill="1" applyAlignment="1">
      <alignment horizontal="left" vertical="center"/>
    </xf>
    <xf numFmtId="164" fontId="19" fillId="2" borderId="0" xfId="1" applyNumberFormat="1" applyFont="1" applyFill="1" applyAlignment="1">
      <alignment horizontal="left" vertical="center"/>
    </xf>
    <xf numFmtId="164" fontId="15" fillId="2" borderId="0" xfId="0" applyNumberFormat="1" applyFont="1" applyFill="1" applyAlignment="1">
      <alignment horizontal="right"/>
    </xf>
    <xf numFmtId="0" fontId="18" fillId="2" borderId="2" xfId="1" applyFont="1" applyFill="1" applyBorder="1" applyAlignment="1">
      <alignment horizontal="left" vertical="center"/>
    </xf>
    <xf numFmtId="164" fontId="19" fillId="2" borderId="2" xfId="1" applyNumberFormat="1" applyFont="1" applyFill="1" applyBorder="1" applyAlignment="1">
      <alignment horizontal="left" vertical="center"/>
    </xf>
    <xf numFmtId="164" fontId="15" fillId="2" borderId="2" xfId="0" applyNumberFormat="1" applyFont="1" applyFill="1" applyBorder="1" applyAlignment="1">
      <alignment horizontal="right"/>
    </xf>
    <xf numFmtId="0" fontId="20" fillId="2" borderId="0" xfId="1" applyFont="1" applyFill="1"/>
    <xf numFmtId="0" fontId="21" fillId="0" borderId="0" xfId="0" applyFont="1" applyAlignment="1">
      <alignment horizontal="right"/>
    </xf>
    <xf numFmtId="0" fontId="20" fillId="0" borderId="0" xfId="0" applyFont="1" applyAlignment="1">
      <alignment horizontal="right"/>
    </xf>
    <xf numFmtId="0" fontId="21" fillId="2" borderId="0" xfId="1" applyFont="1" applyFill="1"/>
    <xf numFmtId="0" fontId="13" fillId="0" borderId="0" xfId="0" applyFont="1"/>
    <xf numFmtId="0" fontId="10" fillId="0" borderId="0" xfId="0" applyFont="1"/>
    <xf numFmtId="0" fontId="10" fillId="0" borderId="0" xfId="2" applyFont="1" applyAlignment="1">
      <alignment horizontal="left"/>
    </xf>
    <xf numFmtId="0" fontId="13" fillId="3" borderId="0" xfId="0" applyFont="1" applyFill="1"/>
    <xf numFmtId="0" fontId="13" fillId="0" borderId="0" xfId="2" applyAlignment="1">
      <alignment horizontal="left"/>
    </xf>
    <xf numFmtId="0" fontId="15" fillId="0" borderId="3" xfId="0" applyFont="1" applyBorder="1"/>
    <xf numFmtId="49" fontId="22" fillId="0" borderId="3" xfId="0" applyNumberFormat="1" applyFont="1" applyBorder="1"/>
    <xf numFmtId="0" fontId="22" fillId="0" borderId="3" xfId="0" quotePrefix="1" applyFont="1" applyBorder="1" applyAlignment="1">
      <alignment horizontal="right"/>
    </xf>
    <xf numFmtId="0" fontId="14" fillId="0" borderId="3" xfId="0" applyFont="1" applyBorder="1" applyAlignment="1">
      <alignment horizontal="right"/>
    </xf>
    <xf numFmtId="0" fontId="14" fillId="3" borderId="3" xfId="0" quotePrefix="1" applyFont="1" applyFill="1" applyBorder="1" applyAlignment="1">
      <alignment horizontal="right"/>
    </xf>
    <xf numFmtId="0" fontId="14" fillId="0" borderId="3" xfId="0" quotePrefix="1" applyFont="1" applyBorder="1" applyAlignment="1">
      <alignment horizontal="right"/>
    </xf>
    <xf numFmtId="0" fontId="15" fillId="0" borderId="0" xfId="0" applyFont="1"/>
    <xf numFmtId="0" fontId="22" fillId="0" borderId="0" xfId="0" applyFont="1" applyAlignment="1">
      <alignment horizontal="left" wrapText="1" shrinkToFit="1"/>
    </xf>
    <xf numFmtId="0" fontId="22" fillId="0" borderId="0" xfId="0" applyFont="1" applyAlignment="1">
      <alignment horizontal="right" wrapText="1" shrinkToFit="1"/>
    </xf>
    <xf numFmtId="0" fontId="22" fillId="3" borderId="0" xfId="0" applyFont="1" applyFill="1" applyAlignment="1">
      <alignment horizontal="right" wrapText="1" shrinkToFit="1"/>
    </xf>
    <xf numFmtId="0" fontId="15" fillId="0" borderId="0" xfId="0" applyFont="1" applyAlignment="1">
      <alignment horizontal="right"/>
    </xf>
    <xf numFmtId="0" fontId="22" fillId="0" borderId="2" xfId="0" applyFont="1" applyBorder="1" applyAlignment="1">
      <alignment horizontal="left" wrapText="1" shrinkToFit="1"/>
    </xf>
    <xf numFmtId="0" fontId="18" fillId="0" borderId="2" xfId="0" applyFont="1" applyBorder="1" applyAlignment="1">
      <alignment horizontal="right" wrapText="1" shrinkToFit="1"/>
    </xf>
    <xf numFmtId="0" fontId="18" fillId="3" borderId="2" xfId="0" applyFont="1" applyFill="1" applyBorder="1" applyAlignment="1">
      <alignment horizontal="right" wrapText="1" shrinkToFit="1"/>
    </xf>
    <xf numFmtId="2" fontId="14" fillId="0" borderId="0" xfId="0" applyNumberFormat="1" applyFont="1" applyAlignment="1">
      <alignment horizontal="left"/>
    </xf>
    <xf numFmtId="2" fontId="15" fillId="0" borderId="0" xfId="0" applyNumberFormat="1" applyFont="1" applyAlignment="1">
      <alignment horizontal="left"/>
    </xf>
    <xf numFmtId="2" fontId="15" fillId="0" borderId="0" xfId="3" applyNumberFormat="1" applyFont="1"/>
    <xf numFmtId="2" fontId="15" fillId="0" borderId="0" xfId="0" applyNumberFormat="1" applyFont="1"/>
    <xf numFmtId="2" fontId="15" fillId="3" borderId="0" xfId="0" applyNumberFormat="1" applyFont="1" applyFill="1"/>
    <xf numFmtId="0" fontId="14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2" fontId="15" fillId="0" borderId="0" xfId="0" quotePrefix="1" applyNumberFormat="1" applyFont="1"/>
    <xf numFmtId="2" fontId="15" fillId="4" borderId="0" xfId="0" quotePrefix="1" applyNumberFormat="1" applyFont="1" applyFill="1"/>
    <xf numFmtId="2" fontId="15" fillId="3" borderId="0" xfId="0" quotePrefix="1" applyNumberFormat="1" applyFont="1" applyFill="1"/>
    <xf numFmtId="0" fontId="14" fillId="0" borderId="0" xfId="0" applyFont="1"/>
    <xf numFmtId="0" fontId="15" fillId="0" borderId="2" xfId="0" applyFont="1" applyBorder="1"/>
    <xf numFmtId="0" fontId="14" fillId="0" borderId="2" xfId="0" applyFont="1" applyBorder="1" applyAlignment="1">
      <alignment horizontal="left"/>
    </xf>
    <xf numFmtId="2" fontId="15" fillId="4" borderId="2" xfId="0" quotePrefix="1" applyNumberFormat="1" applyFont="1" applyFill="1" applyBorder="1"/>
    <xf numFmtId="2" fontId="15" fillId="3" borderId="2" xfId="0" quotePrefix="1" applyNumberFormat="1" applyFont="1" applyFill="1" applyBorder="1"/>
    <xf numFmtId="2" fontId="13" fillId="0" borderId="0" xfId="0" applyNumberFormat="1" applyFont="1"/>
    <xf numFmtId="0" fontId="24" fillId="2" borderId="1" xfId="1" applyFont="1" applyFill="1" applyBorder="1" applyAlignment="1">
      <alignment horizontal="left" wrapText="1"/>
    </xf>
    <xf numFmtId="0" fontId="26" fillId="0" borderId="1" xfId="0" applyFont="1" applyBorder="1" applyAlignment="1">
      <alignment horizontal="right"/>
    </xf>
    <xf numFmtId="0" fontId="8" fillId="0" borderId="0" xfId="0" applyFont="1"/>
    <xf numFmtId="0" fontId="24" fillId="2" borderId="0" xfId="1" applyFont="1" applyFill="1" applyAlignment="1">
      <alignment horizontal="left"/>
    </xf>
    <xf numFmtId="164" fontId="24" fillId="2" borderId="0" xfId="0" applyNumberFormat="1" applyFont="1" applyFill="1" applyAlignment="1">
      <alignment horizontal="right"/>
    </xf>
    <xf numFmtId="0" fontId="25" fillId="2" borderId="0" xfId="1" applyFont="1" applyFill="1" applyAlignment="1">
      <alignment horizontal="left" vertical="center"/>
    </xf>
    <xf numFmtId="164" fontId="25" fillId="2" borderId="0" xfId="1" applyNumberFormat="1" applyFont="1" applyFill="1" applyAlignment="1">
      <alignment horizontal="left" vertical="center"/>
    </xf>
    <xf numFmtId="0" fontId="25" fillId="2" borderId="2" xfId="1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28" fillId="0" borderId="0" xfId="0" applyFont="1"/>
    <xf numFmtId="0" fontId="29" fillId="0" borderId="0" xfId="0" applyFont="1"/>
    <xf numFmtId="4" fontId="29" fillId="0" borderId="0" xfId="0" applyNumberFormat="1" applyFont="1"/>
    <xf numFmtId="0" fontId="30" fillId="0" borderId="0" xfId="0" applyFont="1"/>
    <xf numFmtId="0" fontId="31" fillId="2" borderId="0" xfId="0" applyFont="1" applyFill="1" applyAlignment="1">
      <alignment vertical="top"/>
    </xf>
    <xf numFmtId="2" fontId="11" fillId="0" borderId="0" xfId="0" applyNumberFormat="1" applyFont="1" applyAlignment="1">
      <alignment vertical="top"/>
    </xf>
    <xf numFmtId="0" fontId="32" fillId="0" borderId="0" xfId="0" applyFont="1" applyAlignment="1">
      <alignment horizontal="left" vertical="top" indent="2"/>
    </xf>
    <xf numFmtId="165" fontId="11" fillId="0" borderId="0" xfId="0" applyNumberFormat="1" applyFont="1" applyAlignment="1">
      <alignment vertical="top"/>
    </xf>
    <xf numFmtId="0" fontId="33" fillId="2" borderId="0" xfId="0" applyFont="1" applyFill="1" applyAlignment="1">
      <alignment vertical="top"/>
    </xf>
    <xf numFmtId="49" fontId="14" fillId="0" borderId="1" xfId="0" applyNumberFormat="1" applyFont="1" applyBorder="1" applyAlignment="1">
      <alignment horizontal="left" vertical="center" wrapText="1"/>
    </xf>
    <xf numFmtId="0" fontId="14" fillId="2" borderId="1" xfId="1" applyFont="1" applyFill="1" applyBorder="1" applyAlignment="1">
      <alignment horizontal="left" vertical="center" wrapText="1"/>
    </xf>
    <xf numFmtId="0" fontId="22" fillId="2" borderId="1" xfId="4" applyFont="1" applyFill="1" applyBorder="1" applyAlignment="1">
      <alignment horizontal="right" wrapText="1"/>
    </xf>
    <xf numFmtId="0" fontId="14" fillId="2" borderId="1" xfId="4" quotePrefix="1" applyFont="1" applyFill="1" applyBorder="1" applyAlignment="1">
      <alignment horizontal="right" wrapText="1"/>
    </xf>
    <xf numFmtId="0" fontId="14" fillId="2" borderId="1" xfId="4" applyFont="1" applyFill="1" applyBorder="1" applyAlignment="1">
      <alignment horizontal="right" wrapText="1"/>
    </xf>
    <xf numFmtId="2" fontId="14" fillId="2" borderId="0" xfId="0" applyNumberFormat="1" applyFont="1" applyFill="1" applyAlignment="1">
      <alignment horizontal="right"/>
    </xf>
    <xf numFmtId="0" fontId="18" fillId="2" borderId="0" xfId="1" applyFont="1" applyFill="1" applyAlignment="1">
      <alignment horizontal="left"/>
    </xf>
    <xf numFmtId="2" fontId="15" fillId="2" borderId="0" xfId="0" applyNumberFormat="1" applyFont="1" applyFill="1" applyAlignment="1">
      <alignment horizontal="right"/>
    </xf>
    <xf numFmtId="0" fontId="34" fillId="0" borderId="0" xfId="0" applyFont="1" applyAlignment="1">
      <alignment horizontal="left" vertical="top"/>
    </xf>
    <xf numFmtId="0" fontId="35" fillId="0" borderId="0" xfId="0" applyFont="1" applyAlignment="1">
      <alignment vertical="top"/>
    </xf>
    <xf numFmtId="0" fontId="35" fillId="0" borderId="4" xfId="0" applyFont="1" applyBorder="1" applyAlignment="1">
      <alignment vertical="top"/>
    </xf>
    <xf numFmtId="0" fontId="18" fillId="2" borderId="4" xfId="1" applyFont="1" applyFill="1" applyBorder="1" applyAlignment="1">
      <alignment horizontal="left"/>
    </xf>
    <xf numFmtId="2" fontId="15" fillId="2" borderId="4" xfId="0" applyNumberFormat="1" applyFont="1" applyFill="1" applyBorder="1" applyAlignment="1">
      <alignment horizontal="right"/>
    </xf>
    <xf numFmtId="0" fontId="0" fillId="0" borderId="0" xfId="0" applyAlignment="1">
      <alignment vertical="top"/>
    </xf>
    <xf numFmtId="0" fontId="36" fillId="0" borderId="0" xfId="0" applyFont="1" applyAlignment="1">
      <alignment horizontal="left" indent="2"/>
    </xf>
    <xf numFmtId="4" fontId="0" fillId="0" borderId="0" xfId="0" applyNumberFormat="1" applyAlignment="1">
      <alignment horizontal="center"/>
    </xf>
    <xf numFmtId="0" fontId="14" fillId="0" borderId="0" xfId="2" applyFont="1" applyAlignment="1">
      <alignment horizontal="center" wrapText="1"/>
    </xf>
    <xf numFmtId="0" fontId="15" fillId="0" borderId="2" xfId="2" applyFont="1" applyBorder="1" applyAlignment="1">
      <alignment horizontal="center" wrapText="1"/>
    </xf>
  </cellXfs>
  <cellStyles count="5">
    <cellStyle name="Normal" xfId="0" builtinId="0"/>
    <cellStyle name="Normal_10928_12_1_05.11.2012 2" xfId="1" xr:uid="{52660F6F-693A-0B4D-81D6-E952F6EFE1AA}"/>
    <cellStyle name="Normal_10928_12_2_05.11.2012" xfId="4" xr:uid="{9B33A137-BAD4-FB41-BD09-F54C3A9826E1}"/>
    <cellStyle name="Normal_Imalat(15-16)" xfId="2" xr:uid="{283E75DB-3966-5642-B658-47238C8E7A07}"/>
    <cellStyle name="Normal_istanbul7sablonfiyat" xfId="3" xr:uid="{57556A26-5464-A147-87C8-243A0C194C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enesisik/Downloads/temp.xlsx" TargetMode="External"/><Relationship Id="rId1" Type="http://schemas.openxmlformats.org/officeDocument/2006/relationships/externalLinkPath" Target="/Users/enesisik/Downloads/tem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urkey_rental_multiplier"/>
      <sheetName val="regional_rental_multiplier"/>
      <sheetName val="sahibinden_rent_price_ibbs"/>
      <sheetName val="sahibinden_rent_and_price_june"/>
      <sheetName val="sahibinden_rent_and_price"/>
      <sheetName val="regional_houseprice_growth"/>
      <sheetName val="regional_rent_growth"/>
      <sheetName val="regional_rental_cpi_transposed"/>
      <sheetName val="regional_rental_cpi"/>
      <sheetName val="tuik_regional_relativecpi"/>
      <sheetName val="cpi_june"/>
      <sheetName val="cpi"/>
      <sheetName val="regional_rent_relative_tuik"/>
      <sheetName val="house_price_index_evds"/>
    </sheetNames>
    <sheetDataSet>
      <sheetData sheetId="0">
        <row r="3">
          <cell r="C3">
            <v>0.20209453722049253</v>
          </cell>
        </row>
      </sheetData>
      <sheetData sheetId="1" refreshError="1"/>
      <sheetData sheetId="2">
        <row r="2">
          <cell r="D2">
            <v>3149</v>
          </cell>
        </row>
        <row r="35">
          <cell r="D35">
            <v>1065</v>
          </cell>
        </row>
        <row r="36">
          <cell r="D36">
            <v>1017</v>
          </cell>
        </row>
        <row r="37">
          <cell r="D37">
            <v>1356</v>
          </cell>
        </row>
        <row r="38">
          <cell r="D38">
            <v>1416</v>
          </cell>
        </row>
        <row r="39">
          <cell r="D39">
            <v>1972</v>
          </cell>
        </row>
        <row r="40">
          <cell r="D40">
            <v>2544</v>
          </cell>
        </row>
        <row r="41">
          <cell r="D41">
            <v>2375</v>
          </cell>
        </row>
        <row r="42">
          <cell r="D42">
            <v>3882</v>
          </cell>
        </row>
        <row r="43">
          <cell r="D43">
            <v>3832</v>
          </cell>
        </row>
        <row r="44">
          <cell r="D44">
            <v>4871</v>
          </cell>
        </row>
        <row r="45">
          <cell r="D45">
            <v>1700</v>
          </cell>
        </row>
        <row r="46">
          <cell r="D46">
            <v>4556</v>
          </cell>
        </row>
        <row r="47">
          <cell r="D47">
            <v>1055</v>
          </cell>
        </row>
        <row r="48">
          <cell r="D48">
            <v>1191</v>
          </cell>
        </row>
        <row r="49">
          <cell r="D49">
            <v>2099</v>
          </cell>
        </row>
        <row r="50">
          <cell r="D50">
            <v>3303</v>
          </cell>
        </row>
        <row r="51">
          <cell r="D51">
            <v>2360</v>
          </cell>
        </row>
        <row r="52">
          <cell r="D52">
            <v>1096</v>
          </cell>
        </row>
        <row r="53">
          <cell r="D53">
            <v>1192</v>
          </cell>
        </row>
        <row r="54">
          <cell r="D54">
            <v>10000</v>
          </cell>
        </row>
        <row r="55">
          <cell r="D55">
            <v>2329</v>
          </cell>
        </row>
        <row r="56">
          <cell r="D56">
            <v>2424</v>
          </cell>
        </row>
        <row r="57">
          <cell r="D57">
            <v>1431</v>
          </cell>
        </row>
        <row r="58">
          <cell r="D58">
            <v>1967</v>
          </cell>
        </row>
        <row r="59">
          <cell r="D59">
            <v>3532</v>
          </cell>
        </row>
        <row r="60">
          <cell r="D60">
            <v>5726</v>
          </cell>
        </row>
        <row r="61">
          <cell r="D61">
            <v>1183</v>
          </cell>
        </row>
        <row r="62">
          <cell r="D62">
            <v>1427</v>
          </cell>
        </row>
        <row r="63">
          <cell r="D63">
            <v>1108</v>
          </cell>
        </row>
        <row r="64">
          <cell r="D64">
            <v>2683</v>
          </cell>
        </row>
        <row r="65">
          <cell r="D65">
            <v>2647</v>
          </cell>
        </row>
        <row r="66">
          <cell r="D66">
            <v>2016</v>
          </cell>
        </row>
        <row r="67">
          <cell r="D67">
            <v>915</v>
          </cell>
        </row>
        <row r="68">
          <cell r="D68">
            <v>855</v>
          </cell>
        </row>
        <row r="69">
          <cell r="D69">
            <v>982</v>
          </cell>
        </row>
        <row r="77">
          <cell r="D77">
            <v>1130</v>
          </cell>
        </row>
        <row r="78">
          <cell r="D78">
            <v>828</v>
          </cell>
        </row>
        <row r="79">
          <cell r="D79">
            <v>1158</v>
          </cell>
        </row>
        <row r="80">
          <cell r="D80">
            <v>2984</v>
          </cell>
        </row>
        <row r="81">
          <cell r="D81">
            <v>2204</v>
          </cell>
        </row>
        <row r="82">
          <cell r="D82">
            <v>2011</v>
          </cell>
        </row>
        <row r="83">
          <cell r="D83">
            <v>984</v>
          </cell>
        </row>
        <row r="84">
          <cell r="D84">
            <v>848</v>
          </cell>
        </row>
        <row r="85">
          <cell r="D85">
            <v>1156</v>
          </cell>
        </row>
        <row r="86">
          <cell r="D86">
            <v>2636</v>
          </cell>
        </row>
        <row r="87">
          <cell r="D87">
            <v>2068</v>
          </cell>
        </row>
        <row r="88">
          <cell r="D88">
            <v>2308</v>
          </cell>
        </row>
        <row r="89">
          <cell r="D89">
            <v>864</v>
          </cell>
        </row>
        <row r="90">
          <cell r="D90">
            <v>904</v>
          </cell>
        </row>
        <row r="91">
          <cell r="D91">
            <v>1204</v>
          </cell>
        </row>
        <row r="92">
          <cell r="D92">
            <v>2296</v>
          </cell>
        </row>
        <row r="93">
          <cell r="D93">
            <v>1861</v>
          </cell>
        </row>
        <row r="94">
          <cell r="D94">
            <v>2318</v>
          </cell>
        </row>
        <row r="95">
          <cell r="D95">
            <v>938</v>
          </cell>
        </row>
        <row r="96">
          <cell r="D96">
            <v>999</v>
          </cell>
        </row>
        <row r="97">
          <cell r="D97">
            <v>1305</v>
          </cell>
        </row>
        <row r="98">
          <cell r="D98">
            <v>1040</v>
          </cell>
        </row>
        <row r="99">
          <cell r="D99">
            <v>2037</v>
          </cell>
        </row>
        <row r="100">
          <cell r="D100">
            <v>1843</v>
          </cell>
        </row>
        <row r="101">
          <cell r="D101">
            <v>3250</v>
          </cell>
        </row>
        <row r="102">
          <cell r="D102">
            <v>1968</v>
          </cell>
        </row>
        <row r="104">
          <cell r="D104">
            <v>1260</v>
          </cell>
        </row>
        <row r="105">
          <cell r="D105">
            <v>876</v>
          </cell>
        </row>
        <row r="106">
          <cell r="D106">
            <v>1117</v>
          </cell>
        </row>
        <row r="107">
          <cell r="D107">
            <v>1295</v>
          </cell>
        </row>
        <row r="108">
          <cell r="D108">
            <v>1182</v>
          </cell>
        </row>
        <row r="109">
          <cell r="D109">
            <v>2222</v>
          </cell>
        </row>
        <row r="110">
          <cell r="D110">
            <v>2033</v>
          </cell>
        </row>
        <row r="111">
          <cell r="D111">
            <v>1798</v>
          </cell>
        </row>
        <row r="112">
          <cell r="D112">
            <v>2240</v>
          </cell>
        </row>
        <row r="113">
          <cell r="D113">
            <v>2523</v>
          </cell>
        </row>
        <row r="114">
          <cell r="D114">
            <v>2430</v>
          </cell>
        </row>
        <row r="115">
          <cell r="D115">
            <v>888</v>
          </cell>
        </row>
        <row r="116">
          <cell r="D116">
            <v>1224</v>
          </cell>
        </row>
        <row r="117">
          <cell r="D117">
            <v>995</v>
          </cell>
        </row>
        <row r="118">
          <cell r="D118">
            <v>1495</v>
          </cell>
        </row>
        <row r="119">
          <cell r="D119">
            <v>2184</v>
          </cell>
        </row>
        <row r="120">
          <cell r="D120">
            <v>2085</v>
          </cell>
        </row>
        <row r="121">
          <cell r="D121">
            <v>1099</v>
          </cell>
        </row>
        <row r="122">
          <cell r="D122">
            <v>1244</v>
          </cell>
        </row>
        <row r="123">
          <cell r="D123">
            <v>1173</v>
          </cell>
        </row>
        <row r="124">
          <cell r="D124">
            <v>1920</v>
          </cell>
        </row>
        <row r="125">
          <cell r="D125">
            <v>1936</v>
          </cell>
        </row>
        <row r="126">
          <cell r="D126">
            <v>1892</v>
          </cell>
        </row>
        <row r="127">
          <cell r="D127">
            <v>849</v>
          </cell>
        </row>
        <row r="128">
          <cell r="D128">
            <v>1368</v>
          </cell>
        </row>
        <row r="129">
          <cell r="D129">
            <v>1363</v>
          </cell>
        </row>
        <row r="130">
          <cell r="D130">
            <v>1610</v>
          </cell>
        </row>
        <row r="131">
          <cell r="D131">
            <v>1391</v>
          </cell>
        </row>
        <row r="132">
          <cell r="D132">
            <v>2397</v>
          </cell>
        </row>
        <row r="133">
          <cell r="D133">
            <v>1160</v>
          </cell>
        </row>
        <row r="134">
          <cell r="D134">
            <v>1273</v>
          </cell>
        </row>
        <row r="135">
          <cell r="D135">
            <v>1252</v>
          </cell>
        </row>
        <row r="136">
          <cell r="D136">
            <v>1662</v>
          </cell>
        </row>
        <row r="137">
          <cell r="D137">
            <v>1832</v>
          </cell>
        </row>
        <row r="138">
          <cell r="D138">
            <v>2278</v>
          </cell>
        </row>
        <row r="139">
          <cell r="D139">
            <v>1160</v>
          </cell>
        </row>
        <row r="140">
          <cell r="D140">
            <v>2100</v>
          </cell>
        </row>
        <row r="141">
          <cell r="D141">
            <v>1257</v>
          </cell>
        </row>
        <row r="142">
          <cell r="D142">
            <v>2105</v>
          </cell>
        </row>
        <row r="143">
          <cell r="D143">
            <v>4042</v>
          </cell>
        </row>
        <row r="144">
          <cell r="D144">
            <v>2055</v>
          </cell>
        </row>
        <row r="145">
          <cell r="D145">
            <v>1929</v>
          </cell>
        </row>
        <row r="146">
          <cell r="D146">
            <v>1533</v>
          </cell>
        </row>
        <row r="147">
          <cell r="D147">
            <v>3429</v>
          </cell>
        </row>
        <row r="148">
          <cell r="D148">
            <v>2740</v>
          </cell>
        </row>
        <row r="149">
          <cell r="D149">
            <v>1597</v>
          </cell>
        </row>
        <row r="150">
          <cell r="D150">
            <v>1205</v>
          </cell>
        </row>
        <row r="151">
          <cell r="D151">
            <v>1080</v>
          </cell>
        </row>
        <row r="152">
          <cell r="D152">
            <v>2290</v>
          </cell>
        </row>
        <row r="153">
          <cell r="D153">
            <v>2242</v>
          </cell>
        </row>
        <row r="154">
          <cell r="D154">
            <v>1843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2BD32-DFC5-A640-900A-2E34ECAC1C48}">
  <dimension ref="A1:N22"/>
  <sheetViews>
    <sheetView tabSelected="1" zoomScale="143" workbookViewId="0">
      <selection activeCell="A2" sqref="A2"/>
    </sheetView>
  </sheetViews>
  <sheetFormatPr baseColWidth="10" defaultRowHeight="16"/>
  <cols>
    <col min="4" max="4" width="0" hidden="1" customWidth="1"/>
    <col min="5" max="5" width="1.33203125" hidden="1" customWidth="1"/>
    <col min="6" max="6" width="7.5" customWidth="1"/>
    <col min="7" max="7" width="17.5" bestFit="1" customWidth="1"/>
    <col min="8" max="8" width="22.33203125" bestFit="1" customWidth="1"/>
    <col min="9" max="9" width="24.6640625" customWidth="1"/>
    <col min="10" max="10" width="20" bestFit="1" customWidth="1"/>
    <col min="11" max="11" width="15.1640625" customWidth="1"/>
    <col min="12" max="12" width="18.5" customWidth="1"/>
  </cols>
  <sheetData>
    <row r="1" spans="1:14">
      <c r="A1" t="s">
        <v>1075</v>
      </c>
      <c r="B1" t="s">
        <v>7</v>
      </c>
      <c r="C1" t="s">
        <v>8</v>
      </c>
      <c r="D1" t="s">
        <v>1</v>
      </c>
      <c r="E1" t="s">
        <v>6</v>
      </c>
      <c r="F1" t="s">
        <v>2</v>
      </c>
      <c r="G1" t="s">
        <v>5</v>
      </c>
      <c r="H1" t="s">
        <v>4</v>
      </c>
      <c r="I1" t="s">
        <v>3</v>
      </c>
      <c r="J1" t="s">
        <v>9</v>
      </c>
      <c r="K1" t="s">
        <v>10</v>
      </c>
      <c r="L1" t="s">
        <v>11</v>
      </c>
      <c r="M1" t="s">
        <v>13</v>
      </c>
      <c r="N1" t="s">
        <v>12</v>
      </c>
    </row>
    <row r="2" spans="1:14">
      <c r="A2">
        <v>2003</v>
      </c>
      <c r="B2">
        <v>100</v>
      </c>
      <c r="C2" s="1">
        <f t="shared" ref="C2:C20" si="0">(B3-B2)/B2</f>
        <v>0.41319999999999996</v>
      </c>
      <c r="D2">
        <v>100</v>
      </c>
      <c r="E2" s="8">
        <f>(D3-D2)/D2</f>
        <v>0.14485579446925001</v>
      </c>
      <c r="G2" s="7"/>
      <c r="H2" s="5"/>
      <c r="I2" s="4"/>
      <c r="J2" s="2"/>
    </row>
    <row r="3" spans="1:14">
      <c r="A3">
        <v>2005</v>
      </c>
      <c r="B3" s="8">
        <f>cpi_june!E2</f>
        <v>141.32</v>
      </c>
      <c r="C3" s="1">
        <f t="shared" si="0"/>
        <v>0.20209453722049253</v>
      </c>
      <c r="D3">
        <v>114.485579446925</v>
      </c>
      <c r="E3" s="8">
        <f t="shared" ref="E3:E20" si="1">(D4-D3)/D3</f>
        <v>7.9349911115106753E-2</v>
      </c>
      <c r="G3" s="7">
        <f t="shared" ref="G3:G9" si="2">(J4-J3)/J3</f>
        <v>0.38559668615172876</v>
      </c>
      <c r="H3" s="5">
        <f t="shared" ref="H3:H18" si="3">H4/(1+C3)</f>
        <v>299.41989448804264</v>
      </c>
      <c r="I3" s="4">
        <f t="shared" ref="I3:I18" si="4">I4/(1+G3)</f>
        <v>43985.3326731532</v>
      </c>
      <c r="J3" s="2">
        <v>32667.759999999998</v>
      </c>
      <c r="K3">
        <f t="shared" ref="K3:K20" si="5">I3/H3</f>
        <v>146.90183746260641</v>
      </c>
      <c r="L3" s="9"/>
      <c r="N3">
        <f>AVERAGE(M5:M20)</f>
        <v>2.6537758598425345</v>
      </c>
    </row>
    <row r="4" spans="1:14">
      <c r="A4">
        <v>2006</v>
      </c>
      <c r="B4" s="8">
        <f>cpi_june!E3</f>
        <v>169.88</v>
      </c>
      <c r="C4" s="1">
        <f t="shared" si="0"/>
        <v>0.19443136331528138</v>
      </c>
      <c r="D4">
        <v>123.57</v>
      </c>
      <c r="E4" s="8">
        <f t="shared" si="1"/>
        <v>9.9295945617868503E-2</v>
      </c>
      <c r="G4" s="7">
        <f t="shared" si="2"/>
        <v>0.13875470182488039</v>
      </c>
      <c r="H4" s="5">
        <f t="shared" si="3"/>
        <v>359.93101949921231</v>
      </c>
      <c r="I4" s="4">
        <f t="shared" si="4"/>
        <v>60945.931191202435</v>
      </c>
      <c r="J4" s="2">
        <v>45264.34</v>
      </c>
      <c r="K4">
        <f t="shared" si="5"/>
        <v>169.32669842126739</v>
      </c>
      <c r="L4" s="9"/>
      <c r="N4">
        <f>N3</f>
        <v>2.6537758598425345</v>
      </c>
    </row>
    <row r="5" spans="1:14">
      <c r="A5">
        <v>2007</v>
      </c>
      <c r="B5" s="8">
        <f>cpi_june!E4</f>
        <v>202.91</v>
      </c>
      <c r="C5" s="1">
        <f t="shared" si="0"/>
        <v>0.14070277462914599</v>
      </c>
      <c r="D5">
        <v>135.84</v>
      </c>
      <c r="E5" s="8">
        <f t="shared" si="1"/>
        <v>8.1713780918727871E-2</v>
      </c>
      <c r="G5" s="7">
        <f t="shared" si="2"/>
        <v>0.19879297654204151</v>
      </c>
      <c r="H5" s="5">
        <f t="shared" si="3"/>
        <v>429.91289831990332</v>
      </c>
      <c r="I5" s="4">
        <f t="shared" si="4"/>
        <v>69402.46570107741</v>
      </c>
      <c r="J5" s="2">
        <v>51544.98</v>
      </c>
      <c r="K5">
        <f t="shared" si="5"/>
        <v>161.43378338333596</v>
      </c>
      <c r="L5" s="9">
        <v>1933.163812</v>
      </c>
      <c r="M5">
        <f t="shared" ref="M3:M20" si="6">((H5*12)/L5)</f>
        <v>2.6686588833367004</v>
      </c>
      <c r="N5">
        <f>N3</f>
        <v>2.6537758598425345</v>
      </c>
    </row>
    <row r="6" spans="1:14">
      <c r="A6">
        <v>2008</v>
      </c>
      <c r="B6" s="8">
        <f>cpi_june!E5</f>
        <v>231.46</v>
      </c>
      <c r="C6" s="1">
        <f t="shared" si="0"/>
        <v>8.7358506869437483E-2</v>
      </c>
      <c r="D6">
        <v>146.94</v>
      </c>
      <c r="E6" s="8">
        <f t="shared" si="1"/>
        <v>9.5004763849190196E-2</v>
      </c>
      <c r="G6" s="7">
        <f t="shared" si="2"/>
        <v>-4.7355505005845441E-2</v>
      </c>
      <c r="H6" s="5">
        <f t="shared" si="3"/>
        <v>490.40283596237163</v>
      </c>
      <c r="I6" s="4">
        <f t="shared" si="4"/>
        <v>83199.188437151533</v>
      </c>
      <c r="J6" s="2">
        <v>61791.76</v>
      </c>
      <c r="K6">
        <f t="shared" si="5"/>
        <v>169.6547865060376</v>
      </c>
      <c r="L6" s="9">
        <v>2189.035457</v>
      </c>
      <c r="M6">
        <f t="shared" si="6"/>
        <v>2.6883228468183096</v>
      </c>
      <c r="N6">
        <f t="shared" ref="N6:N20" si="7">N5</f>
        <v>2.6537758598425345</v>
      </c>
    </row>
    <row r="7" spans="1:14">
      <c r="A7">
        <v>2009</v>
      </c>
      <c r="B7" s="8">
        <f>cpi_june!E6</f>
        <v>251.68</v>
      </c>
      <c r="C7" s="1">
        <f t="shared" si="0"/>
        <v>4.2116973935155615E-2</v>
      </c>
      <c r="D7">
        <v>160.9</v>
      </c>
      <c r="E7" s="8">
        <f t="shared" si="1"/>
        <v>8.1852082038533169E-2</v>
      </c>
      <c r="G7" s="7">
        <f t="shared" si="2"/>
        <v>6.7783923984100714E-2</v>
      </c>
      <c r="H7" s="5">
        <f t="shared" si="3"/>
        <v>533.24369547658216</v>
      </c>
      <c r="I7" s="4">
        <f t="shared" si="4"/>
        <v>79259.248852633726</v>
      </c>
      <c r="J7" s="2">
        <v>58865.58</v>
      </c>
      <c r="K7">
        <f t="shared" si="5"/>
        <v>148.63607300935161</v>
      </c>
      <c r="L7" s="9">
        <v>2470.1195750000002</v>
      </c>
      <c r="M7">
        <f t="shared" si="6"/>
        <v>2.5905322197687477</v>
      </c>
      <c r="N7">
        <f t="shared" si="7"/>
        <v>2.6537758598425345</v>
      </c>
    </row>
    <row r="8" spans="1:14">
      <c r="A8">
        <v>2010</v>
      </c>
      <c r="B8" s="8">
        <f>cpi_june!E7</f>
        <v>262.27999999999997</v>
      </c>
      <c r="C8" s="1">
        <f t="shared" si="0"/>
        <v>4.4265670276040926E-2</v>
      </c>
      <c r="D8">
        <v>174.07</v>
      </c>
      <c r="E8" s="8">
        <f t="shared" si="1"/>
        <v>4.9003274544723398E-2</v>
      </c>
      <c r="G8" s="7">
        <f t="shared" si="2"/>
        <v>0.16124976374465205</v>
      </c>
      <c r="H8" s="5">
        <f t="shared" si="3"/>
        <v>555.70230630005551</v>
      </c>
      <c r="I8" s="4">
        <f t="shared" si="4"/>
        <v>84631.751751897566</v>
      </c>
      <c r="J8" s="2">
        <v>62855.72</v>
      </c>
      <c r="K8">
        <f t="shared" si="5"/>
        <v>152.29692371692269</v>
      </c>
      <c r="L8" s="9">
        <v>2687.2122330000002</v>
      </c>
      <c r="M8">
        <f t="shared" si="6"/>
        <v>2.4815411279056443</v>
      </c>
      <c r="N8">
        <f t="shared" si="7"/>
        <v>2.6537758598425345</v>
      </c>
    </row>
    <row r="9" spans="1:14">
      <c r="A9">
        <v>2011</v>
      </c>
      <c r="B9" s="8">
        <f>cpi_june!E8</f>
        <v>273.89</v>
      </c>
      <c r="C9" s="1">
        <f t="shared" si="0"/>
        <v>4.8048486618715636E-2</v>
      </c>
      <c r="D9">
        <v>182.6</v>
      </c>
      <c r="E9" s="8">
        <f t="shared" si="1"/>
        <v>0.10613362541073382</v>
      </c>
      <c r="G9" s="7">
        <f t="shared" si="2"/>
        <v>0.15173872353636098</v>
      </c>
      <c r="H9" s="5">
        <f t="shared" si="3"/>
        <v>580.30084136236928</v>
      </c>
      <c r="I9" s="4">
        <f t="shared" si="4"/>
        <v>98278.601727187095</v>
      </c>
      <c r="J9" s="2">
        <v>72991.19</v>
      </c>
      <c r="K9">
        <f t="shared" si="5"/>
        <v>169.3580203958673</v>
      </c>
      <c r="L9" s="9">
        <v>2715.1742549999999</v>
      </c>
      <c r="M9">
        <f t="shared" si="6"/>
        <v>2.564700988721047</v>
      </c>
      <c r="N9">
        <f t="shared" si="7"/>
        <v>2.6537758598425345</v>
      </c>
    </row>
    <row r="10" spans="1:14">
      <c r="A10">
        <v>2012</v>
      </c>
      <c r="B10" s="8">
        <f>cpi_june!E9</f>
        <v>287.05</v>
      </c>
      <c r="C10" s="1">
        <f t="shared" si="0"/>
        <v>6.1661731405678412E-2</v>
      </c>
      <c r="D10">
        <v>201.98</v>
      </c>
      <c r="E10" s="8">
        <f t="shared" si="1"/>
        <v>7.3076542231904254E-2</v>
      </c>
      <c r="F10" s="1">
        <f>house_price_index_evds!C9</f>
        <v>5.67</v>
      </c>
      <c r="G10" s="1">
        <f t="shared" ref="G10:G20" si="8">(F11-F10)/F10</f>
        <v>0.11287477954144615</v>
      </c>
      <c r="H10" s="5">
        <f t="shared" si="3"/>
        <v>608.18341857339851</v>
      </c>
      <c r="I10" s="4">
        <f t="shared" si="4"/>
        <v>113191.27130420887</v>
      </c>
      <c r="J10" s="2">
        <v>84066.78</v>
      </c>
      <c r="K10">
        <f t="shared" si="5"/>
        <v>186.11370821276083</v>
      </c>
      <c r="L10" s="9">
        <v>2644.756363</v>
      </c>
      <c r="M10">
        <f t="shared" si="6"/>
        <v>2.7594984267671019</v>
      </c>
      <c r="N10">
        <f t="shared" si="7"/>
        <v>2.6537758598425345</v>
      </c>
    </row>
    <row r="11" spans="1:14">
      <c r="A11">
        <v>2013</v>
      </c>
      <c r="B11" s="8">
        <f>cpi_june!E10</f>
        <v>304.75</v>
      </c>
      <c r="C11" s="1">
        <f t="shared" si="0"/>
        <v>6.8022969647251907E-2</v>
      </c>
      <c r="D11">
        <v>216.74</v>
      </c>
      <c r="E11" s="8">
        <f t="shared" si="1"/>
        <v>7.751222663098635E-2</v>
      </c>
      <c r="F11" s="1">
        <f>house_price_index_evds!C10</f>
        <v>6.31</v>
      </c>
      <c r="G11" s="1">
        <f t="shared" si="8"/>
        <v>0.12519809825673536</v>
      </c>
      <c r="H11" s="5">
        <f t="shared" si="3"/>
        <v>645.68506117485867</v>
      </c>
      <c r="I11" s="4">
        <f t="shared" si="4"/>
        <v>125967.71109868748</v>
      </c>
      <c r="J11" s="2">
        <v>87101.62</v>
      </c>
      <c r="K11">
        <f t="shared" si="5"/>
        <v>195.0915681237575</v>
      </c>
      <c r="L11" s="9">
        <v>2733.425299</v>
      </c>
      <c r="M11">
        <f t="shared" si="6"/>
        <v>2.8346195291793501</v>
      </c>
      <c r="N11">
        <f t="shared" si="7"/>
        <v>2.6537758598425345</v>
      </c>
    </row>
    <row r="12" spans="1:14">
      <c r="A12">
        <v>2014</v>
      </c>
      <c r="B12" s="8">
        <f>cpi_june!E11</f>
        <v>325.48</v>
      </c>
      <c r="C12" s="1">
        <f t="shared" si="0"/>
        <v>7.4658965220597132E-2</v>
      </c>
      <c r="D12">
        <v>233.54</v>
      </c>
      <c r="E12" s="8">
        <f t="shared" si="1"/>
        <v>7.2407296394621901E-2</v>
      </c>
      <c r="F12" s="1">
        <f>house_price_index_evds!C11</f>
        <v>7.1</v>
      </c>
      <c r="G12" s="1">
        <f t="shared" si="8"/>
        <v>0.15774647887323959</v>
      </c>
      <c r="H12" s="5">
        <f t="shared" si="3"/>
        <v>689.60647649283999</v>
      </c>
      <c r="I12" s="4">
        <f t="shared" si="4"/>
        <v>141738.62896999699</v>
      </c>
      <c r="J12" s="2">
        <v>106254.9</v>
      </c>
      <c r="K12">
        <f t="shared" si="5"/>
        <v>205.53552468190694</v>
      </c>
      <c r="L12" s="9">
        <v>3179.6083560000002</v>
      </c>
      <c r="M12">
        <f t="shared" si="6"/>
        <v>2.6026091239502578</v>
      </c>
      <c r="N12">
        <f t="shared" si="7"/>
        <v>2.6537758598425345</v>
      </c>
    </row>
    <row r="13" spans="1:14">
      <c r="A13">
        <v>2015</v>
      </c>
      <c r="B13" s="8">
        <f>cpi_june!E12</f>
        <v>349.78</v>
      </c>
      <c r="C13" s="1">
        <f t="shared" si="0"/>
        <v>8.8284064268969217E-2</v>
      </c>
      <c r="D13">
        <v>250.45</v>
      </c>
      <c r="E13" s="8">
        <f t="shared" si="1"/>
        <v>9.5787582351766862E-2</v>
      </c>
      <c r="F13" s="1">
        <f>house_price_index_evds!C12</f>
        <v>8.2200000000000006</v>
      </c>
      <c r="G13" s="1">
        <f t="shared" si="8"/>
        <v>0.12773722627737213</v>
      </c>
      <c r="H13" s="5">
        <f t="shared" si="3"/>
        <v>741.09178243721749</v>
      </c>
      <c r="I13" s="4">
        <f t="shared" si="4"/>
        <v>164097.39861033458</v>
      </c>
      <c r="J13" s="5">
        <f t="shared" ref="J13:J20" si="9">J12*(1+G12)</f>
        <v>123016.23633802819</v>
      </c>
      <c r="K13">
        <f t="shared" si="5"/>
        <v>221.42655268780598</v>
      </c>
      <c r="L13" s="9">
        <v>3467.6420819999998</v>
      </c>
      <c r="M13">
        <f t="shared" si="6"/>
        <v>2.5645961085226592</v>
      </c>
      <c r="N13">
        <f t="shared" si="7"/>
        <v>2.6537758598425345</v>
      </c>
    </row>
    <row r="14" spans="1:14">
      <c r="A14">
        <v>2016</v>
      </c>
      <c r="B14" s="8">
        <f>cpi_june!E13</f>
        <v>380.66</v>
      </c>
      <c r="C14" s="1">
        <f t="shared" si="0"/>
        <v>8.8110124520569433E-2</v>
      </c>
      <c r="D14">
        <v>274.44</v>
      </c>
      <c r="E14" s="8">
        <f t="shared" si="1"/>
        <v>9.2187727736481609E-2</v>
      </c>
      <c r="F14" s="1">
        <f>house_price_index_evds!C13</f>
        <v>9.27</v>
      </c>
      <c r="G14" s="1">
        <f t="shared" si="8"/>
        <v>0.10895361380798273</v>
      </c>
      <c r="H14" s="5">
        <f t="shared" si="3"/>
        <v>806.51837698710983</v>
      </c>
      <c r="I14" s="4">
        <f t="shared" si="4"/>
        <v>185058.74514815104</v>
      </c>
      <c r="J14" s="5">
        <f t="shared" si="9"/>
        <v>138729.98915492959</v>
      </c>
      <c r="K14">
        <f t="shared" si="5"/>
        <v>229.45384808151587</v>
      </c>
      <c r="L14" s="9">
        <v>3261.4627449999998</v>
      </c>
      <c r="M14">
        <f t="shared" si="6"/>
        <v>2.9674478234290906</v>
      </c>
      <c r="N14">
        <f t="shared" si="7"/>
        <v>2.6537758598425345</v>
      </c>
    </row>
    <row r="15" spans="1:14">
      <c r="A15">
        <v>2017</v>
      </c>
      <c r="B15" s="8">
        <f>cpi_june!E14</f>
        <v>414.2</v>
      </c>
      <c r="C15" s="1">
        <f t="shared" si="0"/>
        <v>9.6185417672621995E-2</v>
      </c>
      <c r="D15">
        <v>299.74</v>
      </c>
      <c r="E15" s="8">
        <f t="shared" si="1"/>
        <v>0.10345632881830917</v>
      </c>
      <c r="F15" s="1">
        <f>house_price_index_evds!C14</f>
        <v>10.28</v>
      </c>
      <c r="G15" s="1">
        <f t="shared" si="8"/>
        <v>7.7821011673151821E-2</v>
      </c>
      <c r="H15" s="5">
        <f t="shared" si="3"/>
        <v>877.58081161157156</v>
      </c>
      <c r="I15" s="4">
        <f t="shared" si="4"/>
        <v>205221.56419881259</v>
      </c>
      <c r="J15" s="5">
        <f t="shared" si="9"/>
        <v>153845.12281690142</v>
      </c>
      <c r="K15">
        <f t="shared" si="5"/>
        <v>233.84919255692006</v>
      </c>
      <c r="L15" s="9">
        <v>3643.9959480000002</v>
      </c>
      <c r="M15">
        <f t="shared" si="6"/>
        <v>2.8899510014874634</v>
      </c>
      <c r="N15">
        <f t="shared" si="7"/>
        <v>2.6537758598425345</v>
      </c>
    </row>
    <row r="16" spans="1:14">
      <c r="A16">
        <v>2018</v>
      </c>
      <c r="B16" s="8">
        <f>cpi_june!E15</f>
        <v>454.04</v>
      </c>
      <c r="C16" s="1">
        <f t="shared" si="0"/>
        <v>0.10201744339705751</v>
      </c>
      <c r="D16">
        <v>330.75</v>
      </c>
      <c r="E16" s="8">
        <f t="shared" si="1"/>
        <v>0.20353741496598637</v>
      </c>
      <c r="F16" s="1">
        <f>house_price_index_evds!C15</f>
        <v>11.08</v>
      </c>
      <c r="G16" s="1">
        <f t="shared" si="8"/>
        <v>4.7833935018050486E-2</v>
      </c>
      <c r="H16" s="5">
        <f t="shared" si="3"/>
        <v>961.9912885179092</v>
      </c>
      <c r="I16" s="4">
        <f t="shared" si="4"/>
        <v>221192.11394191088</v>
      </c>
      <c r="J16" s="5">
        <f t="shared" si="9"/>
        <v>165817.50591549301</v>
      </c>
      <c r="K16">
        <f t="shared" si="5"/>
        <v>229.93151453865062</v>
      </c>
      <c r="L16" s="9">
        <v>4555.4339620000001</v>
      </c>
      <c r="M16">
        <f t="shared" si="6"/>
        <v>2.5340934713378487</v>
      </c>
      <c r="N16">
        <f t="shared" si="7"/>
        <v>2.6537758598425345</v>
      </c>
    </row>
    <row r="17" spans="1:14">
      <c r="A17">
        <v>2019</v>
      </c>
      <c r="B17" s="8">
        <f>cpi_june!E16</f>
        <v>500.36</v>
      </c>
      <c r="C17" s="1">
        <f t="shared" si="0"/>
        <v>9.2193620593172904E-2</v>
      </c>
      <c r="D17">
        <v>398.07</v>
      </c>
      <c r="E17" s="8">
        <f t="shared" si="1"/>
        <v>0.1215364131936594</v>
      </c>
      <c r="F17" s="1">
        <f>house_price_index_evds!C16</f>
        <v>11.61</v>
      </c>
      <c r="G17" s="1">
        <f t="shared" si="8"/>
        <v>0.2385874246339364</v>
      </c>
      <c r="H17" s="5">
        <f t="shared" si="3"/>
        <v>1060.1311803427475</v>
      </c>
      <c r="I17" s="4">
        <f t="shared" si="4"/>
        <v>231772.60314671349</v>
      </c>
      <c r="J17" s="5">
        <f t="shared" si="9"/>
        <v>173749.20971830992</v>
      </c>
      <c r="K17">
        <f t="shared" si="5"/>
        <v>218.62634308310774</v>
      </c>
      <c r="L17" s="9">
        <v>5267.3188929999997</v>
      </c>
      <c r="M17">
        <f t="shared" si="6"/>
        <v>2.4151896671795017</v>
      </c>
      <c r="N17">
        <f t="shared" si="7"/>
        <v>2.6537758598425345</v>
      </c>
    </row>
    <row r="18" spans="1:14">
      <c r="A18">
        <v>2020</v>
      </c>
      <c r="B18" s="8">
        <f>cpi_june!E17</f>
        <v>546.49</v>
      </c>
      <c r="C18" s="1">
        <f t="shared" si="0"/>
        <v>9.9343080385734348E-2</v>
      </c>
      <c r="D18">
        <v>446.45</v>
      </c>
      <c r="E18" s="8">
        <f t="shared" si="1"/>
        <v>0.14973681263299354</v>
      </c>
      <c r="F18" s="1">
        <f>house_price_index_evds!C17</f>
        <v>14.38</v>
      </c>
      <c r="G18" s="1">
        <f t="shared" si="8"/>
        <v>0.37482614742698184</v>
      </c>
      <c r="H18" s="5">
        <f t="shared" si="3"/>
        <v>1157.8685121622593</v>
      </c>
      <c r="I18" s="4">
        <f t="shared" si="4"/>
        <v>287070.63163219125</v>
      </c>
      <c r="J18" s="5">
        <f t="shared" si="9"/>
        <v>215203.58619718321</v>
      </c>
      <c r="K18">
        <f t="shared" si="5"/>
        <v>247.93025167952945</v>
      </c>
      <c r="L18" s="9">
        <v>6054.6882429999996</v>
      </c>
      <c r="M18">
        <f t="shared" si="6"/>
        <v>2.294820408302749</v>
      </c>
      <c r="N18">
        <f t="shared" si="7"/>
        <v>2.6537758598425345</v>
      </c>
    </row>
    <row r="19" spans="1:14">
      <c r="A19">
        <v>2021</v>
      </c>
      <c r="B19" s="8">
        <f>cpi_june!E18</f>
        <v>600.78</v>
      </c>
      <c r="C19" s="1">
        <f t="shared" si="0"/>
        <v>0.22798695029794605</v>
      </c>
      <c r="D19">
        <v>513.29999999999995</v>
      </c>
      <c r="E19" s="8">
        <f t="shared" si="1"/>
        <v>0.48690824079485695</v>
      </c>
      <c r="F19" s="1">
        <f>house_price_index_evds!C18</f>
        <v>19.77</v>
      </c>
      <c r="G19" s="1">
        <f t="shared" si="8"/>
        <v>1.4997470915528579</v>
      </c>
      <c r="H19" s="2">
        <f>AVERAGE(sahibinden_rent_and_price_june!D2:D77)</f>
        <v>1272.8947368421052</v>
      </c>
      <c r="I19" s="3">
        <f>AVERAGE(sahibinden_rent_and_price_june!E2:E77)</f>
        <v>394672.21052631579</v>
      </c>
      <c r="J19" s="5">
        <f t="shared" si="9"/>
        <v>295867.51732394379</v>
      </c>
      <c r="K19">
        <f t="shared" si="5"/>
        <v>310.05879677486047</v>
      </c>
      <c r="L19" s="9">
        <v>5524.0545540000003</v>
      </c>
      <c r="M19">
        <f t="shared" si="6"/>
        <v>2.7651314252580539</v>
      </c>
      <c r="N19">
        <f t="shared" si="7"/>
        <v>2.6537758598425345</v>
      </c>
    </row>
    <row r="20" spans="1:14">
      <c r="A20">
        <v>2022</v>
      </c>
      <c r="B20" s="8">
        <f>cpi_june!E19</f>
        <v>737.75</v>
      </c>
      <c r="C20" s="1">
        <f t="shared" si="0"/>
        <v>0.75905116909522197</v>
      </c>
      <c r="D20">
        <v>763.23</v>
      </c>
      <c r="E20" s="8">
        <f t="shared" si="1"/>
        <v>-1</v>
      </c>
      <c r="F20" s="1">
        <f>house_price_index_evds!C19</f>
        <v>49.42</v>
      </c>
      <c r="G20" s="1">
        <f t="shared" si="8"/>
        <v>1.0234722784297854</v>
      </c>
      <c r="H20" s="2">
        <f>AVERAGE(sahibinden_rent_and_price_june!D78:D154)</f>
        <v>3048.5584415584417</v>
      </c>
      <c r="I20" s="2">
        <f>AVERAGE(sahibinden_rent_and_price_june!E78:E154)</f>
        <v>1037824.8831168831</v>
      </c>
      <c r="J20" s="5">
        <f t="shared" si="9"/>
        <v>739593.96591549332</v>
      </c>
      <c r="K20">
        <f t="shared" si="5"/>
        <v>340.43135567587831</v>
      </c>
      <c r="L20" s="9">
        <v>12887.128688000001</v>
      </c>
      <c r="M20">
        <f t="shared" si="6"/>
        <v>2.8387007055160165</v>
      </c>
      <c r="N20">
        <f t="shared" si="7"/>
        <v>2.6537758598425345</v>
      </c>
    </row>
    <row r="21" spans="1:14">
      <c r="A21">
        <v>2023</v>
      </c>
      <c r="B21" s="8">
        <f>cpi_june!E20</f>
        <v>1297.74</v>
      </c>
      <c r="C21" s="1"/>
      <c r="F21" s="1">
        <f>house_price_index_evds!C20</f>
        <v>100</v>
      </c>
      <c r="G21" s="1"/>
      <c r="H21" s="2"/>
      <c r="I21" s="2"/>
      <c r="J21" s="5"/>
    </row>
    <row r="22" spans="1:14">
      <c r="I2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844E7-611E-704E-976E-1F1C7AE6AE9E}">
  <dimension ref="A1:AB19"/>
  <sheetViews>
    <sheetView zoomScale="125" workbookViewId="0">
      <selection activeCell="H2" sqref="H2"/>
    </sheetView>
  </sheetViews>
  <sheetFormatPr baseColWidth="10" defaultRowHeight="16"/>
  <cols>
    <col min="11" max="11" width="15.33203125" customWidth="1"/>
    <col min="16" max="16" width="12" customWidth="1"/>
    <col min="23" max="23" width="15.83203125" customWidth="1"/>
  </cols>
  <sheetData>
    <row r="1" spans="1:28">
      <c r="A1" t="s">
        <v>0</v>
      </c>
      <c r="B1" s="73" t="s">
        <v>95</v>
      </c>
      <c r="C1" s="73" t="s">
        <v>96</v>
      </c>
      <c r="D1" s="73" t="s">
        <v>96</v>
      </c>
      <c r="E1" s="73" t="s">
        <v>97</v>
      </c>
      <c r="F1" s="73" t="s">
        <v>97</v>
      </c>
      <c r="G1" s="73" t="s">
        <v>97</v>
      </c>
      <c r="H1" s="73" t="s">
        <v>98</v>
      </c>
      <c r="I1" s="73" t="s">
        <v>98</v>
      </c>
      <c r="J1" s="73" t="s">
        <v>99</v>
      </c>
      <c r="K1" s="73" t="s">
        <v>99</v>
      </c>
      <c r="L1" s="73" t="s">
        <v>100</v>
      </c>
      <c r="M1" s="73" t="s">
        <v>100</v>
      </c>
      <c r="N1" s="73" t="s">
        <v>100</v>
      </c>
      <c r="O1" s="73" t="s">
        <v>101</v>
      </c>
      <c r="P1" s="73" t="s">
        <v>101</v>
      </c>
      <c r="Q1" s="73" t="s">
        <v>102</v>
      </c>
      <c r="R1" s="73" t="s">
        <v>102</v>
      </c>
      <c r="S1" s="73" t="s">
        <v>102</v>
      </c>
      <c r="T1" s="73" t="s">
        <v>103</v>
      </c>
      <c r="U1" s="73" t="s">
        <v>128</v>
      </c>
      <c r="V1" s="73" t="s">
        <v>128</v>
      </c>
      <c r="W1" s="73" t="s">
        <v>131</v>
      </c>
      <c r="X1" s="73" t="s">
        <v>131</v>
      </c>
      <c r="Y1" s="73" t="s">
        <v>124</v>
      </c>
      <c r="Z1" s="73" t="s">
        <v>124</v>
      </c>
      <c r="AA1" s="73" t="s">
        <v>124</v>
      </c>
    </row>
    <row r="2" spans="1:28">
      <c r="A2">
        <v>2005</v>
      </c>
      <c r="B2" s="5">
        <f>regional_houseprice!B2/regional_rent!B2</f>
        <v>72.344726962004984</v>
      </c>
      <c r="C2" s="5">
        <f>regional_houseprice!C2/regional_rent!C2</f>
        <v>141.27845404531811</v>
      </c>
      <c r="D2" s="5">
        <f>regional_houseprice!D2/regional_rent!D2</f>
        <v>171.28355781087831</v>
      </c>
      <c r="E2" s="5">
        <f>regional_houseprice!E2/regional_rent!E2</f>
        <v>101.86069171201773</v>
      </c>
      <c r="F2" s="5">
        <f>regional_houseprice!F2/regional_rent!F2</f>
        <v>154.85706512060671</v>
      </c>
      <c r="G2" s="5">
        <f>regional_houseprice!G2/regional_rent!G2</f>
        <v>215.14174824294727</v>
      </c>
      <c r="H2" s="5">
        <f>regional_houseprice!H2/regional_rent!H2</f>
        <v>188.45543822316193</v>
      </c>
      <c r="I2" s="5">
        <f>regional_houseprice!I2/regional_rent!I2</f>
        <v>167.29362069541173</v>
      </c>
      <c r="J2" s="5">
        <f>regional_houseprice!J2/regional_rent!J2</f>
        <v>134.05378658090748</v>
      </c>
      <c r="K2" s="5">
        <f>regional_houseprice!K2/regional_rent!K2</f>
        <v>176.05356895062971</v>
      </c>
      <c r="L2" s="5">
        <f>regional_houseprice!L2/regional_rent!L2</f>
        <v>111.38352631968993</v>
      </c>
      <c r="M2" s="5">
        <f>regional_houseprice!M2/regional_rent!M2</f>
        <v>121.1750395616649</v>
      </c>
      <c r="N2" s="5">
        <f>regional_houseprice!N2/regional_rent!N2</f>
        <v>208.21715497260612</v>
      </c>
      <c r="O2" s="5">
        <f>regional_houseprice!O2/regional_rent!O2</f>
        <v>261.86654006076867</v>
      </c>
      <c r="P2" s="5">
        <f>regional_houseprice!P2/regional_rent!P2</f>
        <v>216.1025227282195</v>
      </c>
      <c r="Q2" s="5">
        <f>regional_houseprice!Q2/regional_rent!Q2</f>
        <v>233.76011691539733</v>
      </c>
      <c r="R2" s="5">
        <f>regional_houseprice!R2/regional_rent!R2</f>
        <v>237.61854138102552</v>
      </c>
      <c r="S2" s="5">
        <f>regional_houseprice!S2/regional_rent!S2</f>
        <v>223.69196059050429</v>
      </c>
      <c r="T2" s="5">
        <f>regional_houseprice!T2/regional_rent!T2</f>
        <v>227.75638385924719</v>
      </c>
      <c r="U2" s="5">
        <f>regional_houseprice!U2/regional_rent!U2</f>
        <v>248.34261230746202</v>
      </c>
      <c r="V2" s="5">
        <f>regional_houseprice!V2/regional_rent!V2</f>
        <v>193.9043869052779</v>
      </c>
      <c r="W2" s="5">
        <f>regional_houseprice!W2/regional_rent!W2</f>
        <v>211.39757071537807</v>
      </c>
      <c r="X2" s="5">
        <f>regional_houseprice!X2/regional_rent!X2</f>
        <v>176.46360766807771</v>
      </c>
      <c r="Y2" s="5">
        <f>regional_houseprice!Y2/regional_rent!Y2</f>
        <v>149.8724842424414</v>
      </c>
      <c r="Z2" s="5">
        <f>regional_houseprice!Z2/regional_rent!Z2</f>
        <v>125.08761787902189</v>
      </c>
      <c r="AA2" s="5">
        <f>regional_houseprice!AA2/regional_rent!AA2</f>
        <v>162.03781929250044</v>
      </c>
      <c r="AB2" s="5"/>
    </row>
    <row r="3" spans="1:28">
      <c r="A3">
        <v>2006</v>
      </c>
      <c r="B3" s="5">
        <f>regional_houseprice!B3/regional_rent!B3</f>
        <v>88.244069170127858</v>
      </c>
      <c r="C3" s="5">
        <f>regional_houseprice!C3/regional_rent!C3</f>
        <v>163.47106627615568</v>
      </c>
      <c r="D3" s="5">
        <f>regional_houseprice!D3/regional_rent!D3</f>
        <v>196.99267961848957</v>
      </c>
      <c r="E3" s="5">
        <f>regional_houseprice!E3/regional_rent!E3</f>
        <v>122.06012020423057</v>
      </c>
      <c r="F3" s="5">
        <f>regional_houseprice!F3/regional_rent!F3</f>
        <v>181.86667101553525</v>
      </c>
      <c r="G3" s="5">
        <f>regional_houseprice!G3/regional_rent!G3</f>
        <v>244.56265770521668</v>
      </c>
      <c r="H3" s="5">
        <f>regional_houseprice!H3/regional_rent!H3</f>
        <v>216.46982572948295</v>
      </c>
      <c r="I3" s="5">
        <f>regional_houseprice!I3/regional_rent!I3</f>
        <v>192.67697680780688</v>
      </c>
      <c r="J3" s="5">
        <f>regional_houseprice!J3/regional_rent!J3</f>
        <v>155.74355348209005</v>
      </c>
      <c r="K3" s="5">
        <f>regional_houseprice!K3/regional_rent!K3</f>
        <v>203.59181350285286</v>
      </c>
      <c r="L3" s="5">
        <f>regional_houseprice!L3/regional_rent!L3</f>
        <v>129.64859500000077</v>
      </c>
      <c r="M3" s="5">
        <f>regional_houseprice!M3/regional_rent!M3</f>
        <v>141.70207295413036</v>
      </c>
      <c r="N3" s="5">
        <f>regional_houseprice!N3/regional_rent!N3</f>
        <v>233.93732102945773</v>
      </c>
      <c r="O3" s="5">
        <f>regional_houseprice!O3/regional_rent!O3</f>
        <v>293.99348844880279</v>
      </c>
      <c r="P3" s="5">
        <f>regional_houseprice!P3/regional_rent!P3</f>
        <v>244.30634137839206</v>
      </c>
      <c r="Q3" s="5">
        <f>regional_houseprice!Q3/regional_rent!Q3</f>
        <v>265.56100573482871</v>
      </c>
      <c r="R3" s="5">
        <f>regional_houseprice!R3/regional_rent!R3</f>
        <v>269.25915612523522</v>
      </c>
      <c r="S3" s="5">
        <f>regional_houseprice!S3/regional_rent!S3</f>
        <v>253.47815111791684</v>
      </c>
      <c r="T3" s="5">
        <f>regional_houseprice!T3/regional_rent!T3</f>
        <v>260.38162765709478</v>
      </c>
      <c r="U3" s="5">
        <f>regional_houseprice!U3/regional_rent!U3</f>
        <v>279.46864123265334</v>
      </c>
      <c r="V3" s="5">
        <f>regional_houseprice!V3/regional_rent!V3</f>
        <v>217.60622588671058</v>
      </c>
      <c r="W3" s="5">
        <f>regional_houseprice!W3/regional_rent!W3</f>
        <v>238.43048229497191</v>
      </c>
      <c r="X3" s="5">
        <f>regional_houseprice!X3/regional_rent!X3</f>
        <v>198.48092833053357</v>
      </c>
      <c r="Y3" s="5">
        <f>regional_houseprice!Y3/regional_rent!Y3</f>
        <v>172.2523641223307</v>
      </c>
      <c r="Z3" s="5">
        <f>regional_houseprice!Z3/regional_rent!Z3</f>
        <v>142.53415364354822</v>
      </c>
      <c r="AA3" s="5">
        <f>regional_houseprice!AA3/regional_rent!AA3</f>
        <v>182.37350811404482</v>
      </c>
    </row>
    <row r="4" spans="1:28">
      <c r="A4">
        <v>2007</v>
      </c>
      <c r="B4" s="5">
        <f>regional_houseprice!B4/regional_rent!B4</f>
        <v>88.318030630964174</v>
      </c>
      <c r="C4" s="5">
        <f>regional_houseprice!C4/regional_rent!C4</f>
        <v>156.26103866278936</v>
      </c>
      <c r="D4" s="5">
        <f>regional_houseprice!D4/regional_rent!D4</f>
        <v>187.67355747886498</v>
      </c>
      <c r="E4" s="5">
        <f>regional_houseprice!E4/regional_rent!E4</f>
        <v>120.72368186867644</v>
      </c>
      <c r="F4" s="5">
        <f>regional_houseprice!F4/regional_rent!F4</f>
        <v>177.13105917995128</v>
      </c>
      <c r="G4" s="5">
        <f>regional_houseprice!G4/regional_rent!G4</f>
        <v>229.89318813619437</v>
      </c>
      <c r="H4" s="5">
        <f>regional_houseprice!H4/regional_rent!H4</f>
        <v>205.34511569205617</v>
      </c>
      <c r="I4" s="5">
        <f>regional_houseprice!I4/regional_rent!I4</f>
        <v>182.83210411550829</v>
      </c>
      <c r="J4" s="5">
        <f>regional_houseprice!J4/regional_rent!J4</f>
        <v>148.79201586207432</v>
      </c>
      <c r="K4" s="5">
        <f>regional_houseprice!K4/regional_rent!K4</f>
        <v>194.67582566466166</v>
      </c>
      <c r="L4" s="5">
        <f>regional_houseprice!L4/regional_rent!L4</f>
        <v>125.85866215451979</v>
      </c>
      <c r="M4" s="5">
        <f>regional_houseprice!M4/regional_rent!M4</f>
        <v>136.80287308682779</v>
      </c>
      <c r="N4" s="5">
        <f>regional_houseprice!N4/regional_rent!N4</f>
        <v>218.03950722451196</v>
      </c>
      <c r="O4" s="5">
        <f>regional_houseprice!O4/regional_rent!O4</f>
        <v>273.69795457979279</v>
      </c>
      <c r="P4" s="5">
        <f>regional_houseprice!P4/regional_rent!P4</f>
        <v>228.68358000864694</v>
      </c>
      <c r="Q4" s="5">
        <f>regional_houseprice!Q4/regional_rent!Q4</f>
        <v>249.70627046003068</v>
      </c>
      <c r="R4" s="5">
        <f>regional_houseprice!R4/regional_rent!R4</f>
        <v>252.67158089392947</v>
      </c>
      <c r="S4" s="5">
        <f>regional_houseprice!S4/regional_rent!S4</f>
        <v>237.86275678308084</v>
      </c>
      <c r="T4" s="5">
        <f>regional_houseprice!T4/regional_rent!T4</f>
        <v>245.34845538678263</v>
      </c>
      <c r="U4" s="5">
        <f>regional_houseprice!U4/regional_rent!U4</f>
        <v>259.9901653562772</v>
      </c>
      <c r="V4" s="5">
        <f>regional_houseprice!V4/regional_rent!V4</f>
        <v>202.0013142611098</v>
      </c>
      <c r="W4" s="5">
        <f>regional_houseprice!W4/regional_rent!W4</f>
        <v>223.23604241960689</v>
      </c>
      <c r="X4" s="5">
        <f>regional_houseprice!X4/regional_rent!X4</f>
        <v>185.43015504356484</v>
      </c>
      <c r="Y4" s="5">
        <f>regional_houseprice!Y4/regional_rent!Y4</f>
        <v>164.30648464319003</v>
      </c>
      <c r="Z4" s="5">
        <f>regional_houseprice!Z4/regional_rent!Z4</f>
        <v>135.02491930990004</v>
      </c>
      <c r="AA4" s="5">
        <f>regional_houseprice!AA4/regional_rent!AA4</f>
        <v>171.09763308716373</v>
      </c>
    </row>
    <row r="5" spans="1:28">
      <c r="A5">
        <v>2008</v>
      </c>
      <c r="B5" s="5">
        <f>regional_houseprice!B5/regional_rent!B5</f>
        <v>95.900906208567534</v>
      </c>
      <c r="C5" s="5">
        <f>regional_houseprice!C5/regional_rent!C5</f>
        <v>164.12365323057099</v>
      </c>
      <c r="D5" s="5">
        <f>regional_houseprice!D5/regional_rent!D5</f>
        <v>197.79626869118314</v>
      </c>
      <c r="E5" s="5">
        <f>regional_houseprice!E5/regional_rent!E5</f>
        <v>130.44531744116682</v>
      </c>
      <c r="F5" s="5">
        <f>regional_houseprice!F5/regional_rent!F5</f>
        <v>190.53072279259396</v>
      </c>
      <c r="G5" s="5">
        <f>regional_houseprice!G5/regional_rent!G5</f>
        <v>238.39036836847765</v>
      </c>
      <c r="H5" s="5">
        <f>regional_houseprice!H5/regional_rent!H5</f>
        <v>214.50066941380777</v>
      </c>
      <c r="I5" s="5">
        <f>regional_houseprice!I5/regional_rent!I5</f>
        <v>190.69970851423932</v>
      </c>
      <c r="J5" s="5">
        <f>regional_houseprice!J5/regional_rent!J5</f>
        <v>155.6798933482593</v>
      </c>
      <c r="K5" s="5">
        <f>regional_houseprice!K5/regional_rent!K5</f>
        <v>205.26523371037973</v>
      </c>
      <c r="L5" s="5">
        <f>regional_houseprice!L5/regional_rent!L5</f>
        <v>135.37801947836093</v>
      </c>
      <c r="M5" s="5">
        <f>regional_houseprice!M5/regional_rent!M5</f>
        <v>145.38140394370058</v>
      </c>
      <c r="N5" s="5">
        <f>regional_houseprice!N5/regional_rent!N5</f>
        <v>225.69041548392164</v>
      </c>
      <c r="O5" s="5">
        <f>regional_houseprice!O5/regional_rent!O5</f>
        <v>282.55744008867305</v>
      </c>
      <c r="P5" s="5">
        <f>regional_houseprice!P5/regional_rent!P5</f>
        <v>236.88790495480671</v>
      </c>
      <c r="Q5" s="5">
        <f>regional_houseprice!Q5/regional_rent!Q5</f>
        <v>259.0633693178753</v>
      </c>
      <c r="R5" s="5">
        <f>regional_houseprice!R5/regional_rent!R5</f>
        <v>261.80603046139299</v>
      </c>
      <c r="S5" s="5">
        <f>regional_houseprice!S5/regional_rent!S5</f>
        <v>246.46184556119317</v>
      </c>
      <c r="T5" s="5">
        <f>regional_houseprice!T5/regional_rent!T5</f>
        <v>254.37283569526667</v>
      </c>
      <c r="U5" s="5">
        <f>regional_houseprice!U5/regional_rent!U5</f>
        <v>267.3313958798326</v>
      </c>
      <c r="V5" s="5">
        <f>regional_houseprice!V5/regional_rent!V5</f>
        <v>207.42499974681485</v>
      </c>
      <c r="W5" s="5">
        <f>regional_houseprice!W5/regional_rent!W5</f>
        <v>230.88346849783113</v>
      </c>
      <c r="X5" s="5">
        <f>regional_houseprice!X5/regional_rent!X5</f>
        <v>191.52379659356222</v>
      </c>
      <c r="Y5" s="5">
        <f>regional_houseprice!Y5/regional_rent!Y5</f>
        <v>173.63309468752533</v>
      </c>
      <c r="Z5" s="5">
        <f>regional_houseprice!Z5/regional_rent!Z5</f>
        <v>142.06912530828689</v>
      </c>
      <c r="AA5" s="5">
        <f>regional_houseprice!AA5/regional_rent!AA5</f>
        <v>178.93848284304227</v>
      </c>
    </row>
    <row r="6" spans="1:28">
      <c r="A6">
        <v>2009</v>
      </c>
      <c r="B6" s="5">
        <f>regional_houseprice!B6/regional_rent!B6</f>
        <v>87.513829331149353</v>
      </c>
      <c r="C6" s="5">
        <f>regional_houseprice!C6/regional_rent!C6</f>
        <v>143.71178702565507</v>
      </c>
      <c r="D6" s="5">
        <f>regional_houseprice!D6/regional_rent!D6</f>
        <v>172.81973876338961</v>
      </c>
      <c r="E6" s="5">
        <f>regional_houseprice!E6/regional_rent!E6</f>
        <v>116.40593371467595</v>
      </c>
      <c r="F6" s="5">
        <f>regional_houseprice!F6/regional_rent!F6</f>
        <v>170.71461293126927</v>
      </c>
      <c r="G6" s="5">
        <f>regional_houseprice!G6/regional_rent!G6</f>
        <v>202.47021276759799</v>
      </c>
      <c r="H6" s="5">
        <f>regional_houseprice!H6/regional_rent!H6</f>
        <v>184.91821051995305</v>
      </c>
      <c r="I6" s="5">
        <f>regional_houseprice!I6/regional_rent!I6</f>
        <v>165.95822961728805</v>
      </c>
      <c r="J6" s="5">
        <f>regional_houseprice!J6/regional_rent!J6</f>
        <v>135.98499609130934</v>
      </c>
      <c r="K6" s="5">
        <f>regional_houseprice!K6/regional_rent!K6</f>
        <v>179.37260418596782</v>
      </c>
      <c r="L6" s="5">
        <f>regional_houseprice!L6/regional_rent!L6</f>
        <v>124.09080008896136</v>
      </c>
      <c r="M6" s="5">
        <f>regional_houseprice!M6/regional_rent!M6</f>
        <v>129.99102196862745</v>
      </c>
      <c r="N6" s="5">
        <f>regional_houseprice!N6/regional_rent!N6</f>
        <v>191.73006626116913</v>
      </c>
      <c r="O6" s="5">
        <f>regional_houseprice!O6/regional_rent!O6</f>
        <v>239.61732265935862</v>
      </c>
      <c r="P6" s="5">
        <f>regional_houseprice!P6/regional_rent!P6</f>
        <v>201.27301525071135</v>
      </c>
      <c r="Q6" s="5">
        <f>regional_houseprice!Q6/regional_rent!Q6</f>
        <v>220.72389097041761</v>
      </c>
      <c r="R6" s="5">
        <f>regional_houseprice!R6/regional_rent!R6</f>
        <v>222.89923765989624</v>
      </c>
      <c r="S6" s="5">
        <f>regional_houseprice!S6/regional_rent!S6</f>
        <v>209.83534027472356</v>
      </c>
      <c r="T6" s="5">
        <f>regional_houseprice!T6/regional_rent!T6</f>
        <v>215.55344120482704</v>
      </c>
      <c r="U6" s="5">
        <f>regional_houseprice!U6/regional_rent!U6</f>
        <v>223.07766971783255</v>
      </c>
      <c r="V6" s="5">
        <f>regional_houseprice!V6/regional_rent!V6</f>
        <v>172.95623663191614</v>
      </c>
      <c r="W6" s="5">
        <f>regional_houseprice!W6/regional_rent!W6</f>
        <v>193.92515257735624</v>
      </c>
      <c r="X6" s="5">
        <f>regional_houseprice!X6/regional_rent!X6</f>
        <v>160.74335976752502</v>
      </c>
      <c r="Y6" s="5">
        <f>regional_houseprice!Y6/regional_rent!Y6</f>
        <v>151.70733560139155</v>
      </c>
      <c r="Z6" s="5">
        <f>regional_houseprice!Z6/regional_rent!Z6</f>
        <v>123.8215156662514</v>
      </c>
      <c r="AA6" s="5">
        <f>regional_houseprice!AA6/regional_rent!AA6</f>
        <v>155.42345333069792</v>
      </c>
    </row>
    <row r="7" spans="1:28">
      <c r="A7">
        <v>2010</v>
      </c>
      <c r="B7" s="5">
        <f>regional_houseprice!B7/regional_rent!B7</f>
        <v>91.546786251709321</v>
      </c>
      <c r="C7" s="5">
        <f>regional_houseprice!C7/regional_rent!C7</f>
        <v>148.77009215090294</v>
      </c>
      <c r="D7" s="5">
        <f>regional_houseprice!D7/regional_rent!D7</f>
        <v>177.37727796081637</v>
      </c>
      <c r="E7" s="5">
        <f>regional_houseprice!E7/regional_rent!E7</f>
        <v>120.87766656401823</v>
      </c>
      <c r="F7" s="5">
        <f>regional_houseprice!F7/regional_rent!F7</f>
        <v>178.62846620185613</v>
      </c>
      <c r="G7" s="5">
        <f>regional_houseprice!G7/regional_rent!G7</f>
        <v>203.90277669694942</v>
      </c>
      <c r="H7" s="5">
        <f>regional_houseprice!H7/regional_rent!H7</f>
        <v>187.06310942041787</v>
      </c>
      <c r="I7" s="5">
        <f>regional_houseprice!I7/regional_rent!I7</f>
        <v>170.46733853972265</v>
      </c>
      <c r="J7" s="5">
        <f>regional_houseprice!J7/regional_rent!J7</f>
        <v>139.61937008477057</v>
      </c>
      <c r="K7" s="5">
        <f>regional_houseprice!K7/regional_rent!K7</f>
        <v>184.36994337017092</v>
      </c>
      <c r="L7" s="5">
        <f>regional_houseprice!L7/regional_rent!L7</f>
        <v>132.63827199302284</v>
      </c>
      <c r="M7" s="5">
        <f>regional_houseprice!M7/regional_rent!M7</f>
        <v>135.24799199722838</v>
      </c>
      <c r="N7" s="5">
        <f>regional_houseprice!N7/regional_rent!N7</f>
        <v>192.53368418105538</v>
      </c>
      <c r="O7" s="5">
        <f>regional_houseprice!O7/regional_rent!O7</f>
        <v>239.01164140911351</v>
      </c>
      <c r="P7" s="5">
        <f>regional_houseprice!P7/regional_rent!P7</f>
        <v>200.941010781008</v>
      </c>
      <c r="Q7" s="5">
        <f>regional_houseprice!Q7/regional_rent!Q7</f>
        <v>223.74745882385773</v>
      </c>
      <c r="R7" s="5">
        <f>regional_houseprice!R7/regional_rent!R7</f>
        <v>225.87713897461697</v>
      </c>
      <c r="S7" s="5">
        <f>regional_houseprice!S7/regional_rent!S7</f>
        <v>212.63870982519461</v>
      </c>
      <c r="T7" s="5">
        <f>regional_houseprice!T7/regional_rent!T7</f>
        <v>218.4116176799071</v>
      </c>
      <c r="U7" s="5">
        <f>regional_houseprice!U7/regional_rent!U7</f>
        <v>221.49585634529319</v>
      </c>
      <c r="V7" s="5">
        <f>regional_houseprice!V7/regional_rent!V7</f>
        <v>171.66963884627242</v>
      </c>
      <c r="W7" s="5">
        <f>regional_houseprice!W7/regional_rent!W7</f>
        <v>192.55127368312026</v>
      </c>
      <c r="X7" s="5">
        <f>regional_houseprice!X7/regional_rent!X7</f>
        <v>159.54862109955769</v>
      </c>
      <c r="Y7" s="5">
        <f>regional_houseprice!Y7/regional_rent!Y7</f>
        <v>153.47969346213659</v>
      </c>
      <c r="Z7" s="5">
        <f>regional_houseprice!Z7/regional_rent!Z7</f>
        <v>125.12455533131376</v>
      </c>
      <c r="AA7" s="5">
        <f>regional_houseprice!AA7/regional_rent!AA7</f>
        <v>156.81242321040827</v>
      </c>
    </row>
    <row r="8" spans="1:28">
      <c r="A8">
        <v>2011</v>
      </c>
      <c r="B8" s="5">
        <f>regional_houseprice!B8/regional_rent!B8</f>
        <v>97.751697275382497</v>
      </c>
      <c r="C8" s="5">
        <f>regional_houseprice!C8/regional_rent!C8</f>
        <v>151.79334472924828</v>
      </c>
      <c r="D8" s="5">
        <f>regional_houseprice!D8/regional_rent!D8</f>
        <v>177.28728717898085</v>
      </c>
      <c r="E8" s="5">
        <f>regional_houseprice!E8/regional_rent!E8</f>
        <v>127.32218477737221</v>
      </c>
      <c r="F8" s="5">
        <f>regional_houseprice!F8/regional_rent!F8</f>
        <v>182.11794575756085</v>
      </c>
      <c r="G8" s="5">
        <f>regional_houseprice!G8/regional_rent!G8</f>
        <v>213.59325542582528</v>
      </c>
      <c r="H8" s="5">
        <f>regional_houseprice!H8/regional_rent!H8</f>
        <v>191.41596730442848</v>
      </c>
      <c r="I8" s="5">
        <f>regional_houseprice!I8/regional_rent!I8</f>
        <v>171.61182867190089</v>
      </c>
      <c r="J8" s="5">
        <f>regional_houseprice!J8/regional_rent!J8</f>
        <v>144.61668072611272</v>
      </c>
      <c r="K8" s="5">
        <f>regional_houseprice!K8/regional_rent!K8</f>
        <v>191.03649405808784</v>
      </c>
      <c r="L8" s="5">
        <f>regional_houseprice!L8/regional_rent!L8</f>
        <v>138.60068081122211</v>
      </c>
      <c r="M8" s="5">
        <f>regional_houseprice!M8/regional_rent!M8</f>
        <v>143.70219655188581</v>
      </c>
      <c r="N8" s="5">
        <f>regional_houseprice!N8/regional_rent!N8</f>
        <v>197.32581491516177</v>
      </c>
      <c r="O8" s="5">
        <f>regional_houseprice!O8/regional_rent!O8</f>
        <v>248.64877764039971</v>
      </c>
      <c r="P8" s="5">
        <f>regional_houseprice!P8/regional_rent!P8</f>
        <v>209.22762404226071</v>
      </c>
      <c r="Q8" s="5">
        <f>regional_houseprice!Q8/regional_rent!Q8</f>
        <v>226.01808548245859</v>
      </c>
      <c r="R8" s="5">
        <f>regional_houseprice!R8/regional_rent!R8</f>
        <v>228.09280557772095</v>
      </c>
      <c r="S8" s="5">
        <f>regional_houseprice!S8/regional_rent!S8</f>
        <v>214.72451846446441</v>
      </c>
      <c r="T8" s="5">
        <f>regional_houseprice!T8/regional_rent!T8</f>
        <v>219.33144647199552</v>
      </c>
      <c r="U8" s="5">
        <f>regional_houseprice!U8/regional_rent!U8</f>
        <v>236.57943921530997</v>
      </c>
      <c r="V8" s="5">
        <f>regional_houseprice!V8/regional_rent!V8</f>
        <v>183.29567894563922</v>
      </c>
      <c r="W8" s="5">
        <f>regional_houseprice!W8/regional_rent!W8</f>
        <v>193.60123633093153</v>
      </c>
      <c r="X8" s="5">
        <f>regional_houseprice!X8/regional_rent!X8</f>
        <v>160.36224488938069</v>
      </c>
      <c r="Y8" s="5">
        <f>regional_houseprice!Y8/regional_rent!Y8</f>
        <v>169.94766437948604</v>
      </c>
      <c r="Z8" s="5">
        <f>regional_houseprice!Z8/regional_rent!Z8</f>
        <v>138.39044614486787</v>
      </c>
      <c r="AA8" s="5">
        <f>regional_houseprice!AA8/regional_rent!AA8</f>
        <v>173.16476656658247</v>
      </c>
    </row>
    <row r="9" spans="1:28">
      <c r="A9">
        <v>2012</v>
      </c>
      <c r="B9" s="5">
        <f>regional_houseprice!B9/regional_rent!B9</f>
        <v>105.03282408848631</v>
      </c>
      <c r="C9" s="5">
        <f>regional_houseprice!C9/regional_rent!C9</f>
        <v>153.7398201831501</v>
      </c>
      <c r="D9" s="5">
        <f>regional_houseprice!D9/regional_rent!D9</f>
        <v>180.17799945423792</v>
      </c>
      <c r="E9" s="5">
        <f>regional_houseprice!E9/regional_rent!E9</f>
        <v>133.17580717457821</v>
      </c>
      <c r="F9" s="5">
        <f>regional_houseprice!F9/regional_rent!F9</f>
        <v>185.65176241956263</v>
      </c>
      <c r="G9" s="5">
        <f>regional_houseprice!G9/regional_rent!G9</f>
        <v>231.6304175045822</v>
      </c>
      <c r="H9" s="5">
        <f>regional_houseprice!H9/regional_rent!H9</f>
        <v>193.72735030406412</v>
      </c>
      <c r="I9" s="5">
        <f>regional_houseprice!I9/regional_rent!I9</f>
        <v>170.79786652918216</v>
      </c>
      <c r="J9" s="5">
        <f>regional_houseprice!J9/regional_rent!J9</f>
        <v>150.68962898677026</v>
      </c>
      <c r="K9" s="5">
        <f>regional_houseprice!K9/regional_rent!K9</f>
        <v>206.15459032587376</v>
      </c>
      <c r="L9" s="5">
        <f>regional_houseprice!L9/regional_rent!L9</f>
        <v>144.76783661057243</v>
      </c>
      <c r="M9" s="5">
        <f>regional_houseprice!M9/regional_rent!M9</f>
        <v>151.56944539054695</v>
      </c>
      <c r="N9" s="5">
        <f>regional_houseprice!N9/regional_rent!N9</f>
        <v>201.85417026858741</v>
      </c>
      <c r="O9" s="5">
        <f>regional_houseprice!O9/regional_rent!O9</f>
        <v>262.18750364505797</v>
      </c>
      <c r="P9" s="5">
        <f>regional_houseprice!P9/regional_rent!P9</f>
        <v>220.8207898346204</v>
      </c>
      <c r="Q9" s="5">
        <f>regional_houseprice!Q9/regional_rent!Q9</f>
        <v>233.89256201221866</v>
      </c>
      <c r="R9" s="5">
        <f>regional_houseprice!R9/regional_rent!R9</f>
        <v>235.95766232059498</v>
      </c>
      <c r="S9" s="5">
        <f>regional_houseprice!S9/regional_rent!S9</f>
        <v>222.12842396086191</v>
      </c>
      <c r="T9" s="5">
        <f>regional_houseprice!T9/regional_rent!T9</f>
        <v>221.59457063426061</v>
      </c>
      <c r="U9" s="5">
        <f>regional_houseprice!U9/regional_rent!U9</f>
        <v>264.19384516599854</v>
      </c>
      <c r="V9" s="5">
        <f>regional_houseprice!V9/regional_rent!V9</f>
        <v>204.61638726607674</v>
      </c>
      <c r="W9" s="5">
        <f>regional_houseprice!W9/regional_rent!W9</f>
        <v>199.82256501489195</v>
      </c>
      <c r="X9" s="5">
        <f>regional_houseprice!X9/regional_rent!X9</f>
        <v>165.45542751158101</v>
      </c>
      <c r="Y9" s="5">
        <f>regional_houseprice!Y9/regional_rent!Y9</f>
        <v>194.8972543838257</v>
      </c>
      <c r="Z9" s="5">
        <f>regional_houseprice!Z9/regional_rent!Z9</f>
        <v>158.51796229510097</v>
      </c>
      <c r="AA9" s="5">
        <f>regional_houseprice!AA9/regional_rent!AA9</f>
        <v>198.02751424053233</v>
      </c>
    </row>
    <row r="10" spans="1:28">
      <c r="A10">
        <v>2013</v>
      </c>
      <c r="B10" s="5">
        <f>regional_houseprice!B10/regional_rent!B10</f>
        <v>115.04355957484732</v>
      </c>
      <c r="C10" s="5">
        <f>regional_houseprice!C10/regional_rent!C10</f>
        <v>155.22667009555198</v>
      </c>
      <c r="D10" s="5">
        <f>regional_houseprice!D10/regional_rent!D10</f>
        <v>181.41097857459874</v>
      </c>
      <c r="E10" s="5">
        <f>regional_houseprice!E10/regional_rent!E10</f>
        <v>140.79585977572413</v>
      </c>
      <c r="F10" s="5">
        <f>regional_houseprice!F10/regional_rent!F10</f>
        <v>193.0712669831031</v>
      </c>
      <c r="G10" s="5">
        <f>regional_houseprice!G10/regional_rent!G10</f>
        <v>243.32643732643484</v>
      </c>
      <c r="H10" s="5">
        <f>regional_houseprice!H10/regional_rent!H10</f>
        <v>197.21648085196901</v>
      </c>
      <c r="I10" s="5">
        <f>regional_houseprice!I10/regional_rent!I10</f>
        <v>172.91073073542336</v>
      </c>
      <c r="J10" s="5">
        <f>regional_houseprice!J10/regional_rent!J10</f>
        <v>155.93521646578853</v>
      </c>
      <c r="K10" s="5">
        <f>regional_houseprice!K10/regional_rent!K10</f>
        <v>214.94736301186185</v>
      </c>
      <c r="L10" s="5">
        <f>regional_houseprice!L10/regional_rent!L10</f>
        <v>151.61148403550808</v>
      </c>
      <c r="M10" s="5">
        <f>regional_houseprice!M10/regional_rent!M10</f>
        <v>157.84219575915802</v>
      </c>
      <c r="N10" s="5">
        <f>regional_houseprice!N10/regional_rent!N10</f>
        <v>202.2321034992236</v>
      </c>
      <c r="O10" s="5">
        <f>regional_houseprice!O10/regional_rent!O10</f>
        <v>270.55840182094869</v>
      </c>
      <c r="P10" s="5">
        <f>regional_houseprice!P10/regional_rent!P10</f>
        <v>228.12069388644724</v>
      </c>
      <c r="Q10" s="5">
        <f>regional_houseprice!Q10/regional_rent!Q10</f>
        <v>238.53260778409555</v>
      </c>
      <c r="R10" s="5">
        <f>regional_houseprice!R10/regional_rent!R10</f>
        <v>240.53793730785566</v>
      </c>
      <c r="S10" s="5">
        <f>regional_houseprice!S10/regional_rent!S10</f>
        <v>226.4402536943046</v>
      </c>
      <c r="T10" s="5">
        <f>regional_houseprice!T10/regional_rent!T10</f>
        <v>224.54749505231564</v>
      </c>
      <c r="U10" s="5">
        <f>regional_houseprice!U10/regional_rent!U10</f>
        <v>268.65235163329692</v>
      </c>
      <c r="V10" s="5">
        <f>regional_houseprice!V10/regional_rent!V10</f>
        <v>207.97865627618037</v>
      </c>
      <c r="W10" s="5">
        <f>regional_houseprice!W10/regional_rent!W10</f>
        <v>204.01958271586261</v>
      </c>
      <c r="X10" s="5">
        <f>regional_houseprice!X10/regional_rent!X10</f>
        <v>168.85687530349213</v>
      </c>
      <c r="Y10" s="5">
        <f>regional_houseprice!Y10/regional_rent!Y10</f>
        <v>205.55428863604249</v>
      </c>
      <c r="Z10" s="5">
        <f>regional_houseprice!Z10/regional_rent!Z10</f>
        <v>166.94505670017205</v>
      </c>
      <c r="AA10" s="5">
        <f>regional_houseprice!AA10/regional_rent!AA10</f>
        <v>208.14703503447291</v>
      </c>
    </row>
    <row r="11" spans="1:28">
      <c r="A11">
        <v>2014</v>
      </c>
      <c r="B11" s="5">
        <f>regional_houseprice!B11/regional_rent!B11</f>
        <v>130.2170272557079</v>
      </c>
      <c r="C11" s="5">
        <f>regional_houseprice!C11/regional_rent!C11</f>
        <v>158.88074789672942</v>
      </c>
      <c r="D11" s="5">
        <f>regional_houseprice!D11/regional_rent!D11</f>
        <v>182.68561338087369</v>
      </c>
      <c r="E11" s="5">
        <f>regional_houseprice!E11/regional_rent!E11</f>
        <v>148.56313107045673</v>
      </c>
      <c r="F11" s="5">
        <f>regional_houseprice!F11/regional_rent!F11</f>
        <v>204.38014320070747</v>
      </c>
      <c r="G11" s="5">
        <f>regional_houseprice!G11/regional_rent!G11</f>
        <v>246.45122334364871</v>
      </c>
      <c r="H11" s="5">
        <f>regional_houseprice!H11/regional_rent!H11</f>
        <v>201.33402266260927</v>
      </c>
      <c r="I11" s="5">
        <f>regional_houseprice!I11/regional_rent!I11</f>
        <v>179.60134723206417</v>
      </c>
      <c r="J11" s="5">
        <f>regional_houseprice!J11/regional_rent!J11</f>
        <v>160.32030202130633</v>
      </c>
      <c r="K11" s="5">
        <f>regional_houseprice!K11/regional_rent!K11</f>
        <v>224.33247115326833</v>
      </c>
      <c r="L11" s="5">
        <f>regional_houseprice!L11/regional_rent!L11</f>
        <v>162.73759034543761</v>
      </c>
      <c r="M11" s="5">
        <f>regional_houseprice!M11/regional_rent!M11</f>
        <v>168.91673892843349</v>
      </c>
      <c r="N11" s="5">
        <f>regional_houseprice!N11/regional_rent!N11</f>
        <v>211.41207488571769</v>
      </c>
      <c r="O11" s="5">
        <f>regional_houseprice!O11/regional_rent!O11</f>
        <v>280.34952143370754</v>
      </c>
      <c r="P11" s="5">
        <f>regional_houseprice!P11/regional_rent!P11</f>
        <v>236.64231438605776</v>
      </c>
      <c r="Q11" s="5">
        <f>regional_houseprice!Q11/regional_rent!Q11</f>
        <v>239.33666286476443</v>
      </c>
      <c r="R11" s="5">
        <f>regional_houseprice!R11/regional_rent!R11</f>
        <v>241.2446102407331</v>
      </c>
      <c r="S11" s="5">
        <f>regional_houseprice!S11/regional_rent!S11</f>
        <v>227.10550924605096</v>
      </c>
      <c r="T11" s="5">
        <f>regional_houseprice!T11/regional_rent!T11</f>
        <v>228.68011338398483</v>
      </c>
      <c r="U11" s="5">
        <f>regional_houseprice!U11/regional_rent!U11</f>
        <v>274.73453291732346</v>
      </c>
      <c r="V11" s="5">
        <f>regional_houseprice!V11/regional_rent!V11</f>
        <v>212.59177462357582</v>
      </c>
      <c r="W11" s="5">
        <f>regional_houseprice!W11/regional_rent!W11</f>
        <v>202.29463432558433</v>
      </c>
      <c r="X11" s="5">
        <f>regional_houseprice!X11/regional_rent!X11</f>
        <v>167.35409404803656</v>
      </c>
      <c r="Y11" s="5">
        <f>regional_houseprice!Y11/regional_rent!Y11</f>
        <v>209.13552385450907</v>
      </c>
      <c r="Z11" s="5">
        <f>regional_houseprice!Z11/regional_rent!Z11</f>
        <v>169.60130301577186</v>
      </c>
      <c r="AA11" s="5">
        <f>regional_houseprice!AA11/regional_rent!AA11</f>
        <v>211.03351186055048</v>
      </c>
    </row>
    <row r="12" spans="1:28">
      <c r="A12">
        <v>2015</v>
      </c>
      <c r="B12" s="5">
        <f>regional_houseprice!B12/regional_rent!B12</f>
        <v>153.2116454154752</v>
      </c>
      <c r="C12" s="5">
        <f>regional_houseprice!C12/regional_rent!C12</f>
        <v>171.0112258563349</v>
      </c>
      <c r="D12" s="5">
        <f>regional_houseprice!D12/regional_rent!D12</f>
        <v>196.29111620368991</v>
      </c>
      <c r="E12" s="5">
        <f>regional_houseprice!E12/regional_rent!E12</f>
        <v>160.59098899998645</v>
      </c>
      <c r="F12" s="5">
        <f>regional_houseprice!F12/regional_rent!F12</f>
        <v>226.83997066159645</v>
      </c>
      <c r="G12" s="5">
        <f>regional_houseprice!G12/regional_rent!G12</f>
        <v>251.4239163525512</v>
      </c>
      <c r="H12" s="5">
        <f>regional_houseprice!H12/regional_rent!H12</f>
        <v>209.0044707294407</v>
      </c>
      <c r="I12" s="5">
        <f>regional_houseprice!I12/regional_rent!I12</f>
        <v>194.01714262740273</v>
      </c>
      <c r="J12" s="5">
        <f>regional_houseprice!J12/regional_rent!J12</f>
        <v>166.08801123150459</v>
      </c>
      <c r="K12" s="5">
        <f>regional_houseprice!K12/regional_rent!K12</f>
        <v>235.74335063614546</v>
      </c>
      <c r="L12" s="5">
        <f>regional_houseprice!L12/regional_rent!L12</f>
        <v>177.11238262096884</v>
      </c>
      <c r="M12" s="5">
        <f>regional_houseprice!M12/regional_rent!M12</f>
        <v>183.88213928985348</v>
      </c>
      <c r="N12" s="5">
        <f>regional_houseprice!N12/regional_rent!N12</f>
        <v>219.22796389164785</v>
      </c>
      <c r="O12" s="5">
        <f>regional_houseprice!O12/regional_rent!O12</f>
        <v>287.41924650691686</v>
      </c>
      <c r="P12" s="5">
        <f>regional_houseprice!P12/regional_rent!P12</f>
        <v>242.88755416713553</v>
      </c>
      <c r="Q12" s="5">
        <f>regional_houseprice!Q12/regional_rent!Q12</f>
        <v>245.24902301736989</v>
      </c>
      <c r="R12" s="5">
        <f>regional_houseprice!R12/regional_rent!R12</f>
        <v>247.09539566276663</v>
      </c>
      <c r="S12" s="5">
        <f>regional_houseprice!S12/regional_rent!S12</f>
        <v>232.61338609119321</v>
      </c>
      <c r="T12" s="5">
        <f>regional_houseprice!T12/regional_rent!T12</f>
        <v>238.19774584671035</v>
      </c>
      <c r="U12" s="5">
        <f>regional_houseprice!U12/regional_rent!U12</f>
        <v>271.61465594028317</v>
      </c>
      <c r="V12" s="5">
        <f>regional_houseprice!V12/regional_rent!V12</f>
        <v>210.08173344220683</v>
      </c>
      <c r="W12" s="5">
        <f>regional_houseprice!W12/regional_rent!W12</f>
        <v>206.80706601984033</v>
      </c>
      <c r="X12" s="5">
        <f>regional_houseprice!X12/regional_rent!X12</f>
        <v>171.00910630312799</v>
      </c>
      <c r="Y12" s="5">
        <f>regional_houseprice!Y12/regional_rent!Y12</f>
        <v>208.99030174732556</v>
      </c>
      <c r="Z12" s="5">
        <f>regional_houseprice!Z12/regional_rent!Z12</f>
        <v>169.22667425994092</v>
      </c>
      <c r="AA12" s="5">
        <f>regional_houseprice!AA12/regional_rent!AA12</f>
        <v>210.13680141149405</v>
      </c>
    </row>
    <row r="13" spans="1:28">
      <c r="A13">
        <v>2016</v>
      </c>
      <c r="B13" s="5">
        <f>regional_houseprice!B13/regional_rent!B13</f>
        <v>165.1804239362352</v>
      </c>
      <c r="C13" s="5">
        <f>regional_houseprice!C13/regional_rent!C13</f>
        <v>189.07198725233596</v>
      </c>
      <c r="D13" s="5">
        <f>regional_houseprice!D13/regional_rent!D13</f>
        <v>209.87709194884459</v>
      </c>
      <c r="E13" s="5">
        <f>regional_houseprice!E13/regional_rent!E13</f>
        <v>171.13176052541334</v>
      </c>
      <c r="F13" s="5">
        <f>regional_houseprice!F13/regional_rent!F13</f>
        <v>241.92428400413323</v>
      </c>
      <c r="G13" s="5">
        <f>regional_houseprice!G13/regional_rent!G13</f>
        <v>251.52184740009912</v>
      </c>
      <c r="H13" s="5">
        <f>regional_houseprice!H13/regional_rent!H13</f>
        <v>217.36630575456383</v>
      </c>
      <c r="I13" s="5">
        <f>regional_houseprice!I13/regional_rent!I13</f>
        <v>210.21244565943223</v>
      </c>
      <c r="J13" s="5">
        <f>regional_houseprice!J13/regional_rent!J13</f>
        <v>167.58139894550837</v>
      </c>
      <c r="K13" s="5">
        <f>regional_houseprice!K13/regional_rent!K13</f>
        <v>242.29832789155392</v>
      </c>
      <c r="L13" s="5">
        <f>regional_houseprice!L13/regional_rent!L13</f>
        <v>185.18711977525362</v>
      </c>
      <c r="M13" s="5">
        <f>regional_houseprice!M13/regional_rent!M13</f>
        <v>193.4021200400185</v>
      </c>
      <c r="N13" s="5">
        <f>regional_houseprice!N13/regional_rent!N13</f>
        <v>214.9526100933343</v>
      </c>
      <c r="O13" s="5">
        <f>regional_houseprice!O13/regional_rent!O13</f>
        <v>284.23535294354264</v>
      </c>
      <c r="P13" s="5">
        <f>regional_houseprice!P13/regional_rent!P13</f>
        <v>240.49413777944866</v>
      </c>
      <c r="Q13" s="5">
        <f>regional_houseprice!Q13/regional_rent!Q13</f>
        <v>248.06833450862578</v>
      </c>
      <c r="R13" s="5">
        <f>regional_houseprice!R13/regional_rent!R13</f>
        <v>249.81678121698343</v>
      </c>
      <c r="S13" s="5">
        <f>regional_houseprice!S13/regional_rent!S13</f>
        <v>235.17527400872436</v>
      </c>
      <c r="T13" s="5">
        <f>regional_houseprice!T13/regional_rent!T13</f>
        <v>246.45269175093404</v>
      </c>
      <c r="U13" s="5">
        <f>regional_houseprice!U13/regional_rent!U13</f>
        <v>269.18792854970155</v>
      </c>
      <c r="V13" s="5">
        <f>regional_houseprice!V13/regional_rent!V13</f>
        <v>208.10211524509131</v>
      </c>
      <c r="W13" s="5">
        <f>regional_houseprice!W13/regional_rent!W13</f>
        <v>204.26498833208473</v>
      </c>
      <c r="X13" s="5">
        <f>regional_houseprice!X13/regional_rent!X13</f>
        <v>168.82377985637055</v>
      </c>
      <c r="Y13" s="5">
        <f>regional_houseprice!Y13/regional_rent!Y13</f>
        <v>199.40430502916365</v>
      </c>
      <c r="Z13" s="5">
        <f>regional_houseprice!Z13/regional_rent!Z13</f>
        <v>161.198990385879</v>
      </c>
      <c r="AA13" s="5">
        <f>regional_houseprice!AA13/regional_rent!AA13</f>
        <v>199.72590003440993</v>
      </c>
    </row>
    <row r="14" spans="1:28">
      <c r="A14">
        <v>2017</v>
      </c>
      <c r="B14" s="5">
        <f>regional_houseprice!B14/regional_rent!B14</f>
        <v>166.19591803172466</v>
      </c>
      <c r="C14" s="5">
        <f>regional_houseprice!C14/regional_rent!C14</f>
        <v>201.84444036747311</v>
      </c>
      <c r="D14" s="5">
        <f>regional_houseprice!D14/regional_rent!D14</f>
        <v>225.42072389917985</v>
      </c>
      <c r="E14" s="5">
        <f>regional_houseprice!E14/regional_rent!E14</f>
        <v>187.26035552452868</v>
      </c>
      <c r="F14" s="5">
        <f>regional_houseprice!F14/regional_rent!F14</f>
        <v>256.19488677633547</v>
      </c>
      <c r="G14" s="5">
        <f>regional_houseprice!G14/regional_rent!G14</f>
        <v>256.1649640414314</v>
      </c>
      <c r="H14" s="5">
        <f>regional_houseprice!H14/regional_rent!H14</f>
        <v>233.61903930634571</v>
      </c>
      <c r="I14" s="5">
        <f>regional_houseprice!I14/regional_rent!I14</f>
        <v>219.49985606063285</v>
      </c>
      <c r="J14" s="5">
        <f>regional_houseprice!J14/regional_rent!J14</f>
        <v>168.00013564132843</v>
      </c>
      <c r="K14" s="5">
        <f>regional_houseprice!K14/regional_rent!K14</f>
        <v>249.90826339514075</v>
      </c>
      <c r="L14" s="5">
        <f>regional_houseprice!L14/regional_rent!L14</f>
        <v>189.52007632841642</v>
      </c>
      <c r="M14" s="5">
        <f>regional_houseprice!M14/regional_rent!M14</f>
        <v>199.03625858144247</v>
      </c>
      <c r="N14" s="5">
        <f>regional_houseprice!N14/regional_rent!N14</f>
        <v>210.59566232014788</v>
      </c>
      <c r="O14" s="5">
        <f>regional_houseprice!O14/regional_rent!O14</f>
        <v>287.85391587568625</v>
      </c>
      <c r="P14" s="5">
        <f>regional_houseprice!P14/regional_rent!P14</f>
        <v>243.8307521736096</v>
      </c>
      <c r="Q14" s="5">
        <f>regional_houseprice!Q14/regional_rent!Q14</f>
        <v>258.28231363370941</v>
      </c>
      <c r="R14" s="5">
        <f>regional_houseprice!R14/regional_rent!R14</f>
        <v>259.98927198291818</v>
      </c>
      <c r="S14" s="5">
        <f>regional_houseprice!S14/regional_rent!S14</f>
        <v>244.75156544749697</v>
      </c>
      <c r="T14" s="5">
        <f>regional_houseprice!T14/regional_rent!T14</f>
        <v>260.61945825110325</v>
      </c>
      <c r="U14" s="5">
        <f>regional_houseprice!U14/regional_rent!U14</f>
        <v>270.47095272713301</v>
      </c>
      <c r="V14" s="5">
        <f>regional_houseprice!V14/regional_rent!V14</f>
        <v>208.9999033031886</v>
      </c>
      <c r="W14" s="5">
        <f>regional_houseprice!W14/regional_rent!W14</f>
        <v>211.97300131911243</v>
      </c>
      <c r="X14" s="5">
        <f>regional_houseprice!X14/regional_rent!X14</f>
        <v>175.11557534096789</v>
      </c>
      <c r="Y14" s="5">
        <f>regional_houseprice!Y14/regional_rent!Y14</f>
        <v>191.56681079422881</v>
      </c>
      <c r="Z14" s="5">
        <f>regional_houseprice!Z14/regional_rent!Z14</f>
        <v>154.62976063885918</v>
      </c>
      <c r="AA14" s="5">
        <f>regional_houseprice!AA14/regional_rent!AA14</f>
        <v>191.19993795606962</v>
      </c>
    </row>
    <row r="15" spans="1:28">
      <c r="A15">
        <v>2018</v>
      </c>
      <c r="B15" s="5">
        <f>regional_houseprice!B15/regional_rent!B15</f>
        <v>157.9627759550267</v>
      </c>
      <c r="C15" s="5">
        <f>regional_houseprice!C15/regional_rent!C15</f>
        <v>209.37494580423424</v>
      </c>
      <c r="D15" s="5">
        <f>regional_houseprice!D15/regional_rent!D15</f>
        <v>231.67755124578289</v>
      </c>
      <c r="E15" s="5">
        <f>regional_houseprice!E15/regional_rent!E15</f>
        <v>195.62549901701874</v>
      </c>
      <c r="F15" s="5">
        <f>regional_houseprice!F15/regional_rent!F15</f>
        <v>264.1412928370471</v>
      </c>
      <c r="G15" s="5">
        <f>regional_houseprice!G15/regional_rent!G15</f>
        <v>254.71813968857407</v>
      </c>
      <c r="H15" s="5">
        <f>regional_houseprice!H15/regional_rent!H15</f>
        <v>238.29503548039719</v>
      </c>
      <c r="I15" s="5">
        <f>regional_houseprice!I15/regional_rent!I15</f>
        <v>217.45963575167909</v>
      </c>
      <c r="J15" s="5">
        <f>regional_houseprice!J15/regional_rent!J15</f>
        <v>164.05474722841257</v>
      </c>
      <c r="K15" s="5">
        <f>regional_houseprice!K15/regional_rent!K15</f>
        <v>251.42617366405878</v>
      </c>
      <c r="L15" s="5">
        <f>regional_houseprice!L15/regional_rent!L15</f>
        <v>189.80142424598102</v>
      </c>
      <c r="M15" s="5">
        <f>regional_houseprice!M15/regional_rent!M15</f>
        <v>195.48939843426814</v>
      </c>
      <c r="N15" s="5">
        <f>regional_houseprice!N15/regional_rent!N15</f>
        <v>206.73482174578041</v>
      </c>
      <c r="O15" s="5">
        <f>regional_houseprice!O15/regional_rent!O15</f>
        <v>287.22779878260212</v>
      </c>
      <c r="P15" s="5">
        <f>regional_houseprice!P15/regional_rent!P15</f>
        <v>243.57250799762033</v>
      </c>
      <c r="Q15" s="5">
        <f>regional_houseprice!Q15/regional_rent!Q15</f>
        <v>261.24728577663069</v>
      </c>
      <c r="R15" s="5">
        <f>regional_houseprice!R15/regional_rent!R15</f>
        <v>262.85982758685913</v>
      </c>
      <c r="S15" s="5">
        <f>regional_houseprice!S15/regional_rent!S15</f>
        <v>247.45388071000826</v>
      </c>
      <c r="T15" s="5">
        <f>regional_houseprice!T15/regional_rent!T15</f>
        <v>262.31896393071037</v>
      </c>
      <c r="U15" s="5">
        <f>regional_houseprice!U15/regional_rent!U15</f>
        <v>262.01317624672868</v>
      </c>
      <c r="V15" s="5">
        <f>regional_houseprice!V15/regional_rent!V15</f>
        <v>202.37407050251113</v>
      </c>
      <c r="W15" s="5">
        <f>regional_houseprice!W15/regional_rent!W15</f>
        <v>223.69888506155928</v>
      </c>
      <c r="X15" s="5">
        <f>regional_houseprice!X15/regional_rent!X15</f>
        <v>184.72017301489947</v>
      </c>
      <c r="Y15" s="5">
        <f>regional_houseprice!Y15/regional_rent!Y15</f>
        <v>189.88731850041788</v>
      </c>
      <c r="Z15" s="5">
        <f>regional_houseprice!Z15/regional_rent!Z15</f>
        <v>153.04432060173212</v>
      </c>
      <c r="AA15" s="5">
        <f>regional_houseprice!AA15/regional_rent!AA15</f>
        <v>188.86092493400201</v>
      </c>
    </row>
    <row r="16" spans="1:28">
      <c r="A16">
        <v>2019</v>
      </c>
      <c r="B16" s="5">
        <f>regional_houseprice!B16/regional_rent!B16</f>
        <v>144.18267655517721</v>
      </c>
      <c r="C16" s="5">
        <f>regional_houseprice!C16/regional_rent!C16</f>
        <v>198.30093665005467</v>
      </c>
      <c r="D16" s="5">
        <f>regional_houseprice!D16/regional_rent!D16</f>
        <v>230.96791648803588</v>
      </c>
      <c r="E16" s="5">
        <f>regional_houseprice!E16/regional_rent!E16</f>
        <v>188.19396274233827</v>
      </c>
      <c r="F16" s="5">
        <f>regional_houseprice!F16/regional_rent!F16</f>
        <v>258.58623836794197</v>
      </c>
      <c r="G16" s="5">
        <f>regional_houseprice!G16/regional_rent!G16</f>
        <v>245.66344739765611</v>
      </c>
      <c r="H16" s="5">
        <f>regional_houseprice!H16/regional_rent!H16</f>
        <v>226.80303569389108</v>
      </c>
      <c r="I16" s="5">
        <f>regional_houseprice!I16/regional_rent!I16</f>
        <v>207.50848901361908</v>
      </c>
      <c r="J16" s="5">
        <f>regional_houseprice!J16/regional_rent!J16</f>
        <v>157.70594637827253</v>
      </c>
      <c r="K16" s="5">
        <f>regional_houseprice!K16/regional_rent!K16</f>
        <v>242.80309658415442</v>
      </c>
      <c r="L16" s="5">
        <f>regional_houseprice!L16/regional_rent!L16</f>
        <v>186.50387148236601</v>
      </c>
      <c r="M16" s="5">
        <f>regional_houseprice!M16/regional_rent!M16</f>
        <v>183.12288566640817</v>
      </c>
      <c r="N16" s="5">
        <f>regional_houseprice!N16/regional_rent!N16</f>
        <v>204.39269966213448</v>
      </c>
      <c r="O16" s="5">
        <f>regional_houseprice!O16/regional_rent!O16</f>
        <v>283.31993757467558</v>
      </c>
      <c r="P16" s="5">
        <f>regional_houseprice!P16/regional_rent!P16</f>
        <v>240.51594713174237</v>
      </c>
      <c r="Q16" s="5">
        <f>regional_houseprice!Q16/regional_rent!Q16</f>
        <v>259.84091434592204</v>
      </c>
      <c r="R16" s="5">
        <f>regional_houseprice!R16/regional_rent!R16</f>
        <v>261.3359114199871</v>
      </c>
      <c r="S16" s="5">
        <f>regional_houseprice!S16/regional_rent!S16</f>
        <v>246.01927971817508</v>
      </c>
      <c r="T16" s="5">
        <f>regional_houseprice!T16/regional_rent!T16</f>
        <v>256.28545083020407</v>
      </c>
      <c r="U16" s="5">
        <f>regional_houseprice!U16/regional_rent!U16</f>
        <v>258.45070739715106</v>
      </c>
      <c r="V16" s="5">
        <f>regional_houseprice!V16/regional_rent!V16</f>
        <v>199.53720654677619</v>
      </c>
      <c r="W16" s="5">
        <f>regional_houseprice!W16/regional_rent!W16</f>
        <v>228.70031623450873</v>
      </c>
      <c r="X16" s="5">
        <f>regional_houseprice!X16/regional_rent!X16</f>
        <v>188.76944538546877</v>
      </c>
      <c r="Y16" s="5">
        <f>regional_houseprice!Y16/regional_rent!Y16</f>
        <v>187.15716607068225</v>
      </c>
      <c r="Z16" s="5">
        <f>regional_houseprice!Z16/regional_rent!Z16</f>
        <v>150.62646663200101</v>
      </c>
      <c r="AA16" s="5">
        <f>regional_houseprice!AA16/regional_rent!AA16</f>
        <v>185.52089290422367</v>
      </c>
    </row>
    <row r="17" spans="1:27">
      <c r="A17">
        <v>2020</v>
      </c>
      <c r="B17" s="5">
        <f>regional_houseprice!B17/regional_rent!B17</f>
        <v>159.79541374692167</v>
      </c>
      <c r="C17" s="5">
        <f>regional_houseprice!C17/regional_rent!C17</f>
        <v>221.06930781887618</v>
      </c>
      <c r="D17" s="5">
        <f>regional_houseprice!D17/regional_rent!D17</f>
        <v>263.78372971675765</v>
      </c>
      <c r="E17" s="5">
        <f>regional_houseprice!E17/regional_rent!E17</f>
        <v>217.59045431232491</v>
      </c>
      <c r="F17" s="5">
        <f>regional_houseprice!F17/regional_rent!F17</f>
        <v>304.16765763776283</v>
      </c>
      <c r="G17" s="5">
        <f>regional_houseprice!G17/regional_rent!G17</f>
        <v>276.7772042434222</v>
      </c>
      <c r="H17" s="5">
        <f>regional_houseprice!H17/regional_rent!H17</f>
        <v>257.44148634648724</v>
      </c>
      <c r="I17" s="5">
        <f>regional_houseprice!I17/regional_rent!I17</f>
        <v>228.51083329589835</v>
      </c>
      <c r="J17" s="5">
        <f>regional_houseprice!J17/regional_rent!J17</f>
        <v>178.65199034209573</v>
      </c>
      <c r="K17" s="5">
        <f>regional_houseprice!K17/regional_rent!K17</f>
        <v>275.52678755398813</v>
      </c>
      <c r="L17" s="5">
        <f>regional_houseprice!L17/regional_rent!L17</f>
        <v>227.56521866816206</v>
      </c>
      <c r="M17" s="5">
        <f>regional_houseprice!M17/regional_rent!M17</f>
        <v>206.52231438655716</v>
      </c>
      <c r="N17" s="5">
        <f>regional_houseprice!N17/regional_rent!N17</f>
        <v>240.16215170106824</v>
      </c>
      <c r="O17" s="5">
        <f>regional_houseprice!O17/regional_rent!O17</f>
        <v>319.65246419489409</v>
      </c>
      <c r="P17" s="5">
        <f>regional_houseprice!P17/regional_rent!P17</f>
        <v>271.59877908680909</v>
      </c>
      <c r="Q17" s="5">
        <f>regional_houseprice!Q17/regional_rent!Q17</f>
        <v>298.15140842542826</v>
      </c>
      <c r="R17" s="5">
        <f>regional_houseprice!R17/regional_rent!R17</f>
        <v>299.76370182733314</v>
      </c>
      <c r="S17" s="5">
        <f>regional_houseprice!S17/regional_rent!S17</f>
        <v>282.19485645314199</v>
      </c>
      <c r="T17" s="5">
        <f>regional_houseprice!T17/regional_rent!T17</f>
        <v>284.41562426078133</v>
      </c>
      <c r="U17" s="5">
        <f>regional_houseprice!U17/regional_rent!U17</f>
        <v>286.47426822923387</v>
      </c>
      <c r="V17" s="5">
        <f>regional_houseprice!V17/regional_rent!V17</f>
        <v>221.09497759006138</v>
      </c>
      <c r="W17" s="5">
        <f>regional_houseprice!W17/regional_rent!W17</f>
        <v>266.17298593072638</v>
      </c>
      <c r="X17" s="5">
        <f>regional_houseprice!X17/regional_rent!X17</f>
        <v>219.62208336338463</v>
      </c>
      <c r="Y17" s="5">
        <f>regional_houseprice!Y17/regional_rent!Y17</f>
        <v>223.60640497555059</v>
      </c>
      <c r="Z17" s="5">
        <f>regional_houseprice!Z17/regional_rent!Z17</f>
        <v>179.74682889049458</v>
      </c>
      <c r="AA17" s="5">
        <f>regional_houseprice!AA17/regional_rent!AA17</f>
        <v>221.0375195692412</v>
      </c>
    </row>
    <row r="18" spans="1:27">
      <c r="A18">
        <v>2021</v>
      </c>
      <c r="B18" s="2">
        <f>regional_houseprice!B18/regional_rent!B18</f>
        <v>197.47602413464591</v>
      </c>
      <c r="C18" s="2">
        <f>regional_houseprice!C18/regional_rent!C18</f>
        <v>267.53194688048109</v>
      </c>
      <c r="D18" s="2">
        <f>regional_houseprice!D18/regional_rent!D18</f>
        <v>340.93229166666669</v>
      </c>
      <c r="E18" s="2">
        <f>regional_houseprice!E18/regional_rent!E18</f>
        <v>275.63423423423421</v>
      </c>
      <c r="F18" s="2">
        <f>regional_houseprice!F18/regional_rent!F18</f>
        <v>409.1109677419355</v>
      </c>
      <c r="G18" s="2">
        <f>regional_houseprice!G18/regional_rent!G18</f>
        <v>336.8265691363851</v>
      </c>
      <c r="H18" s="2">
        <f>regional_houseprice!H18/regional_rent!H18</f>
        <v>318.50197072072069</v>
      </c>
      <c r="I18" s="2">
        <f>regional_houseprice!I18/regional_rent!I18</f>
        <v>277.43173161441547</v>
      </c>
      <c r="J18" s="2">
        <f>regional_houseprice!J18/regional_rent!J18</f>
        <v>218.38235294117646</v>
      </c>
      <c r="K18" s="2">
        <f>regional_houseprice!K18/regional_rent!K18</f>
        <v>349.5681211041852</v>
      </c>
      <c r="L18" s="2">
        <f>regional_houseprice!L18/regional_rent!L18</f>
        <v>307.70783132530124</v>
      </c>
      <c r="M18" s="2">
        <f>regional_houseprice!M18/regional_rent!M18</f>
        <v>265.25367863449088</v>
      </c>
      <c r="N18" s="2">
        <f>regional_houseprice!N18/regional_rent!N18</f>
        <v>309.93302850995161</v>
      </c>
      <c r="O18" s="2">
        <f>regional_houseprice!O18/regional_rent!O18</f>
        <v>396.24745639534882</v>
      </c>
      <c r="P18" s="2">
        <f>regional_houseprice!P18/regional_rent!P18</f>
        <v>336.96919127086005</v>
      </c>
      <c r="Q18" s="2">
        <f>regional_houseprice!Q18/regional_rent!Q18</f>
        <v>365.08099062918342</v>
      </c>
      <c r="R18" s="2">
        <f>regional_houseprice!R18/regional_rent!R18</f>
        <v>366.93169582772543</v>
      </c>
      <c r="S18" s="2">
        <f>regional_houseprice!S18/regional_rent!S18</f>
        <v>345.42620270901449</v>
      </c>
      <c r="T18" s="2">
        <f>regional_houseprice!T18/regional_rent!T18</f>
        <v>344.05730075625365</v>
      </c>
      <c r="U18" s="2">
        <f>regional_houseprice!U18/regional_rent!U18</f>
        <v>345.70292887029285</v>
      </c>
      <c r="V18" s="2">
        <f>regional_houseprice!V18/regional_rent!V18</f>
        <v>266.71473265073951</v>
      </c>
      <c r="W18" s="2">
        <f>regional_houseprice!W18/regional_rent!W18</f>
        <v>321.95307262569833</v>
      </c>
      <c r="X18" s="2">
        <f>regional_houseprice!X18/regional_rent!X18</f>
        <v>265.55549525101765</v>
      </c>
      <c r="Y18" s="2">
        <f>regional_houseprice!Y18/regional_rent!Y18</f>
        <v>297.91808722603497</v>
      </c>
      <c r="Z18" s="2">
        <f>regional_houseprice!Z18/regional_rent!Z18</f>
        <v>239.20306181398036</v>
      </c>
      <c r="AA18" s="2">
        <f>regional_houseprice!AA18/regional_rent!AA18</f>
        <v>293.69783616692428</v>
      </c>
    </row>
    <row r="19" spans="1:27">
      <c r="A19">
        <v>2022</v>
      </c>
      <c r="B19" s="2">
        <f>regional_houseprice!B19/regional_rent!B19</f>
        <v>250.59743921061906</v>
      </c>
      <c r="C19" s="2">
        <f>regional_houseprice!C19/regional_rent!C19</f>
        <v>325.44863517952206</v>
      </c>
      <c r="D19" s="2">
        <f>regional_houseprice!D19/regional_rent!D19</f>
        <v>384.28207449560267</v>
      </c>
      <c r="E19" s="2">
        <f>regional_houseprice!E19/regional_rent!E19</f>
        <v>264.37596774193548</v>
      </c>
      <c r="F19" s="2">
        <f>regional_houseprice!F19/regional_rent!F19</f>
        <v>460.3537921964051</v>
      </c>
      <c r="G19" s="2">
        <f>regional_houseprice!G19/regional_rent!G19</f>
        <v>368.66101694915255</v>
      </c>
      <c r="H19" s="2">
        <f>regional_houseprice!H19/regional_rent!H19</f>
        <v>311.92446473209435</v>
      </c>
      <c r="I19" s="2">
        <f>regional_houseprice!I19/regional_rent!I19</f>
        <v>306.59300731261425</v>
      </c>
      <c r="J19" s="2">
        <f>regional_houseprice!J19/regional_rent!J19</f>
        <v>226.60996488147498</v>
      </c>
      <c r="K19" s="2">
        <f>regional_houseprice!K19/regional_rent!K19</f>
        <v>391.33654202147352</v>
      </c>
      <c r="L19" s="2">
        <f>regional_houseprice!L19/regional_rent!L19</f>
        <v>276.32440859486201</v>
      </c>
      <c r="M19" s="2">
        <f>regional_houseprice!M19/regional_rent!M19</f>
        <v>318.60337005832793</v>
      </c>
      <c r="N19" s="2">
        <f>regional_houseprice!N19/regional_rent!N19</f>
        <v>370.86019602504768</v>
      </c>
      <c r="O19" s="2">
        <f>regional_houseprice!O19/regional_rent!O19</f>
        <v>367.12101824121976</v>
      </c>
      <c r="P19" s="2">
        <f>regional_houseprice!P19/regional_rent!P19</f>
        <v>379.19544381164053</v>
      </c>
      <c r="Q19" s="2">
        <f>regional_houseprice!Q19/regional_rent!Q19</f>
        <v>389.02310325156867</v>
      </c>
      <c r="R19" s="2">
        <f>regional_houseprice!R19/regional_rent!R19</f>
        <v>384.33034749034744</v>
      </c>
      <c r="S19" s="2">
        <f>regional_houseprice!S19/regional_rent!S19</f>
        <v>412.12618157836886</v>
      </c>
      <c r="T19" s="2">
        <f>regional_houseprice!T19/regional_rent!T19</f>
        <v>436.51811867733659</v>
      </c>
      <c r="U19" s="2">
        <f>regional_houseprice!U19/regional_rent!U19</f>
        <v>400.42886884108259</v>
      </c>
      <c r="V19" s="2">
        <f>regional_houseprice!V19/regional_rent!V19</f>
        <v>373.48364648573414</v>
      </c>
      <c r="W19" s="2">
        <f>regional_houseprice!W19/regional_rent!W19</f>
        <v>476.92182289736945</v>
      </c>
      <c r="X19" s="2">
        <f>regional_houseprice!X19/regional_rent!X19</f>
        <v>397.55682605682608</v>
      </c>
      <c r="Y19" s="2">
        <f>regional_houseprice!Y19/regional_rent!Y19</f>
        <v>376.4893928310168</v>
      </c>
      <c r="Z19" s="2">
        <f>regional_houseprice!Z19/regional_rent!Z19</f>
        <v>377.78148808558922</v>
      </c>
      <c r="AA19" s="2">
        <f>regional_houseprice!AA19/regional_rent!AA19</f>
        <v>399.94180392156863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EDB82-8492-8743-BE2D-5A5CD514A760}">
  <dimension ref="A1:AB19"/>
  <sheetViews>
    <sheetView zoomScale="114" workbookViewId="0">
      <selection activeCell="P8" sqref="P8"/>
    </sheetView>
  </sheetViews>
  <sheetFormatPr baseColWidth="10" defaultRowHeight="16"/>
  <cols>
    <col min="11" max="11" width="15.33203125" customWidth="1"/>
    <col min="16" max="16" width="12" customWidth="1"/>
    <col min="23" max="23" width="15.83203125" customWidth="1"/>
  </cols>
  <sheetData>
    <row r="1" spans="1:28">
      <c r="A1" t="s">
        <v>0</v>
      </c>
      <c r="B1" s="73" t="s">
        <v>95</v>
      </c>
      <c r="C1" s="73" t="s">
        <v>105</v>
      </c>
      <c r="D1" s="73" t="s">
        <v>106</v>
      </c>
      <c r="E1" s="73" t="s">
        <v>107</v>
      </c>
      <c r="F1" s="73" t="s">
        <v>108</v>
      </c>
      <c r="G1" s="73" t="s">
        <v>109</v>
      </c>
      <c r="H1" s="73" t="s">
        <v>111</v>
      </c>
      <c r="I1" s="73" t="s">
        <v>112</v>
      </c>
      <c r="J1" s="73" t="s">
        <v>113</v>
      </c>
      <c r="K1" s="73" t="s">
        <v>114</v>
      </c>
      <c r="L1" s="73" t="s">
        <v>115</v>
      </c>
      <c r="M1" s="73" t="s">
        <v>116</v>
      </c>
      <c r="N1" s="73" t="s">
        <v>117</v>
      </c>
      <c r="O1" s="73" t="s">
        <v>118</v>
      </c>
      <c r="P1" s="73" t="s">
        <v>119</v>
      </c>
      <c r="Q1" s="73" t="s">
        <v>120</v>
      </c>
      <c r="R1" s="73" t="s">
        <v>121</v>
      </c>
      <c r="S1" s="73" t="s">
        <v>122</v>
      </c>
      <c r="T1" s="73" t="s">
        <v>123</v>
      </c>
      <c r="U1" s="73" t="s">
        <v>130</v>
      </c>
      <c r="V1" s="73" t="s">
        <v>129</v>
      </c>
      <c r="W1" s="73" t="s">
        <v>132</v>
      </c>
      <c r="X1" s="73" t="s">
        <v>133</v>
      </c>
      <c r="Y1" s="73" t="s">
        <v>125</v>
      </c>
      <c r="Z1" s="73" t="s">
        <v>126</v>
      </c>
      <c r="AA1" s="73" t="s">
        <v>127</v>
      </c>
    </row>
    <row r="2" spans="1:28">
      <c r="A2">
        <v>2005</v>
      </c>
      <c r="B2" s="5">
        <f>regional_houseprice!B2/regional_rent!B2</f>
        <v>72.344726962004984</v>
      </c>
      <c r="C2" s="5">
        <f>regional_houseprice!C2/regional_rent!C2</f>
        <v>141.27845404531811</v>
      </c>
      <c r="D2" s="5">
        <f>regional_houseprice!D2/regional_rent!D2</f>
        <v>171.28355781087831</v>
      </c>
      <c r="E2" s="5">
        <f>regional_houseprice!E2/regional_rent!E2</f>
        <v>101.86069171201773</v>
      </c>
      <c r="F2" s="5">
        <f>regional_houseprice!F2/regional_rent!F2</f>
        <v>154.85706512060671</v>
      </c>
      <c r="G2" s="5">
        <f>regional_houseprice!G2/regional_rent!G2</f>
        <v>215.14174824294727</v>
      </c>
      <c r="H2" s="5">
        <f>regional_houseprice!H2/regional_rent!H2</f>
        <v>188.45543822316193</v>
      </c>
      <c r="I2" s="5">
        <f>regional_houseprice!I2/regional_rent!I2</f>
        <v>167.29362069541173</v>
      </c>
      <c r="J2" s="5">
        <f>regional_houseprice!J2/regional_rent!J2</f>
        <v>134.05378658090748</v>
      </c>
      <c r="K2" s="5">
        <f>regional_houseprice!K2/regional_rent!K2</f>
        <v>176.05356895062971</v>
      </c>
      <c r="L2" s="5">
        <f>regional_houseprice!L2/regional_rent!L2</f>
        <v>111.38352631968993</v>
      </c>
      <c r="M2" s="5">
        <f>regional_houseprice!M2/regional_rent!M2</f>
        <v>121.1750395616649</v>
      </c>
      <c r="N2" s="5">
        <f>regional_houseprice!N2/regional_rent!N2</f>
        <v>208.21715497260612</v>
      </c>
      <c r="O2" s="5">
        <f>regional_houseprice!O2/regional_rent!O2</f>
        <v>261.86654006076867</v>
      </c>
      <c r="P2" s="5">
        <f>regional_houseprice!P2/regional_rent!P2</f>
        <v>216.1025227282195</v>
      </c>
      <c r="Q2" s="5">
        <f>regional_houseprice!Q2/regional_rent!Q2</f>
        <v>233.76011691539733</v>
      </c>
      <c r="R2" s="5">
        <f>regional_houseprice!R2/regional_rent!R2</f>
        <v>237.61854138102552</v>
      </c>
      <c r="S2" s="5">
        <f>regional_houseprice!S2/regional_rent!S2</f>
        <v>223.69196059050429</v>
      </c>
      <c r="T2" s="5">
        <f>regional_houseprice!T2/regional_rent!T2</f>
        <v>227.75638385924719</v>
      </c>
      <c r="U2" s="5">
        <f>regional_houseprice!U2/regional_rent!U2</f>
        <v>248.34261230746202</v>
      </c>
      <c r="V2" s="5">
        <f>regional_houseprice!V2/regional_rent!V2</f>
        <v>193.9043869052779</v>
      </c>
      <c r="W2" s="5">
        <f>regional_houseprice!W2/regional_rent!W2</f>
        <v>211.39757071537807</v>
      </c>
      <c r="X2" s="5">
        <f>regional_houseprice!X2/regional_rent!X2</f>
        <v>176.46360766807771</v>
      </c>
      <c r="Y2" s="5">
        <f>regional_houseprice!Y2/regional_rent!Y2</f>
        <v>149.8724842424414</v>
      </c>
      <c r="Z2" s="5">
        <f>regional_houseprice!Z2/regional_rent!Z2</f>
        <v>125.08761787902189</v>
      </c>
      <c r="AA2" s="5">
        <f>regional_houseprice!AA2/regional_rent!AA2</f>
        <v>162.03781929250044</v>
      </c>
      <c r="AB2" s="5"/>
    </row>
    <row r="3" spans="1:28">
      <c r="A3">
        <v>2006</v>
      </c>
      <c r="B3" s="5">
        <f>regional_houseprice!B3/regional_rent!B3</f>
        <v>88.244069170127858</v>
      </c>
      <c r="C3" s="5">
        <f>regional_houseprice!C3/regional_rent!C3</f>
        <v>163.47106627615568</v>
      </c>
      <c r="D3" s="5">
        <f>regional_houseprice!D3/regional_rent!D3</f>
        <v>196.99267961848957</v>
      </c>
      <c r="E3" s="5">
        <f>regional_houseprice!E3/regional_rent!E3</f>
        <v>122.06012020423057</v>
      </c>
      <c r="F3" s="5">
        <f>regional_houseprice!F3/regional_rent!F3</f>
        <v>181.86667101553525</v>
      </c>
      <c r="G3" s="5">
        <f>regional_houseprice!G3/regional_rent!G3</f>
        <v>244.56265770521668</v>
      </c>
      <c r="H3" s="5">
        <f>regional_houseprice!H3/regional_rent!H3</f>
        <v>216.46982572948295</v>
      </c>
      <c r="I3" s="5">
        <f>regional_houseprice!I3/regional_rent!I3</f>
        <v>192.67697680780688</v>
      </c>
      <c r="J3" s="5">
        <f>regional_houseprice!J3/regional_rent!J3</f>
        <v>155.74355348209005</v>
      </c>
      <c r="K3" s="5">
        <f>regional_houseprice!K3/regional_rent!K3</f>
        <v>203.59181350285286</v>
      </c>
      <c r="L3" s="5">
        <f>regional_houseprice!L3/regional_rent!L3</f>
        <v>129.64859500000077</v>
      </c>
      <c r="M3" s="5">
        <f>regional_houseprice!M3/regional_rent!M3</f>
        <v>141.70207295413036</v>
      </c>
      <c r="N3" s="5">
        <f>regional_houseprice!N3/regional_rent!N3</f>
        <v>233.93732102945773</v>
      </c>
      <c r="O3" s="5">
        <f>regional_houseprice!O3/regional_rent!O3</f>
        <v>293.99348844880279</v>
      </c>
      <c r="P3" s="5">
        <f>regional_houseprice!P3/regional_rent!P3</f>
        <v>244.30634137839206</v>
      </c>
      <c r="Q3" s="5">
        <f>regional_houseprice!Q3/regional_rent!Q3</f>
        <v>265.56100573482871</v>
      </c>
      <c r="R3" s="5">
        <f>regional_houseprice!R3/regional_rent!R3</f>
        <v>269.25915612523522</v>
      </c>
      <c r="S3" s="5">
        <f>regional_houseprice!S3/regional_rent!S3</f>
        <v>253.47815111791684</v>
      </c>
      <c r="T3" s="5">
        <f>regional_houseprice!T3/regional_rent!T3</f>
        <v>260.38162765709478</v>
      </c>
      <c r="U3" s="5">
        <f>regional_houseprice!U3/regional_rent!U3</f>
        <v>279.46864123265334</v>
      </c>
      <c r="V3" s="5">
        <f>regional_houseprice!V3/regional_rent!V3</f>
        <v>217.60622588671058</v>
      </c>
      <c r="W3" s="5">
        <f>regional_houseprice!W3/regional_rent!W3</f>
        <v>238.43048229497191</v>
      </c>
      <c r="X3" s="5">
        <f>regional_houseprice!X3/regional_rent!X3</f>
        <v>198.48092833053357</v>
      </c>
      <c r="Y3" s="5">
        <f>regional_houseprice!Y3/regional_rent!Y3</f>
        <v>172.2523641223307</v>
      </c>
      <c r="Z3" s="5">
        <f>regional_houseprice!Z3/regional_rent!Z3</f>
        <v>142.53415364354822</v>
      </c>
      <c r="AA3" s="5">
        <f>regional_houseprice!AA3/regional_rent!AA3</f>
        <v>182.37350811404482</v>
      </c>
    </row>
    <row r="4" spans="1:28">
      <c r="A4">
        <v>2007</v>
      </c>
      <c r="B4" s="5">
        <f>regional_houseprice!B4/regional_rent!B4</f>
        <v>88.318030630964174</v>
      </c>
      <c r="C4" s="5">
        <f>regional_houseprice!C4/regional_rent!C4</f>
        <v>156.26103866278936</v>
      </c>
      <c r="D4" s="5">
        <f>regional_houseprice!D4/regional_rent!D4</f>
        <v>187.67355747886498</v>
      </c>
      <c r="E4" s="5">
        <f>regional_houseprice!E4/regional_rent!E4</f>
        <v>120.72368186867644</v>
      </c>
      <c r="F4" s="5">
        <f>regional_houseprice!F4/regional_rent!F4</f>
        <v>177.13105917995128</v>
      </c>
      <c r="G4" s="5">
        <f>regional_houseprice!G4/regional_rent!G4</f>
        <v>229.89318813619437</v>
      </c>
      <c r="H4" s="5">
        <f>regional_houseprice!H4/regional_rent!H4</f>
        <v>205.34511569205617</v>
      </c>
      <c r="I4" s="5">
        <f>regional_houseprice!I4/regional_rent!I4</f>
        <v>182.83210411550829</v>
      </c>
      <c r="J4" s="5">
        <f>regional_houseprice!J4/regional_rent!J4</f>
        <v>148.79201586207432</v>
      </c>
      <c r="K4" s="5">
        <f>regional_houseprice!K4/regional_rent!K4</f>
        <v>194.67582566466166</v>
      </c>
      <c r="L4" s="5">
        <f>regional_houseprice!L4/regional_rent!L4</f>
        <v>125.85866215451979</v>
      </c>
      <c r="M4" s="5">
        <f>regional_houseprice!M4/regional_rent!M4</f>
        <v>136.80287308682779</v>
      </c>
      <c r="N4" s="5">
        <f>regional_houseprice!N4/regional_rent!N4</f>
        <v>218.03950722451196</v>
      </c>
      <c r="O4" s="5">
        <f>regional_houseprice!O4/regional_rent!O4</f>
        <v>273.69795457979279</v>
      </c>
      <c r="P4" s="5">
        <f>regional_houseprice!P4/regional_rent!P4</f>
        <v>228.68358000864694</v>
      </c>
      <c r="Q4" s="5">
        <f>regional_houseprice!Q4/regional_rent!Q4</f>
        <v>249.70627046003068</v>
      </c>
      <c r="R4" s="5">
        <f>regional_houseprice!R4/regional_rent!R4</f>
        <v>252.67158089392947</v>
      </c>
      <c r="S4" s="5">
        <f>regional_houseprice!S4/regional_rent!S4</f>
        <v>237.86275678308084</v>
      </c>
      <c r="T4" s="5">
        <f>regional_houseprice!T4/regional_rent!T4</f>
        <v>245.34845538678263</v>
      </c>
      <c r="U4" s="5">
        <f>regional_houseprice!U4/regional_rent!U4</f>
        <v>259.9901653562772</v>
      </c>
      <c r="V4" s="5">
        <f>regional_houseprice!V4/regional_rent!V4</f>
        <v>202.0013142611098</v>
      </c>
      <c r="W4" s="5">
        <f>regional_houseprice!W4/regional_rent!W4</f>
        <v>223.23604241960689</v>
      </c>
      <c r="X4" s="5">
        <f>regional_houseprice!X4/regional_rent!X4</f>
        <v>185.43015504356484</v>
      </c>
      <c r="Y4" s="5">
        <f>regional_houseprice!Y4/regional_rent!Y4</f>
        <v>164.30648464319003</v>
      </c>
      <c r="Z4" s="5">
        <f>regional_houseprice!Z4/regional_rent!Z4</f>
        <v>135.02491930990004</v>
      </c>
      <c r="AA4" s="5">
        <f>regional_houseprice!AA4/regional_rent!AA4</f>
        <v>171.09763308716373</v>
      </c>
    </row>
    <row r="5" spans="1:28">
      <c r="A5">
        <v>2008</v>
      </c>
      <c r="B5" s="5">
        <f>regional_houseprice!B5/regional_rent!B5</f>
        <v>95.900906208567534</v>
      </c>
      <c r="C5" s="5">
        <f>regional_houseprice!C5/regional_rent!C5</f>
        <v>164.12365323057099</v>
      </c>
      <c r="D5" s="5">
        <f>regional_houseprice!D5/regional_rent!D5</f>
        <v>197.79626869118314</v>
      </c>
      <c r="E5" s="5">
        <f>regional_houseprice!E5/regional_rent!E5</f>
        <v>130.44531744116682</v>
      </c>
      <c r="F5" s="5">
        <f>regional_houseprice!F5/regional_rent!F5</f>
        <v>190.53072279259396</v>
      </c>
      <c r="G5" s="5">
        <f>regional_houseprice!G5/regional_rent!G5</f>
        <v>238.39036836847765</v>
      </c>
      <c r="H5" s="5">
        <f>regional_houseprice!H5/regional_rent!H5</f>
        <v>214.50066941380777</v>
      </c>
      <c r="I5" s="5">
        <f>regional_houseprice!I5/regional_rent!I5</f>
        <v>190.69970851423932</v>
      </c>
      <c r="J5" s="5">
        <f>regional_houseprice!J5/regional_rent!J5</f>
        <v>155.6798933482593</v>
      </c>
      <c r="K5" s="5">
        <f>regional_houseprice!K5/regional_rent!K5</f>
        <v>205.26523371037973</v>
      </c>
      <c r="L5" s="5">
        <f>regional_houseprice!L5/regional_rent!L5</f>
        <v>135.37801947836093</v>
      </c>
      <c r="M5" s="5">
        <f>regional_houseprice!M5/regional_rent!M5</f>
        <v>145.38140394370058</v>
      </c>
      <c r="N5" s="5">
        <f>regional_houseprice!N5/regional_rent!N5</f>
        <v>225.69041548392164</v>
      </c>
      <c r="O5" s="5">
        <f>regional_houseprice!O5/regional_rent!O5</f>
        <v>282.55744008867305</v>
      </c>
      <c r="P5" s="5">
        <f>regional_houseprice!P5/regional_rent!P5</f>
        <v>236.88790495480671</v>
      </c>
      <c r="Q5" s="5">
        <f>regional_houseprice!Q5/regional_rent!Q5</f>
        <v>259.0633693178753</v>
      </c>
      <c r="R5" s="5">
        <f>regional_houseprice!R5/regional_rent!R5</f>
        <v>261.80603046139299</v>
      </c>
      <c r="S5" s="5">
        <f>regional_houseprice!S5/regional_rent!S5</f>
        <v>246.46184556119317</v>
      </c>
      <c r="T5" s="5">
        <f>regional_houseprice!T5/regional_rent!T5</f>
        <v>254.37283569526667</v>
      </c>
      <c r="U5" s="5">
        <f>regional_houseprice!U5/regional_rent!U5</f>
        <v>267.3313958798326</v>
      </c>
      <c r="V5" s="5">
        <f>regional_houseprice!V5/regional_rent!V5</f>
        <v>207.42499974681485</v>
      </c>
      <c r="W5" s="5">
        <f>regional_houseprice!W5/regional_rent!W5</f>
        <v>230.88346849783113</v>
      </c>
      <c r="X5" s="5">
        <f>regional_houseprice!X5/regional_rent!X5</f>
        <v>191.52379659356222</v>
      </c>
      <c r="Y5" s="5">
        <f>regional_houseprice!Y5/regional_rent!Y5</f>
        <v>173.63309468752533</v>
      </c>
      <c r="Z5" s="5">
        <f>regional_houseprice!Z5/regional_rent!Z5</f>
        <v>142.06912530828689</v>
      </c>
      <c r="AA5" s="5">
        <f>regional_houseprice!AA5/regional_rent!AA5</f>
        <v>178.93848284304227</v>
      </c>
    </row>
    <row r="6" spans="1:28">
      <c r="A6">
        <v>2009</v>
      </c>
      <c r="B6" s="5">
        <f>regional_houseprice!B6/regional_rent!B6</f>
        <v>87.513829331149353</v>
      </c>
      <c r="C6" s="5">
        <f>regional_houseprice!C6/regional_rent!C6</f>
        <v>143.71178702565507</v>
      </c>
      <c r="D6" s="5">
        <f>regional_houseprice!D6/regional_rent!D6</f>
        <v>172.81973876338961</v>
      </c>
      <c r="E6" s="5">
        <f>regional_houseprice!E6/regional_rent!E6</f>
        <v>116.40593371467595</v>
      </c>
      <c r="F6" s="5">
        <f>regional_houseprice!F6/regional_rent!F6</f>
        <v>170.71461293126927</v>
      </c>
      <c r="G6" s="5">
        <f>regional_houseprice!G6/regional_rent!G6</f>
        <v>202.47021276759799</v>
      </c>
      <c r="H6" s="5">
        <f>regional_houseprice!H6/regional_rent!H6</f>
        <v>184.91821051995305</v>
      </c>
      <c r="I6" s="5">
        <f>regional_houseprice!I6/regional_rent!I6</f>
        <v>165.95822961728805</v>
      </c>
      <c r="J6" s="5">
        <f>regional_houseprice!J6/regional_rent!J6</f>
        <v>135.98499609130934</v>
      </c>
      <c r="K6" s="5">
        <f>regional_houseprice!K6/regional_rent!K6</f>
        <v>179.37260418596782</v>
      </c>
      <c r="L6" s="5">
        <f>regional_houseprice!L6/regional_rent!L6</f>
        <v>124.09080008896136</v>
      </c>
      <c r="M6" s="5">
        <f>regional_houseprice!M6/regional_rent!M6</f>
        <v>129.99102196862745</v>
      </c>
      <c r="N6" s="5">
        <f>regional_houseprice!N6/regional_rent!N6</f>
        <v>191.73006626116913</v>
      </c>
      <c r="O6" s="5">
        <f>regional_houseprice!O6/regional_rent!O6</f>
        <v>239.61732265935862</v>
      </c>
      <c r="P6" s="5">
        <f>regional_houseprice!P6/regional_rent!P6</f>
        <v>201.27301525071135</v>
      </c>
      <c r="Q6" s="5">
        <f>regional_houseprice!Q6/regional_rent!Q6</f>
        <v>220.72389097041761</v>
      </c>
      <c r="R6" s="5">
        <f>regional_houseprice!R6/regional_rent!R6</f>
        <v>222.89923765989624</v>
      </c>
      <c r="S6" s="5">
        <f>regional_houseprice!S6/regional_rent!S6</f>
        <v>209.83534027472356</v>
      </c>
      <c r="T6" s="5">
        <f>regional_houseprice!T6/regional_rent!T6</f>
        <v>215.55344120482704</v>
      </c>
      <c r="U6" s="5">
        <f>regional_houseprice!U6/regional_rent!U6</f>
        <v>223.07766971783255</v>
      </c>
      <c r="V6" s="5">
        <f>regional_houseprice!V6/regional_rent!V6</f>
        <v>172.95623663191614</v>
      </c>
      <c r="W6" s="5">
        <f>regional_houseprice!W6/regional_rent!W6</f>
        <v>193.92515257735624</v>
      </c>
      <c r="X6" s="5">
        <f>regional_houseprice!X6/regional_rent!X6</f>
        <v>160.74335976752502</v>
      </c>
      <c r="Y6" s="5">
        <f>regional_houseprice!Y6/regional_rent!Y6</f>
        <v>151.70733560139155</v>
      </c>
      <c r="Z6" s="5">
        <f>regional_houseprice!Z6/regional_rent!Z6</f>
        <v>123.8215156662514</v>
      </c>
      <c r="AA6" s="5">
        <f>regional_houseprice!AA6/regional_rent!AA6</f>
        <v>155.42345333069792</v>
      </c>
    </row>
    <row r="7" spans="1:28">
      <c r="A7">
        <v>2010</v>
      </c>
      <c r="B7" s="5">
        <f>regional_houseprice!B7/regional_rent!B7</f>
        <v>91.546786251709321</v>
      </c>
      <c r="C7" s="5">
        <f>regional_houseprice!C7/regional_rent!C7</f>
        <v>148.77009215090294</v>
      </c>
      <c r="D7" s="5">
        <f>regional_houseprice!D7/regional_rent!D7</f>
        <v>177.37727796081637</v>
      </c>
      <c r="E7" s="5">
        <f>regional_houseprice!E7/regional_rent!E7</f>
        <v>120.87766656401823</v>
      </c>
      <c r="F7" s="5">
        <f>regional_houseprice!F7/regional_rent!F7</f>
        <v>178.62846620185613</v>
      </c>
      <c r="G7" s="5">
        <f>regional_houseprice!G7/regional_rent!G7</f>
        <v>203.90277669694942</v>
      </c>
      <c r="H7" s="5">
        <f>regional_houseprice!H7/regional_rent!H7</f>
        <v>187.06310942041787</v>
      </c>
      <c r="I7" s="5">
        <f>regional_houseprice!I7/regional_rent!I7</f>
        <v>170.46733853972265</v>
      </c>
      <c r="J7" s="5">
        <f>regional_houseprice!J7/regional_rent!J7</f>
        <v>139.61937008477057</v>
      </c>
      <c r="K7" s="5">
        <f>regional_houseprice!K7/regional_rent!K7</f>
        <v>184.36994337017092</v>
      </c>
      <c r="L7" s="5">
        <f>regional_houseprice!L7/regional_rent!L7</f>
        <v>132.63827199302284</v>
      </c>
      <c r="M7" s="5">
        <f>regional_houseprice!M7/regional_rent!M7</f>
        <v>135.24799199722838</v>
      </c>
      <c r="N7" s="5">
        <f>regional_houseprice!N7/regional_rent!N7</f>
        <v>192.53368418105538</v>
      </c>
      <c r="O7" s="5">
        <f>regional_houseprice!O7/regional_rent!O7</f>
        <v>239.01164140911351</v>
      </c>
      <c r="P7" s="5">
        <f>regional_houseprice!P7/regional_rent!P7</f>
        <v>200.941010781008</v>
      </c>
      <c r="Q7" s="5">
        <f>regional_houseprice!Q7/regional_rent!Q7</f>
        <v>223.74745882385773</v>
      </c>
      <c r="R7" s="5">
        <f>regional_houseprice!R7/regional_rent!R7</f>
        <v>225.87713897461697</v>
      </c>
      <c r="S7" s="5">
        <f>regional_houseprice!S7/regional_rent!S7</f>
        <v>212.63870982519461</v>
      </c>
      <c r="T7" s="5">
        <f>regional_houseprice!T7/regional_rent!T7</f>
        <v>218.4116176799071</v>
      </c>
      <c r="U7" s="5">
        <f>regional_houseprice!U7/regional_rent!U7</f>
        <v>221.49585634529319</v>
      </c>
      <c r="V7" s="5">
        <f>regional_houseprice!V7/regional_rent!V7</f>
        <v>171.66963884627242</v>
      </c>
      <c r="W7" s="5">
        <f>regional_houseprice!W7/regional_rent!W7</f>
        <v>192.55127368312026</v>
      </c>
      <c r="X7" s="5">
        <f>regional_houseprice!X7/regional_rent!X7</f>
        <v>159.54862109955769</v>
      </c>
      <c r="Y7" s="5">
        <f>regional_houseprice!Y7/regional_rent!Y7</f>
        <v>153.47969346213659</v>
      </c>
      <c r="Z7" s="5">
        <f>regional_houseprice!Z7/regional_rent!Z7</f>
        <v>125.12455533131376</v>
      </c>
      <c r="AA7" s="5">
        <f>regional_houseprice!AA7/regional_rent!AA7</f>
        <v>156.81242321040827</v>
      </c>
    </row>
    <row r="8" spans="1:28">
      <c r="A8">
        <v>2011</v>
      </c>
      <c r="B8" s="5">
        <f>regional_houseprice!B8/regional_rent!B8</f>
        <v>97.751697275382497</v>
      </c>
      <c r="C8" s="5">
        <f>regional_houseprice!C8/regional_rent!C8</f>
        <v>151.79334472924828</v>
      </c>
      <c r="D8" s="5">
        <f>regional_houseprice!D8/regional_rent!D8</f>
        <v>177.28728717898085</v>
      </c>
      <c r="E8" s="5">
        <f>regional_houseprice!E8/regional_rent!E8</f>
        <v>127.32218477737221</v>
      </c>
      <c r="F8" s="5">
        <f>regional_houseprice!F8/regional_rent!F8</f>
        <v>182.11794575756085</v>
      </c>
      <c r="G8" s="5">
        <f>regional_houseprice!G8/regional_rent!G8</f>
        <v>213.59325542582528</v>
      </c>
      <c r="H8" s="5">
        <f>regional_houseprice!H8/regional_rent!H8</f>
        <v>191.41596730442848</v>
      </c>
      <c r="I8" s="5">
        <f>regional_houseprice!I8/regional_rent!I8</f>
        <v>171.61182867190089</v>
      </c>
      <c r="J8" s="5">
        <f>regional_houseprice!J8/regional_rent!J8</f>
        <v>144.61668072611272</v>
      </c>
      <c r="K8" s="5">
        <f>regional_houseprice!K8/regional_rent!K8</f>
        <v>191.03649405808784</v>
      </c>
      <c r="L8" s="5">
        <f>regional_houseprice!L8/regional_rent!L8</f>
        <v>138.60068081122211</v>
      </c>
      <c r="M8" s="5">
        <f>regional_houseprice!M8/regional_rent!M8</f>
        <v>143.70219655188581</v>
      </c>
      <c r="N8" s="5">
        <f>regional_houseprice!N8/regional_rent!N8</f>
        <v>197.32581491516177</v>
      </c>
      <c r="O8" s="5">
        <f>regional_houseprice!O8/regional_rent!O8</f>
        <v>248.64877764039971</v>
      </c>
      <c r="P8" s="5">
        <f>regional_houseprice!P8/regional_rent!P8</f>
        <v>209.22762404226071</v>
      </c>
      <c r="Q8" s="5">
        <f>regional_houseprice!Q8/regional_rent!Q8</f>
        <v>226.01808548245859</v>
      </c>
      <c r="R8" s="5">
        <f>regional_houseprice!R8/regional_rent!R8</f>
        <v>228.09280557772095</v>
      </c>
      <c r="S8" s="5">
        <f>regional_houseprice!S8/regional_rent!S8</f>
        <v>214.72451846446441</v>
      </c>
      <c r="T8" s="5">
        <f>regional_houseprice!T8/regional_rent!T8</f>
        <v>219.33144647199552</v>
      </c>
      <c r="U8" s="5">
        <f>regional_houseprice!U8/regional_rent!U8</f>
        <v>236.57943921530997</v>
      </c>
      <c r="V8" s="5">
        <f>regional_houseprice!V8/regional_rent!V8</f>
        <v>183.29567894563922</v>
      </c>
      <c r="W8" s="5">
        <f>regional_houseprice!W8/regional_rent!W8</f>
        <v>193.60123633093153</v>
      </c>
      <c r="X8" s="5">
        <f>regional_houseprice!X8/regional_rent!X8</f>
        <v>160.36224488938069</v>
      </c>
      <c r="Y8" s="5">
        <f>regional_houseprice!Y8/regional_rent!Y8</f>
        <v>169.94766437948604</v>
      </c>
      <c r="Z8" s="5">
        <f>regional_houseprice!Z8/regional_rent!Z8</f>
        <v>138.39044614486787</v>
      </c>
      <c r="AA8" s="5">
        <f>regional_houseprice!AA8/regional_rent!AA8</f>
        <v>173.16476656658247</v>
      </c>
    </row>
    <row r="9" spans="1:28">
      <c r="A9">
        <v>2012</v>
      </c>
      <c r="B9" s="5">
        <f>regional_houseprice!B9/regional_rent!B9</f>
        <v>105.03282408848631</v>
      </c>
      <c r="C9" s="5">
        <f>regional_houseprice!C9/regional_rent!C9</f>
        <v>153.7398201831501</v>
      </c>
      <c r="D9" s="5">
        <f>regional_houseprice!D9/regional_rent!D9</f>
        <v>180.17799945423792</v>
      </c>
      <c r="E9" s="5">
        <f>regional_houseprice!E9/regional_rent!E9</f>
        <v>133.17580717457821</v>
      </c>
      <c r="F9" s="5">
        <f>regional_houseprice!F9/regional_rent!F9</f>
        <v>185.65176241956263</v>
      </c>
      <c r="G9" s="5">
        <f>regional_houseprice!G9/regional_rent!G9</f>
        <v>231.6304175045822</v>
      </c>
      <c r="H9" s="5">
        <f>regional_houseprice!H9/regional_rent!H9</f>
        <v>193.72735030406412</v>
      </c>
      <c r="I9" s="5">
        <f>regional_houseprice!I9/regional_rent!I9</f>
        <v>170.79786652918216</v>
      </c>
      <c r="J9" s="5">
        <f>regional_houseprice!J9/regional_rent!J9</f>
        <v>150.68962898677026</v>
      </c>
      <c r="K9" s="5">
        <f>regional_houseprice!K9/regional_rent!K9</f>
        <v>206.15459032587376</v>
      </c>
      <c r="L9" s="5">
        <f>regional_houseprice!L9/regional_rent!L9</f>
        <v>144.76783661057243</v>
      </c>
      <c r="M9" s="5">
        <f>regional_houseprice!M9/regional_rent!M9</f>
        <v>151.56944539054695</v>
      </c>
      <c r="N9" s="5">
        <f>regional_houseprice!N9/regional_rent!N9</f>
        <v>201.85417026858741</v>
      </c>
      <c r="O9" s="5">
        <f>regional_houseprice!O9/regional_rent!O9</f>
        <v>262.18750364505797</v>
      </c>
      <c r="P9" s="5">
        <f>regional_houseprice!P9/regional_rent!P9</f>
        <v>220.8207898346204</v>
      </c>
      <c r="Q9" s="5">
        <f>regional_houseprice!Q9/regional_rent!Q9</f>
        <v>233.89256201221866</v>
      </c>
      <c r="R9" s="5">
        <f>regional_houseprice!R9/regional_rent!R9</f>
        <v>235.95766232059498</v>
      </c>
      <c r="S9" s="5">
        <f>regional_houseprice!S9/regional_rent!S9</f>
        <v>222.12842396086191</v>
      </c>
      <c r="T9" s="5">
        <f>regional_houseprice!T9/regional_rent!T9</f>
        <v>221.59457063426061</v>
      </c>
      <c r="U9" s="5">
        <f>regional_houseprice!U9/regional_rent!U9</f>
        <v>264.19384516599854</v>
      </c>
      <c r="V9" s="5">
        <f>regional_houseprice!V9/regional_rent!V9</f>
        <v>204.61638726607674</v>
      </c>
      <c r="W9" s="5">
        <f>regional_houseprice!W9/regional_rent!W9</f>
        <v>199.82256501489195</v>
      </c>
      <c r="X9" s="5">
        <f>regional_houseprice!X9/regional_rent!X9</f>
        <v>165.45542751158101</v>
      </c>
      <c r="Y9" s="5">
        <f>regional_houseprice!Y9/regional_rent!Y9</f>
        <v>194.8972543838257</v>
      </c>
      <c r="Z9" s="5">
        <f>regional_houseprice!Z9/regional_rent!Z9</f>
        <v>158.51796229510097</v>
      </c>
      <c r="AA9" s="5">
        <f>regional_houseprice!AA9/regional_rent!AA9</f>
        <v>198.02751424053233</v>
      </c>
    </row>
    <row r="10" spans="1:28">
      <c r="A10">
        <v>2013</v>
      </c>
      <c r="B10" s="5">
        <f>regional_houseprice!B10/regional_rent!B10</f>
        <v>115.04355957484732</v>
      </c>
      <c r="C10" s="5">
        <f>regional_houseprice!C10/regional_rent!C10</f>
        <v>155.22667009555198</v>
      </c>
      <c r="D10" s="5">
        <f>regional_houseprice!D10/regional_rent!D10</f>
        <v>181.41097857459874</v>
      </c>
      <c r="E10" s="5">
        <f>regional_houseprice!E10/regional_rent!E10</f>
        <v>140.79585977572413</v>
      </c>
      <c r="F10" s="5">
        <f>regional_houseprice!F10/regional_rent!F10</f>
        <v>193.0712669831031</v>
      </c>
      <c r="G10" s="5">
        <f>regional_houseprice!G10/regional_rent!G10</f>
        <v>243.32643732643484</v>
      </c>
      <c r="H10" s="5">
        <f>regional_houseprice!H10/regional_rent!H10</f>
        <v>197.21648085196901</v>
      </c>
      <c r="I10" s="5">
        <f>regional_houseprice!I10/regional_rent!I10</f>
        <v>172.91073073542336</v>
      </c>
      <c r="J10" s="5">
        <f>regional_houseprice!J10/regional_rent!J10</f>
        <v>155.93521646578853</v>
      </c>
      <c r="K10" s="5">
        <f>regional_houseprice!K10/regional_rent!K10</f>
        <v>214.94736301186185</v>
      </c>
      <c r="L10" s="5">
        <f>regional_houseprice!L10/regional_rent!L10</f>
        <v>151.61148403550808</v>
      </c>
      <c r="M10" s="5">
        <f>regional_houseprice!M10/regional_rent!M10</f>
        <v>157.84219575915802</v>
      </c>
      <c r="N10" s="5">
        <f>regional_houseprice!N10/regional_rent!N10</f>
        <v>202.2321034992236</v>
      </c>
      <c r="O10" s="5">
        <f>regional_houseprice!O10/regional_rent!O10</f>
        <v>270.55840182094869</v>
      </c>
      <c r="P10" s="5">
        <f>regional_houseprice!P10/regional_rent!P10</f>
        <v>228.12069388644724</v>
      </c>
      <c r="Q10" s="5">
        <f>regional_houseprice!Q10/regional_rent!Q10</f>
        <v>238.53260778409555</v>
      </c>
      <c r="R10" s="5">
        <f>regional_houseprice!R10/regional_rent!R10</f>
        <v>240.53793730785566</v>
      </c>
      <c r="S10" s="5">
        <f>regional_houseprice!S10/regional_rent!S10</f>
        <v>226.4402536943046</v>
      </c>
      <c r="T10" s="5">
        <f>regional_houseprice!T10/regional_rent!T10</f>
        <v>224.54749505231564</v>
      </c>
      <c r="U10" s="5">
        <f>regional_houseprice!U10/regional_rent!U10</f>
        <v>268.65235163329692</v>
      </c>
      <c r="V10" s="5">
        <f>regional_houseprice!V10/regional_rent!V10</f>
        <v>207.97865627618037</v>
      </c>
      <c r="W10" s="5">
        <f>regional_houseprice!W10/regional_rent!W10</f>
        <v>204.01958271586261</v>
      </c>
      <c r="X10" s="5">
        <f>regional_houseprice!X10/regional_rent!X10</f>
        <v>168.85687530349213</v>
      </c>
      <c r="Y10" s="5">
        <f>regional_houseprice!Y10/regional_rent!Y10</f>
        <v>205.55428863604249</v>
      </c>
      <c r="Z10" s="5">
        <f>regional_houseprice!Z10/regional_rent!Z10</f>
        <v>166.94505670017205</v>
      </c>
      <c r="AA10" s="5">
        <f>regional_houseprice!AA10/regional_rent!AA10</f>
        <v>208.14703503447291</v>
      </c>
    </row>
    <row r="11" spans="1:28">
      <c r="A11">
        <v>2014</v>
      </c>
      <c r="B11" s="5">
        <f>regional_houseprice!B11/regional_rent!B11</f>
        <v>130.2170272557079</v>
      </c>
      <c r="C11" s="5">
        <f>regional_houseprice!C11/regional_rent!C11</f>
        <v>158.88074789672942</v>
      </c>
      <c r="D11" s="5">
        <f>regional_houseprice!D11/regional_rent!D11</f>
        <v>182.68561338087369</v>
      </c>
      <c r="E11" s="5">
        <f>regional_houseprice!E11/regional_rent!E11</f>
        <v>148.56313107045673</v>
      </c>
      <c r="F11" s="5">
        <f>regional_houseprice!F11/regional_rent!F11</f>
        <v>204.38014320070747</v>
      </c>
      <c r="G11" s="5">
        <f>regional_houseprice!G11/regional_rent!G11</f>
        <v>246.45122334364871</v>
      </c>
      <c r="H11" s="5">
        <f>regional_houseprice!H11/regional_rent!H11</f>
        <v>201.33402266260927</v>
      </c>
      <c r="I11" s="5">
        <f>regional_houseprice!I11/regional_rent!I11</f>
        <v>179.60134723206417</v>
      </c>
      <c r="J11" s="5">
        <f>regional_houseprice!J11/regional_rent!J11</f>
        <v>160.32030202130633</v>
      </c>
      <c r="K11" s="5">
        <f>regional_houseprice!K11/regional_rent!K11</f>
        <v>224.33247115326833</v>
      </c>
      <c r="L11" s="5">
        <f>regional_houseprice!L11/regional_rent!L11</f>
        <v>162.73759034543761</v>
      </c>
      <c r="M11" s="5">
        <f>regional_houseprice!M11/regional_rent!M11</f>
        <v>168.91673892843349</v>
      </c>
      <c r="N11" s="5">
        <f>regional_houseprice!N11/regional_rent!N11</f>
        <v>211.41207488571769</v>
      </c>
      <c r="O11" s="5">
        <f>regional_houseprice!O11/regional_rent!O11</f>
        <v>280.34952143370754</v>
      </c>
      <c r="P11" s="5">
        <f>regional_houseprice!P11/regional_rent!P11</f>
        <v>236.64231438605776</v>
      </c>
      <c r="Q11" s="5">
        <f>regional_houseprice!Q11/regional_rent!Q11</f>
        <v>239.33666286476443</v>
      </c>
      <c r="R11" s="5">
        <f>regional_houseprice!R11/regional_rent!R11</f>
        <v>241.2446102407331</v>
      </c>
      <c r="S11" s="5">
        <f>regional_houseprice!S11/regional_rent!S11</f>
        <v>227.10550924605096</v>
      </c>
      <c r="T11" s="5">
        <f>regional_houseprice!T11/regional_rent!T11</f>
        <v>228.68011338398483</v>
      </c>
      <c r="U11" s="5">
        <f>regional_houseprice!U11/regional_rent!U11</f>
        <v>274.73453291732346</v>
      </c>
      <c r="V11" s="5">
        <f>regional_houseprice!V11/regional_rent!V11</f>
        <v>212.59177462357582</v>
      </c>
      <c r="W11" s="5">
        <f>regional_houseprice!W11/regional_rent!W11</f>
        <v>202.29463432558433</v>
      </c>
      <c r="X11" s="5">
        <f>regional_houseprice!X11/regional_rent!X11</f>
        <v>167.35409404803656</v>
      </c>
      <c r="Y11" s="5">
        <f>regional_houseprice!Y11/regional_rent!Y11</f>
        <v>209.13552385450907</v>
      </c>
      <c r="Z11" s="5">
        <f>regional_houseprice!Z11/regional_rent!Z11</f>
        <v>169.60130301577186</v>
      </c>
      <c r="AA11" s="5">
        <f>regional_houseprice!AA11/regional_rent!AA11</f>
        <v>211.03351186055048</v>
      </c>
    </row>
    <row r="12" spans="1:28">
      <c r="A12">
        <v>2015</v>
      </c>
      <c r="B12" s="5">
        <f>regional_houseprice!B12/regional_rent!B12</f>
        <v>153.2116454154752</v>
      </c>
      <c r="C12" s="5">
        <f>regional_houseprice!C12/regional_rent!C12</f>
        <v>171.0112258563349</v>
      </c>
      <c r="D12" s="5">
        <f>regional_houseprice!D12/regional_rent!D12</f>
        <v>196.29111620368991</v>
      </c>
      <c r="E12" s="5">
        <f>regional_houseprice!E12/regional_rent!E12</f>
        <v>160.59098899998645</v>
      </c>
      <c r="F12" s="5">
        <f>regional_houseprice!F12/regional_rent!F12</f>
        <v>226.83997066159645</v>
      </c>
      <c r="G12" s="5">
        <f>regional_houseprice!G12/regional_rent!G12</f>
        <v>251.4239163525512</v>
      </c>
      <c r="H12" s="5">
        <f>regional_houseprice!H12/regional_rent!H12</f>
        <v>209.0044707294407</v>
      </c>
      <c r="I12" s="5">
        <f>regional_houseprice!I12/regional_rent!I12</f>
        <v>194.01714262740273</v>
      </c>
      <c r="J12" s="5">
        <f>regional_houseprice!J12/regional_rent!J12</f>
        <v>166.08801123150459</v>
      </c>
      <c r="K12" s="5">
        <f>regional_houseprice!K12/regional_rent!K12</f>
        <v>235.74335063614546</v>
      </c>
      <c r="L12" s="5">
        <f>regional_houseprice!L12/regional_rent!L12</f>
        <v>177.11238262096884</v>
      </c>
      <c r="M12" s="5">
        <f>regional_houseprice!M12/regional_rent!M12</f>
        <v>183.88213928985348</v>
      </c>
      <c r="N12" s="5">
        <f>regional_houseprice!N12/regional_rent!N12</f>
        <v>219.22796389164785</v>
      </c>
      <c r="O12" s="5">
        <f>regional_houseprice!O12/regional_rent!O12</f>
        <v>287.41924650691686</v>
      </c>
      <c r="P12" s="5">
        <f>regional_houseprice!P12/regional_rent!P12</f>
        <v>242.88755416713553</v>
      </c>
      <c r="Q12" s="5">
        <f>regional_houseprice!Q12/regional_rent!Q12</f>
        <v>245.24902301736989</v>
      </c>
      <c r="R12" s="5">
        <f>regional_houseprice!R12/regional_rent!R12</f>
        <v>247.09539566276663</v>
      </c>
      <c r="S12" s="5">
        <f>regional_houseprice!S12/regional_rent!S12</f>
        <v>232.61338609119321</v>
      </c>
      <c r="T12" s="5">
        <f>regional_houseprice!T12/regional_rent!T12</f>
        <v>238.19774584671035</v>
      </c>
      <c r="U12" s="5">
        <f>regional_houseprice!U12/regional_rent!U12</f>
        <v>271.61465594028317</v>
      </c>
      <c r="V12" s="5">
        <f>regional_houseprice!V12/regional_rent!V12</f>
        <v>210.08173344220683</v>
      </c>
      <c r="W12" s="5">
        <f>regional_houseprice!W12/regional_rent!W12</f>
        <v>206.80706601984033</v>
      </c>
      <c r="X12" s="5">
        <f>regional_houseprice!X12/regional_rent!X12</f>
        <v>171.00910630312799</v>
      </c>
      <c r="Y12" s="5">
        <f>regional_houseprice!Y12/regional_rent!Y12</f>
        <v>208.99030174732556</v>
      </c>
      <c r="Z12" s="5">
        <f>regional_houseprice!Z12/regional_rent!Z12</f>
        <v>169.22667425994092</v>
      </c>
      <c r="AA12" s="5">
        <f>regional_houseprice!AA12/regional_rent!AA12</f>
        <v>210.13680141149405</v>
      </c>
    </row>
    <row r="13" spans="1:28">
      <c r="A13">
        <v>2016</v>
      </c>
      <c r="B13" s="5">
        <f>regional_houseprice!B13/regional_rent!B13</f>
        <v>165.1804239362352</v>
      </c>
      <c r="C13" s="5">
        <f>regional_houseprice!C13/regional_rent!C13</f>
        <v>189.07198725233596</v>
      </c>
      <c r="D13" s="5">
        <f>regional_houseprice!D13/regional_rent!D13</f>
        <v>209.87709194884459</v>
      </c>
      <c r="E13" s="5">
        <f>regional_houseprice!E13/regional_rent!E13</f>
        <v>171.13176052541334</v>
      </c>
      <c r="F13" s="5">
        <f>regional_houseprice!F13/regional_rent!F13</f>
        <v>241.92428400413323</v>
      </c>
      <c r="G13" s="5">
        <f>regional_houseprice!G13/regional_rent!G13</f>
        <v>251.52184740009912</v>
      </c>
      <c r="H13" s="5">
        <f>regional_houseprice!H13/regional_rent!H13</f>
        <v>217.36630575456383</v>
      </c>
      <c r="I13" s="5">
        <f>regional_houseprice!I13/regional_rent!I13</f>
        <v>210.21244565943223</v>
      </c>
      <c r="J13" s="5">
        <f>regional_houseprice!J13/regional_rent!J13</f>
        <v>167.58139894550837</v>
      </c>
      <c r="K13" s="5">
        <f>regional_houseprice!K13/regional_rent!K13</f>
        <v>242.29832789155392</v>
      </c>
      <c r="L13" s="5">
        <f>regional_houseprice!L13/regional_rent!L13</f>
        <v>185.18711977525362</v>
      </c>
      <c r="M13" s="5">
        <f>regional_houseprice!M13/regional_rent!M13</f>
        <v>193.4021200400185</v>
      </c>
      <c r="N13" s="5">
        <f>regional_houseprice!N13/regional_rent!N13</f>
        <v>214.9526100933343</v>
      </c>
      <c r="O13" s="5">
        <f>regional_houseprice!O13/regional_rent!O13</f>
        <v>284.23535294354264</v>
      </c>
      <c r="P13" s="5">
        <f>regional_houseprice!P13/regional_rent!P13</f>
        <v>240.49413777944866</v>
      </c>
      <c r="Q13" s="5">
        <f>regional_houseprice!Q13/regional_rent!Q13</f>
        <v>248.06833450862578</v>
      </c>
      <c r="R13" s="5">
        <f>regional_houseprice!R13/regional_rent!R13</f>
        <v>249.81678121698343</v>
      </c>
      <c r="S13" s="5">
        <f>regional_houseprice!S13/regional_rent!S13</f>
        <v>235.17527400872436</v>
      </c>
      <c r="T13" s="5">
        <f>regional_houseprice!T13/regional_rent!T13</f>
        <v>246.45269175093404</v>
      </c>
      <c r="U13" s="5">
        <f>regional_houseprice!U13/regional_rent!U13</f>
        <v>269.18792854970155</v>
      </c>
      <c r="V13" s="5">
        <f>regional_houseprice!V13/regional_rent!V13</f>
        <v>208.10211524509131</v>
      </c>
      <c r="W13" s="5">
        <f>regional_houseprice!W13/regional_rent!W13</f>
        <v>204.26498833208473</v>
      </c>
      <c r="X13" s="5">
        <f>regional_houseprice!X13/regional_rent!X13</f>
        <v>168.82377985637055</v>
      </c>
      <c r="Y13" s="5">
        <f>regional_houseprice!Y13/regional_rent!Y13</f>
        <v>199.40430502916365</v>
      </c>
      <c r="Z13" s="5">
        <f>regional_houseprice!Z13/regional_rent!Z13</f>
        <v>161.198990385879</v>
      </c>
      <c r="AA13" s="5">
        <f>regional_houseprice!AA13/regional_rent!AA13</f>
        <v>199.72590003440993</v>
      </c>
    </row>
    <row r="14" spans="1:28">
      <c r="A14">
        <v>2017</v>
      </c>
      <c r="B14" s="5">
        <f>regional_houseprice!B14/regional_rent!B14</f>
        <v>166.19591803172466</v>
      </c>
      <c r="C14" s="5">
        <f>regional_houseprice!C14/regional_rent!C14</f>
        <v>201.84444036747311</v>
      </c>
      <c r="D14" s="5">
        <f>regional_houseprice!D14/regional_rent!D14</f>
        <v>225.42072389917985</v>
      </c>
      <c r="E14" s="5">
        <f>regional_houseprice!E14/regional_rent!E14</f>
        <v>187.26035552452868</v>
      </c>
      <c r="F14" s="5">
        <f>regional_houseprice!F14/regional_rent!F14</f>
        <v>256.19488677633547</v>
      </c>
      <c r="G14" s="5">
        <f>regional_houseprice!G14/regional_rent!G14</f>
        <v>256.1649640414314</v>
      </c>
      <c r="H14" s="5">
        <f>regional_houseprice!H14/regional_rent!H14</f>
        <v>233.61903930634571</v>
      </c>
      <c r="I14" s="5">
        <f>regional_houseprice!I14/regional_rent!I14</f>
        <v>219.49985606063285</v>
      </c>
      <c r="J14" s="5">
        <f>regional_houseprice!J14/regional_rent!J14</f>
        <v>168.00013564132843</v>
      </c>
      <c r="K14" s="5">
        <f>regional_houseprice!K14/regional_rent!K14</f>
        <v>249.90826339514075</v>
      </c>
      <c r="L14" s="5">
        <f>regional_houseprice!L14/regional_rent!L14</f>
        <v>189.52007632841642</v>
      </c>
      <c r="M14" s="5">
        <f>regional_houseprice!M14/regional_rent!M14</f>
        <v>199.03625858144247</v>
      </c>
      <c r="N14" s="5">
        <f>regional_houseprice!N14/regional_rent!N14</f>
        <v>210.59566232014788</v>
      </c>
      <c r="O14" s="5">
        <f>regional_houseprice!O14/regional_rent!O14</f>
        <v>287.85391587568625</v>
      </c>
      <c r="P14" s="5">
        <f>regional_houseprice!P14/regional_rent!P14</f>
        <v>243.8307521736096</v>
      </c>
      <c r="Q14" s="5">
        <f>regional_houseprice!Q14/regional_rent!Q14</f>
        <v>258.28231363370941</v>
      </c>
      <c r="R14" s="5">
        <f>regional_houseprice!R14/regional_rent!R14</f>
        <v>259.98927198291818</v>
      </c>
      <c r="S14" s="5">
        <f>regional_houseprice!S14/regional_rent!S14</f>
        <v>244.75156544749697</v>
      </c>
      <c r="T14" s="5">
        <f>regional_houseprice!T14/regional_rent!T14</f>
        <v>260.61945825110325</v>
      </c>
      <c r="U14" s="5">
        <f>regional_houseprice!U14/regional_rent!U14</f>
        <v>270.47095272713301</v>
      </c>
      <c r="V14" s="5">
        <f>regional_houseprice!V14/regional_rent!V14</f>
        <v>208.9999033031886</v>
      </c>
      <c r="W14" s="5">
        <f>regional_houseprice!W14/regional_rent!W14</f>
        <v>211.97300131911243</v>
      </c>
      <c r="X14" s="5">
        <f>regional_houseprice!X14/regional_rent!X14</f>
        <v>175.11557534096789</v>
      </c>
      <c r="Y14" s="5">
        <f>regional_houseprice!Y14/regional_rent!Y14</f>
        <v>191.56681079422881</v>
      </c>
      <c r="Z14" s="5">
        <f>regional_houseprice!Z14/regional_rent!Z14</f>
        <v>154.62976063885918</v>
      </c>
      <c r="AA14" s="5">
        <f>regional_houseprice!AA14/regional_rent!AA14</f>
        <v>191.19993795606962</v>
      </c>
    </row>
    <row r="15" spans="1:28">
      <c r="A15">
        <v>2018</v>
      </c>
      <c r="B15" s="5">
        <f>regional_houseprice!B15/regional_rent!B15</f>
        <v>157.9627759550267</v>
      </c>
      <c r="C15" s="5">
        <f>regional_houseprice!C15/regional_rent!C15</f>
        <v>209.37494580423424</v>
      </c>
      <c r="D15" s="5">
        <f>regional_houseprice!D15/regional_rent!D15</f>
        <v>231.67755124578289</v>
      </c>
      <c r="E15" s="5">
        <f>regional_houseprice!E15/regional_rent!E15</f>
        <v>195.62549901701874</v>
      </c>
      <c r="F15" s="5">
        <f>regional_houseprice!F15/regional_rent!F15</f>
        <v>264.1412928370471</v>
      </c>
      <c r="G15" s="5">
        <f>regional_houseprice!G15/regional_rent!G15</f>
        <v>254.71813968857407</v>
      </c>
      <c r="H15" s="5">
        <f>regional_houseprice!H15/regional_rent!H15</f>
        <v>238.29503548039719</v>
      </c>
      <c r="I15" s="5">
        <f>regional_houseprice!I15/regional_rent!I15</f>
        <v>217.45963575167909</v>
      </c>
      <c r="J15" s="5">
        <f>regional_houseprice!J15/regional_rent!J15</f>
        <v>164.05474722841257</v>
      </c>
      <c r="K15" s="5">
        <f>regional_houseprice!K15/regional_rent!K15</f>
        <v>251.42617366405878</v>
      </c>
      <c r="L15" s="5">
        <f>regional_houseprice!L15/regional_rent!L15</f>
        <v>189.80142424598102</v>
      </c>
      <c r="M15" s="5">
        <f>regional_houseprice!M15/regional_rent!M15</f>
        <v>195.48939843426814</v>
      </c>
      <c r="N15" s="5">
        <f>regional_houseprice!N15/regional_rent!N15</f>
        <v>206.73482174578041</v>
      </c>
      <c r="O15" s="5">
        <f>regional_houseprice!O15/regional_rent!O15</f>
        <v>287.22779878260212</v>
      </c>
      <c r="P15" s="5">
        <f>regional_houseprice!P15/regional_rent!P15</f>
        <v>243.57250799762033</v>
      </c>
      <c r="Q15" s="5">
        <f>regional_houseprice!Q15/regional_rent!Q15</f>
        <v>261.24728577663069</v>
      </c>
      <c r="R15" s="5">
        <f>regional_houseprice!R15/regional_rent!R15</f>
        <v>262.85982758685913</v>
      </c>
      <c r="S15" s="5">
        <f>regional_houseprice!S15/regional_rent!S15</f>
        <v>247.45388071000826</v>
      </c>
      <c r="T15" s="5">
        <f>regional_houseprice!T15/regional_rent!T15</f>
        <v>262.31896393071037</v>
      </c>
      <c r="U15" s="5">
        <f>regional_houseprice!U15/regional_rent!U15</f>
        <v>262.01317624672868</v>
      </c>
      <c r="V15" s="5">
        <f>regional_houseprice!V15/regional_rent!V15</f>
        <v>202.37407050251113</v>
      </c>
      <c r="W15" s="5">
        <f>regional_houseprice!W15/regional_rent!W15</f>
        <v>223.69888506155928</v>
      </c>
      <c r="X15" s="5">
        <f>regional_houseprice!X15/regional_rent!X15</f>
        <v>184.72017301489947</v>
      </c>
      <c r="Y15" s="5">
        <f>regional_houseprice!Y15/regional_rent!Y15</f>
        <v>189.88731850041788</v>
      </c>
      <c r="Z15" s="5">
        <f>regional_houseprice!Z15/regional_rent!Z15</f>
        <v>153.04432060173212</v>
      </c>
      <c r="AA15" s="5">
        <f>regional_houseprice!AA15/regional_rent!AA15</f>
        <v>188.86092493400201</v>
      </c>
    </row>
    <row r="16" spans="1:28">
      <c r="A16">
        <v>2019</v>
      </c>
      <c r="B16" s="5">
        <f>regional_houseprice!B16/regional_rent!B16</f>
        <v>144.18267655517721</v>
      </c>
      <c r="C16" s="5">
        <f>regional_houseprice!C16/regional_rent!C16</f>
        <v>198.30093665005467</v>
      </c>
      <c r="D16" s="5">
        <f>regional_houseprice!D16/regional_rent!D16</f>
        <v>230.96791648803588</v>
      </c>
      <c r="E16" s="5">
        <f>regional_houseprice!E16/regional_rent!E16</f>
        <v>188.19396274233827</v>
      </c>
      <c r="F16" s="5">
        <f>regional_houseprice!F16/regional_rent!F16</f>
        <v>258.58623836794197</v>
      </c>
      <c r="G16" s="5">
        <f>regional_houseprice!G16/regional_rent!G16</f>
        <v>245.66344739765611</v>
      </c>
      <c r="H16" s="5">
        <f>regional_houseprice!H16/regional_rent!H16</f>
        <v>226.80303569389108</v>
      </c>
      <c r="I16" s="5">
        <f>regional_houseprice!I16/regional_rent!I16</f>
        <v>207.50848901361908</v>
      </c>
      <c r="J16" s="5">
        <f>regional_houseprice!J16/regional_rent!J16</f>
        <v>157.70594637827253</v>
      </c>
      <c r="K16" s="5">
        <f>regional_houseprice!K16/regional_rent!K16</f>
        <v>242.80309658415442</v>
      </c>
      <c r="L16" s="5">
        <f>regional_houseprice!L16/regional_rent!L16</f>
        <v>186.50387148236601</v>
      </c>
      <c r="M16" s="5">
        <f>regional_houseprice!M16/regional_rent!M16</f>
        <v>183.12288566640817</v>
      </c>
      <c r="N16" s="5">
        <f>regional_houseprice!N16/regional_rent!N16</f>
        <v>204.39269966213448</v>
      </c>
      <c r="O16" s="5">
        <f>regional_houseprice!O16/regional_rent!O16</f>
        <v>283.31993757467558</v>
      </c>
      <c r="P16" s="5">
        <f>regional_houseprice!P16/regional_rent!P16</f>
        <v>240.51594713174237</v>
      </c>
      <c r="Q16" s="5">
        <f>regional_houseprice!Q16/regional_rent!Q16</f>
        <v>259.84091434592204</v>
      </c>
      <c r="R16" s="5">
        <f>regional_houseprice!R16/regional_rent!R16</f>
        <v>261.3359114199871</v>
      </c>
      <c r="S16" s="5">
        <f>regional_houseprice!S16/regional_rent!S16</f>
        <v>246.01927971817508</v>
      </c>
      <c r="T16" s="5">
        <f>regional_houseprice!T16/regional_rent!T16</f>
        <v>256.28545083020407</v>
      </c>
      <c r="U16" s="5">
        <f>regional_houseprice!U16/regional_rent!U16</f>
        <v>258.45070739715106</v>
      </c>
      <c r="V16" s="5">
        <f>regional_houseprice!V16/regional_rent!V16</f>
        <v>199.53720654677619</v>
      </c>
      <c r="W16" s="5">
        <f>regional_houseprice!W16/regional_rent!W16</f>
        <v>228.70031623450873</v>
      </c>
      <c r="X16" s="5">
        <f>regional_houseprice!X16/regional_rent!X16</f>
        <v>188.76944538546877</v>
      </c>
      <c r="Y16" s="5">
        <f>regional_houseprice!Y16/regional_rent!Y16</f>
        <v>187.15716607068225</v>
      </c>
      <c r="Z16" s="5">
        <f>regional_houseprice!Z16/regional_rent!Z16</f>
        <v>150.62646663200101</v>
      </c>
      <c r="AA16" s="5">
        <f>regional_houseprice!AA16/regional_rent!AA16</f>
        <v>185.52089290422367</v>
      </c>
    </row>
    <row r="17" spans="1:27">
      <c r="A17">
        <v>2020</v>
      </c>
      <c r="B17" s="5">
        <f>regional_houseprice!B17/regional_rent!B17</f>
        <v>159.79541374692167</v>
      </c>
      <c r="C17" s="5">
        <f>regional_houseprice!C17/regional_rent!C17</f>
        <v>221.06930781887618</v>
      </c>
      <c r="D17" s="5">
        <f>regional_houseprice!D17/regional_rent!D17</f>
        <v>263.78372971675765</v>
      </c>
      <c r="E17" s="5">
        <f>regional_houseprice!E17/regional_rent!E17</f>
        <v>217.59045431232491</v>
      </c>
      <c r="F17" s="5">
        <f>regional_houseprice!F17/regional_rent!F17</f>
        <v>304.16765763776283</v>
      </c>
      <c r="G17" s="5">
        <f>regional_houseprice!G17/regional_rent!G17</f>
        <v>276.7772042434222</v>
      </c>
      <c r="H17" s="5">
        <f>regional_houseprice!H17/regional_rent!H17</f>
        <v>257.44148634648724</v>
      </c>
      <c r="I17" s="5">
        <f>regional_houseprice!I17/regional_rent!I17</f>
        <v>228.51083329589835</v>
      </c>
      <c r="J17" s="5">
        <f>regional_houseprice!J17/regional_rent!J17</f>
        <v>178.65199034209573</v>
      </c>
      <c r="K17" s="5">
        <f>regional_houseprice!K17/regional_rent!K17</f>
        <v>275.52678755398813</v>
      </c>
      <c r="L17" s="5">
        <f>regional_houseprice!L17/regional_rent!L17</f>
        <v>227.56521866816206</v>
      </c>
      <c r="M17" s="5">
        <f>regional_houseprice!M17/regional_rent!M17</f>
        <v>206.52231438655716</v>
      </c>
      <c r="N17" s="5">
        <f>regional_houseprice!N17/regional_rent!N17</f>
        <v>240.16215170106824</v>
      </c>
      <c r="O17" s="5">
        <f>regional_houseprice!O17/regional_rent!O17</f>
        <v>319.65246419489409</v>
      </c>
      <c r="P17" s="5">
        <f>regional_houseprice!P17/regional_rent!P17</f>
        <v>271.59877908680909</v>
      </c>
      <c r="Q17" s="5">
        <f>regional_houseprice!Q17/regional_rent!Q17</f>
        <v>298.15140842542826</v>
      </c>
      <c r="R17" s="5">
        <f>regional_houseprice!R17/regional_rent!R17</f>
        <v>299.76370182733314</v>
      </c>
      <c r="S17" s="5">
        <f>regional_houseprice!S17/regional_rent!S17</f>
        <v>282.19485645314199</v>
      </c>
      <c r="T17" s="5">
        <f>regional_houseprice!T17/regional_rent!T17</f>
        <v>284.41562426078133</v>
      </c>
      <c r="U17" s="5">
        <f>regional_houseprice!U17/regional_rent!U17</f>
        <v>286.47426822923387</v>
      </c>
      <c r="V17" s="5">
        <f>regional_houseprice!V17/regional_rent!V17</f>
        <v>221.09497759006138</v>
      </c>
      <c r="W17" s="5">
        <f>regional_houseprice!W17/regional_rent!W17</f>
        <v>266.17298593072638</v>
      </c>
      <c r="X17" s="5">
        <f>regional_houseprice!X17/regional_rent!X17</f>
        <v>219.62208336338463</v>
      </c>
      <c r="Y17" s="5">
        <f>regional_houseprice!Y17/regional_rent!Y17</f>
        <v>223.60640497555059</v>
      </c>
      <c r="Z17" s="5">
        <f>regional_houseprice!Z17/regional_rent!Z17</f>
        <v>179.74682889049458</v>
      </c>
      <c r="AA17" s="5">
        <f>regional_houseprice!AA17/regional_rent!AA17</f>
        <v>221.0375195692412</v>
      </c>
    </row>
    <row r="18" spans="1:27">
      <c r="A18">
        <v>2021</v>
      </c>
      <c r="B18" s="2">
        <f>regional_houseprice!B18/regional_rent!B18</f>
        <v>197.47602413464591</v>
      </c>
      <c r="C18" s="2">
        <f>regional_houseprice!C18/regional_rent!C18</f>
        <v>267.53194688048109</v>
      </c>
      <c r="D18" s="2">
        <f>regional_houseprice!D18/regional_rent!D18</f>
        <v>340.93229166666669</v>
      </c>
      <c r="E18" s="2">
        <f>regional_houseprice!E18/regional_rent!E18</f>
        <v>275.63423423423421</v>
      </c>
      <c r="F18" s="2">
        <f>regional_houseprice!F18/regional_rent!F18</f>
        <v>409.1109677419355</v>
      </c>
      <c r="G18" s="2">
        <f>regional_houseprice!G18/regional_rent!G18</f>
        <v>336.8265691363851</v>
      </c>
      <c r="H18" s="2">
        <f>regional_houseprice!H18/regional_rent!H18</f>
        <v>318.50197072072069</v>
      </c>
      <c r="I18" s="2">
        <f>regional_houseprice!I18/regional_rent!I18</f>
        <v>277.43173161441547</v>
      </c>
      <c r="J18" s="2">
        <f>regional_houseprice!J18/regional_rent!J18</f>
        <v>218.38235294117646</v>
      </c>
      <c r="K18" s="2">
        <f>regional_houseprice!K18/regional_rent!K18</f>
        <v>349.5681211041852</v>
      </c>
      <c r="L18" s="2">
        <f>regional_houseprice!L18/regional_rent!L18</f>
        <v>307.70783132530124</v>
      </c>
      <c r="M18" s="2">
        <f>regional_houseprice!M18/regional_rent!M18</f>
        <v>265.25367863449088</v>
      </c>
      <c r="N18" s="2">
        <f>regional_houseprice!N18/regional_rent!N18</f>
        <v>309.93302850995161</v>
      </c>
      <c r="O18" s="2">
        <f>regional_houseprice!O18/regional_rent!O18</f>
        <v>396.24745639534882</v>
      </c>
      <c r="P18" s="2">
        <f>regional_houseprice!P18/regional_rent!P18</f>
        <v>336.96919127086005</v>
      </c>
      <c r="Q18" s="2">
        <f>regional_houseprice!Q18/regional_rent!Q18</f>
        <v>365.08099062918342</v>
      </c>
      <c r="R18" s="2">
        <f>regional_houseprice!R18/regional_rent!R18</f>
        <v>366.93169582772543</v>
      </c>
      <c r="S18" s="2">
        <f>regional_houseprice!S18/regional_rent!S18</f>
        <v>345.42620270901449</v>
      </c>
      <c r="T18" s="2">
        <f>regional_houseprice!T18/regional_rent!T18</f>
        <v>344.05730075625365</v>
      </c>
      <c r="U18" s="2">
        <f>regional_houseprice!U18/regional_rent!U18</f>
        <v>345.70292887029285</v>
      </c>
      <c r="V18" s="2">
        <f>regional_houseprice!V18/regional_rent!V18</f>
        <v>266.71473265073951</v>
      </c>
      <c r="W18" s="2">
        <f>regional_houseprice!W18/regional_rent!W18</f>
        <v>321.95307262569833</v>
      </c>
      <c r="X18" s="2">
        <f>regional_houseprice!X18/regional_rent!X18</f>
        <v>265.55549525101765</v>
      </c>
      <c r="Y18" s="2">
        <f>regional_houseprice!Y18/regional_rent!Y18</f>
        <v>297.91808722603497</v>
      </c>
      <c r="Z18" s="2">
        <f>regional_houseprice!Z18/regional_rent!Z18</f>
        <v>239.20306181398036</v>
      </c>
      <c r="AA18" s="2">
        <f>regional_houseprice!AA18/regional_rent!AA18</f>
        <v>293.69783616692428</v>
      </c>
    </row>
    <row r="19" spans="1:27">
      <c r="A19">
        <v>2022</v>
      </c>
      <c r="B19" s="2">
        <f>regional_houseprice!B19/regional_rent!B19</f>
        <v>250.59743921061906</v>
      </c>
      <c r="C19" s="2">
        <f>regional_houseprice!C19/regional_rent!C19</f>
        <v>325.44863517952206</v>
      </c>
      <c r="D19" s="2">
        <f>regional_houseprice!D19/regional_rent!D19</f>
        <v>384.28207449560267</v>
      </c>
      <c r="E19" s="2">
        <f>regional_houseprice!E19/regional_rent!E19</f>
        <v>264.37596774193548</v>
      </c>
      <c r="F19" s="2">
        <f>regional_houseprice!F19/regional_rent!F19</f>
        <v>460.3537921964051</v>
      </c>
      <c r="G19" s="2">
        <f>regional_houseprice!G19/regional_rent!G19</f>
        <v>368.66101694915255</v>
      </c>
      <c r="H19" s="2">
        <f>regional_houseprice!H19/regional_rent!H19</f>
        <v>311.92446473209435</v>
      </c>
      <c r="I19" s="2">
        <f>regional_houseprice!I19/regional_rent!I19</f>
        <v>306.59300731261425</v>
      </c>
      <c r="J19" s="2">
        <f>regional_houseprice!J19/regional_rent!J19</f>
        <v>226.60996488147498</v>
      </c>
      <c r="K19" s="2">
        <f>regional_houseprice!K19/regional_rent!K19</f>
        <v>391.33654202147352</v>
      </c>
      <c r="L19" s="2">
        <f>regional_houseprice!L19/regional_rent!L19</f>
        <v>276.32440859486201</v>
      </c>
      <c r="M19" s="2">
        <f>regional_houseprice!M19/regional_rent!M19</f>
        <v>318.60337005832793</v>
      </c>
      <c r="N19" s="2">
        <f>regional_houseprice!N19/regional_rent!N19</f>
        <v>370.86019602504768</v>
      </c>
      <c r="O19" s="2">
        <f>regional_houseprice!O19/regional_rent!O19</f>
        <v>367.12101824121976</v>
      </c>
      <c r="P19" s="2">
        <f>regional_houseprice!P19/regional_rent!P19</f>
        <v>379.19544381164053</v>
      </c>
      <c r="Q19" s="2">
        <f>regional_houseprice!Q19/regional_rent!Q19</f>
        <v>389.02310325156867</v>
      </c>
      <c r="R19" s="2">
        <f>regional_houseprice!R19/regional_rent!R19</f>
        <v>384.33034749034744</v>
      </c>
      <c r="S19" s="2">
        <f>regional_houseprice!S19/regional_rent!S19</f>
        <v>412.12618157836886</v>
      </c>
      <c r="T19" s="2">
        <f>regional_houseprice!T19/regional_rent!T19</f>
        <v>436.51811867733659</v>
      </c>
      <c r="U19" s="2">
        <f>regional_houseprice!U19/regional_rent!U19</f>
        <v>400.42886884108259</v>
      </c>
      <c r="V19" s="2">
        <f>regional_houseprice!V19/regional_rent!V19</f>
        <v>373.48364648573414</v>
      </c>
      <c r="W19" s="2">
        <f>regional_houseprice!W19/regional_rent!W19</f>
        <v>476.92182289736945</v>
      </c>
      <c r="X19" s="2">
        <f>regional_houseprice!X19/regional_rent!X19</f>
        <v>397.55682605682608</v>
      </c>
      <c r="Y19" s="2">
        <f>regional_houseprice!Y19/regional_rent!Y19</f>
        <v>376.4893928310168</v>
      </c>
      <c r="Z19" s="2">
        <f>regional_houseprice!Z19/regional_rent!Z19</f>
        <v>377.78148808558922</v>
      </c>
      <c r="AA19" s="2">
        <f>regional_houseprice!AA19/regional_rent!AA19</f>
        <v>399.94180392156863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EC162-4211-624C-805D-0736D4F20BFF}">
  <dimension ref="A1:AA19"/>
  <sheetViews>
    <sheetView zoomScale="115" workbookViewId="0">
      <selection activeCell="J2" sqref="J2"/>
    </sheetView>
  </sheetViews>
  <sheetFormatPr baseColWidth="10" defaultRowHeight="16"/>
  <cols>
    <col min="16" max="16" width="12" customWidth="1"/>
  </cols>
  <sheetData>
    <row r="1" spans="1:27">
      <c r="A1" t="s">
        <v>0</v>
      </c>
      <c r="B1" s="73" t="s">
        <v>151</v>
      </c>
      <c r="C1" s="73" t="s">
        <v>152</v>
      </c>
      <c r="D1" s="73" t="s">
        <v>153</v>
      </c>
      <c r="E1" s="73" t="s">
        <v>154</v>
      </c>
      <c r="F1" s="73" t="s">
        <v>155</v>
      </c>
      <c r="G1" s="73" t="s">
        <v>156</v>
      </c>
      <c r="H1" s="73" t="s">
        <v>157</v>
      </c>
      <c r="I1" s="73" t="s">
        <v>158</v>
      </c>
      <c r="J1" s="73" t="s">
        <v>159</v>
      </c>
      <c r="K1" s="73" t="s">
        <v>160</v>
      </c>
      <c r="L1" s="73" t="s">
        <v>161</v>
      </c>
      <c r="M1" s="73" t="s">
        <v>162</v>
      </c>
      <c r="N1" s="73" t="s">
        <v>163</v>
      </c>
      <c r="O1" s="73" t="s">
        <v>164</v>
      </c>
      <c r="P1" s="73" t="s">
        <v>165</v>
      </c>
      <c r="Q1" s="73" t="s">
        <v>166</v>
      </c>
      <c r="R1" s="73" t="s">
        <v>167</v>
      </c>
      <c r="S1" s="73" t="s">
        <v>168</v>
      </c>
      <c r="T1" s="73" t="s">
        <v>169</v>
      </c>
      <c r="U1" s="73" t="s">
        <v>170</v>
      </c>
      <c r="V1" s="73" t="s">
        <v>171</v>
      </c>
      <c r="W1" s="73" t="s">
        <v>172</v>
      </c>
      <c r="X1" s="73" t="s">
        <v>173</v>
      </c>
      <c r="Y1" s="73" t="s">
        <v>174</v>
      </c>
      <c r="Z1" s="73" t="s">
        <v>175</v>
      </c>
      <c r="AA1" s="73" t="s">
        <v>176</v>
      </c>
    </row>
    <row r="2" spans="1:27">
      <c r="A2">
        <v>2005</v>
      </c>
      <c r="B2" s="5">
        <f>B3/(1+regional_houseprice_growth!D2)</f>
        <v>66973.919709126931</v>
      </c>
      <c r="C2" s="5">
        <f>C3/(1+regional_houseprice_growth!E2)</f>
        <v>44449.265829539676</v>
      </c>
      <c r="D2" s="5">
        <f>D3/(1+regional_houseprice_growth!F2)</f>
        <v>57071.825875099508</v>
      </c>
      <c r="E2" s="5">
        <f>E3/(1+regional_houseprice_growth!G2)</f>
        <v>60630.038255927808</v>
      </c>
      <c r="F2" s="5">
        <f>F3/(1+regional_houseprice_growth!H2)</f>
        <v>58575.504035945545</v>
      </c>
      <c r="G2" s="5">
        <f>G3/(1+regional_houseprice_growth!I2)</f>
        <v>52155.403749953075</v>
      </c>
      <c r="H2" s="5">
        <f>H3/(1+regional_houseprice_growth!J2)</f>
        <v>53334.493344811373</v>
      </c>
      <c r="I2" s="5">
        <f>I3/(1+regional_houseprice_growth!K2)</f>
        <v>54878.676463261036</v>
      </c>
      <c r="J2" s="5">
        <f>J3/(1+regional_houseprice_growth!L2)</f>
        <v>59221.37737538966</v>
      </c>
      <c r="K2" s="5">
        <f>K3/(1+regional_houseprice_growth!M2)</f>
        <v>47008.084532915425</v>
      </c>
      <c r="L2" s="5">
        <f>L3/(1+regional_houseprice_growth!N2)</f>
        <v>39930.930212780419</v>
      </c>
      <c r="M2" s="5">
        <f>M3/(1+regional_houseprice_growth!O2)</f>
        <v>50751.646951030169</v>
      </c>
      <c r="N2" s="5">
        <f>N3/(1+regional_houseprice_growth!P2)</f>
        <v>58037.193266374314</v>
      </c>
      <c r="O2" s="5">
        <f>O3/(1+regional_houseprice_growth!Q2)</f>
        <v>52122.89294524811</v>
      </c>
      <c r="P2" s="5">
        <f>P3/(1+regional_houseprice_growth!Q2)</f>
        <v>50188.156057911299</v>
      </c>
      <c r="Q2" s="5">
        <f>Q3/(1+regional_houseprice_growth!R2)</f>
        <v>53573.409795574706</v>
      </c>
      <c r="R2" s="5">
        <f>R3/(1+regional_houseprice_growth!R2)</f>
        <v>53556.662917655871</v>
      </c>
      <c r="S2" s="5">
        <f>S3/(1+regional_houseprice_growth!R2)</f>
        <v>54480.700145697723</v>
      </c>
      <c r="T2" s="5">
        <f>T3/(1+regional_houseprice_growth!S2)</f>
        <v>62058.766872116794</v>
      </c>
      <c r="U2" s="5">
        <f>U3/(1+regional_houseprice_growth!T2)</f>
        <v>57171.071686249154</v>
      </c>
      <c r="V2" s="5">
        <f>V3/(1+regional_houseprice_growth!T2)</f>
        <v>49914.634241482556</v>
      </c>
      <c r="W2" s="5">
        <f>W3/(1+regional_houseprice_growth!U2)</f>
        <v>56074.686443407867</v>
      </c>
      <c r="X2" s="5">
        <f>X3/(1+regional_houseprice_growth!U2)</f>
        <v>47608.44953140273</v>
      </c>
      <c r="Y2" s="5">
        <f>Y3/(1+regional_houseprice_growth!V2)</f>
        <v>53367.754157945172</v>
      </c>
      <c r="Z2" s="5">
        <f>Z3/(1+regional_houseprice_growth!V2)</f>
        <v>49262.565179318051</v>
      </c>
      <c r="AA2" s="5">
        <f>AA3/(1+regional_houseprice_growth!V2)</f>
        <v>45215.59429980383</v>
      </c>
    </row>
    <row r="3" spans="1:27">
      <c r="A3">
        <v>2006</v>
      </c>
      <c r="B3" s="5">
        <f>B4/(1+regional_houseprice_growth!D3)</f>
        <v>93887.919989586604</v>
      </c>
      <c r="C3" s="5">
        <f>C4/(1+regional_houseprice_growth!E3)</f>
        <v>61752.544007683064</v>
      </c>
      <c r="D3" s="5">
        <f>D4/(1+regional_houseprice_growth!F3)</f>
        <v>79190.938572077168</v>
      </c>
      <c r="E3" s="5">
        <f>E4/(1+regional_houseprice_growth!G3)</f>
        <v>84980.815180629856</v>
      </c>
      <c r="F3" s="5">
        <f>F4/(1+regional_houseprice_growth!H3)</f>
        <v>82038.392168717604</v>
      </c>
      <c r="G3" s="5">
        <f>G4/(1+regional_houseprice_growth!I3)</f>
        <v>71708.917246435056</v>
      </c>
      <c r="H3" s="5">
        <f>H4/(1+regional_houseprice_growth!J3)</f>
        <v>73386.318379180855</v>
      </c>
      <c r="I3" s="5">
        <f>I4/(1+regional_houseprice_growth!K3)</f>
        <v>75627.25091333469</v>
      </c>
      <c r="J3" s="5">
        <f>J4/(1+regional_houseprice_growth!L3)</f>
        <v>80984.239327627714</v>
      </c>
      <c r="K3" s="5">
        <f>K4/(1+regional_houseprice_growth!M3)</f>
        <v>65193.842357359877</v>
      </c>
      <c r="L3" s="5">
        <f>L4/(1+regional_houseprice_growth!N3)</f>
        <v>56075.814411195519</v>
      </c>
      <c r="M3" s="5">
        <f>M4/(1+regional_houseprice_growth!O3)</f>
        <v>70624.956394517983</v>
      </c>
      <c r="N3" s="5">
        <f>N4/(1+regional_houseprice_growth!P3)</f>
        <v>79174.858563620204</v>
      </c>
      <c r="O3" s="5">
        <f>O4/(1+regional_houseprice_growth!Q3)</f>
        <v>71644.025644652269</v>
      </c>
      <c r="P3" s="5">
        <f>P4/(1+regional_houseprice_growth!Q3)</f>
        <v>68984.68861749192</v>
      </c>
      <c r="Q3" s="5">
        <f>Q4/(1+regional_houseprice_growth!R3)</f>
        <v>73519.646423754501</v>
      </c>
      <c r="R3" s="5">
        <f>R4/(1+regional_houseprice_growth!R3)</f>
        <v>73496.664415553183</v>
      </c>
      <c r="S3" s="5">
        <f>S4/(1+regional_houseprice_growth!R3)</f>
        <v>74764.735470713742</v>
      </c>
      <c r="T3" s="5">
        <f>T4/(1+regional_houseprice_growth!S3)</f>
        <v>85086.658000115873</v>
      </c>
      <c r="U3" s="5">
        <f>U4/(1+regional_houseprice_growth!T3)</f>
        <v>78328.79348284156</v>
      </c>
      <c r="V3" s="5">
        <f>V4/(1+regional_houseprice_growth!T3)</f>
        <v>68386.912505840548</v>
      </c>
      <c r="W3" s="5">
        <f>W4/(1+regional_houseprice_growth!U3)</f>
        <v>77000.209058852095</v>
      </c>
      <c r="X3" s="5">
        <f>X4/(1+regional_houseprice_growth!U3)</f>
        <v>65374.606607662579</v>
      </c>
      <c r="Y3" s="5">
        <f>Y4/(1+regional_houseprice_growth!V3)</f>
        <v>73645.719999107241</v>
      </c>
      <c r="Z3" s="5">
        <f>Z4/(1+regional_houseprice_growth!V3)</f>
        <v>67980.696187750465</v>
      </c>
      <c r="AA3" s="5">
        <f>AA4/(1+regional_houseprice_growth!V3)</f>
        <v>62396.011410587635</v>
      </c>
    </row>
    <row r="4" spans="1:27">
      <c r="A4">
        <v>2007</v>
      </c>
      <c r="B4" s="5">
        <f>B5/(1+regional_houseprice_growth!D4)</f>
        <v>108082.11659322065</v>
      </c>
      <c r="C4" s="5">
        <f>C5/(1+regional_houseprice_growth!E4)</f>
        <v>70438.800934657178</v>
      </c>
      <c r="D4" s="5">
        <f>D5/(1+regional_houseprice_growth!F4)</f>
        <v>90377.165614212325</v>
      </c>
      <c r="E4" s="5">
        <f>E5/(1+regional_houseprice_growth!G4)</f>
        <v>98151.249435325837</v>
      </c>
      <c r="F4" s="5">
        <f>F5/(1+regional_houseprice_growth!H4)</f>
        <v>94822.879957087309</v>
      </c>
      <c r="G4" s="5">
        <f>G5/(1+regional_houseprice_growth!I4)</f>
        <v>80911.244814267455</v>
      </c>
      <c r="H4" s="5">
        <f>H5/(1+regional_houseprice_growth!J4)</f>
        <v>82915.322670885318</v>
      </c>
      <c r="I4" s="5">
        <f>I5/(1+regional_houseprice_growth!K4)</f>
        <v>85395.06963275795</v>
      </c>
      <c r="J4" s="5">
        <f>J5/(1+regional_houseprice_growth!L4)</f>
        <v>90828.132405820856</v>
      </c>
      <c r="K4" s="5">
        <f>K5/(1+regional_houseprice_growth!M4)</f>
        <v>74318.357144713067</v>
      </c>
      <c r="L4" s="5">
        <f>L5/(1+regional_houseprice_growth!N4)</f>
        <v>65211.038142956211</v>
      </c>
      <c r="M4" s="5">
        <f>M5/(1+regional_houseprice_growth!O4)</f>
        <v>80773.12264107482</v>
      </c>
      <c r="N4" s="5">
        <f>N5/(1+regional_houseprice_growth!P4)</f>
        <v>88851.323567448271</v>
      </c>
      <c r="O4" s="5">
        <f>O5/(1+regional_houseprice_growth!Q4)</f>
        <v>80831.078206646562</v>
      </c>
      <c r="P4" s="5">
        <f>P5/(1+regional_houseprice_growth!Q4)</f>
        <v>77830.729227285803</v>
      </c>
      <c r="Q4" s="5">
        <f>Q5/(1+regional_houseprice_growth!R4)</f>
        <v>82895.535976701431</v>
      </c>
      <c r="R4" s="5">
        <f>R5/(1+regional_houseprice_growth!R4)</f>
        <v>82869.62309517464</v>
      </c>
      <c r="S4" s="5">
        <f>S5/(1+regional_houseprice_growth!R4)</f>
        <v>84299.410028155762</v>
      </c>
      <c r="T4" s="5">
        <f>T5/(1+regional_houseprice_growth!S4)</f>
        <v>95581.152965141897</v>
      </c>
      <c r="U4" s="5">
        <f>U5/(1+regional_houseprice_growth!T4)</f>
        <v>87923.683715381005</v>
      </c>
      <c r="V4" s="5">
        <f>V5/(1+regional_houseprice_growth!T4)</f>
        <v>76763.971434745865</v>
      </c>
      <c r="W4" s="5">
        <f>W5/(1+regional_houseprice_growth!U4)</f>
        <v>86987.138188234487</v>
      </c>
      <c r="X4" s="5">
        <f>X5/(1+regional_houseprice_growth!U4)</f>
        <v>73853.694794981246</v>
      </c>
      <c r="Y4" s="5">
        <f>Y5/(1+regional_houseprice_growth!V4)</f>
        <v>83827.07538523995</v>
      </c>
      <c r="Z4" s="5">
        <f>Z5/(1+regional_houseprice_growth!V4)</f>
        <v>77378.8747552571</v>
      </c>
      <c r="AA4" s="5">
        <f>AA5/(1+regional_houseprice_growth!V4)</f>
        <v>71022.119850509</v>
      </c>
    </row>
    <row r="5" spans="1:27">
      <c r="A5">
        <v>2008</v>
      </c>
      <c r="B5" s="5">
        <f>B6/(1+regional_houseprice_growth!D5)</f>
        <v>130610.42944550897</v>
      </c>
      <c r="C5" s="5">
        <f>C6/(1+regional_houseprice_growth!E5)</f>
        <v>84341.657560373322</v>
      </c>
      <c r="D5" s="5">
        <f>D6/(1+regional_houseprice_growth!F5)</f>
        <v>108855.24973246058</v>
      </c>
      <c r="E5" s="5">
        <f>E6/(1+regional_houseprice_growth!G5)</f>
        <v>119225.00043928392</v>
      </c>
      <c r="F5" s="5">
        <f>F6/(1+regional_houseprice_growth!H5)</f>
        <v>115868.62358672383</v>
      </c>
      <c r="G5" s="5">
        <f>G6/(1+regional_houseprice_growth!I5)</f>
        <v>96005.308752490222</v>
      </c>
      <c r="H5" s="5">
        <f>H6/(1+regional_houseprice_growth!J5)</f>
        <v>98621.224799929565</v>
      </c>
      <c r="I5" s="5">
        <f>I6/(1+regional_houseprice_growth!K5)</f>
        <v>101359.8660278193</v>
      </c>
      <c r="J5" s="5">
        <f>J6/(1+regional_houseprice_growth!L5)</f>
        <v>107204.40762959594</v>
      </c>
      <c r="K5" s="5">
        <f>K6/(1+regional_houseprice_growth!M5)</f>
        <v>89278.893961070935</v>
      </c>
      <c r="L5" s="5">
        <f>L6/(1+regional_houseprice_growth!N5)</f>
        <v>80160.757530620176</v>
      </c>
      <c r="M5" s="5">
        <f>M6/(1+regional_houseprice_growth!O5)</f>
        <v>97402.903759587876</v>
      </c>
      <c r="N5" s="5">
        <f>N6/(1+regional_houseprice_growth!P5)</f>
        <v>105440.51022151561</v>
      </c>
      <c r="O5" s="5">
        <f>O6/(1+regional_houseprice_growth!Q5)</f>
        <v>96058.9871368436</v>
      </c>
      <c r="P5" s="5">
        <f>P6/(1+regional_houseprice_growth!Q5)</f>
        <v>92493.397138431857</v>
      </c>
      <c r="Q5" s="5">
        <f>Q6/(1+regional_houseprice_growth!R5)</f>
        <v>98345.869112744636</v>
      </c>
      <c r="R5" s="5">
        <f>R6/(1+regional_houseprice_growth!R5)</f>
        <v>98315.126506101937</v>
      </c>
      <c r="S5" s="5">
        <f>S6/(1+regional_houseprice_growth!R5)</f>
        <v>100011.40166631798</v>
      </c>
      <c r="T5" s="5">
        <f>T6/(1+regional_houseprice_growth!S5)</f>
        <v>112903.91357666779</v>
      </c>
      <c r="U5" s="5">
        <f>U6/(1+regional_houseprice_growth!T5)</f>
        <v>103786.16764521411</v>
      </c>
      <c r="V5" s="5">
        <f>V6/(1+regional_houseprice_growth!T5)</f>
        <v>90613.109821799255</v>
      </c>
      <c r="W5" s="5">
        <f>W6/(1+regional_houseprice_growth!U5)</f>
        <v>103281.87678551304</v>
      </c>
      <c r="X5" s="5">
        <f>X6/(1+regional_houseprice_growth!U5)</f>
        <v>87688.230292899039</v>
      </c>
      <c r="Y5" s="5">
        <f>Y6/(1+regional_houseprice_growth!V5)</f>
        <v>100988.4775698914</v>
      </c>
      <c r="Z5" s="5">
        <f>Z6/(1+regional_houseprice_growth!V5)</f>
        <v>93220.176436939757</v>
      </c>
      <c r="AA5" s="5">
        <f>AA6/(1+regional_houseprice_growth!V5)</f>
        <v>85562.042150788999</v>
      </c>
    </row>
    <row r="6" spans="1:27">
      <c r="A6">
        <v>2009</v>
      </c>
      <c r="B6" s="5">
        <f>B7/(1+regional_houseprice_growth!D6)</f>
        <v>127750.22393239493</v>
      </c>
      <c r="C6" s="5">
        <f>C7/(1+regional_houseprice_growth!E6)</f>
        <v>80276.047466659656</v>
      </c>
      <c r="D6" s="5">
        <f>D7/(1+regional_houseprice_growth!F6)</f>
        <v>103527.40171196562</v>
      </c>
      <c r="E6" s="5">
        <f>E7/(1+regional_houseprice_growth!G6)</f>
        <v>114716.64030215221</v>
      </c>
      <c r="F6" s="5">
        <f>F7/(1+regional_houseprice_growth!H6)</f>
        <v>112620.86102412736</v>
      </c>
      <c r="G6" s="5">
        <f>G7/(1+regional_houseprice_growth!I6)</f>
        <v>88819.867290944632</v>
      </c>
      <c r="H6" s="5">
        <f>H7/(1+regional_houseprice_growth!J6)</f>
        <v>92352.254643384076</v>
      </c>
      <c r="I6" s="5">
        <f>I7/(1+regional_houseprice_growth!K6)</f>
        <v>95784.317673861588</v>
      </c>
      <c r="J6" s="5">
        <f>J7/(1+regional_houseprice_growth!L6)</f>
        <v>101171.89077410316</v>
      </c>
      <c r="K6" s="5">
        <f>K7/(1+regional_houseprice_growth!M6)</f>
        <v>84774.114974241922</v>
      </c>
      <c r="L6" s="5">
        <f>L7/(1+regional_houseprice_growth!N6)</f>
        <v>79980.465484592583</v>
      </c>
      <c r="M6" s="5">
        <f>M7/(1+regional_houseprice_growth!O6)</f>
        <v>94415.059975601485</v>
      </c>
      <c r="N6" s="5">
        <f>N7/(1+regional_houseprice_growth!P6)</f>
        <v>97679.785366109791</v>
      </c>
      <c r="O6" s="5">
        <f>O7/(1+regional_houseprice_growth!Q6)</f>
        <v>89035.401642358527</v>
      </c>
      <c r="P6" s="5">
        <f>P7/(1+regional_houseprice_growth!Q6)</f>
        <v>85730.518392358048</v>
      </c>
      <c r="Q6" s="5">
        <f>Q7/(1+regional_houseprice_growth!R6)</f>
        <v>91240.017665288426</v>
      </c>
      <c r="R6" s="5">
        <f>R7/(1+regional_houseprice_growth!R6)</f>
        <v>91211.496325262022</v>
      </c>
      <c r="S6" s="5">
        <f>S7/(1+regional_houseprice_growth!R6)</f>
        <v>92785.209354386549</v>
      </c>
      <c r="T6" s="5">
        <f>T7/(1+regional_houseprice_growth!S6)</f>
        <v>103960.16809069183</v>
      </c>
      <c r="U6" s="5">
        <f>U7/(1+regional_houseprice_growth!T6)</f>
        <v>94512.886157554254</v>
      </c>
      <c r="V6" s="5">
        <f>V7/(1+regional_houseprice_growth!T6)</f>
        <v>82516.839452493179</v>
      </c>
      <c r="W6" s="5">
        <f>W7/(1+regional_houseprice_growth!U6)</f>
        <v>94669.665262943716</v>
      </c>
      <c r="X6" s="5">
        <f>X7/(1+regional_houseprice_growth!U6)</f>
        <v>80376.302868395214</v>
      </c>
      <c r="Y6" s="5">
        <f>Y7/(1+regional_houseprice_growth!V6)</f>
        <v>95911.025613698395</v>
      </c>
      <c r="Z6" s="5">
        <f>Z7/(1+regional_houseprice_growth!V6)</f>
        <v>88533.295531355019</v>
      </c>
      <c r="AA6" s="5">
        <f>AA7/(1+regional_houseprice_growth!V6)</f>
        <v>81260.193378054217</v>
      </c>
    </row>
    <row r="7" spans="1:27">
      <c r="A7">
        <v>2010</v>
      </c>
      <c r="B7" s="5">
        <f>B8/(1+regional_houseprice_growth!D7)</f>
        <v>138332.9812889813</v>
      </c>
      <c r="C7" s="5">
        <f>C8/(1+regional_houseprice_growth!E7)</f>
        <v>86587.70410958906</v>
      </c>
      <c r="D7" s="5">
        <f>D8/(1+regional_houseprice_growth!F7)</f>
        <v>110786.82476285569</v>
      </c>
      <c r="E7" s="5">
        <f>E8/(1+regional_houseprice_growth!G7)</f>
        <v>123654.51411589893</v>
      </c>
      <c r="F7" s="5">
        <f>F8/(1+regional_houseprice_growth!H7)</f>
        <v>122670.4790174002</v>
      </c>
      <c r="G7" s="5">
        <f>G8/(1+regional_houseprice_growth!I7)</f>
        <v>93291.957968901843</v>
      </c>
      <c r="H7" s="5">
        <f>H8/(1+regional_houseprice_growth!J7)</f>
        <v>97311.829430894315</v>
      </c>
      <c r="I7" s="5">
        <f>I8/(1+regional_houseprice_growth!K7)</f>
        <v>102465.71807228916</v>
      </c>
      <c r="J7" s="5">
        <f>J8/(1+regional_houseprice_growth!L7)</f>
        <v>107928.71039466371</v>
      </c>
      <c r="K7" s="5">
        <f>K8/(1+regional_houseprice_growth!M7)</f>
        <v>90776.898928024486</v>
      </c>
      <c r="L7" s="5">
        <f>L8/(1+regional_houseprice_growth!N7)</f>
        <v>89133.581475128653</v>
      </c>
      <c r="M7" s="5">
        <f>M8/(1+regional_houseprice_growth!O7)</f>
        <v>102227.75079872209</v>
      </c>
      <c r="N7" s="5">
        <f>N8/(1+regional_houseprice_growth!P7)</f>
        <v>102356.04871060174</v>
      </c>
      <c r="O7" s="5">
        <f>O8/(1+regional_houseprice_growth!Q7)</f>
        <v>92771.090826521351</v>
      </c>
      <c r="P7" s="5">
        <f>P8/(1+regional_houseprice_growth!Q7)</f>
        <v>89327.543445352683</v>
      </c>
      <c r="Q7" s="5">
        <f>Q8/(1+regional_houseprice_growth!R7)</f>
        <v>96448.164634146364</v>
      </c>
      <c r="R7" s="5">
        <f>R8/(1+regional_houseprice_growth!R7)</f>
        <v>96418.015243902453</v>
      </c>
      <c r="S7" s="5">
        <f>S8/(1+regional_houseprice_growth!R7)</f>
        <v>98081.558689024416</v>
      </c>
      <c r="T7" s="5">
        <f>T8/(1+regional_houseprice_growth!S7)</f>
        <v>109740.21762372825</v>
      </c>
      <c r="U7" s="5">
        <f>U8/(1+regional_houseprice_growth!T7)</f>
        <v>97958.616406966088</v>
      </c>
      <c r="V7" s="5">
        <f>V8/(1+regional_houseprice_growth!T7)</f>
        <v>85525.220439963319</v>
      </c>
      <c r="W7" s="5">
        <f>W8/(1+regional_houseprice_growth!U7)</f>
        <v>98121.731982973724</v>
      </c>
      <c r="X7" s="5">
        <f>X8/(1+regional_houseprice_growth!U7)</f>
        <v>83307.171583736985</v>
      </c>
      <c r="Y7" s="5">
        <f>Y8/(1+regional_houseprice_growth!V7)</f>
        <v>101102.03058648846</v>
      </c>
      <c r="Z7" s="5">
        <f>Z8/(1+regional_houseprice_growth!V7)</f>
        <v>93324.994654788403</v>
      </c>
      <c r="AA7" s="5">
        <f>AA8/(1+regional_houseprice_growth!V7)</f>
        <v>85658.249443207111</v>
      </c>
    </row>
    <row r="8" spans="1:27">
      <c r="A8">
        <v>2011</v>
      </c>
      <c r="B8" s="5">
        <f>B9/(1+regional_houseprice_growth!D8)</f>
        <v>153200.54469854472</v>
      </c>
      <c r="C8" s="5">
        <f>C9/(1+regional_houseprice_growth!E8)</f>
        <v>92243.207305936085</v>
      </c>
      <c r="D8" s="5">
        <f>D9/(1+regional_houseprice_growth!F8)</f>
        <v>115688.89665501745</v>
      </c>
      <c r="E8" s="5">
        <f>E9/(1+regional_houseprice_growth!G8)</f>
        <v>135474.43090638926</v>
      </c>
      <c r="F8" s="5">
        <f>F9/(1+regional_houseprice_growth!H8)</f>
        <v>130459.08085977481</v>
      </c>
      <c r="G8" s="5">
        <f>G9/(1+regional_houseprice_growth!I8)</f>
        <v>102135.61941205052</v>
      </c>
      <c r="H8" s="5">
        <f>H9/(1+regional_houseprice_growth!J8)</f>
        <v>103934.18455284553</v>
      </c>
      <c r="I8" s="5">
        <f>I9/(1+regional_houseprice_growth!K8)</f>
        <v>107651.23012048194</v>
      </c>
      <c r="J8" s="5">
        <f>J9/(1+regional_houseprice_growth!L8)</f>
        <v>116389.66092273484</v>
      </c>
      <c r="K8" s="5">
        <f>K9/(1+regional_houseprice_growth!M8)</f>
        <v>98191.34762633995</v>
      </c>
      <c r="L8" s="5">
        <f>L9/(1+regional_houseprice_growth!N8)</f>
        <v>97310.974271012004</v>
      </c>
      <c r="M8" s="5">
        <f>M9/(1+regional_houseprice_growth!O8)</f>
        <v>113266.42811501602</v>
      </c>
      <c r="N8" s="5">
        <f>N9/(1+regional_houseprice_growth!P8)</f>
        <v>109693.39987265205</v>
      </c>
      <c r="O8" s="5">
        <f>O9/(1+regional_houseprice_growth!Q8)</f>
        <v>101024.74659400545</v>
      </c>
      <c r="P8" s="5">
        <f>P9/(1+regional_houseprice_growth!Q8)</f>
        <v>97274.833787465919</v>
      </c>
      <c r="Q8" s="5">
        <f>Q9/(1+regional_houseprice_growth!R8)</f>
        <v>101806.39600271005</v>
      </c>
      <c r="R8" s="5">
        <f>R9/(1+regional_houseprice_growth!R8)</f>
        <v>101774.57164634149</v>
      </c>
      <c r="S8" s="5">
        <f>S9/(1+regional_houseprice_growth!R8)</f>
        <v>103530.534171748</v>
      </c>
      <c r="T8" s="5">
        <f>T9/(1+regional_houseprice_growth!S8)</f>
        <v>115043.64821520956</v>
      </c>
      <c r="U8" s="5">
        <f>U9/(1+regional_houseprice_growth!T8)</f>
        <v>109444.55132905592</v>
      </c>
      <c r="V8" s="5">
        <f>V9/(1+regional_houseprice_growth!T8)</f>
        <v>95553.303238618988</v>
      </c>
      <c r="W8" s="5">
        <f>W9/(1+regional_houseprice_growth!U8)</f>
        <v>103196.99398209306</v>
      </c>
      <c r="X8" s="5">
        <f>X9/(1+regional_houseprice_growth!U8)</f>
        <v>87616.163217378547</v>
      </c>
      <c r="Y8" s="5">
        <f>Y9/(1+regional_houseprice_growth!V8)</f>
        <v>116886.73496659238</v>
      </c>
      <c r="Z8" s="5">
        <f>Z9/(1+regional_houseprice_growth!V8)</f>
        <v>107895.49777282849</v>
      </c>
      <c r="AA8" s="5">
        <f>AA9/(1+regional_houseprice_growth!V8)</f>
        <v>99031.770601336277</v>
      </c>
    </row>
    <row r="9" spans="1:27">
      <c r="A9">
        <v>2012</v>
      </c>
      <c r="B9" s="5">
        <f>B10/(1+regional_houseprice_growth!D9)</f>
        <v>171300.18711018711</v>
      </c>
      <c r="C9" s="5">
        <f>C10/(1+regional_houseprice_growth!E9)</f>
        <v>97898.710502283095</v>
      </c>
      <c r="D9" s="5">
        <f>D10/(1+regional_houseprice_growth!F9)</f>
        <v>123287.1080878682</v>
      </c>
      <c r="E9" s="5">
        <f>E10/(1+regional_houseprice_growth!G9)</f>
        <v>147900.49727587911</v>
      </c>
      <c r="F9" s="5">
        <f>F10/(1+regional_houseprice_growth!H9)</f>
        <v>139221.25793244626</v>
      </c>
      <c r="G9" s="5">
        <f>G10/(1+regional_houseprice_growth!I9)</f>
        <v>116181.43464528669</v>
      </c>
      <c r="H9" s="5">
        <f>H10/(1+regional_houseprice_growth!J9)</f>
        <v>110188.63105691056</v>
      </c>
      <c r="I9" s="5">
        <f>I10/(1+regional_houseprice_growth!K9)</f>
        <v>112214.48072289157</v>
      </c>
      <c r="J9" s="5">
        <f>J10/(1+regional_houseprice_growth!L9)</f>
        <v>126707.89327404113</v>
      </c>
      <c r="K9" s="5">
        <f>K10/(1+regional_houseprice_growth!M9)</f>
        <v>111016.33996937211</v>
      </c>
      <c r="L9" s="5">
        <f>L10/(1+regional_houseprice_growth!N9)</f>
        <v>106578.68610634649</v>
      </c>
      <c r="M9" s="5">
        <f>M10/(1+regional_houseprice_growth!O9)</f>
        <v>125025.01916932914</v>
      </c>
      <c r="N9" s="5">
        <f>N10/(1+regional_houseprice_growth!P9)</f>
        <v>117764.48615090738</v>
      </c>
      <c r="O9" s="5">
        <f>O10/(1+regional_houseprice_growth!Q9)</f>
        <v>111919.57220708448</v>
      </c>
      <c r="P9" s="5">
        <f>P10/(1+regional_houseprice_growth!Q9)</f>
        <v>107765.25703905539</v>
      </c>
      <c r="Q9" s="5">
        <f>Q10/(1+regional_houseprice_growth!R9)</f>
        <v>110490.42615176157</v>
      </c>
      <c r="R9" s="5">
        <f>R10/(1+regional_houseprice_growth!R9)</f>
        <v>110455.88719512199</v>
      </c>
      <c r="S9" s="5">
        <f>S10/(1+regional_houseprice_growth!R9)</f>
        <v>112361.63236788622</v>
      </c>
      <c r="T9" s="5">
        <f>T10/(1+regional_houseprice_growth!S9)</f>
        <v>121774.92550439735</v>
      </c>
      <c r="U9" s="5">
        <f>U10/(1+regional_houseprice_growth!T9)</f>
        <v>128314.3015582035</v>
      </c>
      <c r="V9" s="5">
        <f>V10/(1+regional_houseprice_growth!T9)</f>
        <v>112028.01069355331</v>
      </c>
      <c r="W9" s="5">
        <f>W10/(1+regional_houseprice_growth!U9)</f>
        <v>111824.93938059593</v>
      </c>
      <c r="X9" s="5">
        <f>X10/(1+regional_houseprice_growth!U9)</f>
        <v>94941.448994569218</v>
      </c>
      <c r="Y9" s="5">
        <f>Y10/(1+regional_houseprice_growth!V9)</f>
        <v>140463.88834446916</v>
      </c>
      <c r="Z9" s="5">
        <f>Z10/(1+regional_houseprice_growth!V9)</f>
        <v>129659.03407572382</v>
      </c>
      <c r="AA9" s="5">
        <f>AA10/(1+regional_houseprice_growth!V9)</f>
        <v>119007.40979955455</v>
      </c>
    </row>
    <row r="10" spans="1:27">
      <c r="A10">
        <v>2013</v>
      </c>
      <c r="B10" s="5">
        <f>B11/(1+regional_houseprice_growth!D10)</f>
        <v>197480.02702702704</v>
      </c>
      <c r="C10" s="5">
        <f>C11/(1+regional_houseprice_growth!E10)</f>
        <v>104919.33515981736</v>
      </c>
      <c r="D10" s="5">
        <f>D11/(1+regional_houseprice_growth!F10)</f>
        <v>131865.73389915127</v>
      </c>
      <c r="E10" s="5">
        <f>E11/(1+regional_houseprice_growth!G10)</f>
        <v>165175.76027736501</v>
      </c>
      <c r="F10" s="5">
        <f>F11/(1+regional_houseprice_growth!H10)</f>
        <v>153500.36131013307</v>
      </c>
      <c r="G10" s="5">
        <f>G11/(1+regional_houseprice_growth!I10)</f>
        <v>129707.03449951409</v>
      </c>
      <c r="H10" s="5">
        <f>H11/(1+regional_houseprice_growth!J10)</f>
        <v>119018.43788617884</v>
      </c>
      <c r="I10" s="5">
        <f>I11/(1+regional_houseprice_growth!K10)</f>
        <v>120511.29999999999</v>
      </c>
      <c r="J10" s="5">
        <f>J11/(1+regional_houseprice_growth!L10)</f>
        <v>138677.04280155641</v>
      </c>
      <c r="K10" s="5">
        <f>K11/(1+regional_houseprice_growth!M10)</f>
        <v>122839.37978560488</v>
      </c>
      <c r="L10" s="5">
        <f>L11/(1+regional_houseprice_growth!N10)</f>
        <v>118572.19554030875</v>
      </c>
      <c r="M10" s="5">
        <f>M11/(1+regional_houseprice_growth!O10)</f>
        <v>137983.46645367419</v>
      </c>
      <c r="N10" s="5">
        <f>N11/(1+regional_houseprice_growth!P10)</f>
        <v>125468.70487106018</v>
      </c>
      <c r="O10" s="5">
        <f>O11/(1+regional_houseprice_growth!Q10)</f>
        <v>122979.47093551316</v>
      </c>
      <c r="P10" s="5">
        <f>P11/(1+regional_houseprice_growth!Q10)</f>
        <v>118414.62609748711</v>
      </c>
      <c r="Q10" s="5">
        <f>Q11/(1+regional_houseprice_growth!R10)</f>
        <v>119728.75609756102</v>
      </c>
      <c r="R10" s="5">
        <f>R11/(1+regional_houseprice_growth!R10)</f>
        <v>119691.32926829271</v>
      </c>
      <c r="S10" s="5">
        <f>S11/(1+regional_houseprice_growth!R10)</f>
        <v>121756.41768292687</v>
      </c>
      <c r="T10" s="5">
        <f>T11/(1+regional_houseprice_growth!S10)</f>
        <v>130953.93998965343</v>
      </c>
      <c r="U10" s="5">
        <f>U11/(1+regional_houseprice_growth!T10)</f>
        <v>138815.72777268564</v>
      </c>
      <c r="V10" s="5">
        <f>V11/(1+regional_houseprice_growth!T10)</f>
        <v>121196.5435380385</v>
      </c>
      <c r="W10" s="5">
        <f>W11/(1+regional_houseprice_growth!U10)</f>
        <v>121467.93717892264</v>
      </c>
      <c r="X10" s="5">
        <f>X11/(1+regional_houseprice_growth!U10)</f>
        <v>103128.53309848819</v>
      </c>
      <c r="Y10" s="5">
        <f>Y11/(1+regional_houseprice_growth!V10)</f>
        <v>157247.62464736449</v>
      </c>
      <c r="Z10" s="5">
        <f>Z11/(1+regional_houseprice_growth!V10)</f>
        <v>145151.72093541201</v>
      </c>
      <c r="AA10" s="5">
        <f>AA11/(1+regional_houseprice_growth!V10)</f>
        <v>133227.35634743873</v>
      </c>
    </row>
    <row r="11" spans="1:27">
      <c r="A11">
        <v>2014</v>
      </c>
      <c r="B11" s="5">
        <f>B12/(1+regional_houseprice_growth!D11)</f>
        <v>236588.18295218298</v>
      </c>
      <c r="C11" s="5">
        <f>C12/(1+regional_houseprice_growth!E11)</f>
        <v>114670.20273972604</v>
      </c>
      <c r="D11" s="5">
        <f>D12/(1+regional_houseprice_growth!F11)</f>
        <v>141914.98127808285</v>
      </c>
      <c r="E11" s="5">
        <f>E12/(1+regional_houseprice_growth!G11)</f>
        <v>185178.6963843487</v>
      </c>
      <c r="F11" s="5">
        <f>F12/(1+regional_houseprice_growth!H11)</f>
        <v>173296.39099283519</v>
      </c>
      <c r="G11" s="5">
        <f>G12/(1+regional_houseprice_growth!I11)</f>
        <v>140458.1523323615</v>
      </c>
      <c r="H11" s="5">
        <f>H12/(1+regional_houseprice_growth!J11)</f>
        <v>129687.78780487804</v>
      </c>
      <c r="I11" s="5">
        <f>I12/(1+regional_houseprice_growth!K11)</f>
        <v>133578.7903614458</v>
      </c>
      <c r="J11" s="5">
        <f>J12/(1+regional_houseprice_growth!L11)</f>
        <v>151678.01556420233</v>
      </c>
      <c r="K11" s="5">
        <f>K12/(1+regional_houseprice_growth!M11)</f>
        <v>136866.7151607963</v>
      </c>
      <c r="L11" s="5">
        <f>L12/(1+regional_houseprice_growth!N11)</f>
        <v>136017.30017152661</v>
      </c>
      <c r="M11" s="5">
        <f>M12/(1+regional_houseprice_growth!O11)</f>
        <v>157421.13738019177</v>
      </c>
      <c r="N11" s="5">
        <f>N12/(1+regional_houseprice_growth!P11)</f>
        <v>140326.84097421204</v>
      </c>
      <c r="O11" s="5">
        <f>O12/(1+regional_houseprice_growth!Q11)</f>
        <v>136515.4663941871</v>
      </c>
      <c r="P11" s="5">
        <f>P12/(1+regional_houseprice_growth!Q11)</f>
        <v>131448.18225855281</v>
      </c>
      <c r="Q11" s="5">
        <f>Q12/(1+regional_houseprice_growth!R11)</f>
        <v>128412.78624661252</v>
      </c>
      <c r="R11" s="5">
        <f>R12/(1+regional_houseprice_growth!R11)</f>
        <v>128372.6448170732</v>
      </c>
      <c r="S11" s="5">
        <f>S12/(1+regional_houseprice_growth!R11)</f>
        <v>130587.51587906507</v>
      </c>
      <c r="T11" s="5">
        <f>T12/(1+regional_houseprice_growth!S11)</f>
        <v>142376.71357130544</v>
      </c>
      <c r="U11" s="5">
        <f>U12/(1+regional_houseprice_growth!T11)</f>
        <v>151942.51054078829</v>
      </c>
      <c r="V11" s="5">
        <f>V12/(1+regional_houseprice_growth!T11)</f>
        <v>132657.20959364498</v>
      </c>
      <c r="W11" s="5">
        <f>W12/(1+regional_houseprice_growth!U11)</f>
        <v>128911.65477763099</v>
      </c>
      <c r="X11" s="5">
        <f>X12/(1+regional_houseprice_growth!U11)</f>
        <v>109448.38749449582</v>
      </c>
      <c r="Y11" s="5">
        <f>Y12/(1+regional_houseprice_growth!V11)</f>
        <v>170834.45879732736</v>
      </c>
      <c r="Z11" s="5">
        <f>Z12/(1+regional_houseprice_growth!V11)</f>
        <v>157693.41982182625</v>
      </c>
      <c r="AA11" s="5">
        <f>AA12/(1+regional_houseprice_growth!V11)</f>
        <v>144738.74164810689</v>
      </c>
    </row>
    <row r="12" spans="1:27">
      <c r="A12">
        <v>2015</v>
      </c>
      <c r="B12" s="5">
        <f>B13/(1+regional_houseprice_growth!D12)</f>
        <v>296381.64449064451</v>
      </c>
      <c r="C12" s="5">
        <f>C13/(1+regional_houseprice_growth!E12)</f>
        <v>132611.79908675799</v>
      </c>
      <c r="D12" s="5">
        <f>D13/(1+regional_houseprice_growth!F12)</f>
        <v>163974.30479281078</v>
      </c>
      <c r="E12" s="5">
        <f>E13/(1+regional_houseprice_growth!G12)</f>
        <v>213970.80138682516</v>
      </c>
      <c r="F12" s="5">
        <f>F13/(1+regional_houseprice_growth!H12)</f>
        <v>206397.94882292731</v>
      </c>
      <c r="G12" s="5">
        <f>G13/(1+regional_houseprice_growth!I12)</f>
        <v>154157.15731292518</v>
      </c>
      <c r="H12" s="5">
        <f>H13/(1+regional_houseprice_growth!J12)</f>
        <v>144588.08682926829</v>
      </c>
      <c r="I12" s="5">
        <f>I13/(1+regional_houseprice_growth!K12)</f>
        <v>154943.1</v>
      </c>
      <c r="J12" s="5">
        <f>J13/(1+regional_houseprice_growth!L12)</f>
        <v>168187.18732629239</v>
      </c>
      <c r="K12" s="5">
        <f>K13/(1+regional_houseprice_growth!M12)</f>
        <v>154501.07963246552</v>
      </c>
      <c r="L12" s="5">
        <f>L13/(1+regional_houseprice_growth!N12)</f>
        <v>159186.5797598628</v>
      </c>
      <c r="M12" s="5">
        <f>M13/(1+regional_houseprice_growth!O12)</f>
        <v>183817.97444089464</v>
      </c>
      <c r="N12" s="5">
        <f>N13/(1+regional_houseprice_growth!P12)</f>
        <v>156652.44730977394</v>
      </c>
      <c r="O12" s="5">
        <f>O13/(1+regional_houseprice_growth!Q12)</f>
        <v>150876.82742960946</v>
      </c>
      <c r="P12" s="5">
        <f>P13/(1+regional_houseprice_growth!Q12)</f>
        <v>145276.46745382986</v>
      </c>
      <c r="Q12" s="5">
        <f>Q13/(1+regional_houseprice_growth!R12)</f>
        <v>141531.21476964775</v>
      </c>
      <c r="R12" s="5">
        <f>R13/(1+regional_houseprice_growth!R12)</f>
        <v>141486.97256097564</v>
      </c>
      <c r="S12" s="5">
        <f>S13/(1+regional_houseprice_growth!R12)</f>
        <v>143928.11102642279</v>
      </c>
      <c r="T12" s="5">
        <f>T13/(1+regional_houseprice_growth!S12)</f>
        <v>159306.89584411107</v>
      </c>
      <c r="U12" s="5">
        <f>U13/(1+regional_houseprice_growth!T12)</f>
        <v>161787.59761686527</v>
      </c>
      <c r="V12" s="5">
        <f>V13/(1+regional_houseprice_growth!T12)</f>
        <v>141252.70913534984</v>
      </c>
      <c r="W12" s="5">
        <f>W13/(1+regional_houseprice_growth!U12)</f>
        <v>141938.16057537062</v>
      </c>
      <c r="X12" s="5">
        <f>X13/(1+regional_houseprice_growth!U12)</f>
        <v>120508.13268750919</v>
      </c>
      <c r="Y12" s="5">
        <f>Y13/(1+regional_houseprice_growth!V12)</f>
        <v>183422.26102449882</v>
      </c>
      <c r="Z12" s="5">
        <f>Z13/(1+regional_houseprice_growth!V12)</f>
        <v>169312.93496659235</v>
      </c>
      <c r="AA12" s="5">
        <f>AA13/(1+regional_houseprice_growth!V12)</f>
        <v>155403.70155902</v>
      </c>
    </row>
    <row r="13" spans="1:27">
      <c r="A13">
        <v>2016</v>
      </c>
      <c r="B13" s="5">
        <f>B14/(1+regional_houseprice_growth!D13)</f>
        <v>344216.41372141376</v>
      </c>
      <c r="C13" s="5">
        <f>C14/(1+regional_houseprice_growth!E13)</f>
        <v>159524.19360730593</v>
      </c>
      <c r="D13" s="5">
        <f>D14/(1+regional_houseprice_growth!F13)</f>
        <v>190935.70019970043</v>
      </c>
      <c r="E13" s="5">
        <f>E14/(1+regional_houseprice_growth!G13)</f>
        <v>246702.87865279848</v>
      </c>
      <c r="F13" s="5">
        <f>F14/(1+regional_houseprice_growth!H13)</f>
        <v>239174.98157625381</v>
      </c>
      <c r="G13" s="5">
        <f>G14/(1+regional_houseprice_growth!I13)</f>
        <v>168029.56741982506</v>
      </c>
      <c r="H13" s="5">
        <f>H14/(1+regional_houseprice_growth!J13)</f>
        <v>163535.3806504065</v>
      </c>
      <c r="I13" s="5">
        <f>I14/(1+regional_houseprice_growth!K13)</f>
        <v>182530.02409638558</v>
      </c>
      <c r="J13" s="5">
        <f>J14/(1+regional_houseprice_growth!L13)</f>
        <v>183870.90050027793</v>
      </c>
      <c r="K13" s="5">
        <f>K14/(1+regional_houseprice_growth!M13)</f>
        <v>172736.61562021435</v>
      </c>
      <c r="L13" s="5">
        <f>L14/(1+regional_houseprice_growth!N13)</f>
        <v>181265.54030874788</v>
      </c>
      <c r="M13" s="5">
        <f>M14/(1+regional_houseprice_growth!O13)</f>
        <v>209974.84025559112</v>
      </c>
      <c r="N13" s="5">
        <f>N14/(1+regional_houseprice_growth!P13)</f>
        <v>167475.04027379816</v>
      </c>
      <c r="O13" s="5">
        <f>O14/(1+regional_houseprice_growth!Q13)</f>
        <v>162927.16485013624</v>
      </c>
      <c r="P13" s="5">
        <f>P14/(1+regional_houseprice_growth!Q13)</f>
        <v>156879.51135331515</v>
      </c>
      <c r="Q13" s="5">
        <f>Q14/(1+regional_houseprice_growth!R13)</f>
        <v>155943.0094850949</v>
      </c>
      <c r="R13" s="5">
        <f>R14/(1+regional_houseprice_growth!R13)</f>
        <v>155894.26219512199</v>
      </c>
      <c r="S13" s="5">
        <f>S14/(1+regional_houseprice_growth!R13)</f>
        <v>158583.9761178862</v>
      </c>
      <c r="T13" s="5">
        <f>T14/(1+regional_houseprice_growth!S13)</f>
        <v>179296.74961200208</v>
      </c>
      <c r="U13" s="5">
        <f>U14/(1+regional_houseprice_growth!T13)</f>
        <v>174914.38038496795</v>
      </c>
      <c r="V13" s="5">
        <f>V14/(1+regional_houseprice_growth!T13)</f>
        <v>152713.37519095634</v>
      </c>
      <c r="W13" s="5">
        <f>W14/(1+regional_houseprice_growth!U13)</f>
        <v>152934.56157346247</v>
      </c>
      <c r="X13" s="5">
        <f>X14/(1+regional_houseprice_growth!U13)</f>
        <v>129844.28122706591</v>
      </c>
      <c r="Y13" s="5">
        <f>Y14/(1+regional_houseprice_growth!V13)</f>
        <v>190415.48448403855</v>
      </c>
      <c r="Z13" s="5">
        <f>Z14/(1+regional_houseprice_growth!V13)</f>
        <v>175768.2211581291</v>
      </c>
      <c r="AA13" s="5">
        <f>AA14/(1+regional_houseprice_growth!V13)</f>
        <v>161328.67928730507</v>
      </c>
    </row>
    <row r="14" spans="1:27">
      <c r="A14">
        <v>2017</v>
      </c>
      <c r="B14" s="5">
        <f>B15/(1+regional_houseprice_growth!D14)</f>
        <v>373305.1247401248</v>
      </c>
      <c r="C14" s="5">
        <f>C15/(1+regional_houseprice_growth!E14)</f>
        <v>185266.48401826483</v>
      </c>
      <c r="D14" s="5">
        <f>D15/(1+regional_houseprice_growth!F14)</f>
        <v>223289.37468796803</v>
      </c>
      <c r="E14" s="5">
        <f>E15/(1+regional_houseprice_growth!G14)</f>
        <v>292164.09707776131</v>
      </c>
      <c r="F14" s="5">
        <f>F15/(1+regional_houseprice_growth!H14)</f>
        <v>275197.26509723644</v>
      </c>
      <c r="G14" s="5">
        <f>G15/(1+regional_houseprice_growth!I14)</f>
        <v>186410.51081146745</v>
      </c>
      <c r="H14" s="5">
        <f>H15/(1+regional_houseprice_growth!J14)</f>
        <v>191128.52699186991</v>
      </c>
      <c r="I14" s="5">
        <f>I15/(1+regional_houseprice_growth!K14)</f>
        <v>207213.06144578318</v>
      </c>
      <c r="J14" s="5">
        <f>J15/(1+regional_houseprice_growth!L14)</f>
        <v>199760.97832128959</v>
      </c>
      <c r="K14" s="5">
        <f>K15/(1+regional_houseprice_growth!M14)</f>
        <v>193777.61868300149</v>
      </c>
      <c r="L14" s="5">
        <f>L15/(1+regional_houseprice_growth!N14)</f>
        <v>201981.60205831905</v>
      </c>
      <c r="M14" s="5">
        <f>M15/(1+regional_houseprice_growth!O14)</f>
        <v>234691.87859424925</v>
      </c>
      <c r="N14" s="5">
        <f>N15/(1+regional_houseprice_growth!P14)</f>
        <v>178847.93457497613</v>
      </c>
      <c r="O14" s="5">
        <f>O15/(1+regional_houseprice_growth!Q14)</f>
        <v>180094.7688465032</v>
      </c>
      <c r="P14" s="5">
        <f>P15/(1+regional_houseprice_growth!Q14)</f>
        <v>173409.87526491066</v>
      </c>
      <c r="Q14" s="5">
        <f>Q15/(1+regional_houseprice_growth!R14)</f>
        <v>176821.63516260168</v>
      </c>
      <c r="R14" s="5">
        <f>R15/(1+regional_houseprice_growth!R14)</f>
        <v>176766.36128048785</v>
      </c>
      <c r="S14" s="5">
        <f>S15/(1+regional_houseprice_growth!R14)</f>
        <v>179816.1909298781</v>
      </c>
      <c r="T14" s="5">
        <f>T15/(1+regional_houseprice_growth!S14)</f>
        <v>206221.85876875324</v>
      </c>
      <c r="U14" s="5">
        <f>U15/(1+regional_houseprice_growth!T14)</f>
        <v>191651.02841429887</v>
      </c>
      <c r="V14" s="5">
        <f>V15/(1+regional_houseprice_growth!T14)</f>
        <v>167325.72441185461</v>
      </c>
      <c r="W14" s="5">
        <f>W15/(1+regional_houseprice_growth!U14)</f>
        <v>173066.43416996917</v>
      </c>
      <c r="X14" s="5">
        <f>X15/(1+regional_houseprice_growth!U14)</f>
        <v>146936.61470717748</v>
      </c>
      <c r="Y14" s="5">
        <f>Y15/(1+regional_houseprice_growth!V14)</f>
        <v>199007.15902004452</v>
      </c>
      <c r="Z14" s="5">
        <f>Z15/(1+regional_houseprice_growth!V14)</f>
        <v>183699.00133630287</v>
      </c>
      <c r="AA14" s="5">
        <f>AA15/(1+regional_houseprice_growth!V14)</f>
        <v>168607.93763919821</v>
      </c>
    </row>
    <row r="15" spans="1:27">
      <c r="A15">
        <v>2018</v>
      </c>
      <c r="B15" s="5">
        <f>B16/(1+regional_houseprice_growth!D15)</f>
        <v>385263.81704781705</v>
      </c>
      <c r="C15" s="5">
        <f>C16/(1+regional_houseprice_growth!E15)</f>
        <v>210618.73972602739</v>
      </c>
      <c r="D15" s="5">
        <f>D16/(1+regional_houseprice_growth!F15)</f>
        <v>251721.39166250624</v>
      </c>
      <c r="E15" s="5">
        <f>E16/(1+regional_houseprice_growth!G15)</f>
        <v>332776.11887072813</v>
      </c>
      <c r="F15" s="5">
        <f>F16/(1+regional_houseprice_growth!H15)</f>
        <v>310570.49846468779</v>
      </c>
      <c r="G15" s="5">
        <f>G16/(1+regional_houseprice_growth!I15)</f>
        <v>203404.21319241982</v>
      </c>
      <c r="H15" s="5">
        <f>H16/(1+regional_houseprice_growth!J15)</f>
        <v>213570.95268292679</v>
      </c>
      <c r="I15" s="5">
        <f>I16/(1+regional_houseprice_growth!K15)</f>
        <v>224843.80240963859</v>
      </c>
      <c r="J15" s="5">
        <f>J16/(1+regional_houseprice_growth!L15)</f>
        <v>212968.31573096162</v>
      </c>
      <c r="K15" s="5">
        <f>K16/(1+regional_houseprice_growth!M15)</f>
        <v>213616.27871362938</v>
      </c>
      <c r="L15" s="5">
        <f>L16/(1+regional_houseprice_growth!N15)</f>
        <v>221879.92452830193</v>
      </c>
      <c r="M15" s="5">
        <f>M16/(1+regional_houseprice_growth!O15)</f>
        <v>252209.77955271568</v>
      </c>
      <c r="N15" s="5">
        <f>N16/(1+regional_houseprice_growth!P15)</f>
        <v>192788.90178287169</v>
      </c>
      <c r="O15" s="5">
        <f>O16/(1+regional_houseprice_growth!Q15)</f>
        <v>197592.51907356951</v>
      </c>
      <c r="P15" s="5">
        <f>P16/(1+regional_houseprice_growth!Q15)</f>
        <v>190258.13079019074</v>
      </c>
      <c r="Q15" s="5">
        <f>Q16/(1+regional_houseprice_growth!R15)</f>
        <v>196222.12804878052</v>
      </c>
      <c r="R15" s="5">
        <f>R16/(1+regional_houseprice_growth!R15)</f>
        <v>196160.78963414635</v>
      </c>
      <c r="S15" s="5">
        <f>S16/(1+regional_houseprice_growth!R15)</f>
        <v>199545.24009146343</v>
      </c>
      <c r="T15" s="5">
        <f>T16/(1+regional_houseprice_growth!S15)</f>
        <v>227435.58113467845</v>
      </c>
      <c r="U15" s="5">
        <f>U16/(1+regional_houseprice_growth!T15)</f>
        <v>203957.38725939509</v>
      </c>
      <c r="V15" s="5">
        <f>V16/(1+regional_houseprice_growth!T15)</f>
        <v>178070.09883898566</v>
      </c>
      <c r="W15" s="5">
        <f>W16/(1+regional_houseprice_growth!U15)</f>
        <v>200642.02436518419</v>
      </c>
      <c r="X15" s="5">
        <f>X16/(1+regional_houseprice_growth!U15)</f>
        <v>170348.80258329664</v>
      </c>
      <c r="Y15" s="5">
        <f>Y16/(1+regional_houseprice_growth!V15)</f>
        <v>216190.50809205638</v>
      </c>
      <c r="Z15" s="5">
        <f>Z16/(1+regional_houseprice_growth!V15)</f>
        <v>199560.56169265028</v>
      </c>
      <c r="AA15" s="5">
        <f>AA16/(1+regional_houseprice_growth!V15)</f>
        <v>183166.45434298439</v>
      </c>
    </row>
    <row r="16" spans="1:27">
      <c r="A16">
        <v>2019</v>
      </c>
      <c r="B16" s="5">
        <f>B17/(1+regional_houseprice_growth!D16)</f>
        <v>383970.98544698546</v>
      </c>
      <c r="C16" s="5">
        <f>C17/(1+regional_houseprice_growth!E16)</f>
        <v>219784.55525114154</v>
      </c>
      <c r="D16" s="5">
        <f>D17/(1+regional_houseprice_growth!F16)</f>
        <v>276721.95831253118</v>
      </c>
      <c r="E16" s="5">
        <f>E17/(1+regional_houseprice_growth!G16)</f>
        <v>350960.60624071327</v>
      </c>
      <c r="F16" s="5">
        <f>F17/(1+regional_houseprice_growth!H16)</f>
        <v>334585.35414534289</v>
      </c>
      <c r="G16" s="5">
        <f>G17/(1+regional_houseprice_growth!I16)</f>
        <v>216409.5976676385</v>
      </c>
      <c r="H16" s="5">
        <f>H17/(1+regional_houseprice_growth!J16)</f>
        <v>223872.39398373978</v>
      </c>
      <c r="I16" s="5">
        <f>I17/(1+regional_houseprice_growth!K16)</f>
        <v>236251.92891566269</v>
      </c>
      <c r="J16" s="5">
        <f>J17/(1+regional_houseprice_growth!L16)</f>
        <v>224731.10061145079</v>
      </c>
      <c r="K16" s="5">
        <f>K17/(1+regional_houseprice_growth!M16)</f>
        <v>227242.83307810104</v>
      </c>
      <c r="L16" s="5">
        <f>L17/(1+regional_houseprice_growth!N16)</f>
        <v>240415.34819897087</v>
      </c>
      <c r="M16" s="5">
        <f>M17/(1+regional_houseprice_growth!O16)</f>
        <v>259888.85942492014</v>
      </c>
      <c r="N16" s="5">
        <f>N17/(1+regional_houseprice_growth!P16)</f>
        <v>210398.54457179242</v>
      </c>
      <c r="O16" s="5">
        <f>O17/(1+regional_houseprice_growth!Q16)</f>
        <v>215420.41553133517</v>
      </c>
      <c r="P16" s="5">
        <f>P17/(1+regional_houseprice_growth!Q16)</f>
        <v>207424.27792915533</v>
      </c>
      <c r="Q16" s="5">
        <f>Q17/(1+regional_houseprice_growth!R16)</f>
        <v>215253.08773712741</v>
      </c>
      <c r="R16" s="5">
        <f>R17/(1+regional_houseprice_growth!R16)</f>
        <v>215185.80030487807</v>
      </c>
      <c r="S16" s="5">
        <f>S17/(1+regional_houseprice_growth!R16)</f>
        <v>218898.49784044718</v>
      </c>
      <c r="T16" s="5">
        <f>T17/(1+regional_houseprice_growth!S16)</f>
        <v>244773.71960682882</v>
      </c>
      <c r="U16" s="5">
        <f>U17/(1+regional_houseprice_growth!T16)</f>
        <v>222170.79835013751</v>
      </c>
      <c r="V16" s="5">
        <f>V17/(1+regional_houseprice_growth!T16)</f>
        <v>193971.77299113965</v>
      </c>
      <c r="W16" s="5">
        <f>W17/(1+regional_houseprice_growth!U16)</f>
        <v>226525.86056069279</v>
      </c>
      <c r="X16" s="5">
        <f>X17/(1+regional_houseprice_growth!U16)</f>
        <v>192324.65991486865</v>
      </c>
      <c r="Y16" s="5">
        <f>Y17/(1+regional_houseprice_growth!V16)</f>
        <v>234772.50185597621</v>
      </c>
      <c r="Z16" s="5">
        <f>Z17/(1+regional_houseprice_growth!V16)</f>
        <v>216713.1792873051</v>
      </c>
      <c r="AA16" s="5">
        <f>AA17/(1+regional_houseprice_growth!V16)</f>
        <v>198909.96659242761</v>
      </c>
    </row>
    <row r="17" spans="1:27">
      <c r="A17">
        <v>2020</v>
      </c>
      <c r="B17" s="5">
        <f>B18/(1+regional_houseprice_growth!D17)</f>
        <v>461217.67359667359</v>
      </c>
      <c r="C17" s="5">
        <f>C18/(1+regional_houseprice_growth!E17)</f>
        <v>267563.80639269407</v>
      </c>
      <c r="D17" s="5">
        <f>D18/(1+regional_houseprice_growth!F17)</f>
        <v>345350.96480279579</v>
      </c>
      <c r="E17" s="5">
        <f>E18/(1+regional_houseprice_growth!G17)</f>
        <v>441276.89351163944</v>
      </c>
      <c r="F17" s="5">
        <f>F18/(1+regional_houseprice_growth!H17)</f>
        <v>429346.67656090076</v>
      </c>
      <c r="G17" s="5">
        <f>G18/(1+regional_houseprice_growth!I17)</f>
        <v>266523.6791788144</v>
      </c>
      <c r="H17" s="5">
        <f>H18/(1+regional_houseprice_growth!J17)</f>
        <v>277403.09788617882</v>
      </c>
      <c r="I17" s="5">
        <f>I18/(1+regional_houseprice_growth!K17)</f>
        <v>283958.63975903613</v>
      </c>
      <c r="J17" s="5">
        <f>J18/(1+regional_houseprice_growth!L17)</f>
        <v>277147.7209560867</v>
      </c>
      <c r="K17" s="5">
        <f>K18/(1+regional_houseprice_growth!M17)</f>
        <v>281548.66003062786</v>
      </c>
      <c r="L17" s="5">
        <f>L18/(1+regional_houseprice_growth!N17)</f>
        <v>320553.7975986278</v>
      </c>
      <c r="M17" s="5">
        <f>M18/(1+regional_houseprice_growth!O17)</f>
        <v>319641.6996805112</v>
      </c>
      <c r="N17" s="5">
        <f>N18/(1+regional_houseprice_growth!P17)</f>
        <v>270381.39032155363</v>
      </c>
      <c r="O17" s="5">
        <f>O18/(1+regional_houseprice_growth!Q17)</f>
        <v>266097.8619436876</v>
      </c>
      <c r="P17" s="5">
        <f>P18/(1+regional_houseprice_growth!Q17)</f>
        <v>256220.64062973059</v>
      </c>
      <c r="Q17" s="5">
        <f>Q18/(1+regional_houseprice_growth!R17)</f>
        <v>269944.00101626018</v>
      </c>
      <c r="R17" s="5">
        <f>R18/(1+regional_houseprice_growth!R17)</f>
        <v>269859.61737804877</v>
      </c>
      <c r="S17" s="5">
        <f>S18/(1+regional_houseprice_growth!R17)</f>
        <v>274515.62690548779</v>
      </c>
      <c r="T17" s="5">
        <f>T18/(1+regional_houseprice_growth!S17)</f>
        <v>296584.15692360757</v>
      </c>
      <c r="U17" s="5">
        <f>U18/(1+regional_houseprice_growth!T17)</f>
        <v>269427.21631530713</v>
      </c>
      <c r="V17" s="5">
        <f>V18/(1+regional_houseprice_growth!T17)</f>
        <v>235230.17079132301</v>
      </c>
      <c r="W17" s="5">
        <f>W18/(1+regional_houseprice_growth!U17)</f>
        <v>288444.0569499486</v>
      </c>
      <c r="X17" s="5">
        <f>X18/(1+regional_houseprice_growth!U17)</f>
        <v>244894.35784529577</v>
      </c>
      <c r="Y17" s="5">
        <f>Y18/(1+regional_houseprice_growth!V17)</f>
        <v>306303.18752783962</v>
      </c>
      <c r="Z17" s="5">
        <f>Z18/(1+regional_houseprice_growth!V17)</f>
        <v>282741.53518930956</v>
      </c>
      <c r="AA17" s="5">
        <f>AA18/(1+regional_houseprice_growth!V17)</f>
        <v>259514.02449888643</v>
      </c>
    </row>
    <row r="18" spans="1:27">
      <c r="A18">
        <v>2021</v>
      </c>
      <c r="B18" s="2">
        <f>sahibinden_rent_price_ibbs!E2</f>
        <v>621852</v>
      </c>
      <c r="C18" s="2">
        <f>AVERAGE(sahibinden_rent_price_ibbs!E4:E6)</f>
        <v>355906.66666666669</v>
      </c>
      <c r="D18" s="2">
        <f>AVERAGE(sahibinden_rent_price_ibbs!E10:E11)</f>
        <v>490942.5</v>
      </c>
      <c r="E18" s="2">
        <f>sahibinden_rent_price_ibbs!E14</f>
        <v>611908</v>
      </c>
      <c r="F18" s="2">
        <f>AVERAGE(sahibinden_rent_price_ibbs!E16:E17)</f>
        <v>634122</v>
      </c>
      <c r="G18" s="2">
        <f>AVERAGE(sahibinden_rent_price_ibbs!E20:E23)</f>
        <v>356867.75</v>
      </c>
      <c r="H18" s="2">
        <f>AVERAGE(sahibinden_rent_price_ibbs!E28:E30)</f>
        <v>377106.33333333331</v>
      </c>
      <c r="I18" s="2">
        <f>AVERAGE(sahibinden_rent_price_ibbs!E34:E38)</f>
        <v>378749.8</v>
      </c>
      <c r="J18" s="2">
        <f>sahibinden_rent_price_ibbs!E44</f>
        <v>371250</v>
      </c>
      <c r="K18" s="2">
        <f>AVERAGE(sahibinden_rent_price_ibbs!E46:E47)</f>
        <v>392565</v>
      </c>
      <c r="L18" s="2">
        <f>AVERAGE(sahibinden_rent_price_ibbs!E50:E52)</f>
        <v>476742</v>
      </c>
      <c r="M18" s="2">
        <f>AVERAGE(sahibinden_rent_price_ibbs!E56:E57)</f>
        <v>450666</v>
      </c>
      <c r="N18" s="2">
        <f>AVERAGE(sahibinden_rent_price_ibbs!E60:E62)</f>
        <v>384110.33333333331</v>
      </c>
      <c r="O18" s="2">
        <f>AVERAGE(sahibinden_rent_price_ibbs!E66:E70)</f>
        <v>363491</v>
      </c>
      <c r="P18" s="2">
        <f>AVERAGE(sahibinden_rent_price_ibbs!E76:E78)</f>
        <v>349998.66666666669</v>
      </c>
      <c r="Q18" s="2">
        <f>AVERAGE(sahibinden_rent_price_ibbs!E82:E84)</f>
        <v>363620.66666666669</v>
      </c>
      <c r="R18" s="2">
        <f>AVERAGE(sahibinden_rent_price_ibbs!E88:E90)</f>
        <v>363507</v>
      </c>
      <c r="S18" s="2">
        <f>AVERAGE(sahibinden_rent_price_ibbs!E94:E97)</f>
        <v>369778.75</v>
      </c>
      <c r="T18" s="2">
        <f>AVERAGE(sahibinden_rent_price_ibbs!E102:E107)</f>
        <v>394289.66666666669</v>
      </c>
      <c r="U18" s="2">
        <f>AVERAGE(sahibinden_rent_price_ibbs!E114:E116)</f>
        <v>358033</v>
      </c>
      <c r="V18" s="2">
        <f>AVERAGE(sahibinden_rent_price_ibbs!E120:E122)</f>
        <v>312589.66666666669</v>
      </c>
      <c r="W18" s="2">
        <f>AVERAGE(sahibinden_rent_price_ibbs!E126:E128)</f>
        <v>384197.33333333331</v>
      </c>
      <c r="X18" s="2">
        <f>AVERAGE(sahibinden_rent_price_ibbs!E132:E134)</f>
        <v>326190.66666666669</v>
      </c>
      <c r="Y18" s="2">
        <f>AVERAGE(sahibinden_rent_price_ibbs!E138:E140)</f>
        <v>448565.33333333331</v>
      </c>
      <c r="Z18" s="2">
        <f>AVERAGE(sahibinden_rent_price_ibbs!E144:E145)</f>
        <v>414060.5</v>
      </c>
      <c r="AA18" s="2">
        <f>AVERAGE(sahibinden_rent_price_ibbs!E148:E150)</f>
        <v>380045</v>
      </c>
    </row>
    <row r="19" spans="1:27">
      <c r="A19">
        <v>2022</v>
      </c>
      <c r="B19" s="2">
        <f>sahibinden_rent_price_ibbs!E3</f>
        <v>2133336</v>
      </c>
      <c r="C19" s="2">
        <f>AVERAGE(sahibinden_rent_price_ibbs!E7:E9)</f>
        <v>957795.33333333337</v>
      </c>
      <c r="D19" s="2">
        <f>AVERAGE(sahibinden_rent_price_ibbs!E12:E13)</f>
        <v>1485634.5</v>
      </c>
      <c r="E19" s="2">
        <f>sahibinden_rent_price_ibbs!E15</f>
        <v>1639131</v>
      </c>
      <c r="F19" s="2">
        <f>AVERAGE(sahibinden_rent_price_ibbs!E18:E19)</f>
        <v>1575100.5</v>
      </c>
      <c r="G19" s="2">
        <f>AVERAGE(sahibinden_rent_price_ibbs!E24:E27)</f>
        <v>870040</v>
      </c>
      <c r="H19" s="2">
        <f>AVERAGE(sahibinden_rent_price_ibbs!E31:E33)</f>
        <v>956672.33333333337</v>
      </c>
      <c r="I19" s="2">
        <f>AVERAGE(sahibinden_rent_price_ibbs!E39:E43)</f>
        <v>1073320.8</v>
      </c>
      <c r="J19" s="2">
        <f>sahibinden_rent_price_ibbs!E45</f>
        <v>1032435</v>
      </c>
      <c r="K19" s="2">
        <f>AVERAGE(sahibinden_rent_price_ibbs!E48:E49)</f>
        <v>1057000</v>
      </c>
      <c r="L19" s="2">
        <f>AVERAGE(sahibinden_rent_price_ibbs!E53:E55)</f>
        <v>1358871.3333333333</v>
      </c>
      <c r="M19" s="2">
        <f>AVERAGE(sahibinden_rent_price_ibbs!E58:E59)</f>
        <v>1474815</v>
      </c>
      <c r="N19" s="2">
        <f>AVERAGE(sahibinden_rent_price_ibbs!E63:E65)</f>
        <v>908113</v>
      </c>
      <c r="O19" s="2">
        <f>AVERAGE(sahibinden_rent_price_ibbs!E71:E75)</f>
        <v>898957</v>
      </c>
      <c r="P19" s="2">
        <f>AVERAGE(sahibinden_rent_price_ibbs!E79:E81)</f>
        <v>909942.66666666663</v>
      </c>
      <c r="Q19" s="2">
        <f>AVERAGE(sahibinden_rent_price_ibbs!E85:E87)</f>
        <v>909276.66666666663</v>
      </c>
      <c r="R19" s="2">
        <f>AVERAGE(sahibinden_rent_price_ibbs!E91:E93)</f>
        <v>829513</v>
      </c>
      <c r="S19" s="2">
        <f>AVERAGE(sahibinden_rent_price_ibbs!E98:E101)</f>
        <v>937381</v>
      </c>
      <c r="T19" s="2">
        <f>AVERAGE(sahibinden_rent_price_ibbs!E108:E113)</f>
        <v>963686.5</v>
      </c>
      <c r="U19" s="2">
        <f>AVERAGE(sahibinden_rent_price_ibbs!E117:E119)</f>
        <v>769357.33333333337</v>
      </c>
      <c r="V19" s="2">
        <f>AVERAGE(sahibinden_rent_price_ibbs!E123:E125)</f>
        <v>715594.66666666663</v>
      </c>
      <c r="W19" s="2">
        <f>AVERAGE(sahibinden_rent_price_ibbs!E129:E131)</f>
        <v>858141.33333333337</v>
      </c>
      <c r="X19" s="2">
        <f>AVERAGE(sahibinden_rent_price_ibbs!E135:E137)</f>
        <v>764899.33333333337</v>
      </c>
      <c r="Y19" s="2">
        <f>AVERAGE(sahibinden_rent_price_ibbs!E141:E143)</f>
        <v>1029322</v>
      </c>
      <c r="Z19" s="2">
        <f>AVERAGE(sahibinden_rent_price_ibbs!E146:E147)</f>
        <v>1165267</v>
      </c>
      <c r="AA19" s="2">
        <f>AVERAGE(sahibinden_rent_price_ibbs!E151:E153)</f>
        <v>849876.33333333337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232E2-CE30-9D4D-A3CD-5C5785FDA8AD}">
  <dimension ref="A1:V19"/>
  <sheetViews>
    <sheetView zoomScale="108" workbookViewId="0">
      <selection activeCell="D2" sqref="D2"/>
    </sheetView>
  </sheetViews>
  <sheetFormatPr baseColWidth="10" defaultRowHeight="16"/>
  <sheetData>
    <row r="1" spans="1:22">
      <c r="A1" s="77" t="s">
        <v>1051</v>
      </c>
      <c r="C1" s="74" t="s">
        <v>1031</v>
      </c>
      <c r="D1" s="74" t="s">
        <v>1032</v>
      </c>
      <c r="E1" s="74" t="s">
        <v>1035</v>
      </c>
      <c r="F1" s="74" t="s">
        <v>1036</v>
      </c>
      <c r="G1" s="74" t="s">
        <v>1034</v>
      </c>
      <c r="H1" s="74" t="s">
        <v>1037</v>
      </c>
      <c r="I1" s="74" t="s">
        <v>1038</v>
      </c>
      <c r="J1" s="74" t="s">
        <v>1039</v>
      </c>
      <c r="K1" s="74" t="s">
        <v>1040</v>
      </c>
      <c r="L1" s="74" t="s">
        <v>1033</v>
      </c>
      <c r="M1" s="74" t="s">
        <v>1041</v>
      </c>
      <c r="N1" s="74" t="s">
        <v>1042</v>
      </c>
      <c r="O1" s="74" t="s">
        <v>1043</v>
      </c>
      <c r="P1" s="74" t="s">
        <v>1044</v>
      </c>
      <c r="Q1" s="74" t="s">
        <v>1045</v>
      </c>
      <c r="R1" s="74" t="s">
        <v>1046</v>
      </c>
      <c r="S1" s="74" t="s">
        <v>1047</v>
      </c>
      <c r="T1" s="74" t="s">
        <v>1048</v>
      </c>
      <c r="U1" s="74" t="s">
        <v>1049</v>
      </c>
      <c r="V1" s="74" t="s">
        <v>1050</v>
      </c>
    </row>
    <row r="2" spans="1:22">
      <c r="A2" s="6" t="s">
        <v>1074</v>
      </c>
      <c r="B2" s="6">
        <v>2005</v>
      </c>
      <c r="C2" s="7">
        <f>turkey_rental_multiplier!G3</f>
        <v>0.38559668615172876</v>
      </c>
      <c r="D2" s="7">
        <f t="shared" ref="D2:D5" si="0">C2+(AVERAGE(D3:D15)-AVERAGE(C3:C15))</f>
        <v>0.40185792316396196</v>
      </c>
      <c r="E2" s="7">
        <f t="shared" ref="E2:E5" si="1">C2+(AVERAGE(E3:E15)-AVERAGE(C3:C15))</f>
        <v>0.38928152929455428</v>
      </c>
      <c r="F2" s="7">
        <f t="shared" ref="F2:F5" si="2">C2+(AVERAGE(F3:F15)-AVERAGE(C3:C15))</f>
        <v>0.38756623531521284</v>
      </c>
      <c r="G2" s="7">
        <f t="shared" ref="G2:G5" si="3">C2+(AVERAGE(G3:G15)-AVERAGE(C3:C15))</f>
        <v>0.4016289223159325</v>
      </c>
      <c r="H2" s="7">
        <f t="shared" ref="H2:H5" si="4">C2+(AVERAGE(H3:H15)-AVERAGE(C3:C15))</f>
        <v>0.40055802368126081</v>
      </c>
      <c r="I2" s="7">
        <f t="shared" ref="I2:I5" si="5">C2+(AVERAGE(I3:I15)-AVERAGE(C3:C15))</f>
        <v>0.37490867849910142</v>
      </c>
      <c r="J2" s="7">
        <f t="shared" ref="J2:J5" si="6">C2+(AVERAGE(J3:J15)-AVERAGE(C3:C15))</f>
        <v>0.3759635421064747</v>
      </c>
      <c r="K2" s="7">
        <f t="shared" ref="K2:K5" si="7">C2+(AVERAGE(K3:K15)-AVERAGE(C3:C15))</f>
        <v>0.37808081002033556</v>
      </c>
      <c r="L2" s="7">
        <f t="shared" ref="L2:L5" si="8">C2+(AVERAGE(L3:L15)-AVERAGE(C3:C15))</f>
        <v>0.36748321158234232</v>
      </c>
      <c r="M2" s="7">
        <f t="shared" ref="M2:M5" si="9">C2+(AVERAGE(M3:M15)-AVERAGE(C3:C15))</f>
        <v>0.38686447246559563</v>
      </c>
      <c r="N2" s="7">
        <f t="shared" ref="N2:N5" si="10">C2+(AVERAGE(N3:N15)-AVERAGE(C3:C15))</f>
        <v>0.40432026282342193</v>
      </c>
      <c r="O2" s="7">
        <f t="shared" ref="O2:O5" si="11">C2+(AVERAGE(O3:O15)-AVERAGE(C3:C15))</f>
        <v>0.39157959667128445</v>
      </c>
      <c r="P2" s="7">
        <f t="shared" ref="P2:P5" si="12">C2+(AVERAGE(P3:P15)-AVERAGE(C3:C15))</f>
        <v>0.36420895132247311</v>
      </c>
      <c r="Q2" s="7">
        <f t="shared" ref="Q2:Q5" si="13">C2+(AVERAGE(Q3:Q15)-AVERAGE(C3:C15))</f>
        <v>0.37452128223024606</v>
      </c>
      <c r="R2" s="7">
        <f t="shared" ref="R2:R5" si="14">C2+(AVERAGE(R3:R15)-AVERAGE(C3:C15))</f>
        <v>0.37231598108633734</v>
      </c>
      <c r="S2" s="7">
        <f t="shared" ref="S2:S5" si="15">C2+(AVERAGE(S3:S15)-AVERAGE(C3:C15))</f>
        <v>0.371065883011375</v>
      </c>
      <c r="T2" s="7">
        <f t="shared" ref="T2:T5" si="16">C2+(AVERAGE(T3:T15)-AVERAGE(C3:C15))</f>
        <v>0.37007740405330353</v>
      </c>
      <c r="U2" s="7">
        <f t="shared" ref="U2:U5" si="17">C2+(AVERAGE(U3:U15)-AVERAGE(C3:C15))</f>
        <v>0.37317235178056396</v>
      </c>
      <c r="V2" s="7">
        <f t="shared" ref="V2:V5" si="18">C2+(AVERAGE(V3:V15)-AVERAGE(C3:C15))</f>
        <v>0.3799666326813787</v>
      </c>
    </row>
    <row r="3" spans="1:22">
      <c r="A3" s="6" t="s">
        <v>1074</v>
      </c>
      <c r="B3" s="6">
        <v>2006</v>
      </c>
      <c r="C3" s="7">
        <f>turkey_rental_multiplier!G4</f>
        <v>0.13875470182488039</v>
      </c>
      <c r="D3" s="7">
        <f t="shared" si="0"/>
        <v>0.15118235237513369</v>
      </c>
      <c r="E3" s="7">
        <f t="shared" si="1"/>
        <v>0.14066233329421052</v>
      </c>
      <c r="F3" s="7">
        <f t="shared" si="2"/>
        <v>0.14125640185403021</v>
      </c>
      <c r="G3" s="7">
        <f t="shared" si="3"/>
        <v>0.15498126520323136</v>
      </c>
      <c r="H3" s="7">
        <f t="shared" si="4"/>
        <v>0.15583542595614891</v>
      </c>
      <c r="I3" s="7">
        <f t="shared" si="5"/>
        <v>0.12832891530362475</v>
      </c>
      <c r="J3" s="7">
        <f t="shared" si="6"/>
        <v>0.12984715001601405</v>
      </c>
      <c r="K3" s="7">
        <f t="shared" si="7"/>
        <v>0.12915739500589174</v>
      </c>
      <c r="L3" s="7">
        <f t="shared" si="8"/>
        <v>0.12155319553436741</v>
      </c>
      <c r="M3" s="7">
        <f t="shared" si="9"/>
        <v>0.13995976395036175</v>
      </c>
      <c r="N3" s="7">
        <f t="shared" si="10"/>
        <v>0.16290844506998101</v>
      </c>
      <c r="O3" s="7">
        <f t="shared" si="11"/>
        <v>0.14369093822682419</v>
      </c>
      <c r="P3" s="7">
        <f t="shared" si="12"/>
        <v>0.1222163850921518</v>
      </c>
      <c r="Q3" s="7">
        <f t="shared" si="13"/>
        <v>0.12823194229147911</v>
      </c>
      <c r="R3" s="7">
        <f t="shared" si="14"/>
        <v>0.12752903487737038</v>
      </c>
      <c r="S3" s="7">
        <f t="shared" si="15"/>
        <v>0.12333890191117554</v>
      </c>
      <c r="T3" s="7">
        <f t="shared" si="16"/>
        <v>0.12249505968250698</v>
      </c>
      <c r="U3" s="7">
        <f t="shared" si="17"/>
        <v>0.12970002616160792</v>
      </c>
      <c r="V3" s="7">
        <f t="shared" si="18"/>
        <v>0.1382477540616906</v>
      </c>
    </row>
    <row r="4" spans="1:22">
      <c r="A4" s="6" t="s">
        <v>1074</v>
      </c>
      <c r="B4" s="6">
        <v>2007</v>
      </c>
      <c r="C4" s="7">
        <f>turkey_rental_multiplier!G5</f>
        <v>0.19879297654204151</v>
      </c>
      <c r="D4" s="7">
        <f t="shared" si="0"/>
        <v>0.20843700662410408</v>
      </c>
      <c r="E4" s="7">
        <f t="shared" si="1"/>
        <v>0.19737497574118529</v>
      </c>
      <c r="F4" s="7">
        <f t="shared" si="2"/>
        <v>0.20445522929015669</v>
      </c>
      <c r="G4" s="7">
        <f t="shared" si="3"/>
        <v>0.21470690516114183</v>
      </c>
      <c r="H4" s="7">
        <f t="shared" si="4"/>
        <v>0.22194794799694867</v>
      </c>
      <c r="I4" s="7">
        <f t="shared" si="5"/>
        <v>0.18655088020053762</v>
      </c>
      <c r="J4" s="7">
        <f t="shared" si="6"/>
        <v>0.1894209854478342</v>
      </c>
      <c r="K4" s="7">
        <f t="shared" si="7"/>
        <v>0.18695220302200194</v>
      </c>
      <c r="L4" s="7">
        <f t="shared" si="8"/>
        <v>0.18029959209780672</v>
      </c>
      <c r="M4" s="7">
        <f t="shared" si="9"/>
        <v>0.20130338440106579</v>
      </c>
      <c r="N4" s="7">
        <f t="shared" si="10"/>
        <v>0.22925136316479222</v>
      </c>
      <c r="O4" s="7">
        <f t="shared" si="11"/>
        <v>0.20588260766405558</v>
      </c>
      <c r="P4" s="7">
        <f t="shared" si="12"/>
        <v>0.18670725418596879</v>
      </c>
      <c r="Q4" s="7">
        <f t="shared" si="13"/>
        <v>0.18839175807189562</v>
      </c>
      <c r="R4" s="7">
        <f t="shared" si="14"/>
        <v>0.18638317436521162</v>
      </c>
      <c r="S4" s="7">
        <f t="shared" si="15"/>
        <v>0.18123615455699135</v>
      </c>
      <c r="T4" s="7">
        <f t="shared" si="16"/>
        <v>0.18041195795642259</v>
      </c>
      <c r="U4" s="7">
        <f t="shared" si="17"/>
        <v>0.1873235392802301</v>
      </c>
      <c r="V4" s="7">
        <f t="shared" si="18"/>
        <v>0.20472385688971773</v>
      </c>
    </row>
    <row r="5" spans="1:22">
      <c r="A5" s="6" t="s">
        <v>1074</v>
      </c>
      <c r="B5" s="6">
        <v>2008</v>
      </c>
      <c r="C5" s="7">
        <f>turkey_rental_multiplier!G6</f>
        <v>-4.7355505005845441E-2</v>
      </c>
      <c r="D5" s="7">
        <f t="shared" si="0"/>
        <v>-2.1898752842760674E-2</v>
      </c>
      <c r="E5" s="7">
        <f t="shared" si="1"/>
        <v>-4.8204057298772238E-2</v>
      </c>
      <c r="F5" s="7">
        <f t="shared" si="2"/>
        <v>-4.8944336939095709E-2</v>
      </c>
      <c r="G5" s="7">
        <f t="shared" si="3"/>
        <v>-3.7813882327705398E-2</v>
      </c>
      <c r="H5" s="7">
        <f t="shared" si="4"/>
        <v>-2.8029698308840514E-2</v>
      </c>
      <c r="I5" s="7">
        <f t="shared" si="5"/>
        <v>-7.4844209710009504E-2</v>
      </c>
      <c r="J5" s="7">
        <f t="shared" si="6"/>
        <v>-6.3566135679851768E-2</v>
      </c>
      <c r="K5" s="7">
        <f t="shared" si="7"/>
        <v>-5.5007455834910471E-2</v>
      </c>
      <c r="L5" s="7">
        <f t="shared" si="8"/>
        <v>-5.6271164487339528E-2</v>
      </c>
      <c r="M5" s="7">
        <f t="shared" si="9"/>
        <v>-5.0457378972383685E-2</v>
      </c>
      <c r="N5" s="7">
        <f t="shared" si="10"/>
        <v>-2.2491310159926808E-3</v>
      </c>
      <c r="O5" s="7">
        <f t="shared" si="11"/>
        <v>-3.0675099700939581E-2</v>
      </c>
      <c r="P5" s="7">
        <f t="shared" si="12"/>
        <v>-7.3602876532953374E-2</v>
      </c>
      <c r="Q5" s="7">
        <f t="shared" si="13"/>
        <v>-7.3117421949072017E-2</v>
      </c>
      <c r="R5" s="7">
        <f t="shared" si="14"/>
        <v>-7.2253684995248715E-2</v>
      </c>
      <c r="S5" s="7">
        <f t="shared" si="15"/>
        <v>-7.9215548891515372E-2</v>
      </c>
      <c r="T5" s="7">
        <f t="shared" si="16"/>
        <v>-8.9349878679015574E-2</v>
      </c>
      <c r="U5" s="7">
        <f t="shared" si="17"/>
        <v>-8.3385505672543478E-2</v>
      </c>
      <c r="V5" s="7">
        <f t="shared" si="18"/>
        <v>-5.0277537382213092E-2</v>
      </c>
    </row>
    <row r="6" spans="1:22">
      <c r="A6" s="6" t="s">
        <v>1074</v>
      </c>
      <c r="B6" s="6">
        <v>2009</v>
      </c>
      <c r="C6" s="7">
        <f>turkey_rental_multiplier!G7</f>
        <v>6.7783923984100714E-2</v>
      </c>
      <c r="D6" s="7">
        <f>C6+(AVERAGE(D7:D19)-AVERAGE(C7:C19))</f>
        <v>8.2839442709601252E-2</v>
      </c>
      <c r="E6" s="7">
        <f>C6+(AVERAGE(E7:E19)-AVERAGE(C7:C19))</f>
        <v>7.8624407181367095E-2</v>
      </c>
      <c r="F6" s="7">
        <f>C6+(AVERAGE(F7:F19)-AVERAGE(C7:C19))</f>
        <v>7.0120788610992579E-2</v>
      </c>
      <c r="G6" s="7">
        <f>C6+(AVERAGE(G7:G19)-AVERAGE(C7:C19))</f>
        <v>7.7912618345562012E-2</v>
      </c>
      <c r="H6" s="7">
        <f>C6+(AVERAGE(H7:H19)-AVERAGE(C7:C19))</f>
        <v>8.9234071750879718E-2</v>
      </c>
      <c r="I6" s="7">
        <f>C6+(AVERAGE(I7:I19)-AVERAGE(C7:C19))</f>
        <v>5.0350116638973486E-2</v>
      </c>
      <c r="J6" s="7">
        <f>C6+(AVERAGE(J7:J19)-AVERAGE(C7:C19))</f>
        <v>5.370280137351835E-2</v>
      </c>
      <c r="K6" s="7">
        <f>C6+(AVERAGE(K7:K19)-AVERAGE(C7:C19))</f>
        <v>6.9754637927027241E-2</v>
      </c>
      <c r="L6" s="7">
        <f>C6+(AVERAGE(L7:L19)-AVERAGE(C7:C19))</f>
        <v>6.6785542593517322E-2</v>
      </c>
      <c r="M6" s="7">
        <f>C6+(AVERAGE(M7:M19)-AVERAGE(C7:C19))</f>
        <v>7.0809160975687735E-2</v>
      </c>
      <c r="N6" s="7">
        <f>C6+(AVERAGE(N7:N19)-AVERAGE(C7:C19))</f>
        <v>0.11444189446858516</v>
      </c>
      <c r="O6" s="7">
        <f>C6+(AVERAGE(O7:O19)-AVERAGE(C7:C19))</f>
        <v>8.2748354183533213E-2</v>
      </c>
      <c r="P6" s="7">
        <f>C6+(AVERAGE(P7:P19)-AVERAGE(C7:C19))</f>
        <v>4.7873399055546995E-2</v>
      </c>
      <c r="Q6" s="7">
        <f>C6+(AVERAGE(Q7:Q19)-AVERAGE(C7:C19))</f>
        <v>4.1957346350483204E-2</v>
      </c>
      <c r="R6" s="7">
        <f>C6+(AVERAGE(R7:R19)-AVERAGE(C7:C19))</f>
        <v>5.70818277125274E-2</v>
      </c>
      <c r="S6" s="7">
        <f>C6+(AVERAGE(S7:S19)-AVERAGE(C7:C19))</f>
        <v>5.5598693607287031E-2</v>
      </c>
      <c r="T6" s="7">
        <f>C6+(AVERAGE(T7:T19)-AVERAGE(C7:C19))</f>
        <v>3.6457782525736893E-2</v>
      </c>
      <c r="U6" s="7">
        <f>C6+(AVERAGE(U7:U19)-AVERAGE(C7:C19))</f>
        <v>3.6464338502116111E-2</v>
      </c>
      <c r="V6" s="7">
        <f>C6+(AVERAGE(V7:V19)-AVERAGE(C7:C19))</f>
        <v>5.4123130678405185E-2</v>
      </c>
    </row>
    <row r="7" spans="1:22">
      <c r="A7" t="s">
        <v>1052</v>
      </c>
      <c r="B7" s="75">
        <v>2010</v>
      </c>
      <c r="C7" s="76">
        <f>(house_price_index_evds!C8-house_price_index_evds!C7)/house_price_index_evds!C7</f>
        <v>8.7234042553191518E-2</v>
      </c>
      <c r="D7" s="76">
        <f>(house_price_index_evds!D8-house_price_index_evds!D7)/house_price_index_evds!D7</f>
        <v>0.10747663551401868</v>
      </c>
      <c r="E7" s="76">
        <f>(house_price_index_evds!G8-house_price_index_evds!G7)/house_price_index_evds!G7</f>
        <v>6.5315315315315314E-2</v>
      </c>
      <c r="F7" s="76">
        <f>(house_price_index_evds!H8-house_price_index_evds!H7)/house_price_index_evds!H7</f>
        <v>4.424778761061951E-2</v>
      </c>
      <c r="G7" s="76">
        <f>(house_price_index_evds!F8-house_price_index_evds!F7)/house_price_index_evds!F7</f>
        <v>9.5588235294117571E-2</v>
      </c>
      <c r="H7" s="76">
        <f>(house_price_index_evds!I8-house_price_index_evds!I7)/house_price_index_evds!I7</f>
        <v>6.3492063492063433E-2</v>
      </c>
      <c r="I7" s="76">
        <f>(house_price_index_evds!J8-house_price_index_evds!J7)/house_price_index_evds!J7</f>
        <v>9.4795539033457207E-2</v>
      </c>
      <c r="J7" s="76">
        <f>(house_price_index_evds!K8-house_price_index_evds!K7)/house_price_index_evds!K7</f>
        <v>6.8052930056710842E-2</v>
      </c>
      <c r="K7" s="76">
        <f>(house_price_index_evds!L8-house_price_index_evds!L7)/house_price_index_evds!L7</f>
        <v>5.0607287449392711E-2</v>
      </c>
      <c r="L7" s="76">
        <f>(house_price_index_evds!E8-house_price_index_evds!E7)/house_price_index_evds!E7</f>
        <v>7.8393881453154721E-2</v>
      </c>
      <c r="M7" s="76">
        <f>(house_price_index_evds!M8-house_price_index_evds!M7)/house_price_index_evds!M7</f>
        <v>8.16777041942605E-2</v>
      </c>
      <c r="N7" s="76">
        <f>(house_price_index_evds!N8-house_price_index_evds!N7)/house_price_index_evds!N7</f>
        <v>9.1743119266054995E-2</v>
      </c>
      <c r="O7" s="76">
        <f>(house_price_index_evds!O8-house_price_index_evds!O7)/house_price_index_evds!O7</f>
        <v>0.10798122065727699</v>
      </c>
      <c r="P7" s="76">
        <f>(house_price_index_evds!P8-house_price_index_evds!P7)/house_price_index_evds!P7</f>
        <v>7.1684587813620138E-2</v>
      </c>
      <c r="Q7" s="76">
        <f>(house_price_index_evds!Q8-house_price_index_evds!Q7)/house_price_index_evds!Q7</f>
        <v>8.8967971530249115E-2</v>
      </c>
      <c r="R7" s="76">
        <f>(house_price_index_evds!R8-house_price_index_evds!R7)/house_price_index_evds!R7</f>
        <v>5.5555555555555566E-2</v>
      </c>
      <c r="S7" s="76">
        <f>(house_price_index_evds!S8-house_price_index_evds!S7)/house_price_index_evds!S7</f>
        <v>4.8327137546468363E-2</v>
      </c>
      <c r="T7" s="76">
        <f>(house_price_index_evds!T8-house_price_index_evds!T7)/house_price_index_evds!T7</f>
        <v>0.11725293132328311</v>
      </c>
      <c r="U7" s="76">
        <f>(house_price_index_evds!U8-house_price_index_evds!U7)/house_price_index_evds!U7</f>
        <v>5.1724137931034454E-2</v>
      </c>
      <c r="V7" s="76">
        <f>(house_price_index_evds!V8-house_price_index_evds!V7)/house_price_index_evds!V7</f>
        <v>0.15612648221343875</v>
      </c>
    </row>
    <row r="8" spans="1:22">
      <c r="A8" t="s">
        <v>1052</v>
      </c>
      <c r="B8" s="75">
        <v>2011</v>
      </c>
      <c r="C8" s="76">
        <f>(house_price_index_evds!C9-house_price_index_evds!C8)/house_price_index_evds!C8</f>
        <v>0.10958904109589032</v>
      </c>
      <c r="D8" s="76">
        <f>(house_price_index_evds!D9-house_price_index_evds!D8)/house_price_index_evds!D8</f>
        <v>0.11814345991561173</v>
      </c>
      <c r="E8" s="76">
        <f>(house_price_index_evds!G9-house_price_index_evds!G8)/house_price_index_evds!G8</f>
        <v>6.1310782241014612E-2</v>
      </c>
      <c r="F8" s="76">
        <f>(house_price_index_evds!H9-house_price_index_evds!H8)/house_price_index_evds!H8</f>
        <v>6.5677966101695018E-2</v>
      </c>
      <c r="G8" s="76">
        <f>(house_price_index_evds!F9-house_price_index_evds!F8)/house_price_index_evds!F8</f>
        <v>9.1722595078299815E-2</v>
      </c>
      <c r="H8" s="76">
        <f>(house_price_index_evds!I9-house_price_index_evds!I8)/house_price_index_evds!I8</f>
        <v>6.7164179104477736E-2</v>
      </c>
      <c r="I8" s="76">
        <f>(house_price_index_evds!J9-house_price_index_evds!J8)/house_price_index_evds!J8</f>
        <v>0.13752122241086598</v>
      </c>
      <c r="J8" s="76">
        <f>(house_price_index_evds!K9-house_price_index_evds!K8)/house_price_index_evds!K8</f>
        <v>6.0176991150442449E-2</v>
      </c>
      <c r="K8" s="76">
        <f>(house_price_index_evds!L9-house_price_index_evds!L8)/house_price_index_evds!L8</f>
        <v>4.2389210019267771E-2</v>
      </c>
      <c r="L8" s="76">
        <f>(house_price_index_evds!E9-house_price_index_evds!E8)/house_price_index_evds!E8</f>
        <v>8.8652482269503549E-2</v>
      </c>
      <c r="M8" s="76">
        <f>(house_price_index_evds!M9-house_price_index_evds!M8)/house_price_index_evds!M8</f>
        <v>0.13061224489795911</v>
      </c>
      <c r="N8" s="76">
        <f>(house_price_index_evds!N9-house_price_index_evds!N8)/house_price_index_evds!N8</f>
        <v>9.523809523809533E-2</v>
      </c>
      <c r="O8" s="76">
        <f>(house_price_index_evds!O9-house_price_index_evds!O8)/house_price_index_evds!O8</f>
        <v>0.10381355932203395</v>
      </c>
      <c r="P8" s="76">
        <f>(house_price_index_evds!P9-house_price_index_evds!P8)/house_price_index_evds!P8</f>
        <v>7.3578595317725662E-2</v>
      </c>
      <c r="Q8" s="76">
        <f>(house_price_index_evds!Q9-house_price_index_evds!Q8)/house_price_index_evds!Q8</f>
        <v>0.10784313725490198</v>
      </c>
      <c r="R8" s="76">
        <f>(house_price_index_evds!R9-house_price_index_evds!R8)/house_price_index_evds!R8</f>
        <v>8.5299455535390326E-2</v>
      </c>
      <c r="S8" s="76">
        <f>(house_price_index_evds!S9-house_price_index_evds!S8)/house_price_index_evds!S8</f>
        <v>5.8510638297872355E-2</v>
      </c>
      <c r="T8" s="76">
        <f>(house_price_index_evds!T9-house_price_index_evds!T8)/house_price_index_evds!T8</f>
        <v>0.17241379310344834</v>
      </c>
      <c r="U8" s="76">
        <f>(house_price_index_evds!U9-house_price_index_evds!U8)/house_price_index_evds!U8</f>
        <v>8.3606557377049293E-2</v>
      </c>
      <c r="V8" s="76">
        <f>(house_price_index_evds!V9-house_price_index_evds!V8)/house_price_index_evds!V8</f>
        <v>0.20170940170940183</v>
      </c>
    </row>
    <row r="9" spans="1:22">
      <c r="A9" t="s">
        <v>1052</v>
      </c>
      <c r="B9" s="75">
        <v>2012</v>
      </c>
      <c r="C9" s="76">
        <f>(house_price_index_evds!C10-house_price_index_evds!C9)/house_price_index_evds!C9</f>
        <v>0.11287477954144615</v>
      </c>
      <c r="D9" s="76">
        <f>(house_price_index_evds!D10-house_price_index_evds!D9)/house_price_index_evds!D9</f>
        <v>0.15283018867924539</v>
      </c>
      <c r="E9" s="76">
        <f>(house_price_index_evds!G10-house_price_index_evds!G9)/house_price_index_evds!G9</f>
        <v>7.1713147410358641E-2</v>
      </c>
      <c r="F9" s="76">
        <f>(house_price_index_evds!H10-house_price_index_evds!H9)/house_price_index_evds!H9</f>
        <v>6.9582504970178857E-2</v>
      </c>
      <c r="G9" s="76">
        <f>(house_price_index_evds!F10-house_price_index_evds!F9)/house_price_index_evds!F9</f>
        <v>0.11680327868852465</v>
      </c>
      <c r="H9" s="76">
        <f>(house_price_index_evds!I10-house_price_index_evds!I9)/house_price_index_evds!I9</f>
        <v>0.10256410256410266</v>
      </c>
      <c r="I9" s="76">
        <f>(house_price_index_evds!J10-house_price_index_evds!J9)/house_price_index_evds!J9</f>
        <v>0.11641791044776123</v>
      </c>
      <c r="J9" s="76">
        <f>(house_price_index_evds!K10-house_price_index_evds!K9)/house_price_index_evds!K9</f>
        <v>8.0133555926544156E-2</v>
      </c>
      <c r="K9" s="76">
        <f>(house_price_index_evds!L10-house_price_index_evds!L9)/house_price_index_evds!L9</f>
        <v>7.3937153419593241E-2</v>
      </c>
      <c r="L9" s="76">
        <f>(house_price_index_evds!E10-house_price_index_evds!E9)/house_price_index_evds!E9</f>
        <v>9.4462540716612392E-2</v>
      </c>
      <c r="M9" s="76">
        <f>(house_price_index_evds!M10-house_price_index_evds!M9)/house_price_index_evds!M9</f>
        <v>0.10649819494584835</v>
      </c>
      <c r="N9" s="76">
        <f>(house_price_index_evds!N10-house_price_index_evds!N9)/house_price_index_evds!N9</f>
        <v>0.11253196930946278</v>
      </c>
      <c r="O9" s="76">
        <f>(house_price_index_evds!O10-house_price_index_evds!O9)/house_price_index_evds!O9</f>
        <v>0.1036468330134357</v>
      </c>
      <c r="P9" s="76">
        <f>(house_price_index_evds!P10-house_price_index_evds!P9)/house_price_index_evds!P9</f>
        <v>6.5420560747663545E-2</v>
      </c>
      <c r="Q9" s="76">
        <f>(house_price_index_evds!Q10-house_price_index_evds!Q9)/house_price_index_evds!Q9</f>
        <v>9.8820058997050139E-2</v>
      </c>
      <c r="R9" s="76">
        <f>(house_price_index_evds!R10-house_price_index_evds!R9)/house_price_index_evds!R9</f>
        <v>8.3612040133779264E-2</v>
      </c>
      <c r="S9" s="76">
        <f>(house_price_index_evds!S10-house_price_index_evds!S9)/house_price_index_evds!S9</f>
        <v>7.5376884422110588E-2</v>
      </c>
      <c r="T9" s="76">
        <f>(house_price_index_evds!T10-house_price_index_evds!T9)/house_price_index_evds!T9</f>
        <v>8.1841432225064015E-2</v>
      </c>
      <c r="U9" s="76">
        <f>(house_price_index_evds!U10-house_price_index_evds!U9)/house_price_index_evds!U9</f>
        <v>8.6232980332828946E-2</v>
      </c>
      <c r="V9" s="76">
        <f>(house_price_index_evds!V10-house_price_index_evds!V9)/house_price_index_evds!V9</f>
        <v>0.11948790896159314</v>
      </c>
    </row>
    <row r="10" spans="1:22">
      <c r="A10" t="s">
        <v>1052</v>
      </c>
      <c r="B10" s="75">
        <v>2013</v>
      </c>
      <c r="C10" s="76">
        <f>(house_price_index_evds!C11-house_price_index_evds!C10)/house_price_index_evds!C10</f>
        <v>0.12519809825673536</v>
      </c>
      <c r="D10" s="76">
        <f>(house_price_index_evds!D11-house_price_index_evds!D10)/house_price_index_evds!D10</f>
        <v>0.19803600654664483</v>
      </c>
      <c r="E10" s="76">
        <f>(house_price_index_evds!G11-house_price_index_evds!G10)/house_price_index_evds!G10</f>
        <v>9.2936802973977703E-2</v>
      </c>
      <c r="F10" s="76">
        <f>(house_price_index_evds!H11-house_price_index_evds!H10)/house_price_index_evds!H10</f>
        <v>7.6208178438661733E-2</v>
      </c>
      <c r="G10" s="76">
        <f>(house_price_index_evds!F11-house_price_index_evds!F10)/house_price_index_evds!F10</f>
        <v>0.12110091743119268</v>
      </c>
      <c r="H10" s="76">
        <f>(house_price_index_evds!I11-house_price_index_evds!I10)/house_price_index_evds!I10</f>
        <v>0.12896405919661721</v>
      </c>
      <c r="I10" s="76">
        <f>(house_price_index_evds!J11-house_price_index_evds!J10)/house_price_index_evds!J10</f>
        <v>8.2887700534759245E-2</v>
      </c>
      <c r="J10" s="76">
        <f>(house_price_index_evds!K11-house_price_index_evds!K10)/house_price_index_evds!K10</f>
        <v>8.9644513137557974E-2</v>
      </c>
      <c r="K10" s="76">
        <f>(house_price_index_evds!L11-house_price_index_evds!L10)/house_price_index_evds!L10</f>
        <v>0.10843373493975918</v>
      </c>
      <c r="L10" s="76">
        <f>(house_price_index_evds!E11-house_price_index_evds!E10)/house_price_index_evds!E10</f>
        <v>9.3749999999999986E-2</v>
      </c>
      <c r="M10" s="76">
        <f>(house_price_index_evds!M11-house_price_index_evds!M10)/house_price_index_evds!M10</f>
        <v>0.1141924959216966</v>
      </c>
      <c r="N10" s="76">
        <f>(house_price_index_evds!N11-house_price_index_evds!N10)/house_price_index_evds!N10</f>
        <v>0.14712643678160933</v>
      </c>
      <c r="O10" s="76">
        <f>(house_price_index_evds!O11-house_price_index_evds!O10)/house_price_index_evds!O10</f>
        <v>0.14086956521739125</v>
      </c>
      <c r="P10" s="76">
        <f>(house_price_index_evds!P11-house_price_index_evds!P10)/house_price_index_evds!P10</f>
        <v>0.11842105263157902</v>
      </c>
      <c r="Q10" s="76">
        <f>(house_price_index_evds!Q11-house_price_index_evds!Q10)/house_price_index_evds!Q10</f>
        <v>0.11006711409395965</v>
      </c>
      <c r="R10" s="76">
        <f>(house_price_index_evds!R11-house_price_index_evds!R10)/house_price_index_evds!R10</f>
        <v>7.2530864197530825E-2</v>
      </c>
      <c r="S10" s="76">
        <f>(house_price_index_evds!S11-house_price_index_evds!S10)/house_price_index_evds!S10</f>
        <v>8.7227414330218148E-2</v>
      </c>
      <c r="T10" s="76">
        <f>(house_price_index_evds!T11-house_price_index_evds!T10)/house_price_index_evds!T10</f>
        <v>9.4562647754136975E-2</v>
      </c>
      <c r="U10" s="76">
        <f>(house_price_index_evds!U11-house_price_index_evds!U10)/house_price_index_evds!U10</f>
        <v>6.128133704735382E-2</v>
      </c>
      <c r="V10" s="76">
        <f>(house_price_index_evds!V11-house_price_index_evds!V10)/house_price_index_evds!V10</f>
        <v>8.6404066073697661E-2</v>
      </c>
    </row>
    <row r="11" spans="1:22">
      <c r="A11" t="s">
        <v>1052</v>
      </c>
      <c r="B11" s="75">
        <v>2014</v>
      </c>
      <c r="C11" s="76">
        <f>(house_price_index_evds!C12-house_price_index_evds!C11)/house_price_index_evds!C11</f>
        <v>0.15774647887323959</v>
      </c>
      <c r="D11" s="76">
        <f>(house_price_index_evds!D12-house_price_index_evds!D11)/house_price_index_evds!D11</f>
        <v>0.25273224043715842</v>
      </c>
      <c r="E11" s="76">
        <f>(house_price_index_evds!G12-house_price_index_evds!G11)/house_price_index_evds!G11</f>
        <v>0.15646258503401358</v>
      </c>
      <c r="F11" s="76">
        <f>(house_price_index_evds!H12-house_price_index_evds!H11)/house_price_index_evds!H11</f>
        <v>0.15544041450777207</v>
      </c>
      <c r="G11" s="76">
        <f>(house_price_index_evds!F12-house_price_index_evds!F11)/house_price_index_evds!F11</f>
        <v>0.15548281505728301</v>
      </c>
      <c r="H11" s="76">
        <f>(house_price_index_evds!I12-house_price_index_evds!I11)/house_price_index_evds!I11</f>
        <v>0.19101123595505626</v>
      </c>
      <c r="I11" s="76">
        <f>(house_price_index_evds!J12-house_price_index_evds!J11)/house_price_index_evds!J11</f>
        <v>9.7530864197530986E-2</v>
      </c>
      <c r="J11" s="76">
        <f>(house_price_index_evds!K12-house_price_index_evds!K11)/house_price_index_evds!K11</f>
        <v>0.11489361702127666</v>
      </c>
      <c r="K11" s="76">
        <f>(house_price_index_evds!L12-house_price_index_evds!L11)/house_price_index_evds!L11</f>
        <v>0.15993788819875765</v>
      </c>
      <c r="L11" s="76">
        <f>(house_price_index_evds!E12-house_price_index_evds!E11)/house_price_index_evds!E11</f>
        <v>0.10884353741496609</v>
      </c>
      <c r="M11" s="76">
        <f>(house_price_index_evds!M12-house_price_index_evds!M11)/house_price_index_evds!M11</f>
        <v>0.12884333821376279</v>
      </c>
      <c r="N11" s="76">
        <f>(house_price_index_evds!N12-house_price_index_evds!N11)/house_price_index_evds!N11</f>
        <v>0.17034068136272537</v>
      </c>
      <c r="O11" s="76">
        <f>(house_price_index_evds!O12-house_price_index_evds!O11)/house_price_index_evds!O11</f>
        <v>0.16768292682926839</v>
      </c>
      <c r="P11" s="76">
        <f>(house_price_index_evds!P12-house_price_index_evds!P11)/house_price_index_evds!P11</f>
        <v>0.11633986928104559</v>
      </c>
      <c r="Q11" s="76">
        <f>(house_price_index_evds!Q12-house_price_index_evds!Q11)/house_price_index_evds!Q11</f>
        <v>0.10519951632406301</v>
      </c>
      <c r="R11" s="76">
        <f>(house_price_index_evds!R12-house_price_index_evds!R11)/house_price_index_evds!R11</f>
        <v>0.10215827338129496</v>
      </c>
      <c r="S11" s="76">
        <f>(house_price_index_evds!S12-house_price_index_evds!S11)/house_price_index_evds!S11</f>
        <v>0.11891117478510016</v>
      </c>
      <c r="T11" s="76">
        <f>(house_price_index_evds!T12-house_price_index_evds!T11)/house_price_index_evds!T11</f>
        <v>6.479481641468679E-2</v>
      </c>
      <c r="U11" s="76">
        <f>(house_price_index_evds!U12-house_price_index_evds!U11)/house_price_index_evds!U11</f>
        <v>0.10104986876640426</v>
      </c>
      <c r="V11" s="76">
        <f>(house_price_index_evds!V12-house_price_index_evds!V11)/house_price_index_evds!V11</f>
        <v>7.3684210526315672E-2</v>
      </c>
    </row>
    <row r="12" spans="1:22">
      <c r="A12" t="s">
        <v>1052</v>
      </c>
      <c r="B12" s="75">
        <v>2015</v>
      </c>
      <c r="C12" s="76">
        <f>(house_price_index_evds!C13-house_price_index_evds!C12)/house_price_index_evds!C12</f>
        <v>0.12773722627737213</v>
      </c>
      <c r="D12" s="76">
        <f>(house_price_index_evds!D13-house_price_index_evds!D12)/house_price_index_evds!D12</f>
        <v>0.16139585605234466</v>
      </c>
      <c r="E12" s="76">
        <f>(house_price_index_evds!G13-house_price_index_evds!G12)/house_price_index_evds!G12</f>
        <v>0.20294117647058824</v>
      </c>
      <c r="F12" s="76">
        <f>(house_price_index_evds!H13-house_price_index_evds!H12)/house_price_index_evds!H12</f>
        <v>0.16442451420029888</v>
      </c>
      <c r="G12" s="76">
        <f>(house_price_index_evds!F13-house_price_index_evds!F12)/house_price_index_evds!F12</f>
        <v>0.15297450424929193</v>
      </c>
      <c r="H12" s="76">
        <f>(house_price_index_evds!I13-house_price_index_evds!I12)/house_price_index_evds!I12</f>
        <v>0.15880503144654085</v>
      </c>
      <c r="I12" s="76">
        <f>(house_price_index_evds!J13-house_price_index_evds!J12)/house_price_index_evds!J12</f>
        <v>8.9988751406074111E-2</v>
      </c>
      <c r="J12" s="76">
        <f>(house_price_index_evds!K13-house_price_index_evds!K12)/house_price_index_evds!K12</f>
        <v>0.1310432569974555</v>
      </c>
      <c r="K12" s="76">
        <f>(house_price_index_evds!L13-house_price_index_evds!L12)/house_price_index_evds!L12</f>
        <v>0.17804551539491312</v>
      </c>
      <c r="L12" s="76">
        <f>(house_price_index_evds!E13-house_price_index_evds!E12)/house_price_index_evds!E12</f>
        <v>9.3251533742331263E-2</v>
      </c>
      <c r="M12" s="76">
        <f>(house_price_index_evds!M13-house_price_index_evds!M12)/house_price_index_evds!M12</f>
        <v>0.11802853437094672</v>
      </c>
      <c r="N12" s="76">
        <f>(house_price_index_evds!N13-house_price_index_evds!N12)/house_price_index_evds!N12</f>
        <v>0.13869863013698638</v>
      </c>
      <c r="O12" s="76">
        <f>(house_price_index_evds!O13-house_price_index_evds!O12)/house_price_index_evds!O12</f>
        <v>0.14229765013054829</v>
      </c>
      <c r="P12" s="76">
        <f>(house_price_index_evds!P13-house_price_index_evds!P12)/house_price_index_evds!P12</f>
        <v>6.908665105386437E-2</v>
      </c>
      <c r="Q12" s="76">
        <f>(house_price_index_evds!Q13-house_price_index_evds!Q12)/house_price_index_evds!Q12</f>
        <v>7.9868708971553459E-2</v>
      </c>
      <c r="R12" s="76">
        <f>(house_price_index_evds!R13-house_price_index_evds!R12)/house_price_index_evds!R12</f>
        <v>0.10182767624020879</v>
      </c>
      <c r="S12" s="76">
        <f>(house_price_index_evds!S13-house_price_index_evds!S12)/house_price_index_evds!S12</f>
        <v>0.12548015364916768</v>
      </c>
      <c r="T12" s="76">
        <f>(house_price_index_evds!T13-house_price_index_evds!T12)/house_price_index_evds!T12</f>
        <v>8.1135902636916918E-2</v>
      </c>
      <c r="U12" s="76">
        <f>(house_price_index_evds!U13-house_price_index_evds!U12)/house_price_index_evds!U12</f>
        <v>7.7473182359952153E-2</v>
      </c>
      <c r="V12" s="76">
        <f>(house_price_index_evds!V13-house_price_index_evds!V12)/house_price_index_evds!V12</f>
        <v>3.8126361655773384E-2</v>
      </c>
    </row>
    <row r="13" spans="1:22">
      <c r="A13" t="s">
        <v>1052</v>
      </c>
      <c r="B13" s="75">
        <v>2016</v>
      </c>
      <c r="C13" s="76">
        <f>(house_price_index_evds!C14-house_price_index_evds!C13)/house_price_index_evds!C13</f>
        <v>0.10895361380798273</v>
      </c>
      <c r="D13" s="76">
        <f>(house_price_index_evds!D14-house_price_index_evds!D13)/house_price_index_evds!D13</f>
        <v>8.4507042253521153E-2</v>
      </c>
      <c r="E13" s="76">
        <f>(house_price_index_evds!G14-house_price_index_evds!G13)/house_price_index_evds!G13</f>
        <v>0.16136919315403428</v>
      </c>
      <c r="F13" s="76">
        <f>(house_price_index_evds!H14-house_price_index_evds!H13)/house_price_index_evds!H13</f>
        <v>0.16944801026957629</v>
      </c>
      <c r="G13" s="76">
        <f>(house_price_index_evds!F14-house_price_index_evds!F13)/house_price_index_evds!F13</f>
        <v>0.18427518427518427</v>
      </c>
      <c r="H13" s="76">
        <f>(house_price_index_evds!I14-house_price_index_evds!I13)/house_price_index_evds!I13</f>
        <v>0.15061058344640438</v>
      </c>
      <c r="I13" s="76">
        <f>(house_price_index_evds!J14-house_price_index_evds!J13)/house_price_index_evds!J13</f>
        <v>0.10939112487100108</v>
      </c>
      <c r="J13" s="76">
        <f>(house_price_index_evds!K14-house_price_index_evds!K13)/house_price_index_evds!K13</f>
        <v>0.1687289088863892</v>
      </c>
      <c r="K13" s="76">
        <f>(house_price_index_evds!L14-house_price_index_evds!L13)/house_price_index_evds!L13</f>
        <v>0.13522727272727267</v>
      </c>
      <c r="L13" s="76">
        <f>(house_price_index_evds!E14-house_price_index_evds!E13)/house_price_index_evds!E13</f>
        <v>8.6419753086419707E-2</v>
      </c>
      <c r="M13" s="76">
        <f>(house_price_index_evds!M14-house_price_index_evds!M13)/house_price_index_evds!M13</f>
        <v>0.12180974477958247</v>
      </c>
      <c r="N13" s="76">
        <f>(house_price_index_evds!N14-house_price_index_evds!N13)/house_price_index_evds!N13</f>
        <v>0.11428571428571425</v>
      </c>
      <c r="O13" s="76">
        <f>(house_price_index_evds!O14-house_price_index_evds!O13)/house_price_index_evds!O13</f>
        <v>0.11771428571428565</v>
      </c>
      <c r="P13" s="76">
        <f>(house_price_index_evds!P14-house_price_index_evds!P13)/house_price_index_evds!P13</f>
        <v>6.7907995618838896E-2</v>
      </c>
      <c r="Q13" s="76">
        <f>(house_price_index_evds!Q14-house_price_index_evds!Q13)/house_price_index_evds!Q13</f>
        <v>0.10536980749746717</v>
      </c>
      <c r="R13" s="76">
        <f>(house_price_index_evds!R14-house_price_index_evds!R13)/house_price_index_evds!R13</f>
        <v>0.13388625592417072</v>
      </c>
      <c r="S13" s="76">
        <f>(house_price_index_evds!S14-house_price_index_evds!S13)/house_price_index_evds!S13</f>
        <v>0.15017064846416386</v>
      </c>
      <c r="T13" s="76">
        <f>(house_price_index_evds!T14-house_price_index_evds!T13)/house_price_index_evds!T13</f>
        <v>9.5684803001876137E-2</v>
      </c>
      <c r="U13" s="76">
        <f>(house_price_index_evds!U14-house_price_index_evds!U13)/house_price_index_evds!U13</f>
        <v>0.13163716814159307</v>
      </c>
      <c r="V13" s="76">
        <f>(house_price_index_evds!V14-house_price_index_evds!V13)/house_price_index_evds!V13</f>
        <v>4.5120671563483893E-2</v>
      </c>
    </row>
    <row r="14" spans="1:22">
      <c r="A14" t="s">
        <v>1052</v>
      </c>
      <c r="B14" s="75">
        <v>2017</v>
      </c>
      <c r="C14" s="76">
        <f>(house_price_index_evds!C15-house_price_index_evds!C14)/house_price_index_evds!C14</f>
        <v>7.7821011673151821E-2</v>
      </c>
      <c r="D14" s="76">
        <f>(house_price_index_evds!D15-house_price_index_evds!D14)/house_price_index_evds!D14</f>
        <v>3.2034632034631964E-2</v>
      </c>
      <c r="E14" s="76">
        <f>(house_price_index_evds!G15-house_price_index_evds!G14)/house_price_index_evds!G14</f>
        <v>0.13684210526315796</v>
      </c>
      <c r="F14" s="76">
        <f>(house_price_index_evds!H15-house_price_index_evds!H14)/house_price_index_evds!H14</f>
        <v>0.12733260153677281</v>
      </c>
      <c r="G14" s="76">
        <f>(house_price_index_evds!F15-house_price_index_evds!F14)/house_price_index_evds!F14</f>
        <v>0.13900414937759334</v>
      </c>
      <c r="H14" s="76">
        <f>(house_price_index_evds!I15-house_price_index_evds!I14)/house_price_index_evds!I14</f>
        <v>0.12853773584905659</v>
      </c>
      <c r="I14" s="76">
        <f>(house_price_index_evds!J15-house_price_index_evds!J14)/house_price_index_evds!J14</f>
        <v>9.1162790697674453E-2</v>
      </c>
      <c r="J14" s="76">
        <f>(house_price_index_evds!K15-house_price_index_evds!K14)/house_price_index_evds!K14</f>
        <v>0.1174205967276226</v>
      </c>
      <c r="K14" s="76">
        <f>(house_price_index_evds!L15-house_price_index_evds!L14)/house_price_index_evds!L14</f>
        <v>8.5085085085085041E-2</v>
      </c>
      <c r="L14" s="76">
        <f>(house_price_index_evds!E15-house_price_index_evds!E14)/house_price_index_evds!E14</f>
        <v>6.61157024793389E-2</v>
      </c>
      <c r="M14" s="76">
        <f>(house_price_index_evds!M15-house_price_index_evds!M14)/house_price_index_evds!M14</f>
        <v>0.10237849017580147</v>
      </c>
      <c r="N14" s="76">
        <f>(house_price_index_evds!N15-house_price_index_evds!N14)/house_price_index_evds!N14</f>
        <v>9.8515519568151202E-2</v>
      </c>
      <c r="O14" s="76">
        <f>(house_price_index_evds!O15-house_price_index_evds!O14)/house_price_index_evds!O14</f>
        <v>7.4642126789366103E-2</v>
      </c>
      <c r="P14" s="76">
        <f>(house_price_index_evds!P15-house_price_index_evds!P14)/house_price_index_evds!P14</f>
        <v>7.7948717948717924E-2</v>
      </c>
      <c r="Q14" s="76">
        <f>(house_price_index_evds!Q15-house_price_index_evds!Q14)/house_price_index_evds!Q14</f>
        <v>9.7158570119156781E-2</v>
      </c>
      <c r="R14" s="76">
        <f>(house_price_index_evds!R15-house_price_index_evds!R14)/house_price_index_evds!R14</f>
        <v>0.10971786833855787</v>
      </c>
      <c r="S14" s="76">
        <f>(house_price_index_evds!S15-house_price_index_evds!S14)/house_price_index_evds!S14</f>
        <v>0.10286844708209703</v>
      </c>
      <c r="T14" s="76">
        <f>(house_price_index_evds!T15-house_price_index_evds!T14)/house_price_index_evds!T14</f>
        <v>6.4212328767123295E-2</v>
      </c>
      <c r="U14" s="76">
        <f>(house_price_index_evds!U15-house_price_index_evds!U14)/house_price_index_evds!U14</f>
        <v>0.15933528836754632</v>
      </c>
      <c r="V14" s="76">
        <f>(house_price_index_evds!V15-house_price_index_evds!V14)/house_price_index_evds!V14</f>
        <v>8.6345381526104353E-2</v>
      </c>
    </row>
    <row r="15" spans="1:22">
      <c r="A15" t="s">
        <v>1052</v>
      </c>
      <c r="B15" s="75">
        <v>2018</v>
      </c>
      <c r="C15" s="76">
        <f>(house_price_index_evds!C16-house_price_index_evds!C15)/house_price_index_evds!C15</f>
        <v>4.7833935018050486E-2</v>
      </c>
      <c r="D15" s="76">
        <f>(house_price_index_evds!D16-house_price_index_evds!D15)/house_price_index_evds!D15</f>
        <v>-3.3557046979865056E-3</v>
      </c>
      <c r="E15" s="76">
        <f>(house_price_index_evds!G16-house_price_index_evds!G15)/house_price_index_evds!G15</f>
        <v>4.3518518518518408E-2</v>
      </c>
      <c r="F15" s="76">
        <f>(house_price_index_evds!H16-house_price_index_evds!H15)/house_price_index_evds!H15</f>
        <v>9.9318403115871437E-2</v>
      </c>
      <c r="G15" s="76">
        <f>(house_price_index_evds!F16-house_price_index_evds!F15)/house_price_index_evds!F15</f>
        <v>5.4644808743169362E-2</v>
      </c>
      <c r="H15" s="76">
        <f>(house_price_index_evds!I16-house_price_index_evds!I15)/house_price_index_evds!I15</f>
        <v>7.7324973876698039E-2</v>
      </c>
      <c r="I15" s="76">
        <f>(house_price_index_evds!J16-house_price_index_evds!J15)/house_price_index_evds!J15</f>
        <v>6.3938618925831206E-2</v>
      </c>
      <c r="J15" s="76">
        <f>(house_price_index_evds!K16-house_price_index_evds!K15)/house_price_index_evds!K15</f>
        <v>4.823428079242037E-2</v>
      </c>
      <c r="K15" s="76">
        <f>(house_price_index_evds!L16-house_price_index_evds!L15)/house_price_index_evds!L15</f>
        <v>5.073800738007387E-2</v>
      </c>
      <c r="L15" s="76">
        <f>(house_price_index_evds!E16-house_price_index_evds!E15)/house_price_index_evds!E15</f>
        <v>5.5232558139534912E-2</v>
      </c>
      <c r="M15" s="76">
        <f>(house_price_index_evds!M16-house_price_index_evds!M15)/house_price_index_evds!M15</f>
        <v>6.3789868667917415E-2</v>
      </c>
      <c r="N15" s="76">
        <f>(house_price_index_evds!N16-house_price_index_evds!N15)/house_price_index_evds!N15</f>
        <v>8.3538083538083494E-2</v>
      </c>
      <c r="O15" s="76">
        <f>(house_price_index_evds!O16-house_price_index_evds!O15)/house_price_index_evds!O15</f>
        <v>3.044719314938157E-2</v>
      </c>
      <c r="P15" s="76">
        <f>(house_price_index_evds!P16-house_price_index_evds!P15)/house_price_index_evds!P15</f>
        <v>9.1341579448144708E-2</v>
      </c>
      <c r="Q15" s="76">
        <f>(house_price_index_evds!Q16-house_price_index_evds!Q15)/house_price_index_evds!Q15</f>
        <v>9.0225563909774431E-2</v>
      </c>
      <c r="R15" s="76">
        <f>(house_price_index_evds!R16-house_price_index_evds!R15)/house_price_index_evds!R15</f>
        <v>9.6986817325800487E-2</v>
      </c>
      <c r="S15" s="76">
        <f>(house_price_index_evds!S16-house_price_index_evds!S15)/house_price_index_evds!S15</f>
        <v>7.6233183856502212E-2</v>
      </c>
      <c r="T15" s="76">
        <f>(house_price_index_evds!T16-house_price_index_evds!T15)/house_price_index_evds!T15</f>
        <v>8.9300080450522887E-2</v>
      </c>
      <c r="U15" s="76">
        <f>(house_price_index_evds!U16-house_price_index_evds!U15)/house_price_index_evds!U15</f>
        <v>0.12900505902192252</v>
      </c>
      <c r="V15" s="76">
        <f>(house_price_index_evds!V16-house_price_index_evds!V15)/house_price_index_evds!V15</f>
        <v>8.5951940850277242E-2</v>
      </c>
    </row>
    <row r="16" spans="1:22">
      <c r="A16" t="s">
        <v>1052</v>
      </c>
      <c r="B16" s="75">
        <v>2019</v>
      </c>
      <c r="C16" s="76">
        <f>(house_price_index_evds!C17-house_price_index_evds!C16)/house_price_index_evds!C16</f>
        <v>0.2385874246339364</v>
      </c>
      <c r="D16" s="76">
        <f>(house_price_index_evds!D17-house_price_index_evds!D16)/house_price_index_evds!D16</f>
        <v>0.20117845117845107</v>
      </c>
      <c r="E16" s="76">
        <f>(house_price_index_evds!G17-house_price_index_evds!G16)/house_price_index_evds!G16</f>
        <v>0.21739130434782619</v>
      </c>
      <c r="F16" s="76">
        <f>(house_price_index_evds!H17-house_price_index_evds!H16)/house_price_index_evds!H16</f>
        <v>0.24800708591674056</v>
      </c>
      <c r="G16" s="76">
        <f>(house_price_index_evds!F17-house_price_index_evds!F16)/house_price_index_evds!F16</f>
        <v>0.25734024179620035</v>
      </c>
      <c r="H16" s="76">
        <f>(house_price_index_evds!I17-house_price_index_evds!I16)/house_price_index_evds!I16</f>
        <v>0.28322017458777882</v>
      </c>
      <c r="I16" s="76">
        <f>(house_price_index_evds!J17-house_price_index_evds!J16)/house_price_index_evds!J16</f>
        <v>0.23157051282051272</v>
      </c>
      <c r="J16" s="76">
        <f>(house_price_index_evds!K17-house_price_index_evds!K16)/house_price_index_evds!K16</f>
        <v>0.23911257189811011</v>
      </c>
      <c r="K16" s="76">
        <f>(house_price_index_evds!L17-house_price_index_evds!L16)/house_price_index_evds!L16</f>
        <v>0.20193151887620708</v>
      </c>
      <c r="L16" s="76">
        <f>(house_price_index_evds!E17-house_price_index_evds!E16)/house_price_index_evds!E16</f>
        <v>0.2332415059687786</v>
      </c>
      <c r="M16" s="76">
        <f>(house_price_index_evds!M17-house_price_index_evds!M16)/house_price_index_evds!M16</f>
        <v>0.23897707231040571</v>
      </c>
      <c r="N16" s="76">
        <f>(house_price_index_evds!N17-house_price_index_evds!N16)/house_price_index_evds!N16</f>
        <v>0.33333333333333326</v>
      </c>
      <c r="O16" s="76">
        <f>(house_price_index_evds!O17-house_price_index_evds!O16)/house_price_index_evds!O16</f>
        <v>0.22991689750692523</v>
      </c>
      <c r="P16" s="76">
        <f>(house_price_index_evds!P17-house_price_index_evds!P16)/house_price_index_evds!P16</f>
        <v>0.28509154315605922</v>
      </c>
      <c r="Q16" s="76">
        <f>(house_price_index_evds!Q17-house_price_index_evds!Q16)/house_price_index_evds!Q16</f>
        <v>0.23524904214559389</v>
      </c>
      <c r="R16" s="76">
        <f>(house_price_index_evds!R17-house_price_index_evds!R16)/house_price_index_evds!R16</f>
        <v>0.25407725321888402</v>
      </c>
      <c r="S16" s="76">
        <f>(house_price_index_evds!S17-house_price_index_evds!S16)/house_price_index_evds!S16</f>
        <v>0.21166666666666659</v>
      </c>
      <c r="T16" s="76">
        <f>(house_price_index_evds!T17-house_price_index_evds!T16)/house_price_index_evds!T16</f>
        <v>0.21270310192023653</v>
      </c>
      <c r="U16" s="76">
        <f>(house_price_index_evds!U17-house_price_index_evds!U16)/house_price_index_evds!U16</f>
        <v>0.27333831217326365</v>
      </c>
      <c r="V16" s="76">
        <f>(house_price_index_evds!V17-house_price_index_evds!V16)/house_price_index_evds!V16</f>
        <v>0.30468085106382981</v>
      </c>
    </row>
    <row r="17" spans="1:22">
      <c r="A17" t="s">
        <v>1052</v>
      </c>
      <c r="B17" s="75">
        <v>2020</v>
      </c>
      <c r="C17" s="76">
        <f>(house_price_index_evds!C18-house_price_index_evds!C17)/house_price_index_evds!C17</f>
        <v>0.37482614742698184</v>
      </c>
      <c r="D17" s="76">
        <f>(house_price_index_evds!D18-house_price_index_evds!D17)/house_price_index_evds!D17</f>
        <v>0.34828311142256474</v>
      </c>
      <c r="E17" s="76">
        <f>(house_price_index_evds!G18-house_price_index_evds!G17)/house_price_index_evds!G17</f>
        <v>0.33017492711370255</v>
      </c>
      <c r="F17" s="76">
        <f>(house_price_index_evds!H18-house_price_index_evds!H17)/house_price_index_evds!H17</f>
        <v>0.42157558552164665</v>
      </c>
      <c r="G17" s="76">
        <f>(house_price_index_evds!F18-house_price_index_evds!F17)/house_price_index_evds!F17</f>
        <v>0.38667582417582419</v>
      </c>
      <c r="H17" s="76">
        <f>(house_price_index_evds!I18-house_price_index_evds!I17)/house_price_index_evds!I17</f>
        <v>0.47694633408919113</v>
      </c>
      <c r="I17" s="76">
        <f>(house_price_index_evds!J18-house_price_index_evds!J17)/house_price_index_evds!J17</f>
        <v>0.33897202342225108</v>
      </c>
      <c r="J17" s="76">
        <f>(house_price_index_evds!K18-house_price_index_evds!K17)/house_price_index_evds!K17</f>
        <v>0.35941644562334218</v>
      </c>
      <c r="K17" s="76">
        <f>(house_price_index_evds!L18-house_price_index_evds!L17)/house_price_index_evds!L17</f>
        <v>0.33382030679327995</v>
      </c>
      <c r="L17" s="76">
        <f>(house_price_index_evds!E18-house_price_index_evds!E17)/house_price_index_evds!E17</f>
        <v>0.3395383469843633</v>
      </c>
      <c r="M17" s="76">
        <f>(house_price_index_evds!M18-house_price_index_evds!M17)/house_price_index_evds!M17</f>
        <v>0.39430604982206396</v>
      </c>
      <c r="N17" s="76">
        <f>(house_price_index_evds!N18-house_price_index_evds!N17)/house_price_index_evds!N17</f>
        <v>0.48724489795918358</v>
      </c>
      <c r="O17" s="76">
        <f>(house_price_index_evds!O18-house_price_index_evds!O17)/house_price_index_evds!O17</f>
        <v>0.40990990990990994</v>
      </c>
      <c r="P17" s="76">
        <f>(house_price_index_evds!P18-house_price_index_evds!P17)/house_price_index_evds!P17</f>
        <v>0.42062415196743563</v>
      </c>
      <c r="Q17" s="76">
        <f>(house_price_index_evds!Q18-house_price_index_evds!Q17)/house_price_index_evds!Q17</f>
        <v>0.36600496277915623</v>
      </c>
      <c r="R17" s="76">
        <f>(house_price_index_evds!R18-house_price_index_evds!R17)/house_price_index_evds!R17</f>
        <v>0.34702258726899388</v>
      </c>
      <c r="S17" s="76">
        <f>(house_price_index_evds!S18-house_price_index_evds!S17)/house_price_index_evds!S17</f>
        <v>0.32943603851444286</v>
      </c>
      <c r="T17" s="76">
        <f>(house_price_index_evds!T18-house_price_index_evds!T17)/house_price_index_evds!T17</f>
        <v>0.32886723507917159</v>
      </c>
      <c r="U17" s="76">
        <f>(house_price_index_evds!U18-house_price_index_evds!U17)/house_price_index_evds!U17</f>
        <v>0.33196480938416423</v>
      </c>
      <c r="V17" s="76">
        <f>(house_price_index_evds!V18-house_price_index_evds!V17)/house_price_index_evds!V17</f>
        <v>0.46444879321591648</v>
      </c>
    </row>
    <row r="18" spans="1:22">
      <c r="A18" t="s">
        <v>1052</v>
      </c>
      <c r="B18" s="75">
        <v>2021</v>
      </c>
      <c r="C18" s="76">
        <f>(house_price_index_evds!C19-house_price_index_evds!C18)/house_price_index_evds!C18</f>
        <v>1.4997470915528579</v>
      </c>
      <c r="D18" s="76">
        <f>(house_price_index_evds!D19-house_price_index_evds!D18)/house_price_index_evds!D18</f>
        <v>1.7307692307692308</v>
      </c>
      <c r="E18" s="76">
        <f>(house_price_index_evds!G19-house_price_index_evds!G18)/house_price_index_evds!G18</f>
        <v>1.5063013698630139</v>
      </c>
      <c r="F18" s="76">
        <f>(house_price_index_evds!H19-house_price_index_evds!H18)/house_price_index_evds!H18</f>
        <v>1.403894158761857</v>
      </c>
      <c r="G18" s="76">
        <f>(house_price_index_evds!F19-house_price_index_evds!F18)/house_price_index_evds!F18</f>
        <v>1.4264487369985142</v>
      </c>
      <c r="H18" s="76">
        <f>(house_price_index_evds!I19-house_price_index_evds!I18)/house_price_index_evds!I18</f>
        <v>1.4692937563971342</v>
      </c>
      <c r="I18" s="76">
        <f>(house_price_index_evds!J19-house_price_index_evds!J18)/house_price_index_evds!J18</f>
        <v>1.2740524781341109</v>
      </c>
      <c r="J18" s="76">
        <f>(house_price_index_evds!K19-house_price_index_evds!K18)/house_price_index_evds!K18</f>
        <v>1.3946341463414635</v>
      </c>
      <c r="K18" s="76">
        <f>(house_price_index_evds!L19-house_price_index_evds!L18)/house_price_index_evds!L18</f>
        <v>1.546549835706462</v>
      </c>
      <c r="L18" s="76">
        <f>(house_price_index_evds!E19-house_price_index_evds!E18)/house_price_index_evds!E18</f>
        <v>1.6153418565869928</v>
      </c>
      <c r="M18" s="76">
        <f>(house_price_index_evds!M19-house_price_index_evds!M18)/house_price_index_evds!M18</f>
        <v>1.423685553854007</v>
      </c>
      <c r="N18" s="76">
        <f>(house_price_index_evds!N19-house_price_index_evds!N18)/house_price_index_evds!N18</f>
        <v>1.7352773013150375</v>
      </c>
      <c r="O18" s="76">
        <f>(house_price_index_evds!O19-house_price_index_evds!O18)/house_price_index_evds!O18</f>
        <v>1.6411075612353567</v>
      </c>
      <c r="P18" s="76">
        <f>(house_price_index_evds!P19-house_price_index_evds!P18)/house_price_index_evds!P18</f>
        <v>1.2893982808022919</v>
      </c>
      <c r="Q18" s="76">
        <f>(house_price_index_evds!Q19-house_price_index_evds!Q18)/house_price_index_evds!Q18</f>
        <v>1.2742960944595823</v>
      </c>
      <c r="R18" s="76">
        <f>(house_price_index_evds!R19-house_price_index_evds!R18)/house_price_index_evds!R18</f>
        <v>1.3125</v>
      </c>
      <c r="S18" s="76">
        <f>(house_price_index_evds!S19-house_price_index_evds!S18)/house_price_index_evds!S18</f>
        <v>1.281945162959131</v>
      </c>
      <c r="T18" s="76">
        <f>(house_price_index_evds!T19-house_price_index_evds!T18)/house_price_index_evds!T18</f>
        <v>1.1507791017415214</v>
      </c>
      <c r="U18" s="76">
        <f>(house_price_index_evds!U19-house_price_index_evds!U18)/house_price_index_evds!U18</f>
        <v>1.1444297666226333</v>
      </c>
      <c r="V18" s="76">
        <f>(house_price_index_evds!V19-house_price_index_evds!V18)/house_price_index_evds!V18</f>
        <v>1.3817371937639198</v>
      </c>
    </row>
    <row r="19" spans="1:22">
      <c r="A19" t="s">
        <v>1052</v>
      </c>
      <c r="B19" s="75">
        <v>2022</v>
      </c>
      <c r="C19" s="76">
        <f>(house_price_index_evds!C20-house_price_index_evds!C19)/house_price_index_evds!C19</f>
        <v>1.0234722784297854</v>
      </c>
      <c r="D19" s="76">
        <f>(house_price_index_evds!D20-house_price_index_evds!D19)/house_price_index_evds!D19</f>
        <v>0.90331176246669209</v>
      </c>
      <c r="E19" s="76">
        <f>(house_price_index_evds!G20-house_price_index_evds!G19)/house_price_index_evds!G19</f>
        <v>1.1862702229995628</v>
      </c>
      <c r="F19" s="76">
        <f>(house_price_index_evds!H20-house_price_index_evds!H19)/house_price_index_evds!H19</f>
        <v>1.0768431983385256</v>
      </c>
      <c r="G19" s="76">
        <f>(house_price_index_evds!F20-house_price_index_evds!F19)/house_price_index_evds!F19</f>
        <v>1.0412329046744233</v>
      </c>
      <c r="H19" s="76">
        <f>(house_price_index_evds!I20-house_price_index_evds!I19)/house_price_index_evds!I19</f>
        <v>1.072538860103627</v>
      </c>
      <c r="I19" s="76">
        <f>(house_price_index_evds!J20-house_price_index_evds!J19)/house_price_index_evds!J19</f>
        <v>1.1367521367521369</v>
      </c>
      <c r="J19" s="76">
        <f>(house_price_index_evds!K20-house_price_index_evds!K19)/house_price_index_evds!K19</f>
        <v>1.0370747606437154</v>
      </c>
      <c r="K19" s="76">
        <f>(house_price_index_evds!L20-house_price_index_evds!L19)/house_price_index_evds!L19</f>
        <v>1.1505376344086022</v>
      </c>
      <c r="L19" s="76">
        <f>(house_price_index_evds!E20-house_price_index_evds!E19)/house_price_index_evds!E19</f>
        <v>1.1253985122210415</v>
      </c>
      <c r="M19" s="76">
        <f>(house_price_index_evds!M20-house_price_index_evds!M19)/house_price_index_evds!M19</f>
        <v>1.1061499578770009</v>
      </c>
      <c r="N19" s="76">
        <f>(house_price_index_evds!N20-house_price_index_evds!N19)/house_price_index_evds!N19</f>
        <v>1.0903010033444815</v>
      </c>
      <c r="O19" s="76">
        <f>(house_price_index_evds!O20-house_price_index_evds!O19)/house_price_index_evds!O19</f>
        <v>1.0161290322580645</v>
      </c>
      <c r="P19" s="76">
        <f>(house_price_index_evds!P20-house_price_index_evds!P19)/house_price_index_evds!P19</f>
        <v>1.0859407592824364</v>
      </c>
      <c r="Q19" s="76">
        <f>(house_price_index_evds!Q20-house_price_index_evds!Q19)/house_price_index_evds!Q19</f>
        <v>0.99680511182108633</v>
      </c>
      <c r="R19" s="76">
        <f>(house_price_index_evds!R20-house_price_index_evds!R19)/house_price_index_evds!R19</f>
        <v>1.1973192704900022</v>
      </c>
      <c r="S19" s="76">
        <f>(house_price_index_evds!S20-house_price_index_evds!S19)/house_price_index_evds!S19</f>
        <v>1.2670596236681024</v>
      </c>
      <c r="T19" s="76">
        <f>(house_price_index_evds!T20-house_price_index_evds!T19)/house_price_index_evds!T19</f>
        <v>1.1308331557639038</v>
      </c>
      <c r="U19" s="76">
        <f>(house_price_index_evds!U20-house_price_index_evds!U19)/house_price_index_evds!U19</f>
        <v>1.0533880903490758</v>
      </c>
      <c r="V19" s="76">
        <f>(house_price_index_evds!V20-house_price_index_evds!V19)/house_price_index_evds!V19</f>
        <v>0.8702075930428278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7399E-5B7C-B54D-AC89-EF5EC4D4DF24}">
  <dimension ref="A1:G153"/>
  <sheetViews>
    <sheetView topLeftCell="A129" workbookViewId="0">
      <selection activeCell="E38" sqref="E38"/>
    </sheetView>
  </sheetViews>
  <sheetFormatPr baseColWidth="10" defaultRowHeight="16"/>
  <sheetData>
    <row r="1" spans="1:7">
      <c r="A1" t="s">
        <v>0</v>
      </c>
      <c r="B1" t="s">
        <v>16</v>
      </c>
      <c r="C1" t="s">
        <v>14</v>
      </c>
      <c r="D1" t="s">
        <v>1029</v>
      </c>
      <c r="E1" t="s">
        <v>15</v>
      </c>
      <c r="F1" t="s">
        <v>94</v>
      </c>
      <c r="G1" t="s">
        <v>110</v>
      </c>
    </row>
    <row r="2" spans="1:7">
      <c r="A2">
        <v>2021</v>
      </c>
      <c r="B2">
        <v>6</v>
      </c>
      <c r="C2" t="s">
        <v>17</v>
      </c>
      <c r="D2">
        <v>3149</v>
      </c>
      <c r="E2">
        <v>621852</v>
      </c>
      <c r="F2" t="s">
        <v>95</v>
      </c>
      <c r="G2" t="s">
        <v>104</v>
      </c>
    </row>
    <row r="3" spans="1:7">
      <c r="A3">
        <v>2022</v>
      </c>
      <c r="B3">
        <v>6</v>
      </c>
      <c r="C3" t="s">
        <v>17</v>
      </c>
      <c r="D3">
        <v>8513</v>
      </c>
      <c r="E3">
        <v>2133336</v>
      </c>
      <c r="F3" t="s">
        <v>95</v>
      </c>
      <c r="G3" t="s">
        <v>104</v>
      </c>
    </row>
    <row r="4" spans="1:7">
      <c r="A4" s="10">
        <v>2021</v>
      </c>
      <c r="B4" s="10">
        <v>6</v>
      </c>
      <c r="C4" s="10" t="s">
        <v>45</v>
      </c>
      <c r="D4" s="10">
        <v>1421</v>
      </c>
      <c r="E4" s="10">
        <v>389999</v>
      </c>
      <c r="F4" t="s">
        <v>96</v>
      </c>
      <c r="G4" t="s">
        <v>105</v>
      </c>
    </row>
    <row r="5" spans="1:7">
      <c r="A5" s="10">
        <v>2021</v>
      </c>
      <c r="B5" s="10">
        <v>6</v>
      </c>
      <c r="C5" s="10" t="s">
        <v>63</v>
      </c>
      <c r="D5" s="10">
        <v>1131</v>
      </c>
      <c r="E5" s="10">
        <v>320000</v>
      </c>
      <c r="F5" t="s">
        <v>96</v>
      </c>
      <c r="G5" t="s">
        <v>105</v>
      </c>
    </row>
    <row r="6" spans="1:7">
      <c r="A6" s="10">
        <v>2021</v>
      </c>
      <c r="B6" s="10">
        <v>6</v>
      </c>
      <c r="C6" s="10" t="s">
        <v>86</v>
      </c>
      <c r="D6" s="10">
        <v>1439</v>
      </c>
      <c r="E6" s="10">
        <v>357721</v>
      </c>
      <c r="F6" t="s">
        <v>96</v>
      </c>
      <c r="G6" t="s">
        <v>105</v>
      </c>
    </row>
    <row r="7" spans="1:7">
      <c r="A7" s="10">
        <v>2022</v>
      </c>
      <c r="B7" s="10">
        <v>6</v>
      </c>
      <c r="C7" s="10" t="s">
        <v>45</v>
      </c>
      <c r="D7" s="10">
        <v>2685</v>
      </c>
      <c r="E7" s="10">
        <v>979636</v>
      </c>
      <c r="F7" t="s">
        <v>96</v>
      </c>
      <c r="G7" t="s">
        <v>105</v>
      </c>
    </row>
    <row r="8" spans="1:7">
      <c r="A8" s="10">
        <v>2022</v>
      </c>
      <c r="B8" s="10">
        <v>6</v>
      </c>
      <c r="C8" s="10" t="s">
        <v>63</v>
      </c>
      <c r="D8" s="10">
        <v>2350</v>
      </c>
      <c r="E8" s="10">
        <v>843750</v>
      </c>
      <c r="F8" t="s">
        <v>96</v>
      </c>
      <c r="G8" t="s">
        <v>105</v>
      </c>
    </row>
    <row r="9" spans="1:7">
      <c r="A9" s="10">
        <v>2022</v>
      </c>
      <c r="B9" s="10">
        <v>6</v>
      </c>
      <c r="C9" s="10" t="s">
        <v>86</v>
      </c>
      <c r="D9" s="10">
        <v>3794</v>
      </c>
      <c r="E9" s="10">
        <v>1050000</v>
      </c>
      <c r="F9" t="s">
        <v>96</v>
      </c>
      <c r="G9" t="s">
        <v>105</v>
      </c>
    </row>
    <row r="10" spans="1:7">
      <c r="A10" s="10">
        <v>2021</v>
      </c>
      <c r="B10" s="10">
        <v>6</v>
      </c>
      <c r="C10" s="10" t="s">
        <v>29</v>
      </c>
      <c r="D10" s="10">
        <v>1560</v>
      </c>
      <c r="E10" s="10">
        <v>517044</v>
      </c>
      <c r="F10" t="s">
        <v>96</v>
      </c>
      <c r="G10" t="s">
        <v>106</v>
      </c>
    </row>
    <row r="11" spans="1:7">
      <c r="A11" s="10">
        <v>2021</v>
      </c>
      <c r="B11" s="10">
        <v>6</v>
      </c>
      <c r="C11" s="10" t="s">
        <v>39</v>
      </c>
      <c r="D11" s="10">
        <v>1320</v>
      </c>
      <c r="E11" s="10">
        <v>464841</v>
      </c>
      <c r="F11" t="s">
        <v>96</v>
      </c>
      <c r="G11" t="s">
        <v>106</v>
      </c>
    </row>
    <row r="12" spans="1:7">
      <c r="A12" s="10">
        <v>2022</v>
      </c>
      <c r="B12" s="10">
        <v>6</v>
      </c>
      <c r="C12" s="10" t="s">
        <v>29</v>
      </c>
      <c r="D12" s="10">
        <v>3832</v>
      </c>
      <c r="E12" s="10">
        <v>1522692</v>
      </c>
      <c r="F12" t="s">
        <v>96</v>
      </c>
      <c r="G12" t="s">
        <v>106</v>
      </c>
    </row>
    <row r="13" spans="1:7">
      <c r="A13" s="10">
        <v>2022</v>
      </c>
      <c r="B13" s="10">
        <v>6</v>
      </c>
      <c r="C13" s="10" t="s">
        <v>39</v>
      </c>
      <c r="D13" s="10">
        <v>3900</v>
      </c>
      <c r="E13" s="10">
        <v>1448577</v>
      </c>
      <c r="F13" t="s">
        <v>96</v>
      </c>
      <c r="G13" t="s">
        <v>106</v>
      </c>
    </row>
    <row r="14" spans="1:7">
      <c r="A14">
        <v>2021</v>
      </c>
      <c r="B14">
        <v>6</v>
      </c>
      <c r="C14" t="s">
        <v>19</v>
      </c>
      <c r="D14">
        <v>2220</v>
      </c>
      <c r="E14">
        <v>611908</v>
      </c>
      <c r="F14" t="s">
        <v>97</v>
      </c>
      <c r="G14" t="s">
        <v>107</v>
      </c>
    </row>
    <row r="15" spans="1:7">
      <c r="A15">
        <v>2022</v>
      </c>
      <c r="B15">
        <v>6</v>
      </c>
      <c r="C15" t="s">
        <v>19</v>
      </c>
      <c r="D15">
        <v>6200</v>
      </c>
      <c r="E15">
        <v>1639131</v>
      </c>
      <c r="F15" t="s">
        <v>97</v>
      </c>
      <c r="G15" t="s">
        <v>107</v>
      </c>
    </row>
    <row r="16" spans="1:7">
      <c r="A16" s="10">
        <v>2021</v>
      </c>
      <c r="B16" s="10">
        <v>6</v>
      </c>
      <c r="C16" s="10" t="s">
        <v>28</v>
      </c>
      <c r="D16" s="10">
        <v>1714</v>
      </c>
      <c r="E16" s="10">
        <v>787500</v>
      </c>
      <c r="F16" t="s">
        <v>97</v>
      </c>
      <c r="G16" t="s">
        <v>108</v>
      </c>
    </row>
    <row r="17" spans="1:7">
      <c r="A17" s="10">
        <v>2021</v>
      </c>
      <c r="B17" s="10">
        <v>6</v>
      </c>
      <c r="C17" s="10" t="s">
        <v>42</v>
      </c>
      <c r="D17" s="10">
        <v>1386</v>
      </c>
      <c r="E17" s="10">
        <v>480744</v>
      </c>
      <c r="F17" t="s">
        <v>97</v>
      </c>
      <c r="G17" t="s">
        <v>108</v>
      </c>
    </row>
    <row r="18" spans="1:7">
      <c r="A18" s="10">
        <v>2022</v>
      </c>
      <c r="B18" s="10">
        <v>6</v>
      </c>
      <c r="C18" s="10" t="s">
        <v>28</v>
      </c>
      <c r="D18" s="10">
        <v>4166</v>
      </c>
      <c r="E18" s="10">
        <v>1982145</v>
      </c>
      <c r="F18" t="s">
        <v>97</v>
      </c>
      <c r="G18" t="s">
        <v>108</v>
      </c>
    </row>
    <row r="19" spans="1:7">
      <c r="A19" s="10">
        <v>2022</v>
      </c>
      <c r="B19" s="10">
        <v>6</v>
      </c>
      <c r="C19" s="10" t="s">
        <v>42</v>
      </c>
      <c r="D19" s="10">
        <v>2677</v>
      </c>
      <c r="E19" s="10">
        <v>1168056</v>
      </c>
      <c r="F19" t="s">
        <v>97</v>
      </c>
      <c r="G19" t="s">
        <v>108</v>
      </c>
    </row>
    <row r="20" spans="1:7">
      <c r="A20">
        <v>2021</v>
      </c>
      <c r="B20">
        <v>6</v>
      </c>
      <c r="C20" t="s">
        <v>22</v>
      </c>
      <c r="D20">
        <v>1124</v>
      </c>
      <c r="E20">
        <v>339286</v>
      </c>
      <c r="F20" t="s">
        <v>97</v>
      </c>
      <c r="G20" t="s">
        <v>109</v>
      </c>
    </row>
    <row r="21" spans="1:7">
      <c r="A21" s="10">
        <v>2021</v>
      </c>
      <c r="B21" s="10">
        <v>6</v>
      </c>
      <c r="C21" s="10" t="s">
        <v>68</v>
      </c>
      <c r="D21" s="10">
        <v>838</v>
      </c>
      <c r="E21" s="10">
        <v>312000</v>
      </c>
      <c r="F21" t="s">
        <v>97</v>
      </c>
      <c r="G21" t="s">
        <v>109</v>
      </c>
    </row>
    <row r="22" spans="1:7">
      <c r="A22" s="10">
        <v>2021</v>
      </c>
      <c r="B22" s="10">
        <v>6</v>
      </c>
      <c r="C22" s="10" t="s">
        <v>70</v>
      </c>
      <c r="D22" s="10">
        <v>1192</v>
      </c>
      <c r="E22" s="10">
        <v>379411</v>
      </c>
      <c r="F22" t="s">
        <v>97</v>
      </c>
      <c r="G22" t="s">
        <v>109</v>
      </c>
    </row>
    <row r="23" spans="1:7">
      <c r="A23" s="10">
        <v>2021</v>
      </c>
      <c r="B23" s="10">
        <v>6</v>
      </c>
      <c r="C23" s="10" t="s">
        <v>89</v>
      </c>
      <c r="D23" s="10">
        <v>1084</v>
      </c>
      <c r="E23" s="10">
        <v>396774</v>
      </c>
      <c r="F23" t="s">
        <v>97</v>
      </c>
      <c r="G23" t="s">
        <v>109</v>
      </c>
    </row>
    <row r="24" spans="1:7">
      <c r="A24">
        <v>2022</v>
      </c>
      <c r="B24">
        <v>6</v>
      </c>
      <c r="C24" t="s">
        <v>22</v>
      </c>
      <c r="D24">
        <v>2350</v>
      </c>
      <c r="E24">
        <v>850908</v>
      </c>
      <c r="F24" t="s">
        <v>97</v>
      </c>
      <c r="G24" t="s">
        <v>109</v>
      </c>
    </row>
    <row r="25" spans="1:7">
      <c r="A25" s="10">
        <v>2022</v>
      </c>
      <c r="B25" s="10">
        <v>6</v>
      </c>
      <c r="C25" s="10" t="s">
        <v>68</v>
      </c>
      <c r="D25" s="10">
        <v>1935</v>
      </c>
      <c r="E25" s="10">
        <v>748453</v>
      </c>
      <c r="F25" t="s">
        <v>97</v>
      </c>
      <c r="G25" t="s">
        <v>109</v>
      </c>
    </row>
    <row r="26" spans="1:7">
      <c r="A26" s="10">
        <v>2022</v>
      </c>
      <c r="B26" s="10">
        <v>6</v>
      </c>
      <c r="C26" s="10" t="s">
        <v>70</v>
      </c>
      <c r="D26" s="10">
        <v>2825</v>
      </c>
      <c r="E26" s="10">
        <v>930800</v>
      </c>
      <c r="F26" t="s">
        <v>97</v>
      </c>
      <c r="G26" t="s">
        <v>109</v>
      </c>
    </row>
    <row r="27" spans="1:7">
      <c r="A27" s="10">
        <v>2022</v>
      </c>
      <c r="B27" s="10">
        <v>6</v>
      </c>
      <c r="C27" s="10" t="s">
        <v>89</v>
      </c>
      <c r="D27" s="10">
        <v>2330</v>
      </c>
      <c r="E27" s="10">
        <v>949999</v>
      </c>
      <c r="F27" t="s">
        <v>97</v>
      </c>
      <c r="G27" t="s">
        <v>109</v>
      </c>
    </row>
    <row r="28" spans="1:7">
      <c r="A28" s="10">
        <v>2021</v>
      </c>
      <c r="B28" s="10">
        <v>6</v>
      </c>
      <c r="C28" s="10" t="s">
        <v>33</v>
      </c>
      <c r="D28" s="10">
        <v>920</v>
      </c>
      <c r="E28" s="10">
        <v>311316</v>
      </c>
      <c r="F28" t="s">
        <v>98</v>
      </c>
      <c r="G28" t="s">
        <v>111</v>
      </c>
    </row>
    <row r="29" spans="1:7">
      <c r="A29" s="10">
        <v>2021</v>
      </c>
      <c r="B29" s="10">
        <v>6</v>
      </c>
      <c r="C29" s="10" t="s">
        <v>38</v>
      </c>
      <c r="D29" s="10">
        <v>1526</v>
      </c>
      <c r="E29" s="10">
        <v>435703</v>
      </c>
      <c r="F29" t="s">
        <v>98</v>
      </c>
      <c r="G29" t="s">
        <v>111</v>
      </c>
    </row>
    <row r="30" spans="1:7">
      <c r="A30" s="10">
        <v>2021</v>
      </c>
      <c r="B30" s="10">
        <v>6</v>
      </c>
      <c r="C30" s="10" t="s">
        <v>49</v>
      </c>
      <c r="D30" s="10">
        <v>1106</v>
      </c>
      <c r="E30" s="10">
        <v>384300</v>
      </c>
      <c r="F30" t="s">
        <v>98</v>
      </c>
      <c r="G30" t="s">
        <v>111</v>
      </c>
    </row>
    <row r="31" spans="1:7">
      <c r="A31" s="10">
        <v>2022</v>
      </c>
      <c r="B31" s="10">
        <v>6</v>
      </c>
      <c r="C31" s="10" t="s">
        <v>33</v>
      </c>
      <c r="D31" s="10">
        <v>2169</v>
      </c>
      <c r="E31" s="10">
        <v>667703</v>
      </c>
      <c r="F31" t="s">
        <v>98</v>
      </c>
      <c r="G31" t="s">
        <v>111</v>
      </c>
    </row>
    <row r="32" spans="1:7">
      <c r="A32" s="10">
        <v>2022</v>
      </c>
      <c r="B32" s="10">
        <v>6</v>
      </c>
      <c r="C32" s="10" t="s">
        <v>38</v>
      </c>
      <c r="D32" s="10">
        <v>3977</v>
      </c>
      <c r="E32" s="10">
        <v>1254166</v>
      </c>
      <c r="F32" t="s">
        <v>98</v>
      </c>
      <c r="G32" t="s">
        <v>111</v>
      </c>
    </row>
    <row r="33" spans="1:7">
      <c r="A33" s="10">
        <v>2022</v>
      </c>
      <c r="B33" s="10">
        <v>6</v>
      </c>
      <c r="C33" s="10" t="s">
        <v>49</v>
      </c>
      <c r="D33" s="10">
        <v>3055</v>
      </c>
      <c r="E33" s="10">
        <v>948148</v>
      </c>
      <c r="F33" t="s">
        <v>98</v>
      </c>
      <c r="G33" t="s">
        <v>111</v>
      </c>
    </row>
    <row r="34" spans="1:7">
      <c r="A34" s="10">
        <v>2021</v>
      </c>
      <c r="B34" s="10">
        <v>6</v>
      </c>
      <c r="C34" s="10" t="s">
        <v>36</v>
      </c>
      <c r="D34" s="10">
        <v>1065</v>
      </c>
      <c r="E34" s="10">
        <v>370658</v>
      </c>
      <c r="F34" t="s">
        <v>98</v>
      </c>
      <c r="G34" t="s">
        <v>112</v>
      </c>
    </row>
    <row r="35" spans="1:7">
      <c r="A35" s="10">
        <v>2021</v>
      </c>
      <c r="B35" s="10">
        <v>6</v>
      </c>
      <c r="C35" s="10" t="s">
        <v>44</v>
      </c>
      <c r="D35" s="10">
        <v>1017</v>
      </c>
      <c r="E35" s="10">
        <v>318396</v>
      </c>
      <c r="F35" t="s">
        <v>98</v>
      </c>
      <c r="G35" t="s">
        <v>112</v>
      </c>
    </row>
    <row r="36" spans="1:7">
      <c r="A36" s="10">
        <v>2021</v>
      </c>
      <c r="B36" s="10">
        <v>6</v>
      </c>
      <c r="C36" s="10" t="s">
        <v>66</v>
      </c>
      <c r="D36" s="10">
        <v>1356</v>
      </c>
      <c r="E36" s="10">
        <v>378695</v>
      </c>
      <c r="F36" t="s">
        <v>98</v>
      </c>
      <c r="G36" t="s">
        <v>112</v>
      </c>
    </row>
    <row r="37" spans="1:7">
      <c r="A37" s="10">
        <v>2021</v>
      </c>
      <c r="B37" s="10">
        <v>6</v>
      </c>
      <c r="C37" s="10" t="s">
        <v>80</v>
      </c>
      <c r="D37" s="10">
        <v>1416</v>
      </c>
      <c r="E37" s="10">
        <v>381000</v>
      </c>
      <c r="F37" t="s">
        <v>98</v>
      </c>
      <c r="G37" t="s">
        <v>112</v>
      </c>
    </row>
    <row r="38" spans="1:7">
      <c r="A38" s="10">
        <v>2021</v>
      </c>
      <c r="B38" s="10">
        <v>6</v>
      </c>
      <c r="C38" s="10" t="s">
        <v>91</v>
      </c>
      <c r="D38" s="10">
        <v>1972</v>
      </c>
      <c r="E38" s="10">
        <v>445000</v>
      </c>
      <c r="F38" t="s">
        <v>98</v>
      </c>
      <c r="G38" t="s">
        <v>112</v>
      </c>
    </row>
    <row r="39" spans="1:7">
      <c r="A39" s="10">
        <v>2022</v>
      </c>
      <c r="B39" s="10">
        <v>6</v>
      </c>
      <c r="C39" s="10" t="s">
        <v>36</v>
      </c>
      <c r="D39" s="10">
        <v>2544</v>
      </c>
      <c r="E39" s="10">
        <v>950000</v>
      </c>
      <c r="F39" t="s">
        <v>98</v>
      </c>
      <c r="G39" t="s">
        <v>112</v>
      </c>
    </row>
    <row r="40" spans="1:7">
      <c r="A40" s="10">
        <v>2022</v>
      </c>
      <c r="B40" s="10">
        <v>6</v>
      </c>
      <c r="C40" s="10" t="s">
        <v>44</v>
      </c>
      <c r="D40" s="10">
        <v>2375</v>
      </c>
      <c r="E40" s="10">
        <v>866461</v>
      </c>
      <c r="F40" t="s">
        <v>98</v>
      </c>
      <c r="G40" t="s">
        <v>112</v>
      </c>
    </row>
    <row r="41" spans="1:7">
      <c r="A41" s="10">
        <v>2022</v>
      </c>
      <c r="B41" s="10">
        <v>6</v>
      </c>
      <c r="C41" s="10" t="s">
        <v>66</v>
      </c>
      <c r="D41" s="10">
        <v>3882</v>
      </c>
      <c r="E41" s="10">
        <v>1225000</v>
      </c>
      <c r="F41" t="s">
        <v>98</v>
      </c>
      <c r="G41" t="s">
        <v>112</v>
      </c>
    </row>
    <row r="42" spans="1:7">
      <c r="A42" s="10">
        <v>2022</v>
      </c>
      <c r="B42" s="10">
        <v>6</v>
      </c>
      <c r="C42" s="10" t="s">
        <v>80</v>
      </c>
      <c r="D42" s="10">
        <v>3832</v>
      </c>
      <c r="E42" s="10">
        <v>1071573</v>
      </c>
      <c r="F42" t="s">
        <v>98</v>
      </c>
      <c r="G42" t="s">
        <v>112</v>
      </c>
    </row>
    <row r="43" spans="1:7">
      <c r="A43" s="10">
        <v>2022</v>
      </c>
      <c r="B43" s="10">
        <v>6</v>
      </c>
      <c r="C43" s="10" t="s">
        <v>91</v>
      </c>
      <c r="D43" s="10">
        <v>4871</v>
      </c>
      <c r="E43" s="10">
        <v>1253570</v>
      </c>
      <c r="F43" t="s">
        <v>98</v>
      </c>
      <c r="G43" t="s">
        <v>112</v>
      </c>
    </row>
    <row r="44" spans="1:7">
      <c r="A44">
        <v>2021</v>
      </c>
      <c r="B44">
        <v>6</v>
      </c>
      <c r="C44" t="s">
        <v>18</v>
      </c>
      <c r="D44">
        <v>1700</v>
      </c>
      <c r="E44">
        <v>371250</v>
      </c>
      <c r="F44" t="s">
        <v>99</v>
      </c>
      <c r="G44" t="s">
        <v>113</v>
      </c>
    </row>
    <row r="45" spans="1:7">
      <c r="A45">
        <v>2022</v>
      </c>
      <c r="B45">
        <v>6</v>
      </c>
      <c r="C45" t="s">
        <v>18</v>
      </c>
      <c r="D45">
        <v>4556</v>
      </c>
      <c r="E45">
        <v>1032435</v>
      </c>
      <c r="F45" t="s">
        <v>99</v>
      </c>
      <c r="G45" t="s">
        <v>113</v>
      </c>
    </row>
    <row r="46" spans="1:7">
      <c r="A46" s="10">
        <v>2021</v>
      </c>
      <c r="B46" s="10">
        <v>6</v>
      </c>
      <c r="C46" s="10" t="s">
        <v>58</v>
      </c>
      <c r="D46" s="10">
        <v>1055</v>
      </c>
      <c r="E46" s="10">
        <v>385130</v>
      </c>
      <c r="F46" t="s">
        <v>99</v>
      </c>
      <c r="G46" t="s">
        <v>114</v>
      </c>
    </row>
    <row r="47" spans="1:7">
      <c r="A47" s="10">
        <v>2021</v>
      </c>
      <c r="B47" s="10">
        <v>6</v>
      </c>
      <c r="C47" s="10" t="s">
        <v>67</v>
      </c>
      <c r="D47" s="10">
        <v>1191</v>
      </c>
      <c r="E47" s="10">
        <v>400000</v>
      </c>
      <c r="F47" t="s">
        <v>99</v>
      </c>
      <c r="G47" t="s">
        <v>114</v>
      </c>
    </row>
    <row r="48" spans="1:7">
      <c r="A48" s="10">
        <v>2022</v>
      </c>
      <c r="B48" s="10">
        <v>6</v>
      </c>
      <c r="C48" s="10" t="s">
        <v>58</v>
      </c>
      <c r="D48" s="10">
        <v>2099</v>
      </c>
      <c r="E48" s="10">
        <v>992000</v>
      </c>
      <c r="F48" t="s">
        <v>99</v>
      </c>
      <c r="G48" t="s">
        <v>114</v>
      </c>
    </row>
    <row r="49" spans="1:7">
      <c r="A49" s="10">
        <v>2022</v>
      </c>
      <c r="B49" s="10">
        <v>6</v>
      </c>
      <c r="C49" s="10" t="s">
        <v>67</v>
      </c>
      <c r="D49" s="10">
        <v>3303</v>
      </c>
      <c r="E49" s="10">
        <v>1122000</v>
      </c>
      <c r="F49" t="s">
        <v>99</v>
      </c>
      <c r="G49" t="s">
        <v>114</v>
      </c>
    </row>
    <row r="50" spans="1:7">
      <c r="A50" s="10">
        <v>2021</v>
      </c>
      <c r="B50" s="10">
        <v>6</v>
      </c>
      <c r="C50" s="10" t="s">
        <v>26</v>
      </c>
      <c r="D50" s="10">
        <v>2360</v>
      </c>
      <c r="E50" s="10">
        <v>578125</v>
      </c>
      <c r="F50" t="s">
        <v>100</v>
      </c>
      <c r="G50" t="s">
        <v>115</v>
      </c>
    </row>
    <row r="51" spans="1:7">
      <c r="A51" s="10">
        <v>2021</v>
      </c>
      <c r="B51" s="10">
        <v>6</v>
      </c>
      <c r="C51" s="10" t="s">
        <v>37</v>
      </c>
      <c r="D51" s="10">
        <v>1096</v>
      </c>
      <c r="E51" s="10">
        <v>375000</v>
      </c>
      <c r="F51" t="s">
        <v>100</v>
      </c>
      <c r="G51" t="s">
        <v>115</v>
      </c>
    </row>
    <row r="52" spans="1:7">
      <c r="A52" s="10">
        <v>2021</v>
      </c>
      <c r="B52" s="10">
        <v>6</v>
      </c>
      <c r="C52" s="10" t="s">
        <v>55</v>
      </c>
      <c r="D52" s="10">
        <v>1192</v>
      </c>
      <c r="E52" s="10">
        <v>477101</v>
      </c>
      <c r="F52" t="s">
        <v>100</v>
      </c>
      <c r="G52" t="s">
        <v>115</v>
      </c>
    </row>
    <row r="53" spans="1:7">
      <c r="A53" s="10">
        <v>2022</v>
      </c>
      <c r="B53" s="10">
        <v>6</v>
      </c>
      <c r="C53" s="10" t="s">
        <v>26</v>
      </c>
      <c r="D53" s="10">
        <v>10000</v>
      </c>
      <c r="E53" s="10">
        <v>1950000</v>
      </c>
      <c r="F53" t="s">
        <v>100</v>
      </c>
      <c r="G53" t="s">
        <v>115</v>
      </c>
    </row>
    <row r="54" spans="1:7">
      <c r="A54" s="10">
        <v>2022</v>
      </c>
      <c r="B54" s="10">
        <v>6</v>
      </c>
      <c r="C54" s="10" t="s">
        <v>37</v>
      </c>
      <c r="D54" s="10">
        <v>2329</v>
      </c>
      <c r="E54" s="10">
        <v>981818</v>
      </c>
      <c r="F54" t="s">
        <v>100</v>
      </c>
      <c r="G54" t="s">
        <v>115</v>
      </c>
    </row>
    <row r="55" spans="1:7">
      <c r="A55" s="10">
        <v>2022</v>
      </c>
      <c r="B55" s="10">
        <v>6</v>
      </c>
      <c r="C55" s="10" t="s">
        <v>55</v>
      </c>
      <c r="D55" s="10">
        <v>2424</v>
      </c>
      <c r="E55" s="10">
        <v>1144796</v>
      </c>
      <c r="F55" t="s">
        <v>100</v>
      </c>
      <c r="G55" t="s">
        <v>115</v>
      </c>
    </row>
    <row r="56" spans="1:7">
      <c r="A56">
        <v>2021</v>
      </c>
      <c r="B56">
        <v>6</v>
      </c>
      <c r="C56" t="s">
        <v>20</v>
      </c>
      <c r="D56">
        <v>1431</v>
      </c>
      <c r="E56">
        <v>448000</v>
      </c>
      <c r="F56" t="s">
        <v>100</v>
      </c>
      <c r="G56" t="s">
        <v>116</v>
      </c>
    </row>
    <row r="57" spans="1:7">
      <c r="A57" s="10">
        <v>2021</v>
      </c>
      <c r="B57" s="10">
        <v>6</v>
      </c>
      <c r="C57" s="10" t="s">
        <v>72</v>
      </c>
      <c r="D57" s="10">
        <v>1967</v>
      </c>
      <c r="E57" s="10">
        <v>453332</v>
      </c>
      <c r="F57" t="s">
        <v>100</v>
      </c>
      <c r="G57" t="s">
        <v>116</v>
      </c>
    </row>
    <row r="58" spans="1:7">
      <c r="A58">
        <v>2022</v>
      </c>
      <c r="B58">
        <v>6</v>
      </c>
      <c r="C58" t="s">
        <v>20</v>
      </c>
      <c r="D58">
        <v>3532</v>
      </c>
      <c r="E58">
        <v>1362963</v>
      </c>
      <c r="F58" t="s">
        <v>100</v>
      </c>
      <c r="G58" t="s">
        <v>116</v>
      </c>
    </row>
    <row r="59" spans="1:7">
      <c r="A59" s="10">
        <v>2022</v>
      </c>
      <c r="B59" s="10">
        <v>6</v>
      </c>
      <c r="C59" s="10" t="s">
        <v>72</v>
      </c>
      <c r="D59" s="10">
        <v>5726</v>
      </c>
      <c r="E59" s="10">
        <v>1586667</v>
      </c>
      <c r="F59" t="s">
        <v>100</v>
      </c>
      <c r="G59" t="s">
        <v>116</v>
      </c>
    </row>
    <row r="60" spans="1:7">
      <c r="A60" s="10">
        <v>2021</v>
      </c>
      <c r="B60" s="10">
        <v>6</v>
      </c>
      <c r="C60" s="10" t="s">
        <v>53</v>
      </c>
      <c r="D60" s="10">
        <v>1183</v>
      </c>
      <c r="E60" s="10">
        <v>373700</v>
      </c>
      <c r="F60" t="s">
        <v>100</v>
      </c>
      <c r="G60" t="s">
        <v>117</v>
      </c>
    </row>
    <row r="61" spans="1:7">
      <c r="A61" s="10">
        <v>2021</v>
      </c>
      <c r="B61" s="10">
        <v>6</v>
      </c>
      <c r="C61" s="10" t="s">
        <v>56</v>
      </c>
      <c r="D61" s="10">
        <v>1427</v>
      </c>
      <c r="E61" s="10">
        <v>419310</v>
      </c>
      <c r="F61" t="s">
        <v>100</v>
      </c>
      <c r="G61" t="s">
        <v>117</v>
      </c>
    </row>
    <row r="62" spans="1:7">
      <c r="A62" s="10">
        <v>2021</v>
      </c>
      <c r="B62" s="10">
        <v>6</v>
      </c>
      <c r="C62" s="10" t="s">
        <v>78</v>
      </c>
      <c r="D62" s="10">
        <v>1108</v>
      </c>
      <c r="E62" s="10">
        <v>359321</v>
      </c>
      <c r="F62" t="s">
        <v>100</v>
      </c>
      <c r="G62" t="s">
        <v>117</v>
      </c>
    </row>
    <row r="63" spans="1:7">
      <c r="A63" s="10">
        <v>2022</v>
      </c>
      <c r="B63" s="10">
        <v>6</v>
      </c>
      <c r="C63" s="10" t="s">
        <v>53</v>
      </c>
      <c r="D63" s="10">
        <v>2683</v>
      </c>
      <c r="E63" s="10">
        <v>921212</v>
      </c>
      <c r="F63" t="s">
        <v>100</v>
      </c>
      <c r="G63" t="s">
        <v>117</v>
      </c>
    </row>
    <row r="64" spans="1:7">
      <c r="A64" s="10">
        <v>2022</v>
      </c>
      <c r="B64" s="10">
        <v>6</v>
      </c>
      <c r="C64" s="10" t="s">
        <v>56</v>
      </c>
      <c r="D64" s="10">
        <v>2647</v>
      </c>
      <c r="E64" s="10">
        <v>990968</v>
      </c>
      <c r="F64" t="s">
        <v>100</v>
      </c>
      <c r="G64" t="s">
        <v>117</v>
      </c>
    </row>
    <row r="65" spans="1:7">
      <c r="A65" s="10">
        <v>2022</v>
      </c>
      <c r="B65" s="10">
        <v>6</v>
      </c>
      <c r="C65" s="10" t="s">
        <v>78</v>
      </c>
      <c r="D65" s="10">
        <v>2016</v>
      </c>
      <c r="E65" s="10">
        <v>812159</v>
      </c>
      <c r="F65" t="s">
        <v>100</v>
      </c>
      <c r="G65" t="s">
        <v>117</v>
      </c>
    </row>
    <row r="66" spans="1:7">
      <c r="A66" s="10">
        <v>2021</v>
      </c>
      <c r="B66" s="10">
        <v>6</v>
      </c>
      <c r="C66" s="10" t="s">
        <v>24</v>
      </c>
      <c r="D66" s="10">
        <v>915</v>
      </c>
      <c r="E66" s="10">
        <v>436256</v>
      </c>
      <c r="F66" t="s">
        <v>101</v>
      </c>
      <c r="G66" t="s">
        <v>118</v>
      </c>
    </row>
    <row r="67" spans="1:7">
      <c r="A67" s="10">
        <v>2021</v>
      </c>
      <c r="B67" s="10">
        <v>6</v>
      </c>
      <c r="C67" s="10" t="s">
        <v>62</v>
      </c>
      <c r="D67" s="10">
        <v>855</v>
      </c>
      <c r="E67" s="10">
        <v>274499</v>
      </c>
      <c r="F67" t="s">
        <v>101</v>
      </c>
      <c r="G67" t="s">
        <v>118</v>
      </c>
    </row>
    <row r="68" spans="1:7">
      <c r="A68" s="10">
        <v>2021</v>
      </c>
      <c r="B68" s="10">
        <v>6</v>
      </c>
      <c r="C68" s="10" t="s">
        <v>64</v>
      </c>
      <c r="D68" s="10">
        <v>982</v>
      </c>
      <c r="E68" s="10">
        <v>347727</v>
      </c>
      <c r="F68" t="s">
        <v>101</v>
      </c>
      <c r="G68" t="s">
        <v>118</v>
      </c>
    </row>
    <row r="69" spans="1:7">
      <c r="A69" s="10">
        <v>2021</v>
      </c>
      <c r="B69" s="10">
        <v>6</v>
      </c>
      <c r="C69" s="10" t="s">
        <v>75</v>
      </c>
      <c r="D69" s="10">
        <v>1520</v>
      </c>
      <c r="E69" s="10">
        <v>453519</v>
      </c>
      <c r="F69" t="s">
        <v>101</v>
      </c>
      <c r="G69" t="s">
        <v>118</v>
      </c>
    </row>
    <row r="70" spans="1:7">
      <c r="A70" s="10">
        <v>2021</v>
      </c>
      <c r="B70" s="10">
        <v>6</v>
      </c>
      <c r="C70" s="10" t="s">
        <v>76</v>
      </c>
      <c r="D70" s="10">
        <v>789</v>
      </c>
      <c r="E70" s="10">
        <v>305454</v>
      </c>
      <c r="F70" t="s">
        <v>101</v>
      </c>
      <c r="G70" t="s">
        <v>118</v>
      </c>
    </row>
    <row r="71" spans="1:7">
      <c r="A71" s="10">
        <v>2022</v>
      </c>
      <c r="B71" s="10">
        <v>6</v>
      </c>
      <c r="C71" s="10" t="s">
        <v>24</v>
      </c>
      <c r="D71" s="10">
        <v>2297</v>
      </c>
      <c r="E71" s="10">
        <v>1065625</v>
      </c>
      <c r="F71" t="s">
        <v>101</v>
      </c>
      <c r="G71" t="s">
        <v>118</v>
      </c>
    </row>
    <row r="72" spans="1:7">
      <c r="A72" s="10">
        <v>2022</v>
      </c>
      <c r="B72" s="10">
        <v>6</v>
      </c>
      <c r="C72" s="10" t="s">
        <v>62</v>
      </c>
      <c r="D72" s="10">
        <v>1534</v>
      </c>
      <c r="E72" s="10">
        <v>600750</v>
      </c>
      <c r="F72" t="s">
        <v>101</v>
      </c>
      <c r="G72" t="s">
        <v>118</v>
      </c>
    </row>
    <row r="73" spans="1:7">
      <c r="A73" s="10">
        <v>2022</v>
      </c>
      <c r="B73" s="10">
        <v>6</v>
      </c>
      <c r="C73" s="10" t="s">
        <v>64</v>
      </c>
      <c r="D73" s="10">
        <v>1825</v>
      </c>
      <c r="E73" s="10">
        <v>799999</v>
      </c>
      <c r="F73" t="s">
        <v>101</v>
      </c>
      <c r="G73" t="s">
        <v>118</v>
      </c>
    </row>
    <row r="74" spans="1:7">
      <c r="A74" s="10">
        <v>2022</v>
      </c>
      <c r="B74" s="10">
        <v>6</v>
      </c>
      <c r="C74" s="10" t="s">
        <v>75</v>
      </c>
      <c r="D74" s="10">
        <v>2881</v>
      </c>
      <c r="E74" s="10">
        <v>1129411</v>
      </c>
      <c r="F74" t="s">
        <v>101</v>
      </c>
      <c r="G74" t="s">
        <v>118</v>
      </c>
    </row>
    <row r="75" spans="1:7">
      <c r="A75" s="10">
        <v>2022</v>
      </c>
      <c r="B75" s="10">
        <v>6</v>
      </c>
      <c r="C75" s="10" t="s">
        <v>76</v>
      </c>
      <c r="D75" s="10">
        <v>2500</v>
      </c>
      <c r="E75" s="10">
        <v>899000</v>
      </c>
      <c r="F75" t="s">
        <v>101</v>
      </c>
      <c r="G75" t="s">
        <v>118</v>
      </c>
    </row>
    <row r="76" spans="1:7">
      <c r="A76" s="10">
        <v>2021</v>
      </c>
      <c r="B76" s="10">
        <v>6</v>
      </c>
      <c r="C76" s="10" t="s">
        <v>61</v>
      </c>
      <c r="D76" s="10">
        <v>1130</v>
      </c>
      <c r="E76" s="10">
        <v>386294</v>
      </c>
      <c r="F76" t="s">
        <v>101</v>
      </c>
      <c r="G76" t="s">
        <v>119</v>
      </c>
    </row>
    <row r="77" spans="1:7">
      <c r="A77" s="10">
        <v>2021</v>
      </c>
      <c r="B77" s="10">
        <v>6</v>
      </c>
      <c r="C77" s="10" t="s">
        <v>84</v>
      </c>
      <c r="D77" s="10">
        <v>828</v>
      </c>
      <c r="E77" s="10">
        <v>319999</v>
      </c>
      <c r="F77" t="s">
        <v>101</v>
      </c>
      <c r="G77" t="s">
        <v>119</v>
      </c>
    </row>
    <row r="78" spans="1:7">
      <c r="A78" s="10">
        <v>2021</v>
      </c>
      <c r="B78" s="10">
        <v>6</v>
      </c>
      <c r="C78" s="10" t="s">
        <v>92</v>
      </c>
      <c r="D78" s="10">
        <v>1158</v>
      </c>
      <c r="E78" s="10">
        <v>343703</v>
      </c>
      <c r="F78" t="s">
        <v>101</v>
      </c>
      <c r="G78" t="s">
        <v>119</v>
      </c>
    </row>
    <row r="79" spans="1:7">
      <c r="A79" s="10">
        <v>2022</v>
      </c>
      <c r="B79" s="10">
        <v>6</v>
      </c>
      <c r="C79" s="10" t="s">
        <v>61</v>
      </c>
      <c r="D79" s="10">
        <v>2984</v>
      </c>
      <c r="E79" s="10">
        <v>978718</v>
      </c>
      <c r="F79" t="s">
        <v>101</v>
      </c>
      <c r="G79" t="s">
        <v>119</v>
      </c>
    </row>
    <row r="80" spans="1:7">
      <c r="A80" s="10">
        <v>2022</v>
      </c>
      <c r="B80" s="10">
        <v>6</v>
      </c>
      <c r="C80" s="10" t="s">
        <v>84</v>
      </c>
      <c r="D80" s="10">
        <v>2204</v>
      </c>
      <c r="E80" s="10">
        <v>865000</v>
      </c>
      <c r="F80" t="s">
        <v>101</v>
      </c>
      <c r="G80" t="s">
        <v>119</v>
      </c>
    </row>
    <row r="81" spans="1:7">
      <c r="A81" s="10">
        <v>2022</v>
      </c>
      <c r="B81" s="10">
        <v>6</v>
      </c>
      <c r="C81" s="10" t="s">
        <v>92</v>
      </c>
      <c r="D81" s="10">
        <v>2011</v>
      </c>
      <c r="E81" s="10">
        <v>886110</v>
      </c>
      <c r="F81" t="s">
        <v>101</v>
      </c>
      <c r="G81" t="s">
        <v>119</v>
      </c>
    </row>
    <row r="82" spans="1:7">
      <c r="A82" s="10">
        <v>2021</v>
      </c>
      <c r="B82" s="10">
        <v>6</v>
      </c>
      <c r="C82" s="10" t="s">
        <v>30</v>
      </c>
      <c r="D82" s="10">
        <v>984</v>
      </c>
      <c r="E82" s="10">
        <v>388390</v>
      </c>
      <c r="F82" t="s">
        <v>102</v>
      </c>
      <c r="G82" t="s">
        <v>120</v>
      </c>
    </row>
    <row r="83" spans="1:7">
      <c r="A83" s="10">
        <v>2021</v>
      </c>
      <c r="B83" s="10">
        <v>6</v>
      </c>
      <c r="C83" s="10" t="s">
        <v>57</v>
      </c>
      <c r="D83" s="10">
        <v>848</v>
      </c>
      <c r="E83" s="10">
        <v>304347</v>
      </c>
      <c r="F83" t="s">
        <v>102</v>
      </c>
      <c r="G83" t="s">
        <v>120</v>
      </c>
    </row>
    <row r="84" spans="1:7">
      <c r="A84" s="10">
        <v>2021</v>
      </c>
      <c r="B84" s="10">
        <v>6</v>
      </c>
      <c r="C84" s="10" t="s">
        <v>93</v>
      </c>
      <c r="D84" s="10">
        <v>1156</v>
      </c>
      <c r="E84" s="10">
        <v>398125</v>
      </c>
      <c r="F84" t="s">
        <v>102</v>
      </c>
      <c r="G84" t="s">
        <v>120</v>
      </c>
    </row>
    <row r="85" spans="1:7">
      <c r="A85" s="10">
        <v>2022</v>
      </c>
      <c r="B85" s="10">
        <v>6</v>
      </c>
      <c r="C85" s="10" t="s">
        <v>30</v>
      </c>
      <c r="D85" s="10">
        <v>2636</v>
      </c>
      <c r="E85" s="10">
        <v>961998</v>
      </c>
      <c r="F85" t="s">
        <v>102</v>
      </c>
      <c r="G85" t="s">
        <v>120</v>
      </c>
    </row>
    <row r="86" spans="1:7">
      <c r="A86" s="10">
        <v>2022</v>
      </c>
      <c r="B86" s="10">
        <v>6</v>
      </c>
      <c r="C86" s="10" t="s">
        <v>57</v>
      </c>
      <c r="D86" s="10">
        <v>2068</v>
      </c>
      <c r="E86" s="10">
        <v>812500</v>
      </c>
      <c r="F86" t="s">
        <v>102</v>
      </c>
      <c r="G86" t="s">
        <v>120</v>
      </c>
    </row>
    <row r="87" spans="1:7">
      <c r="A87" s="10">
        <v>2022</v>
      </c>
      <c r="B87" s="10">
        <v>6</v>
      </c>
      <c r="C87" s="10" t="s">
        <v>93</v>
      </c>
      <c r="D87" s="10">
        <v>2308</v>
      </c>
      <c r="E87" s="10">
        <v>953332</v>
      </c>
      <c r="F87" t="s">
        <v>102</v>
      </c>
      <c r="G87" t="s">
        <v>120</v>
      </c>
    </row>
    <row r="88" spans="1:7">
      <c r="A88" s="10">
        <v>2021</v>
      </c>
      <c r="B88" s="10">
        <v>6</v>
      </c>
      <c r="C88" s="10" t="s">
        <v>40</v>
      </c>
      <c r="D88" s="10">
        <v>864</v>
      </c>
      <c r="E88" s="10">
        <v>352523</v>
      </c>
      <c r="F88" t="s">
        <v>102</v>
      </c>
      <c r="G88" t="s">
        <v>121</v>
      </c>
    </row>
    <row r="89" spans="1:7">
      <c r="A89" s="10">
        <v>2021</v>
      </c>
      <c r="B89" s="10">
        <v>6</v>
      </c>
      <c r="C89" s="10" t="s">
        <v>60</v>
      </c>
      <c r="D89" s="10">
        <v>904</v>
      </c>
      <c r="E89" s="10">
        <v>327999</v>
      </c>
      <c r="F89" t="s">
        <v>102</v>
      </c>
      <c r="G89" t="s">
        <v>121</v>
      </c>
    </row>
    <row r="90" spans="1:7">
      <c r="A90" s="10">
        <v>2021</v>
      </c>
      <c r="B90" s="10">
        <v>6</v>
      </c>
      <c r="C90" s="10" t="s">
        <v>83</v>
      </c>
      <c r="D90" s="10">
        <v>1204</v>
      </c>
      <c r="E90" s="10">
        <v>409999</v>
      </c>
      <c r="F90" t="s">
        <v>102</v>
      </c>
      <c r="G90" t="s">
        <v>121</v>
      </c>
    </row>
    <row r="91" spans="1:7">
      <c r="A91" s="10">
        <v>2022</v>
      </c>
      <c r="B91" s="10">
        <v>6</v>
      </c>
      <c r="C91" s="10" t="s">
        <v>40</v>
      </c>
      <c r="D91" s="10">
        <v>2296</v>
      </c>
      <c r="E91" s="10">
        <v>758767</v>
      </c>
      <c r="F91" t="s">
        <v>102</v>
      </c>
      <c r="G91" t="s">
        <v>121</v>
      </c>
    </row>
    <row r="92" spans="1:7">
      <c r="A92" s="10">
        <v>2022</v>
      </c>
      <c r="B92" s="10">
        <v>6</v>
      </c>
      <c r="C92" s="10" t="s">
        <v>60</v>
      </c>
      <c r="D92" s="10">
        <v>1861</v>
      </c>
      <c r="E92" s="10">
        <v>777391</v>
      </c>
      <c r="F92" t="s">
        <v>102</v>
      </c>
      <c r="G92" t="s">
        <v>121</v>
      </c>
    </row>
    <row r="93" spans="1:7">
      <c r="A93" s="10">
        <v>2022</v>
      </c>
      <c r="B93" s="10">
        <v>6</v>
      </c>
      <c r="C93" s="10" t="s">
        <v>83</v>
      </c>
      <c r="D93" s="10">
        <v>2318</v>
      </c>
      <c r="E93" s="10">
        <v>952381</v>
      </c>
      <c r="F93" t="s">
        <v>102</v>
      </c>
      <c r="G93" t="s">
        <v>121</v>
      </c>
    </row>
    <row r="94" spans="1:7">
      <c r="A94" s="10">
        <v>2021</v>
      </c>
      <c r="B94" s="10">
        <v>6</v>
      </c>
      <c r="C94" s="10" t="s">
        <v>25</v>
      </c>
      <c r="D94" s="10">
        <v>938</v>
      </c>
      <c r="E94" s="10">
        <v>369115</v>
      </c>
      <c r="F94" t="s">
        <v>102</v>
      </c>
      <c r="G94" t="s">
        <v>122</v>
      </c>
    </row>
    <row r="95" spans="1:7">
      <c r="A95" s="10">
        <v>2021</v>
      </c>
      <c r="B95" s="10">
        <v>6</v>
      </c>
      <c r="C95" s="10" t="s">
        <v>41</v>
      </c>
      <c r="D95" s="10">
        <v>999</v>
      </c>
      <c r="E95" s="10">
        <v>337500</v>
      </c>
      <c r="F95" t="s">
        <v>102</v>
      </c>
      <c r="G95" t="s">
        <v>122</v>
      </c>
    </row>
    <row r="96" spans="1:7">
      <c r="A96" s="10">
        <v>2021</v>
      </c>
      <c r="B96" s="10">
        <v>6</v>
      </c>
      <c r="C96" s="10" t="s">
        <v>81</v>
      </c>
      <c r="D96" s="10">
        <v>1305</v>
      </c>
      <c r="E96" s="10">
        <v>420000</v>
      </c>
      <c r="F96" t="s">
        <v>102</v>
      </c>
      <c r="G96" t="s">
        <v>122</v>
      </c>
    </row>
    <row r="97" spans="1:7">
      <c r="A97" s="10">
        <v>2021</v>
      </c>
      <c r="B97" s="10">
        <v>6</v>
      </c>
      <c r="C97" s="10" t="s">
        <v>87</v>
      </c>
      <c r="D97" s="10">
        <v>1040</v>
      </c>
      <c r="E97" s="10">
        <v>352500</v>
      </c>
      <c r="F97" t="s">
        <v>102</v>
      </c>
      <c r="G97" t="s">
        <v>122</v>
      </c>
    </row>
    <row r="98" spans="1:7">
      <c r="A98" s="10">
        <v>2022</v>
      </c>
      <c r="B98" s="10">
        <v>6</v>
      </c>
      <c r="C98" s="10" t="s">
        <v>25</v>
      </c>
      <c r="D98" s="10">
        <v>2037</v>
      </c>
      <c r="E98" s="10">
        <v>875000</v>
      </c>
      <c r="F98" t="s">
        <v>102</v>
      </c>
      <c r="G98" t="s">
        <v>122</v>
      </c>
    </row>
    <row r="99" spans="1:7">
      <c r="A99" s="10">
        <v>2022</v>
      </c>
      <c r="B99" s="10">
        <v>6</v>
      </c>
      <c r="C99" s="10" t="s">
        <v>41</v>
      </c>
      <c r="D99" s="10">
        <v>1843</v>
      </c>
      <c r="E99" s="10">
        <v>787667</v>
      </c>
      <c r="F99" t="s">
        <v>102</v>
      </c>
      <c r="G99" t="s">
        <v>122</v>
      </c>
    </row>
    <row r="100" spans="1:7">
      <c r="A100" s="10">
        <v>2022</v>
      </c>
      <c r="B100" s="10">
        <v>6</v>
      </c>
      <c r="C100" s="10" t="s">
        <v>81</v>
      </c>
      <c r="D100" s="10">
        <v>3250</v>
      </c>
      <c r="E100" s="10">
        <v>1166666</v>
      </c>
      <c r="F100" t="s">
        <v>102</v>
      </c>
      <c r="G100" t="s">
        <v>122</v>
      </c>
    </row>
    <row r="101" spans="1:7">
      <c r="A101" s="10">
        <v>2022</v>
      </c>
      <c r="B101" s="10">
        <v>6</v>
      </c>
      <c r="C101" s="10" t="s">
        <v>87</v>
      </c>
      <c r="D101" s="10">
        <v>1968</v>
      </c>
      <c r="E101" s="10">
        <v>920191</v>
      </c>
      <c r="F101" t="s">
        <v>102</v>
      </c>
      <c r="G101" t="s">
        <v>122</v>
      </c>
    </row>
    <row r="102" spans="1:7">
      <c r="A102" s="10">
        <v>2021</v>
      </c>
      <c r="B102" s="10">
        <v>6</v>
      </c>
      <c r="C102" s="10" t="s">
        <v>27</v>
      </c>
      <c r="D102" s="10">
        <v>1176</v>
      </c>
      <c r="E102" s="10">
        <v>398125</v>
      </c>
      <c r="F102" t="s">
        <v>103</v>
      </c>
      <c r="G102" t="s">
        <v>123</v>
      </c>
    </row>
    <row r="103" spans="1:7">
      <c r="A103" s="10">
        <v>2021</v>
      </c>
      <c r="B103" s="10">
        <v>6</v>
      </c>
      <c r="C103" s="10" t="s">
        <v>51</v>
      </c>
      <c r="D103" s="10">
        <v>1260</v>
      </c>
      <c r="E103" s="10">
        <v>377546</v>
      </c>
      <c r="F103" t="s">
        <v>103</v>
      </c>
      <c r="G103" t="s">
        <v>123</v>
      </c>
    </row>
    <row r="104" spans="1:7">
      <c r="A104" s="10">
        <v>2021</v>
      </c>
      <c r="B104" s="10">
        <v>6</v>
      </c>
      <c r="C104" s="10" t="s">
        <v>52</v>
      </c>
      <c r="D104" s="10">
        <v>876</v>
      </c>
      <c r="E104" s="10">
        <v>315204</v>
      </c>
      <c r="F104" t="s">
        <v>103</v>
      </c>
      <c r="G104" t="s">
        <v>123</v>
      </c>
    </row>
    <row r="105" spans="1:7">
      <c r="A105" s="10">
        <v>2021</v>
      </c>
      <c r="B105" s="10">
        <v>6</v>
      </c>
      <c r="C105" s="10" t="s">
        <v>77</v>
      </c>
      <c r="D105" s="10">
        <v>1117</v>
      </c>
      <c r="E105" s="10">
        <v>399374</v>
      </c>
      <c r="F105" t="s">
        <v>103</v>
      </c>
      <c r="G105" t="s">
        <v>123</v>
      </c>
    </row>
    <row r="106" spans="1:7">
      <c r="A106" s="10">
        <v>2021</v>
      </c>
      <c r="B106" s="10">
        <v>6</v>
      </c>
      <c r="C106" s="10" t="s">
        <v>79</v>
      </c>
      <c r="D106" s="10">
        <v>1295</v>
      </c>
      <c r="E106" s="10">
        <v>434000</v>
      </c>
      <c r="F106" t="s">
        <v>103</v>
      </c>
      <c r="G106" t="s">
        <v>123</v>
      </c>
    </row>
    <row r="107" spans="1:7">
      <c r="A107" s="10">
        <v>2021</v>
      </c>
      <c r="B107" s="10">
        <v>6</v>
      </c>
      <c r="C107" s="10" t="s">
        <v>88</v>
      </c>
      <c r="D107" s="10">
        <v>1182</v>
      </c>
      <c r="E107" s="10">
        <v>441489</v>
      </c>
      <c r="F107" t="s">
        <v>103</v>
      </c>
      <c r="G107" t="s">
        <v>123</v>
      </c>
    </row>
    <row r="108" spans="1:7">
      <c r="A108" s="10">
        <v>2022</v>
      </c>
      <c r="B108" s="10">
        <v>6</v>
      </c>
      <c r="C108" s="10" t="s">
        <v>27</v>
      </c>
      <c r="D108" s="10">
        <v>2222</v>
      </c>
      <c r="E108" s="10">
        <v>799166</v>
      </c>
      <c r="F108" t="s">
        <v>103</v>
      </c>
      <c r="G108" t="s">
        <v>123</v>
      </c>
    </row>
    <row r="109" spans="1:7">
      <c r="A109" s="10">
        <v>2022</v>
      </c>
      <c r="B109" s="10">
        <v>6</v>
      </c>
      <c r="C109" s="10" t="s">
        <v>51</v>
      </c>
      <c r="D109" s="10">
        <v>2033</v>
      </c>
      <c r="E109" s="10">
        <v>900000</v>
      </c>
      <c r="F109" t="s">
        <v>103</v>
      </c>
      <c r="G109" t="s">
        <v>123</v>
      </c>
    </row>
    <row r="110" spans="1:7">
      <c r="A110" s="10">
        <v>2022</v>
      </c>
      <c r="B110" s="10">
        <v>6</v>
      </c>
      <c r="C110" s="10" t="s">
        <v>52</v>
      </c>
      <c r="D110" s="10">
        <v>1798</v>
      </c>
      <c r="E110" s="10">
        <v>758578</v>
      </c>
      <c r="F110" t="s">
        <v>103</v>
      </c>
      <c r="G110" t="s">
        <v>123</v>
      </c>
    </row>
    <row r="111" spans="1:7">
      <c r="A111" s="10">
        <v>2022</v>
      </c>
      <c r="B111" s="10">
        <v>6</v>
      </c>
      <c r="C111" s="10" t="s">
        <v>77</v>
      </c>
      <c r="D111" s="10">
        <v>2240</v>
      </c>
      <c r="E111" s="10">
        <v>1015000</v>
      </c>
      <c r="F111" t="s">
        <v>103</v>
      </c>
      <c r="G111" t="s">
        <v>123</v>
      </c>
    </row>
    <row r="112" spans="1:7">
      <c r="A112" s="10">
        <v>2022</v>
      </c>
      <c r="B112" s="10">
        <v>6</v>
      </c>
      <c r="C112" s="10" t="s">
        <v>79</v>
      </c>
      <c r="D112" s="10">
        <v>2523</v>
      </c>
      <c r="E112" s="10">
        <v>1036518</v>
      </c>
      <c r="F112" t="s">
        <v>103</v>
      </c>
      <c r="G112" t="s">
        <v>123</v>
      </c>
    </row>
    <row r="113" spans="1:7">
      <c r="A113" s="10">
        <v>2022</v>
      </c>
      <c r="B113" s="10">
        <v>6</v>
      </c>
      <c r="C113" s="10" t="s">
        <v>88</v>
      </c>
      <c r="D113" s="10">
        <v>2430</v>
      </c>
      <c r="E113" s="10">
        <v>1272857</v>
      </c>
      <c r="F113" t="s">
        <v>103</v>
      </c>
      <c r="G113" t="s">
        <v>123</v>
      </c>
    </row>
    <row r="114" spans="1:7">
      <c r="A114" s="10">
        <v>2021</v>
      </c>
      <c r="B114" s="10">
        <v>6</v>
      </c>
      <c r="C114" s="10" t="s">
        <v>32</v>
      </c>
      <c r="D114" s="10">
        <v>888</v>
      </c>
      <c r="E114" s="10">
        <v>342221</v>
      </c>
      <c r="F114" t="s">
        <v>128</v>
      </c>
      <c r="G114" t="s">
        <v>130</v>
      </c>
    </row>
    <row r="115" spans="1:7">
      <c r="A115" s="10">
        <v>2021</v>
      </c>
      <c r="B115" s="10">
        <v>6</v>
      </c>
      <c r="C115" s="10" t="s">
        <v>47</v>
      </c>
      <c r="D115" s="10">
        <v>1224</v>
      </c>
      <c r="E115" s="10">
        <v>412221</v>
      </c>
      <c r="F115" t="s">
        <v>128</v>
      </c>
      <c r="G115" t="s">
        <v>130</v>
      </c>
    </row>
    <row r="116" spans="1:7">
      <c r="A116" s="10">
        <v>2021</v>
      </c>
      <c r="B116" s="10">
        <v>6</v>
      </c>
      <c r="C116" s="10" t="s">
        <v>48</v>
      </c>
      <c r="D116" s="10">
        <v>995</v>
      </c>
      <c r="E116" s="10">
        <v>319657</v>
      </c>
      <c r="F116" t="s">
        <v>128</v>
      </c>
      <c r="G116" t="s">
        <v>130</v>
      </c>
    </row>
    <row r="117" spans="1:7">
      <c r="A117" s="10">
        <v>2022</v>
      </c>
      <c r="B117" s="10">
        <v>6</v>
      </c>
      <c r="C117" s="10" t="s">
        <v>32</v>
      </c>
      <c r="D117" s="10">
        <v>1495</v>
      </c>
      <c r="E117" s="10">
        <v>720745</v>
      </c>
      <c r="F117" t="s">
        <v>128</v>
      </c>
      <c r="G117" t="s">
        <v>130</v>
      </c>
    </row>
    <row r="118" spans="1:7">
      <c r="A118" s="10">
        <v>2022</v>
      </c>
      <c r="B118" s="10">
        <v>6</v>
      </c>
      <c r="C118" s="10" t="s">
        <v>47</v>
      </c>
      <c r="D118" s="10">
        <v>2184</v>
      </c>
      <c r="E118" s="10">
        <v>844827</v>
      </c>
      <c r="F118" t="s">
        <v>128</v>
      </c>
      <c r="G118" t="s">
        <v>130</v>
      </c>
    </row>
    <row r="119" spans="1:7">
      <c r="A119" s="10">
        <v>2022</v>
      </c>
      <c r="B119" s="10">
        <v>6</v>
      </c>
      <c r="C119" s="10" t="s">
        <v>48</v>
      </c>
      <c r="D119" s="10">
        <v>2085</v>
      </c>
      <c r="E119" s="10">
        <v>742500</v>
      </c>
      <c r="F119" t="s">
        <v>128</v>
      </c>
      <c r="G119" t="s">
        <v>130</v>
      </c>
    </row>
    <row r="120" spans="1:7">
      <c r="A120">
        <v>2021</v>
      </c>
      <c r="B120">
        <v>6</v>
      </c>
      <c r="C120" t="s">
        <v>23</v>
      </c>
      <c r="D120">
        <v>1099</v>
      </c>
      <c r="E120">
        <v>291808</v>
      </c>
      <c r="F120" t="s">
        <v>128</v>
      </c>
      <c r="G120" t="s">
        <v>129</v>
      </c>
    </row>
    <row r="121" spans="1:7">
      <c r="A121" s="10">
        <v>2021</v>
      </c>
      <c r="B121" s="10">
        <v>6</v>
      </c>
      <c r="C121" s="10" t="s">
        <v>54</v>
      </c>
      <c r="D121" s="10">
        <v>1244</v>
      </c>
      <c r="E121" s="10">
        <v>351730</v>
      </c>
      <c r="F121" t="s">
        <v>128</v>
      </c>
      <c r="G121" t="s">
        <v>129</v>
      </c>
    </row>
    <row r="122" spans="1:7">
      <c r="A122" s="10">
        <v>2021</v>
      </c>
      <c r="B122" s="10">
        <v>6</v>
      </c>
      <c r="C122" s="10" t="s">
        <v>59</v>
      </c>
      <c r="D122" s="10">
        <v>1173</v>
      </c>
      <c r="E122" s="10">
        <v>294231</v>
      </c>
      <c r="F122" t="s">
        <v>128</v>
      </c>
      <c r="G122" t="s">
        <v>129</v>
      </c>
    </row>
    <row r="123" spans="1:7">
      <c r="A123">
        <v>2022</v>
      </c>
      <c r="B123">
        <v>6</v>
      </c>
      <c r="C123" t="s">
        <v>23</v>
      </c>
      <c r="D123">
        <v>1920</v>
      </c>
      <c r="E123">
        <v>642680</v>
      </c>
      <c r="F123" t="s">
        <v>128</v>
      </c>
      <c r="G123" t="s">
        <v>129</v>
      </c>
    </row>
    <row r="124" spans="1:7">
      <c r="A124" s="10">
        <v>2022</v>
      </c>
      <c r="B124" s="10">
        <v>6</v>
      </c>
      <c r="C124" s="10" t="s">
        <v>54</v>
      </c>
      <c r="D124" s="10">
        <v>1936</v>
      </c>
      <c r="E124" s="10">
        <v>853105</v>
      </c>
      <c r="F124" t="s">
        <v>128</v>
      </c>
      <c r="G124" t="s">
        <v>129</v>
      </c>
    </row>
    <row r="125" spans="1:7">
      <c r="A125" s="10">
        <v>2022</v>
      </c>
      <c r="B125" s="10">
        <v>6</v>
      </c>
      <c r="C125" s="10" t="s">
        <v>59</v>
      </c>
      <c r="D125" s="10">
        <v>1892</v>
      </c>
      <c r="E125" s="10">
        <v>650999</v>
      </c>
      <c r="F125" t="s">
        <v>128</v>
      </c>
      <c r="G125" t="s">
        <v>129</v>
      </c>
    </row>
    <row r="126" spans="1:7">
      <c r="A126" s="10">
        <v>2021</v>
      </c>
      <c r="B126" s="10">
        <v>6</v>
      </c>
      <c r="C126" s="10" t="s">
        <v>34</v>
      </c>
      <c r="D126" s="10">
        <v>849</v>
      </c>
      <c r="E126" s="10">
        <v>342999</v>
      </c>
      <c r="F126" t="s">
        <v>131</v>
      </c>
      <c r="G126" t="s">
        <v>132</v>
      </c>
    </row>
    <row r="127" spans="1:7">
      <c r="A127" s="10">
        <v>2021</v>
      </c>
      <c r="B127" s="10">
        <v>6</v>
      </c>
      <c r="C127" s="10" t="s">
        <v>46</v>
      </c>
      <c r="D127" s="10">
        <v>1368</v>
      </c>
      <c r="E127" s="10">
        <v>393429</v>
      </c>
      <c r="F127" t="s">
        <v>131</v>
      </c>
      <c r="G127" t="s">
        <v>132</v>
      </c>
    </row>
    <row r="128" spans="1:7">
      <c r="A128" s="10">
        <v>2021</v>
      </c>
      <c r="B128" s="10">
        <v>6</v>
      </c>
      <c r="C128" s="10" t="s">
        <v>69</v>
      </c>
      <c r="D128" s="10">
        <v>1363</v>
      </c>
      <c r="E128" s="10">
        <v>416164</v>
      </c>
      <c r="F128" t="s">
        <v>131</v>
      </c>
      <c r="G128" t="s">
        <v>132</v>
      </c>
    </row>
    <row r="129" spans="1:7">
      <c r="A129" s="10">
        <v>2022</v>
      </c>
      <c r="B129" s="10">
        <v>6</v>
      </c>
      <c r="C129" s="10" t="s">
        <v>34</v>
      </c>
      <c r="D129" s="10">
        <v>1610</v>
      </c>
      <c r="E129" s="10">
        <v>740000</v>
      </c>
      <c r="F129" t="s">
        <v>131</v>
      </c>
      <c r="G129" t="s">
        <v>132</v>
      </c>
    </row>
    <row r="130" spans="1:7">
      <c r="A130" s="10">
        <v>2022</v>
      </c>
      <c r="B130" s="10">
        <v>6</v>
      </c>
      <c r="C130" s="10" t="s">
        <v>46</v>
      </c>
      <c r="D130" s="10">
        <v>1391</v>
      </c>
      <c r="E130" s="10">
        <v>789286</v>
      </c>
      <c r="F130" t="s">
        <v>131</v>
      </c>
      <c r="G130" t="s">
        <v>132</v>
      </c>
    </row>
    <row r="131" spans="1:7">
      <c r="A131" s="10">
        <v>2022</v>
      </c>
      <c r="B131" s="10">
        <v>6</v>
      </c>
      <c r="C131" s="10" t="s">
        <v>69</v>
      </c>
      <c r="D131" s="10">
        <v>2397</v>
      </c>
      <c r="E131" s="10">
        <v>1045138</v>
      </c>
      <c r="F131" t="s">
        <v>131</v>
      </c>
      <c r="G131" t="s">
        <v>132</v>
      </c>
    </row>
    <row r="132" spans="1:7">
      <c r="A132" s="10">
        <v>2021</v>
      </c>
      <c r="B132" s="10">
        <v>6</v>
      </c>
      <c r="C132" s="10" t="s">
        <v>35</v>
      </c>
      <c r="D132" s="10">
        <v>1160</v>
      </c>
      <c r="E132" s="10">
        <v>317059</v>
      </c>
      <c r="F132" t="s">
        <v>131</v>
      </c>
      <c r="G132" t="s">
        <v>133</v>
      </c>
    </row>
    <row r="133" spans="1:7">
      <c r="A133" s="10">
        <v>2021</v>
      </c>
      <c r="B133" s="10">
        <v>6</v>
      </c>
      <c r="C133" s="10" t="s">
        <v>74</v>
      </c>
      <c r="D133" s="10">
        <v>1273</v>
      </c>
      <c r="E133" s="10">
        <v>288786</v>
      </c>
      <c r="F133" t="s">
        <v>131</v>
      </c>
      <c r="G133" t="s">
        <v>133</v>
      </c>
    </row>
    <row r="134" spans="1:7">
      <c r="A134" s="10">
        <v>2021</v>
      </c>
      <c r="B134" s="10">
        <v>6</v>
      </c>
      <c r="C134" s="10" t="s">
        <v>90</v>
      </c>
      <c r="D134" s="10">
        <v>1252</v>
      </c>
      <c r="E134" s="10">
        <v>372727</v>
      </c>
      <c r="F134" t="s">
        <v>131</v>
      </c>
      <c r="G134" t="s">
        <v>133</v>
      </c>
    </row>
    <row r="135" spans="1:7">
      <c r="A135" s="10">
        <v>2022</v>
      </c>
      <c r="B135" s="10">
        <v>6</v>
      </c>
      <c r="C135" s="10" t="s">
        <v>35</v>
      </c>
      <c r="D135" s="10">
        <v>1662</v>
      </c>
      <c r="E135" s="10">
        <v>687471</v>
      </c>
      <c r="F135" t="s">
        <v>131</v>
      </c>
      <c r="G135" t="s">
        <v>133</v>
      </c>
    </row>
    <row r="136" spans="1:7">
      <c r="A136" s="10">
        <v>2022</v>
      </c>
      <c r="B136" s="10">
        <v>6</v>
      </c>
      <c r="C136" s="10" t="s">
        <v>74</v>
      </c>
      <c r="D136" s="10">
        <v>1832</v>
      </c>
      <c r="E136" s="10">
        <v>707227</v>
      </c>
      <c r="F136" t="s">
        <v>131</v>
      </c>
      <c r="G136" t="s">
        <v>133</v>
      </c>
    </row>
    <row r="137" spans="1:7">
      <c r="A137" s="10">
        <v>2022</v>
      </c>
      <c r="B137" s="10">
        <v>6</v>
      </c>
      <c r="C137" s="10" t="s">
        <v>90</v>
      </c>
      <c r="D137" s="10">
        <v>2278</v>
      </c>
      <c r="E137" s="10">
        <v>900000</v>
      </c>
      <c r="F137" t="s">
        <v>131</v>
      </c>
      <c r="G137" t="s">
        <v>133</v>
      </c>
    </row>
    <row r="138" spans="1:7">
      <c r="A138">
        <v>2021</v>
      </c>
      <c r="B138">
        <v>6</v>
      </c>
      <c r="C138" t="s">
        <v>21</v>
      </c>
      <c r="D138">
        <v>1160</v>
      </c>
      <c r="E138">
        <v>414907</v>
      </c>
      <c r="F138" t="s">
        <v>124</v>
      </c>
      <c r="G138" t="s">
        <v>125</v>
      </c>
    </row>
    <row r="139" spans="1:7">
      <c r="A139" s="10">
        <v>2021</v>
      </c>
      <c r="B139" s="10">
        <v>6</v>
      </c>
      <c r="C139" s="10" t="s">
        <v>50</v>
      </c>
      <c r="D139" s="10">
        <v>2100</v>
      </c>
      <c r="E139" s="10">
        <v>595000</v>
      </c>
      <c r="F139" t="s">
        <v>124</v>
      </c>
      <c r="G139" t="s">
        <v>125</v>
      </c>
    </row>
    <row r="140" spans="1:7">
      <c r="A140" s="10">
        <v>2021</v>
      </c>
      <c r="B140" s="10">
        <v>6</v>
      </c>
      <c r="C140" s="10" t="s">
        <v>65</v>
      </c>
      <c r="D140" s="10">
        <v>1257</v>
      </c>
      <c r="E140" s="10">
        <v>335789</v>
      </c>
      <c r="F140" t="s">
        <v>124</v>
      </c>
      <c r="G140" t="s">
        <v>125</v>
      </c>
    </row>
    <row r="141" spans="1:7">
      <c r="A141">
        <v>2022</v>
      </c>
      <c r="B141">
        <v>6</v>
      </c>
      <c r="C141" t="s">
        <v>21</v>
      </c>
      <c r="D141">
        <v>2105</v>
      </c>
      <c r="E141">
        <v>980000</v>
      </c>
      <c r="F141" t="s">
        <v>124</v>
      </c>
      <c r="G141" t="s">
        <v>125</v>
      </c>
    </row>
    <row r="142" spans="1:7">
      <c r="A142" s="10">
        <v>2022</v>
      </c>
      <c r="B142" s="10">
        <v>6</v>
      </c>
      <c r="C142" s="10" t="s">
        <v>50</v>
      </c>
      <c r="D142" s="10">
        <v>4042</v>
      </c>
      <c r="E142" s="10">
        <v>1341539</v>
      </c>
      <c r="F142" t="s">
        <v>124</v>
      </c>
      <c r="G142" t="s">
        <v>125</v>
      </c>
    </row>
    <row r="143" spans="1:7">
      <c r="A143" s="10">
        <v>2022</v>
      </c>
      <c r="B143" s="10">
        <v>6</v>
      </c>
      <c r="C143" s="10" t="s">
        <v>65</v>
      </c>
      <c r="D143" s="10">
        <v>2055</v>
      </c>
      <c r="E143" s="10">
        <v>766427</v>
      </c>
      <c r="F143" t="s">
        <v>124</v>
      </c>
      <c r="G143" t="s">
        <v>125</v>
      </c>
    </row>
    <row r="144" spans="1:7">
      <c r="A144" s="10">
        <v>2021</v>
      </c>
      <c r="B144" s="10">
        <v>6</v>
      </c>
      <c r="C144" s="10" t="s">
        <v>43</v>
      </c>
      <c r="D144" s="10">
        <v>1929</v>
      </c>
      <c r="E144" s="10">
        <v>421901</v>
      </c>
      <c r="F144" t="s">
        <v>124</v>
      </c>
      <c r="G144" t="s">
        <v>126</v>
      </c>
    </row>
    <row r="145" spans="1:7">
      <c r="A145" s="10">
        <v>2021</v>
      </c>
      <c r="B145" s="10">
        <v>6</v>
      </c>
      <c r="C145" s="10" t="s">
        <v>85</v>
      </c>
      <c r="D145" s="10">
        <v>1533</v>
      </c>
      <c r="E145" s="10">
        <v>406220</v>
      </c>
      <c r="F145" t="s">
        <v>124</v>
      </c>
      <c r="G145" t="s">
        <v>126</v>
      </c>
    </row>
    <row r="146" spans="1:7">
      <c r="A146" s="10">
        <v>2022</v>
      </c>
      <c r="B146" s="10">
        <v>6</v>
      </c>
      <c r="C146" s="10" t="s">
        <v>43</v>
      </c>
      <c r="D146" s="10">
        <v>3429</v>
      </c>
      <c r="E146" s="10">
        <v>1199135</v>
      </c>
      <c r="F146" t="s">
        <v>124</v>
      </c>
      <c r="G146" t="s">
        <v>126</v>
      </c>
    </row>
    <row r="147" spans="1:7">
      <c r="A147" s="10">
        <v>2022</v>
      </c>
      <c r="B147" s="10">
        <v>6</v>
      </c>
      <c r="C147" s="10" t="s">
        <v>85</v>
      </c>
      <c r="D147" s="10">
        <v>2740</v>
      </c>
      <c r="E147" s="10">
        <v>1131399</v>
      </c>
      <c r="F147" t="s">
        <v>124</v>
      </c>
      <c r="G147" t="s">
        <v>126</v>
      </c>
    </row>
    <row r="148" spans="1:7">
      <c r="A148" s="10">
        <v>2021</v>
      </c>
      <c r="B148" s="10">
        <v>6</v>
      </c>
      <c r="C148" s="10" t="s">
        <v>31</v>
      </c>
      <c r="D148" s="10">
        <v>1597</v>
      </c>
      <c r="E148" s="10">
        <v>448000</v>
      </c>
      <c r="F148" t="s">
        <v>124</v>
      </c>
      <c r="G148" t="s">
        <v>127</v>
      </c>
    </row>
    <row r="149" spans="1:7">
      <c r="A149" s="10">
        <v>2021</v>
      </c>
      <c r="B149" s="10">
        <v>6</v>
      </c>
      <c r="C149" s="10" t="s">
        <v>71</v>
      </c>
      <c r="D149" s="10">
        <v>1205</v>
      </c>
      <c r="E149" s="10">
        <v>363135</v>
      </c>
      <c r="F149" t="s">
        <v>124</v>
      </c>
      <c r="G149" t="s">
        <v>127</v>
      </c>
    </row>
    <row r="150" spans="1:7">
      <c r="A150" s="10">
        <v>2021</v>
      </c>
      <c r="B150" s="10">
        <v>6</v>
      </c>
      <c r="C150" s="10" t="s">
        <v>82</v>
      </c>
      <c r="D150" s="10">
        <v>1080</v>
      </c>
      <c r="E150" s="10">
        <v>329000</v>
      </c>
      <c r="F150" t="s">
        <v>124</v>
      </c>
      <c r="G150" t="s">
        <v>127</v>
      </c>
    </row>
    <row r="151" spans="1:7">
      <c r="A151" s="10">
        <v>2022</v>
      </c>
      <c r="B151" s="10">
        <v>6</v>
      </c>
      <c r="C151" s="10" t="s">
        <v>31</v>
      </c>
      <c r="D151" s="10">
        <v>2290</v>
      </c>
      <c r="E151" s="10">
        <v>950302</v>
      </c>
      <c r="F151" t="s">
        <v>124</v>
      </c>
      <c r="G151" t="s">
        <v>127</v>
      </c>
    </row>
    <row r="152" spans="1:7">
      <c r="A152" s="10">
        <v>2022</v>
      </c>
      <c r="B152" s="10">
        <v>6</v>
      </c>
      <c r="C152" s="10" t="s">
        <v>71</v>
      </c>
      <c r="D152" s="10">
        <v>2242</v>
      </c>
      <c r="E152" s="10">
        <v>929687</v>
      </c>
      <c r="F152" t="s">
        <v>124</v>
      </c>
      <c r="G152" t="s">
        <v>127</v>
      </c>
    </row>
    <row r="153" spans="1:7">
      <c r="A153" s="10">
        <v>2022</v>
      </c>
      <c r="B153" s="10">
        <v>6</v>
      </c>
      <c r="C153" s="10" t="s">
        <v>82</v>
      </c>
      <c r="D153" s="10">
        <v>1843</v>
      </c>
      <c r="E153" s="10">
        <v>669640</v>
      </c>
      <c r="F153" t="s">
        <v>124</v>
      </c>
      <c r="G153" t="s">
        <v>127</v>
      </c>
    </row>
  </sheetData>
  <sortState xmlns:xlrd2="http://schemas.microsoft.com/office/spreadsheetml/2017/richdata2" ref="A2:G153">
    <sortCondition ref="G2:G153"/>
    <sortCondition ref="A2:A153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8C960-AB1C-964D-A553-3943F14A8FB3}">
  <dimension ref="A1:AA19"/>
  <sheetViews>
    <sheetView workbookViewId="0">
      <selection activeCell="I18" sqref="I18"/>
    </sheetView>
  </sheetViews>
  <sheetFormatPr baseColWidth="10" defaultRowHeight="16"/>
  <cols>
    <col min="8" max="8" width="10.5" customWidth="1"/>
    <col min="16" max="16" width="12" customWidth="1"/>
  </cols>
  <sheetData>
    <row r="1" spans="1:27">
      <c r="A1" t="s">
        <v>0</v>
      </c>
      <c r="B1" s="73" t="s">
        <v>151</v>
      </c>
      <c r="C1" s="73" t="s">
        <v>152</v>
      </c>
      <c r="D1" s="73" t="s">
        <v>153</v>
      </c>
      <c r="E1" s="73" t="s">
        <v>154</v>
      </c>
      <c r="F1" s="73" t="s">
        <v>155</v>
      </c>
      <c r="G1" s="73" t="s">
        <v>156</v>
      </c>
      <c r="H1" s="73" t="s">
        <v>157</v>
      </c>
      <c r="I1" s="73" t="s">
        <v>158</v>
      </c>
      <c r="J1" s="73" t="s">
        <v>159</v>
      </c>
      <c r="K1" s="73" t="s">
        <v>160</v>
      </c>
      <c r="L1" s="73" t="s">
        <v>161</v>
      </c>
      <c r="M1" s="73" t="s">
        <v>162</v>
      </c>
      <c r="N1" s="73" t="s">
        <v>163</v>
      </c>
      <c r="O1" s="73" t="s">
        <v>164</v>
      </c>
      <c r="P1" s="73" t="s">
        <v>165</v>
      </c>
      <c r="Q1" s="73" t="s">
        <v>166</v>
      </c>
      <c r="R1" s="73" t="s">
        <v>167</v>
      </c>
      <c r="S1" s="73" t="s">
        <v>168</v>
      </c>
      <c r="T1" s="73" t="s">
        <v>169</v>
      </c>
      <c r="U1" s="73" t="s">
        <v>170</v>
      </c>
      <c r="V1" s="73" t="s">
        <v>171</v>
      </c>
      <c r="W1" s="73" t="s">
        <v>172</v>
      </c>
      <c r="X1" s="73" t="s">
        <v>173</v>
      </c>
      <c r="Y1" s="73" t="s">
        <v>174</v>
      </c>
      <c r="Z1" s="73" t="s">
        <v>175</v>
      </c>
      <c r="AA1" s="73" t="s">
        <v>176</v>
      </c>
    </row>
    <row r="2" spans="1:27">
      <c r="A2">
        <v>2005</v>
      </c>
      <c r="B2" s="5">
        <f>B3/(1+regional_rent_growth!B2)</f>
        <v>925.76090230185309</v>
      </c>
      <c r="C2" s="5">
        <f>C3/(1+regional_rent_growth!C2)</f>
        <v>314.62168898933174</v>
      </c>
      <c r="D2" s="5">
        <f>D3/(1+regional_rent_growth!D2)</f>
        <v>333.20084311954224</v>
      </c>
      <c r="E2" s="5">
        <f>E3/(1+regional_rent_growth!E2)</f>
        <v>595.22507884927859</v>
      </c>
      <c r="F2" s="5">
        <f>F3/(1+regional_rent_growth!F2)</f>
        <v>378.25528974299897</v>
      </c>
      <c r="G2" s="5">
        <f>G3/(1+regional_rent_growth!G2)</f>
        <v>242.42344489576686</v>
      </c>
      <c r="H2" s="5">
        <f>H3/(1+regional_rent_growth!H2)</f>
        <v>283.00851303454903</v>
      </c>
      <c r="I2" s="5">
        <f>I3/(1+regional_rent_growth!I2)</f>
        <v>328.03807004199871</v>
      </c>
      <c r="J2" s="5">
        <f>J3/(1+regional_rent_growth!J2)</f>
        <v>441.77325300428492</v>
      </c>
      <c r="K2" s="5">
        <f>K3/(1+regional_rent_growth!K2)</f>
        <v>267.01011977836015</v>
      </c>
      <c r="L2" s="5">
        <f>L3/(1+regional_rent_growth!L2)</f>
        <v>358.49942565269265</v>
      </c>
      <c r="M2" s="5">
        <f>M3/(1+regional_rent_growth!M2)</f>
        <v>418.82921709468974</v>
      </c>
      <c r="N2" s="5">
        <f>N3/(1+regional_rent_growth!N2)</f>
        <v>278.73396538344747</v>
      </c>
      <c r="O2" s="5">
        <f>O3/(1+regional_rent_growth!O2)</f>
        <v>199.04373018848642</v>
      </c>
      <c r="P2" s="5">
        <f>P3/(1+regional_rent_growth!P2)</f>
        <v>232.24234231189536</v>
      </c>
      <c r="Q2" s="5">
        <f>Q3/(1+regional_rent_growth!Q2)</f>
        <v>229.18113877810919</v>
      </c>
      <c r="R2" s="5">
        <f>R3/(1+regional_rent_growth!R2)</f>
        <v>225.38924196061291</v>
      </c>
      <c r="S2" s="5">
        <f>S3/(1+regional_rent_growth!S2)</f>
        <v>243.55233867984805</v>
      </c>
      <c r="T2" s="5">
        <f>T3/(1+regional_rent_growth!T2)</f>
        <v>272.47871528584216</v>
      </c>
      <c r="U2" s="5">
        <f>U3/(1+regional_rent_growth!U2)</f>
        <v>230.21047880203568</v>
      </c>
      <c r="V2" s="5">
        <f>V3/(1+regional_rent_growth!V2)</f>
        <v>257.41879819287328</v>
      </c>
      <c r="W2" s="5">
        <f>W3/(1+regional_rent_growth!W2)</f>
        <v>265.25700486362649</v>
      </c>
      <c r="X2" s="5">
        <f>X3/(1+regional_rent_growth!X2)</f>
        <v>269.79188604685373</v>
      </c>
      <c r="Y2" s="5">
        <f>Y3/(1+regional_rent_growth!Y2)</f>
        <v>356.08773970554034</v>
      </c>
      <c r="Z2" s="5">
        <f>Z3/(1+regional_rent_growth!Z2)</f>
        <v>393.82447291435506</v>
      </c>
      <c r="AA2" s="5">
        <f>AA3/(1+regional_rent_growth!AA2)</f>
        <v>279.04346341629969</v>
      </c>
    </row>
    <row r="3" spans="1:27">
      <c r="A3">
        <v>2006</v>
      </c>
      <c r="B3" s="5">
        <f>B4/(1+regional_rent_growth!B3)</f>
        <v>1063.9572820307937</v>
      </c>
      <c r="C3" s="5">
        <f>C4/(1+regional_rent_growth!C3)</f>
        <v>377.7582505234472</v>
      </c>
      <c r="D3" s="5">
        <f>D4/(1+regional_rent_growth!D3)</f>
        <v>401.99939777175541</v>
      </c>
      <c r="E3" s="5">
        <f>E4/(1+regional_rent_growth!E3)</f>
        <v>696.22096912931306</v>
      </c>
      <c r="F3" s="5">
        <f>F4/(1+regional_rent_growth!F3)</f>
        <v>451.0908552436735</v>
      </c>
      <c r="G3" s="5">
        <f>G4/(1+regional_rent_growth!G3)</f>
        <v>293.21286380878848</v>
      </c>
      <c r="H3" s="5">
        <f>H4/(1+regional_rent_growth!H3)</f>
        <v>339.01407797542157</v>
      </c>
      <c r="I3" s="5">
        <f>I4/(1+regional_rent_growth!I3)</f>
        <v>392.50797976123545</v>
      </c>
      <c r="J3" s="5">
        <f>J4/(1+regional_rent_growth!J3)</f>
        <v>519.9845355842649</v>
      </c>
      <c r="K3" s="5">
        <f>K4/(1+regional_rent_growth!K3)</f>
        <v>320.21838813497448</v>
      </c>
      <c r="L3" s="5">
        <f>L4/(1+regional_rent_growth!L3)</f>
        <v>432.52157426924055</v>
      </c>
      <c r="M3" s="5">
        <f>M4/(1+regional_rent_growth!M3)</f>
        <v>498.4045393420576</v>
      </c>
      <c r="N3" s="5">
        <f>N4/(1+regional_rent_growth!N3)</f>
        <v>338.4447518472283</v>
      </c>
      <c r="O3" s="5">
        <f>O4/(1+regional_rent_growth!O3)</f>
        <v>243.69255939193579</v>
      </c>
      <c r="P3" s="5">
        <f>P4/(1+regional_rent_growth!P3)</f>
        <v>282.3696193405209</v>
      </c>
      <c r="Q3" s="5">
        <f>Q4/(1+regional_rent_growth!Q3)</f>
        <v>276.84654311471564</v>
      </c>
      <c r="R3" s="5">
        <f>R4/(1+regional_rent_growth!R3)</f>
        <v>272.95883071611917</v>
      </c>
      <c r="S3" s="5">
        <f>S4/(1+regional_rent_growth!S3)</f>
        <v>294.95534483338383</v>
      </c>
      <c r="T3" s="5">
        <f>T4/(1+regional_rent_growth!T3)</f>
        <v>326.77673446365162</v>
      </c>
      <c r="U3" s="5">
        <f>U4/(1+regional_rent_growth!U3)</f>
        <v>280.27757653723319</v>
      </c>
      <c r="V3" s="5">
        <f>V4/(1+regional_rent_growth!V3)</f>
        <v>314.26909881449768</v>
      </c>
      <c r="W3" s="5">
        <f>W4/(1+regional_rent_growth!W3)</f>
        <v>322.94616157170731</v>
      </c>
      <c r="X3" s="5">
        <f>X4/(1+regional_rent_growth!X3)</f>
        <v>329.37475231269156</v>
      </c>
      <c r="Y3" s="5">
        <f>Y4/(1+regional_rent_growth!Y3)</f>
        <v>427.5454817375122</v>
      </c>
      <c r="Z3" s="5">
        <f>Z4/(1+regional_rent_growth!Z3)</f>
        <v>476.94320589125414</v>
      </c>
      <c r="AA3" s="5">
        <f>AA4/(1+regional_rent_growth!AA3)</f>
        <v>342.13308750725531</v>
      </c>
    </row>
    <row r="4" spans="1:27">
      <c r="A4">
        <v>2007</v>
      </c>
      <c r="B4" s="5">
        <f>B5/(1+regional_rent_growth!B4)</f>
        <v>1223.7831371584866</v>
      </c>
      <c r="C4" s="5">
        <f>C5/(1+regional_rent_growth!C4)</f>
        <v>450.77647977666271</v>
      </c>
      <c r="D4" s="5">
        <f>D5/(1+regional_rent_growth!D4)</f>
        <v>481.56579343571207</v>
      </c>
      <c r="E4" s="5">
        <f>E5/(1+regional_rent_growth!E4)</f>
        <v>813.02398929561343</v>
      </c>
      <c r="F4" s="5">
        <f>F5/(1+regional_rent_growth!F4)</f>
        <v>535.32610484056715</v>
      </c>
      <c r="G4" s="5">
        <f>G5/(1+regional_rent_growth!G4)</f>
        <v>351.95146698445734</v>
      </c>
      <c r="H4" s="5">
        <f>H5/(1+regional_rent_growth!H4)</f>
        <v>403.78521978203992</v>
      </c>
      <c r="I4" s="5">
        <f>I5/(1+regional_rent_growth!I4)</f>
        <v>467.06824299745352</v>
      </c>
      <c r="J4" s="5">
        <f>J5/(1+regional_rent_growth!J4)</f>
        <v>610.43686974451487</v>
      </c>
      <c r="K4" s="5">
        <f>K5/(1+regional_rent_growth!K4)</f>
        <v>381.75442118185725</v>
      </c>
      <c r="L4" s="5">
        <f>L5/(1+regional_rent_growth!L4)</f>
        <v>518.12912219657164</v>
      </c>
      <c r="M4" s="5">
        <f>M5/(1+regional_rent_growth!M4)</f>
        <v>590.43440257141901</v>
      </c>
      <c r="N4" s="5">
        <f>N5/(1+regional_rent_growth!N4)</f>
        <v>407.5010290495631</v>
      </c>
      <c r="O4" s="5">
        <f>O5/(1+regional_rent_growth!O4)</f>
        <v>295.32949316609307</v>
      </c>
      <c r="P4" s="5">
        <f>P5/(1+regional_rent_growth!P4)</f>
        <v>340.34244708055945</v>
      </c>
      <c r="Q4" s="5">
        <f>Q5/(1+regional_rent_growth!Q4)</f>
        <v>331.97218405442538</v>
      </c>
      <c r="R4" s="5">
        <f>R5/(1+regional_rent_growth!R4)</f>
        <v>327.97365972852714</v>
      </c>
      <c r="S4" s="5">
        <f>S5/(1+regional_rent_growth!S4)</f>
        <v>354.40356938700029</v>
      </c>
      <c r="T4" s="5">
        <f>T5/(1+regional_rent_growth!T4)</f>
        <v>389.57307807160146</v>
      </c>
      <c r="U4" s="5">
        <f>U5/(1+regional_rent_growth!U4)</f>
        <v>338.18080616585974</v>
      </c>
      <c r="V4" s="5">
        <f>V5/(1+regional_rent_growth!V4)</f>
        <v>380.01718808383424</v>
      </c>
      <c r="W4" s="5">
        <f>W5/(1+regional_rent_growth!W4)</f>
        <v>389.66439847884698</v>
      </c>
      <c r="X4" s="5">
        <f>X5/(1+regional_rent_growth!X4)</f>
        <v>398.28308819366572</v>
      </c>
      <c r="Y4" s="5">
        <f>Y5/(1+regional_rent_growth!Y4)</f>
        <v>510.1872611253284</v>
      </c>
      <c r="Z4" s="5">
        <f>Z5/(1+regional_rent_growth!Z4)</f>
        <v>573.07106829415943</v>
      </c>
      <c r="AA4" s="5">
        <f>AA5/(1+regional_rent_growth!AA4)</f>
        <v>415.09703301580799</v>
      </c>
    </row>
    <row r="5" spans="1:27">
      <c r="A5">
        <v>2008</v>
      </c>
      <c r="B5" s="5">
        <f>B6/(1+regional_rent_growth!B5)</f>
        <v>1361.9311287992873</v>
      </c>
      <c r="C5" s="5">
        <f>C6/(1+regional_rent_growth!C5)</f>
        <v>513.89093467158557</v>
      </c>
      <c r="D5" s="5">
        <f>D6/(1+regional_rent_growth!D5)</f>
        <v>550.34025895814511</v>
      </c>
      <c r="E5" s="5">
        <f>E6/(1+regional_rent_growth!E5)</f>
        <v>913.98451686896726</v>
      </c>
      <c r="F5" s="5">
        <f>F6/(1+regional_rent_growth!F5)</f>
        <v>608.13616769225689</v>
      </c>
      <c r="G5" s="5">
        <f>G6/(1+regional_rent_growth!G5)</f>
        <v>402.72310248749545</v>
      </c>
      <c r="H5" s="5">
        <f>H6/(1+regional_rent_growth!H5)</f>
        <v>459.77117493126644</v>
      </c>
      <c r="I5" s="5">
        <f>I6/(1+regional_rent_growth!I5)</f>
        <v>531.51557921888946</v>
      </c>
      <c r="J5" s="5">
        <f>J6/(1+regional_rent_growth!J5)</f>
        <v>688.62076742163072</v>
      </c>
      <c r="K5" s="5">
        <f>K6/(1+regional_rent_growth!K5)</f>
        <v>434.94405919240836</v>
      </c>
      <c r="L5" s="5">
        <f>L6/(1+regional_rent_growth!L5)</f>
        <v>592.12535269385603</v>
      </c>
      <c r="M5" s="5">
        <f>M6/(1+regional_rent_growth!M5)</f>
        <v>669.98186231099726</v>
      </c>
      <c r="N5" s="5">
        <f>N6/(1+regional_rent_growth!N5)</f>
        <v>467.1909083752264</v>
      </c>
      <c r="O5" s="5">
        <f>O6/(1+regional_rent_growth!O5)</f>
        <v>339.96268902598376</v>
      </c>
      <c r="P5" s="5">
        <f>P6/(1+regional_rent_growth!P5)</f>
        <v>390.45217254159797</v>
      </c>
      <c r="Q5" s="5">
        <f>Q6/(1+regional_rent_growth!Q5)</f>
        <v>379.62089882368713</v>
      </c>
      <c r="R5" s="5">
        <f>R6/(1+regional_rent_growth!R5)</f>
        <v>375.52659246556158</v>
      </c>
      <c r="S5" s="5">
        <f>S6/(1+regional_rent_growth!S5)</f>
        <v>405.78857728908179</v>
      </c>
      <c r="T5" s="5">
        <f>T6/(1+regional_rent_growth!T5)</f>
        <v>443.85208533793411</v>
      </c>
      <c r="U5" s="5">
        <f>U6/(1+regional_rent_growth!U5)</f>
        <v>388.23037340465146</v>
      </c>
      <c r="V5" s="5">
        <f>V6/(1+regional_rent_growth!V5)</f>
        <v>436.8475831380141</v>
      </c>
      <c r="W5" s="5">
        <f>W6/(1+regional_rent_growth!W5)</f>
        <v>447.33335590236618</v>
      </c>
      <c r="X5" s="5">
        <f>X6/(1+regional_rent_growth!X5)</f>
        <v>457.84509211137129</v>
      </c>
      <c r="Y5" s="5">
        <f>Y6/(1+regional_rent_growth!Y5)</f>
        <v>581.61998293950194</v>
      </c>
      <c r="Z5" s="5">
        <f>Z6/(1+regional_rent_growth!Z5)</f>
        <v>656.16069807323743</v>
      </c>
      <c r="AA5" s="5">
        <f>AA6/(1+regional_rent_growth!AA5)</f>
        <v>478.16456690224999</v>
      </c>
    </row>
    <row r="6" spans="1:27">
      <c r="A6">
        <v>2009</v>
      </c>
      <c r="B6" s="5">
        <f>B7/(1+regional_rent_growth!B6)</f>
        <v>1459.7718430191464</v>
      </c>
      <c r="C6" s="5">
        <f>C7/(1+regional_rent_growth!C6)</f>
        <v>558.59055911905807</v>
      </c>
      <c r="D6" s="5">
        <f>D7/(1+regional_rent_growth!D6)</f>
        <v>599.04847937368265</v>
      </c>
      <c r="E6" s="5">
        <f>E7/(1+regional_rent_growth!E6)</f>
        <v>985.48790977731096</v>
      </c>
      <c r="F6" s="5">
        <f>F7/(1+regional_rent_growth!F6)</f>
        <v>659.70252393958322</v>
      </c>
      <c r="G6" s="5">
        <f>G7/(1+regional_rent_growth!G6)</f>
        <v>438.68115747423559</v>
      </c>
      <c r="H6" s="5">
        <f>H7/(1+regional_rent_growth!H6)</f>
        <v>499.42217363940517</v>
      </c>
      <c r="I6" s="5">
        <f>I7/(1+regional_rent_growth!I6)</f>
        <v>577.15919177221463</v>
      </c>
      <c r="J6" s="5">
        <f>J7/(1+regional_rent_growth!J6)</f>
        <v>743.99304101291909</v>
      </c>
      <c r="K6" s="5">
        <f>K7/(1+regional_rent_growth!K6)</f>
        <v>472.61461893228028</v>
      </c>
      <c r="L6" s="5">
        <f>L7/(1+regional_rent_growth!L6)</f>
        <v>644.53178984464728</v>
      </c>
      <c r="M6" s="5">
        <f>M7/(1+regional_rent_growth!M6)</f>
        <v>726.31985306175977</v>
      </c>
      <c r="N6" s="5">
        <f>N7/(1+regional_rent_growth!N6)</f>
        <v>509.46514164895359</v>
      </c>
      <c r="O6" s="5">
        <f>O7/(1+regional_rent_growth!O6)</f>
        <v>371.57330970153509</v>
      </c>
      <c r="P6" s="5">
        <f>P7/(1+regional_rent_growth!P6)</f>
        <v>425.94144220262064</v>
      </c>
      <c r="Q6" s="5">
        <f>Q7/(1+regional_rent_growth!Q6)</f>
        <v>413.36720399477196</v>
      </c>
      <c r="R6" s="5">
        <f>R7/(1+regional_rent_growth!R6)</f>
        <v>409.20506181557334</v>
      </c>
      <c r="S6" s="5">
        <f>S7/(1+regional_rent_growth!S6)</f>
        <v>442.18104172971528</v>
      </c>
      <c r="T6" s="5">
        <f>T7/(1+regional_rent_growth!T6)</f>
        <v>482.29417034407237</v>
      </c>
      <c r="U6" s="5">
        <f>U7/(1+regional_rent_growth!U6)</f>
        <v>423.6770371373438</v>
      </c>
      <c r="V6" s="5">
        <f>V7/(1+regional_rent_growth!V6)</f>
        <v>477.09664051088686</v>
      </c>
      <c r="W6" s="5">
        <f>W7/(1+regional_rent_growth!W6)</f>
        <v>488.17630928602841</v>
      </c>
      <c r="X6" s="5">
        <f>X7/(1+regional_rent_growth!X6)</f>
        <v>500.02876003487415</v>
      </c>
      <c r="Y6" s="5">
        <f>Y7/(1+regional_rent_growth!Y6)</f>
        <v>632.21086332768368</v>
      </c>
      <c r="Z6" s="5">
        <f>Z7/(1+regional_rent_growth!Z6)</f>
        <v>715.00736406738656</v>
      </c>
      <c r="AA6" s="5">
        <f>AA7/(1+regional_rent_growth!AA6)</f>
        <v>522.83096042882994</v>
      </c>
    </row>
    <row r="7" spans="1:27">
      <c r="A7">
        <v>2010</v>
      </c>
      <c r="B7" s="5">
        <f>B8/(1+regional_rent_growth!B7)</f>
        <v>1511.0632164479548</v>
      </c>
      <c r="C7" s="5">
        <f>C8/(1+regional_rent_growth!C7)</f>
        <v>582.02359666323252</v>
      </c>
      <c r="D7" s="5">
        <f>D8/(1+regional_rent_growth!D7)</f>
        <v>624.58295694068045</v>
      </c>
      <c r="E7" s="5">
        <f>E8/(1+regional_rent_growth!E7)</f>
        <v>1022.9723788588361</v>
      </c>
      <c r="F7" s="5">
        <f>F8/(1+regional_rent_growth!F7)</f>
        <v>686.73533186350301</v>
      </c>
      <c r="G7" s="5">
        <f>G8/(1+regional_rent_growth!G7)</f>
        <v>457.53157205679963</v>
      </c>
      <c r="H7" s="5">
        <f>H8/(1+regional_rent_growth!H7)</f>
        <v>520.20855278412671</v>
      </c>
      <c r="I7" s="5">
        <f>I8/(1+regional_rent_growth!I7)</f>
        <v>601.08709944111899</v>
      </c>
      <c r="J7" s="5">
        <f>J8/(1+regional_rent_growth!J7)</f>
        <v>773.02103804890589</v>
      </c>
      <c r="K7" s="5">
        <f>K8/(1+regional_rent_growth!K7)</f>
        <v>492.36278575931493</v>
      </c>
      <c r="L7" s="5">
        <f>L8/(1+regional_rent_growth!L7)</f>
        <v>672.00499626395424</v>
      </c>
      <c r="M7" s="5">
        <f>M8/(1+regional_rent_growth!M7)</f>
        <v>755.85411131883598</v>
      </c>
      <c r="N7" s="5">
        <f>N8/(1+regional_rent_growth!N7)</f>
        <v>531.62670805357811</v>
      </c>
      <c r="O7" s="5">
        <f>O8/(1+regional_rent_growth!O7)</f>
        <v>388.14465387368364</v>
      </c>
      <c r="P7" s="5">
        <f>P8/(1+regional_rent_growth!P7)</f>
        <v>444.54610384489763</v>
      </c>
      <c r="Q7" s="5">
        <f>Q8/(1+regional_rent_growth!Q7)</f>
        <v>431.05814538020707</v>
      </c>
      <c r="R7" s="5">
        <f>R8/(1+regional_rent_growth!R7)</f>
        <v>426.86044139569816</v>
      </c>
      <c r="S7" s="5">
        <f>S8/(1+regional_rent_growth!S7)</f>
        <v>461.25918827129362</v>
      </c>
      <c r="T7" s="5">
        <f>T8/(1+regional_rent_growth!T7)</f>
        <v>502.44679650950576</v>
      </c>
      <c r="U7" s="5">
        <f>U8/(1+regional_rent_growth!U7)</f>
        <v>442.25936332757817</v>
      </c>
      <c r="V7" s="5">
        <f>V8/(1+regional_rent_growth!V7)</f>
        <v>498.19654200210596</v>
      </c>
      <c r="W7" s="5">
        <f>W8/(1+regional_rent_growth!W7)</f>
        <v>509.58755092138051</v>
      </c>
      <c r="X7" s="5">
        <f>X8/(1+regional_rent_growth!X7)</f>
        <v>522.14284905510806</v>
      </c>
      <c r="Y7" s="5">
        <f>Y8/(1+regional_rent_growth!Y7)</f>
        <v>658.73229419389156</v>
      </c>
      <c r="Z7" s="5">
        <f>Z8/(1+regional_rent_growth!Z7)</f>
        <v>745.8567537576921</v>
      </c>
      <c r="AA7" s="5">
        <f>AA8/(1+regional_rent_growth!AA7)</f>
        <v>546.24657721328822</v>
      </c>
    </row>
    <row r="8" spans="1:27">
      <c r="A8">
        <v>2011</v>
      </c>
      <c r="B8" s="5">
        <f>B9/(1+regional_rent_growth!B8)</f>
        <v>1567.2417867789422</v>
      </c>
      <c r="C8" s="5">
        <f>C9/(1+regional_rent_growth!C8)</f>
        <v>607.68940476586135</v>
      </c>
      <c r="D8" s="5">
        <f>D9/(1+regional_rent_growth!D8)</f>
        <v>652.55043661547722</v>
      </c>
      <c r="E8" s="5">
        <f>E9/(1+regional_rent_growth!E8)</f>
        <v>1064.0284813151106</v>
      </c>
      <c r="F8" s="5">
        <f>F9/(1+regional_rent_growth!F8)</f>
        <v>716.34390733489067</v>
      </c>
      <c r="G8" s="5">
        <f>G9/(1+regional_rent_growth!G8)</f>
        <v>478.17811104770232</v>
      </c>
      <c r="H8" s="5">
        <f>H9/(1+regional_rent_growth!H8)</f>
        <v>542.97552088509065</v>
      </c>
      <c r="I8" s="5">
        <f>I9/(1+regional_rent_growth!I8)</f>
        <v>627.29493038790963</v>
      </c>
      <c r="J8" s="5">
        <f>J9/(1+regional_rent_growth!J8)</f>
        <v>804.81491027417098</v>
      </c>
      <c r="K8" s="5">
        <f>K9/(1+regional_rent_growth!K8)</f>
        <v>513.99261753873702</v>
      </c>
      <c r="L8" s="5">
        <f>L9/(1+regional_rent_growth!L8)</f>
        <v>702.09593272887446</v>
      </c>
      <c r="M8" s="5">
        <f>M9/(1+regional_rent_growth!M8)</f>
        <v>788.20248286267145</v>
      </c>
      <c r="N8" s="5">
        <f>N9/(1+regional_rent_growth!N8)</f>
        <v>555.89989540807733</v>
      </c>
      <c r="O8" s="5">
        <f>O9/(1+regional_rent_growth!O8)</f>
        <v>406.29496574525388</v>
      </c>
      <c r="P8" s="5">
        <f>P9/(1+regional_rent_growth!P8)</f>
        <v>464.92347381346701</v>
      </c>
      <c r="Q8" s="5">
        <f>Q9/(1+regional_rent_growth!Q8)</f>
        <v>450.43473306746205</v>
      </c>
      <c r="R8" s="5">
        <f>R9/(1+regional_rent_growth!R8)</f>
        <v>446.19807884147644</v>
      </c>
      <c r="S8" s="5">
        <f>S9/(1+regional_rent_growth!S8)</f>
        <v>482.15515820975827</v>
      </c>
      <c r="T8" s="5">
        <f>T9/(1+regional_rent_growth!T8)</f>
        <v>524.51962573409855</v>
      </c>
      <c r="U8" s="5">
        <f>U9/(1+regional_rent_growth!U8)</f>
        <v>462.61226965480665</v>
      </c>
      <c r="V8" s="5">
        <f>V9/(1+regional_rent_growth!V8)</f>
        <v>521.30690580522435</v>
      </c>
      <c r="W8" s="5">
        <f>W9/(1+regional_rent_growth!W8)</f>
        <v>533.03892029745964</v>
      </c>
      <c r="X8" s="5">
        <f>X9/(1+regional_rent_growth!X8)</f>
        <v>546.36403523670401</v>
      </c>
      <c r="Y8" s="5">
        <f>Y9/(1+regional_rent_growth!Y8)</f>
        <v>687.78076705772889</v>
      </c>
      <c r="Z8" s="5">
        <f>Z9/(1+regional_rent_growth!Z8)</f>
        <v>779.64556642792309</v>
      </c>
      <c r="AA8" s="5">
        <f>AA9/(1+regional_rent_growth!AA8)</f>
        <v>571.89330465362423</v>
      </c>
    </row>
    <row r="9" spans="1:27">
      <c r="A9">
        <v>2012</v>
      </c>
      <c r="B9" s="5">
        <f>B10/(1+regional_rent_growth!B9)</f>
        <v>1630.9205107716896</v>
      </c>
      <c r="C9" s="5">
        <f>C10/(1+regional_rent_growth!C9)</f>
        <v>636.78174194334599</v>
      </c>
      <c r="D9" s="5">
        <f>D10/(1+regional_rent_growth!D9)</f>
        <v>684.25173140620302</v>
      </c>
      <c r="E9" s="5">
        <f>E10/(1+regional_rent_growth!E9)</f>
        <v>1110.5658033068912</v>
      </c>
      <c r="F9" s="5">
        <f>F10/(1+regional_rent_growth!F9)</f>
        <v>749.90539339892712</v>
      </c>
      <c r="G9" s="5">
        <f>G10/(1+regional_rent_growth!G9)</f>
        <v>501.58107858605547</v>
      </c>
      <c r="H9" s="5">
        <f>H10/(1+regional_rent_growth!H9)</f>
        <v>568.78200669117894</v>
      </c>
      <c r="I9" s="5">
        <f>I10/(1+regional_rent_growth!I9)</f>
        <v>657.00165349383246</v>
      </c>
      <c r="J9" s="5">
        <f>J10/(1+regional_rent_growth!J9)</f>
        <v>840.8534424433775</v>
      </c>
      <c r="K9" s="5">
        <f>K10/(1+regional_rent_growth!K9)</f>
        <v>538.51015295796128</v>
      </c>
      <c r="L9" s="5">
        <f>L10/(1+regional_rent_growth!L9)</f>
        <v>736.20417767963681</v>
      </c>
      <c r="M9" s="5">
        <f>M10/(1+regional_rent_growth!M9)</f>
        <v>824.86954311390969</v>
      </c>
      <c r="N9" s="5">
        <f>N10/(1+regional_rent_growth!N9)</f>
        <v>583.4136891707999</v>
      </c>
      <c r="O9" s="5">
        <f>O10/(1+regional_rent_growth!O9)</f>
        <v>426.86844586841192</v>
      </c>
      <c r="P9" s="5">
        <f>P10/(1+regional_rent_growth!P9)</f>
        <v>488.02133675802975</v>
      </c>
      <c r="Q9" s="5">
        <f>Q10/(1+regional_rent_growth!Q9)</f>
        <v>472.39820369315333</v>
      </c>
      <c r="R9" s="5">
        <f>R10/(1+regional_rent_growth!R9)</f>
        <v>468.11739915038618</v>
      </c>
      <c r="S9" s="5">
        <f>S10/(1+regional_rent_growth!S9)</f>
        <v>505.84085712364242</v>
      </c>
      <c r="T9" s="5">
        <f>T10/(1+regional_rent_growth!T9)</f>
        <v>549.53930123759903</v>
      </c>
      <c r="U9" s="5">
        <f>U10/(1+regional_rent_growth!U9)</f>
        <v>485.68240292494676</v>
      </c>
      <c r="V9" s="5">
        <f>V10/(1+regional_rent_growth!V9)</f>
        <v>547.5026325622473</v>
      </c>
      <c r="W9" s="5">
        <f>W10/(1+regional_rent_growth!W9)</f>
        <v>559.62117878059507</v>
      </c>
      <c r="X9" s="5">
        <f>X10/(1+regional_rent_growth!X9)</f>
        <v>573.81888537880582</v>
      </c>
      <c r="Y9" s="5">
        <f>Y10/(1+regional_rent_growth!Y9)</f>
        <v>720.70737368030416</v>
      </c>
      <c r="Z9" s="5">
        <f>Z10/(1+regional_rent_growth!Z9)</f>
        <v>817.9453747604158</v>
      </c>
      <c r="AA9" s="5">
        <f>AA10/(1+regional_rent_growth!AA9)</f>
        <v>600.96401379357451</v>
      </c>
    </row>
    <row r="10" spans="1:27">
      <c r="A10">
        <v>2013</v>
      </c>
      <c r="B10" s="5">
        <f>B11/(1+regional_rent_growth!B10)</f>
        <v>1716.5674267801717</v>
      </c>
      <c r="C10" s="5">
        <f>C11/(1+regional_rent_growth!C10)</f>
        <v>675.91049331427882</v>
      </c>
      <c r="D10" s="5">
        <f>D11/(1+regional_rent_growth!D10)</f>
        <v>726.88949111713339</v>
      </c>
      <c r="E10" s="5">
        <f>E11/(1+regional_rent_growth!E10)</f>
        <v>1173.1577941317025</v>
      </c>
      <c r="F10" s="5">
        <f>F11/(1+regional_rent_growth!F10)</f>
        <v>795.04508210207621</v>
      </c>
      <c r="G10" s="5">
        <f>G11/(1+regional_rent_growth!G10)</f>
        <v>533.0577142569407</v>
      </c>
      <c r="H10" s="5">
        <f>H11/(1+regional_rent_growth!H10)</f>
        <v>603.49133790453482</v>
      </c>
      <c r="I10" s="5">
        <f>I11/(1+regional_rent_growth!I10)</f>
        <v>696.95674460134262</v>
      </c>
      <c r="J10" s="5">
        <f>J11/(1+regional_rent_growth!J10)</f>
        <v>889.32472051290301</v>
      </c>
      <c r="K10" s="5">
        <f>K11/(1+regional_rent_growth!K10)</f>
        <v>571.4858654898967</v>
      </c>
      <c r="L10" s="5">
        <f>L11/(1+regional_rent_growth!L10)</f>
        <v>782.07924877602682</v>
      </c>
      <c r="M10" s="5">
        <f>M11/(1+regional_rent_growth!M10)</f>
        <v>874.18618190166922</v>
      </c>
      <c r="N10" s="5">
        <f>N11/(1+regional_rent_growth!N10)</f>
        <v>620.4193236388993</v>
      </c>
      <c r="O10" s="5">
        <f>O11/(1+regional_rent_growth!O10)</f>
        <v>454.53946396718828</v>
      </c>
      <c r="P10" s="5">
        <f>P11/(1+regional_rent_growth!P10)</f>
        <v>519.08761138711486</v>
      </c>
      <c r="Q10" s="5">
        <f>Q11/(1+regional_rent_growth!Q10)</f>
        <v>501.93873789336106</v>
      </c>
      <c r="R10" s="5">
        <f>R11/(1+regional_rent_growth!R10)</f>
        <v>497.59855184550031</v>
      </c>
      <c r="S10" s="5">
        <f>S11/(1+regional_rent_growth!S10)</f>
        <v>537.69776219778748</v>
      </c>
      <c r="T10" s="5">
        <f>T11/(1+regional_rent_growth!T10)</f>
        <v>583.19038455157761</v>
      </c>
      <c r="U10" s="5">
        <f>U11/(1+regional_rent_growth!U10)</f>
        <v>516.71138156335701</v>
      </c>
      <c r="V10" s="5">
        <f>V11/(1+regional_rent_growth!V10)</f>
        <v>582.73548693909436</v>
      </c>
      <c r="W10" s="5">
        <f>W11/(1+regional_rent_growth!W10)</f>
        <v>595.37391245472077</v>
      </c>
      <c r="X10" s="5">
        <f>X11/(1+regional_rent_growth!X10)</f>
        <v>610.74524157297003</v>
      </c>
      <c r="Y10" s="5">
        <f>Y11/(1+regional_rent_growth!Y10)</f>
        <v>764.99315918331183</v>
      </c>
      <c r="Z10" s="5">
        <f>Z11/(1+regional_rent_growth!Z10)</f>
        <v>869.458034903662</v>
      </c>
      <c r="AA10" s="5">
        <f>AA11/(1+regional_rent_growth!AA10)</f>
        <v>640.06367578271716</v>
      </c>
    </row>
    <row r="11" spans="1:27">
      <c r="A11">
        <v>2014</v>
      </c>
      <c r="B11" s="5">
        <f>B12/(1+regional_rent_growth!B11)</f>
        <v>1816.8759334951906</v>
      </c>
      <c r="C11" s="5">
        <f>C12/(1+regional_rent_growth!C11)</f>
        <v>721.7375563605749</v>
      </c>
      <c r="D11" s="5">
        <f>D12/(1+regional_rent_growth!D11)</f>
        <v>776.82625715146037</v>
      </c>
      <c r="E11" s="5">
        <f>E12/(1+regional_rent_growth!E11)</f>
        <v>1246.4646850807612</v>
      </c>
      <c r="F11" s="5">
        <f>F12/(1+regional_rent_growth!F11)</f>
        <v>847.91207344762893</v>
      </c>
      <c r="G11" s="5">
        <f>G12/(1+regional_rent_growth!G11)</f>
        <v>569.92272315284185</v>
      </c>
      <c r="H11" s="5">
        <f>H12/(1+regional_rent_growth!H11)</f>
        <v>644.14243598661778</v>
      </c>
      <c r="I11" s="5">
        <f>I12/(1+regional_rent_growth!I11)</f>
        <v>743.75160554251136</v>
      </c>
      <c r="J11" s="5">
        <f>J12/(1+regional_rent_growth!J11)</f>
        <v>946.09362415026237</v>
      </c>
      <c r="K11" s="5">
        <f>K12/(1+regional_rent_growth!K11)</f>
        <v>610.10657287899392</v>
      </c>
      <c r="L11" s="5">
        <f>L12/(1+regional_rent_growth!L11)</f>
        <v>835.80751000925648</v>
      </c>
      <c r="M11" s="5">
        <f>M12/(1+regional_rent_growth!M11)</f>
        <v>931.94516054970632</v>
      </c>
      <c r="N11" s="5">
        <f>N12/(1+regional_rent_growth!N11)</f>
        <v>663.75982095662255</v>
      </c>
      <c r="O11" s="5">
        <f>O12/(1+regional_rent_growth!O11)</f>
        <v>486.94738516422984</v>
      </c>
      <c r="P11" s="5">
        <f>P12/(1+regional_rent_growth!P11)</f>
        <v>555.47201099507731</v>
      </c>
      <c r="Q11" s="5">
        <f>Q12/(1+regional_rent_growth!Q11)</f>
        <v>536.53621099902819</v>
      </c>
      <c r="R11" s="5">
        <f>R12/(1+regional_rent_growth!R11)</f>
        <v>532.12647813757474</v>
      </c>
      <c r="S11" s="5">
        <f>S12/(1+regional_rent_growth!S11)</f>
        <v>575.00813746259132</v>
      </c>
      <c r="T11" s="5">
        <f>T12/(1+regional_rent_growth!T11)</f>
        <v>622.60207704303389</v>
      </c>
      <c r="U11" s="5">
        <f>U12/(1+regional_rent_growth!U11)</f>
        <v>553.05210061274943</v>
      </c>
      <c r="V11" s="5">
        <f>V12/(1+regional_rent_growth!V11)</f>
        <v>623.99972825163889</v>
      </c>
      <c r="W11" s="5">
        <f>W12/(1+regional_rent_growth!W11)</f>
        <v>637.24702935102744</v>
      </c>
      <c r="X11" s="5">
        <f>X12/(1+regional_rent_growth!X11)</f>
        <v>653.99288925121994</v>
      </c>
      <c r="Y11" s="5">
        <f>Y12/(1+regional_rent_growth!Y11)</f>
        <v>816.86007067920741</v>
      </c>
      <c r="Z11" s="5">
        <f>Z12/(1+regional_rent_growth!Z11)</f>
        <v>929.78896398668439</v>
      </c>
      <c r="AA11" s="5">
        <f>AA12/(1+regional_rent_growth!AA11)</f>
        <v>685.85666973949276</v>
      </c>
    </row>
    <row r="12" spans="1:27">
      <c r="A12">
        <v>2015</v>
      </c>
      <c r="B12" s="5">
        <f>B13/(1+regional_rent_growth!B12)</f>
        <v>1934.4589876763268</v>
      </c>
      <c r="C12" s="5">
        <f>C13/(1+regional_rent_growth!C12)</f>
        <v>775.45668959863519</v>
      </c>
      <c r="D12" s="5">
        <f>D13/(1+regional_rent_growth!D12)</f>
        <v>835.36284251731388</v>
      </c>
      <c r="E12" s="5">
        <f>E13/(1+regional_rent_growth!E12)</f>
        <v>1332.3960623148239</v>
      </c>
      <c r="F12" s="5">
        <f>F13/(1+regional_rent_growth!F12)</f>
        <v>909.88351048076584</v>
      </c>
      <c r="G12" s="5">
        <f>G13/(1+regional_rent_growth!G12)</f>
        <v>613.13640941287065</v>
      </c>
      <c r="H12" s="5">
        <f>H13/(1+regional_rent_growth!H12)</f>
        <v>691.79422968630968</v>
      </c>
      <c r="I12" s="5">
        <f>I13/(1+regional_rent_growth!I12)</f>
        <v>798.6052051985846</v>
      </c>
      <c r="J12" s="5">
        <f>J13/(1+regional_rent_growth!J12)</f>
        <v>1012.6389381101193</v>
      </c>
      <c r="K12" s="5">
        <f>K13/(1+regional_rent_growth!K12)</f>
        <v>655.37831381266778</v>
      </c>
      <c r="L12" s="5">
        <f>L13/(1+regional_rent_growth!L12)</f>
        <v>898.78853981955433</v>
      </c>
      <c r="M12" s="5">
        <f>M13/(1+regional_rent_growth!M12)</f>
        <v>999.65105447866426</v>
      </c>
      <c r="N12" s="5">
        <f>N13/(1+regional_rent_growth!N12)</f>
        <v>714.56416658231842</v>
      </c>
      <c r="O12" s="5">
        <f>O13/(1+regional_rent_growth!O12)</f>
        <v>524.93641001170238</v>
      </c>
      <c r="P12" s="5">
        <f>P13/(1+regional_rent_growth!P12)</f>
        <v>598.12232023161778</v>
      </c>
      <c r="Q12" s="5">
        <f>Q13/(1+regional_rent_growth!Q12)</f>
        <v>577.09185964677101</v>
      </c>
      <c r="R12" s="5">
        <f>R13/(1+regional_rent_growth!R12)</f>
        <v>572.60060302408738</v>
      </c>
      <c r="S12" s="5">
        <f>S13/(1+regional_rent_growth!S12)</f>
        <v>618.74388849658703</v>
      </c>
      <c r="T12" s="5">
        <f>T13/(1+regional_rent_growth!T12)</f>
        <v>668.80102193171615</v>
      </c>
      <c r="U12" s="5">
        <f>U13/(1+regional_rent_growth!U12)</f>
        <v>595.65120687904141</v>
      </c>
      <c r="V12" s="5">
        <f>V13/(1+regional_rent_growth!V12)</f>
        <v>672.37025714188644</v>
      </c>
      <c r="W12" s="5">
        <f>W13/(1+regional_rent_growth!W12)</f>
        <v>686.33129083584402</v>
      </c>
      <c r="X12" s="5">
        <f>X13/(1+regional_rent_growth!X12)</f>
        <v>704.68839521269945</v>
      </c>
      <c r="Y12" s="5">
        <f>Y13/(1+regional_rent_growth!Y12)</f>
        <v>877.65919992909937</v>
      </c>
      <c r="Z12" s="5">
        <f>Z13/(1+regional_rent_growth!Z12)</f>
        <v>1000.5097346918189</v>
      </c>
      <c r="AA12" s="5">
        <f>AA13/(1+regional_rent_growth!AA12)</f>
        <v>739.53586670763775</v>
      </c>
    </row>
    <row r="13" spans="1:27">
      <c r="A13">
        <v>2016</v>
      </c>
      <c r="B13" s="5">
        <f>B14/(1+regional_rent_growth!B13)</f>
        <v>2083.8814038538371</v>
      </c>
      <c r="C13" s="5">
        <f>C14/(1+regional_rent_growth!C13)</f>
        <v>843.72199142543809</v>
      </c>
      <c r="D13" s="5">
        <f>D14/(1+regional_rent_growth!D13)</f>
        <v>909.7500752785304</v>
      </c>
      <c r="E13" s="5">
        <f>E14/(1+regional_rent_growth!E13)</f>
        <v>1441.5961005447771</v>
      </c>
      <c r="F13" s="5">
        <f>F14/(1+regional_rent_growth!F13)</f>
        <v>988.63569054592119</v>
      </c>
      <c r="G13" s="5">
        <f>G14/(1+regional_rent_growth!G13)</f>
        <v>668.0515794420761</v>
      </c>
      <c r="H13" s="5">
        <f>H14/(1+regional_rent_growth!H13)</f>
        <v>752.34926628904589</v>
      </c>
      <c r="I13" s="5">
        <f>I14/(1+regional_rent_growth!I13)</f>
        <v>868.31216640761943</v>
      </c>
      <c r="J13" s="5">
        <f>J14/(1+regional_rent_growth!J13)</f>
        <v>1097.2035181545796</v>
      </c>
      <c r="K13" s="5">
        <f>K14/(1+regional_rent_growth!K13)</f>
        <v>712.90882245595401</v>
      </c>
      <c r="L13" s="5">
        <f>L14/(1+regional_rent_growth!L13)</f>
        <v>978.82369210523359</v>
      </c>
      <c r="M13" s="5">
        <f>M14/(1+regional_rent_growth!M13)</f>
        <v>1085.6904785332415</v>
      </c>
      <c r="N13" s="5">
        <f>N14/(1+regional_rent_growth!N13)</f>
        <v>779.12540908937569</v>
      </c>
      <c r="O13" s="5">
        <f>O14/(1+regional_rent_growth!O13)</f>
        <v>573.21217492075414</v>
      </c>
      <c r="P13" s="5">
        <f>P14/(1+regional_rent_growth!P13)</f>
        <v>652.32156094043978</v>
      </c>
      <c r="Q13" s="5">
        <f>Q14/(1+regional_rent_growth!Q13)</f>
        <v>628.62924360735963</v>
      </c>
      <c r="R13" s="5">
        <f>R14/(1+regional_rent_growth!R13)</f>
        <v>624.03438806505505</v>
      </c>
      <c r="S13" s="5">
        <f>S14/(1+regional_rent_growth!S13)</f>
        <v>674.32248898752493</v>
      </c>
      <c r="T13" s="5">
        <f>T14/(1+regional_rent_growth!T13)</f>
        <v>727.50980457214894</v>
      </c>
      <c r="U13" s="5">
        <f>U14/(1+regional_rent_growth!U13)</f>
        <v>649.78537978040356</v>
      </c>
      <c r="V13" s="5">
        <f>V14/(1+regional_rent_growth!V13)</f>
        <v>733.83864941064564</v>
      </c>
      <c r="W13" s="5">
        <f>W14/(1+regional_rent_growth!W13)</f>
        <v>748.70668156222848</v>
      </c>
      <c r="X13" s="5">
        <f>X14/(1+regional_rent_growth!X13)</f>
        <v>769.11132624523009</v>
      </c>
      <c r="Y13" s="5">
        <f>Y14/(1+regional_rent_growth!Y13)</f>
        <v>954.92163249027919</v>
      </c>
      <c r="Z13" s="5">
        <f>Z14/(1+regional_rent_growth!Z13)</f>
        <v>1090.3804095632001</v>
      </c>
      <c r="AA13" s="5">
        <f>AA14/(1+regional_rent_growth!AA13)</f>
        <v>807.75041824575794</v>
      </c>
    </row>
    <row r="14" spans="1:27">
      <c r="A14">
        <v>2017</v>
      </c>
      <c r="B14" s="5">
        <f>B15/(1+regional_rent_growth!B14)</f>
        <v>2246.1750514766895</v>
      </c>
      <c r="C14" s="5">
        <f>C15/(1+regional_rent_growth!C14)</f>
        <v>917.86765927747695</v>
      </c>
      <c r="D14" s="5">
        <f>D15/(1+regional_rent_growth!D14)</f>
        <v>990.5450165612765</v>
      </c>
      <c r="E14" s="5">
        <f>E15/(1+regional_rent_growth!E14)</f>
        <v>1560.2026187517924</v>
      </c>
      <c r="F14" s="5">
        <f>F15/(1+regional_rent_growth!F14)</f>
        <v>1074.1715752410412</v>
      </c>
      <c r="G14" s="5">
        <f>G15/(1+regional_rent_growth!G14)</f>
        <v>727.69713652690598</v>
      </c>
      <c r="H14" s="5">
        <f>H15/(1+regional_rent_growth!H14)</f>
        <v>818.12050746960824</v>
      </c>
      <c r="I14" s="5">
        <f>I15/(1+regional_rent_growth!I14)</f>
        <v>944.02367803168102</v>
      </c>
      <c r="J14" s="5">
        <f>J15/(1+regional_rent_growth!J14)</f>
        <v>1189.0524823609007</v>
      </c>
      <c r="K14" s="5">
        <f>K15/(1+regional_rent_growth!K14)</f>
        <v>775.39500315206192</v>
      </c>
      <c r="L14" s="5">
        <f>L15/(1+regional_rent_growth!L14)</f>
        <v>1065.7530641150031</v>
      </c>
      <c r="M14" s="5">
        <f>M15/(1+regional_rent_growth!M14)</f>
        <v>1179.1413296598773</v>
      </c>
      <c r="N14" s="5">
        <f>N15/(1+regional_rent_growth!N14)</f>
        <v>849.24795033570638</v>
      </c>
      <c r="O14" s="5">
        <f>O15/(1+regional_rent_growth!O14)</f>
        <v>625.64640921640148</v>
      </c>
      <c r="P14" s="5">
        <f>P15/(1+regional_rent_growth!P14)</f>
        <v>711.18951862741801</v>
      </c>
      <c r="Q14" s="5">
        <f>Q15/(1+regional_rent_growth!Q14)</f>
        <v>684.60605248165166</v>
      </c>
      <c r="R14" s="5">
        <f>R15/(1+regional_rent_growth!R14)</f>
        <v>679.89867401952552</v>
      </c>
      <c r="S14" s="5">
        <f>S15/(1+regional_rent_growth!S14)</f>
        <v>734.68862436531163</v>
      </c>
      <c r="T14" s="5">
        <f>T15/(1+regional_rent_growth!T14)</f>
        <v>791.27575566541668</v>
      </c>
      <c r="U14" s="5">
        <f>U15/(1+regional_rent_growth!U14)</f>
        <v>708.58266472573007</v>
      </c>
      <c r="V14" s="5">
        <f>V15/(1+regional_rent_growth!V14)</f>
        <v>800.60192261965415</v>
      </c>
      <c r="W14" s="5">
        <f>W15/(1+regional_rent_growth!W14)</f>
        <v>816.45508198201242</v>
      </c>
      <c r="X14" s="5">
        <f>X15/(1+regional_rent_growth!X14)</f>
        <v>839.0836418809514</v>
      </c>
      <c r="Y14" s="5">
        <f>Y15/(1+regional_rent_growth!Y14)</f>
        <v>1038.839442985809</v>
      </c>
      <c r="Z14" s="5">
        <f>Z15/(1+regional_rent_growth!Z14)</f>
        <v>1187.9925350549786</v>
      </c>
      <c r="AA14" s="5">
        <f>AA15/(1+regional_rent_growth!AA14)</f>
        <v>881.84096418450622</v>
      </c>
    </row>
    <row r="15" spans="1:27">
      <c r="A15">
        <v>2018</v>
      </c>
      <c r="B15" s="5">
        <f>B16/(1+regional_rent_growth!B15)</f>
        <v>2438.9531946279853</v>
      </c>
      <c r="C15" s="5">
        <f>C16/(1+regional_rent_growth!C15)</f>
        <v>1005.940509820865</v>
      </c>
      <c r="D15" s="5">
        <f>D16/(1+regional_rent_growth!D15)</f>
        <v>1086.5161096055404</v>
      </c>
      <c r="E15" s="5">
        <f>E16/(1+regional_rent_growth!E15)</f>
        <v>1701.0876421676387</v>
      </c>
      <c r="F15" s="5">
        <f>F16/(1+regional_rent_growth!F15)</f>
        <v>1175.7741287966041</v>
      </c>
      <c r="G15" s="5">
        <f>G16/(1+regional_rent_growth!G15)</f>
        <v>798.54624190137315</v>
      </c>
      <c r="H15" s="5">
        <f>H16/(1+regional_rent_growth!H15)</f>
        <v>896.24591738712797</v>
      </c>
      <c r="I15" s="5">
        <f>I16/(1+regional_rent_growth!I15)</f>
        <v>1033.9564932702804</v>
      </c>
      <c r="J15" s="5">
        <f>J16/(1+regional_rent_growth!J15)</f>
        <v>1298.1539353716291</v>
      </c>
      <c r="K15" s="5">
        <f>K16/(1+regional_rent_growth!K15)</f>
        <v>849.61830186801149</v>
      </c>
      <c r="L15" s="5">
        <f>L16/(1+regional_rent_growth!L15)</f>
        <v>1169.0108512607758</v>
      </c>
      <c r="M15" s="5">
        <f>M16/(1+regional_rent_growth!M15)</f>
        <v>1290.1455606940208</v>
      </c>
      <c r="N15" s="5">
        <f>N16/(1+regional_rent_growth!N15)</f>
        <v>932.54198859610665</v>
      </c>
      <c r="O15" s="5">
        <f>O16/(1+regional_rent_growth!O15)</f>
        <v>687.92964995398631</v>
      </c>
      <c r="P15" s="5">
        <f>P16/(1+regional_rent_growth!P15)</f>
        <v>781.11496389424019</v>
      </c>
      <c r="Q15" s="5">
        <f>Q16/(1+regional_rent_growth!Q15)</f>
        <v>751.09728878313626</v>
      </c>
      <c r="R15" s="5">
        <f>R16/(1+regional_rent_growth!R15)</f>
        <v>746.25625161124015</v>
      </c>
      <c r="S15" s="5">
        <f>S16/(1+regional_rent_growth!S15)</f>
        <v>806.39365815931956</v>
      </c>
      <c r="T15" s="5">
        <f>T16/(1+regional_rent_growth!T15)</f>
        <v>867.01921098908383</v>
      </c>
      <c r="U15" s="5">
        <f>U16/(1+regional_rent_growth!U15)</f>
        <v>778.42416240676198</v>
      </c>
      <c r="V15" s="5">
        <f>V16/(1+regional_rent_growth!V15)</f>
        <v>879.90570331872686</v>
      </c>
      <c r="W15" s="5">
        <f>W16/(1+regional_rent_growth!W15)</f>
        <v>896.92903167563793</v>
      </c>
      <c r="X15" s="5">
        <f>X16/(1+regional_rent_growth!X15)</f>
        <v>922.19923684001935</v>
      </c>
      <c r="Y15" s="5">
        <f>Y16/(1+regional_rent_growth!Y15)</f>
        <v>1138.5199906942739</v>
      </c>
      <c r="Z15" s="5">
        <f>Z16/(1+regional_rent_growth!Z15)</f>
        <v>1303.9396751740142</v>
      </c>
      <c r="AA15" s="5">
        <f>AA16/(1+regional_rent_growth!AA15)</f>
        <v>969.84833896684779</v>
      </c>
    </row>
    <row r="16" spans="1:27">
      <c r="A16">
        <v>2019</v>
      </c>
      <c r="B16" s="5">
        <f>B17/(1+regional_rent_growth!B16)</f>
        <v>2663.0868188942504</v>
      </c>
      <c r="C16" s="5">
        <f>C17/(1+regional_rent_growth!C16)</f>
        <v>1108.338462561069</v>
      </c>
      <c r="D16" s="5">
        <f>D17/(1+regional_rent_growth!D16)</f>
        <v>1198.0969587473651</v>
      </c>
      <c r="E16" s="5">
        <f>E17/(1+regional_rent_growth!E16)</f>
        <v>1864.8876995125686</v>
      </c>
      <c r="F16" s="5">
        <f>F17/(1+regional_rent_growth!F16)</f>
        <v>1293.9023988943368</v>
      </c>
      <c r="G16" s="5">
        <f>G17/(1+regional_rent_growth!G16)</f>
        <v>880.91899694518122</v>
      </c>
      <c r="H16" s="5">
        <f>H17/(1+regional_rent_growth!H16)</f>
        <v>987.07847229123206</v>
      </c>
      <c r="I16" s="5">
        <f>I17/(1+regional_rent_growth!I16)</f>
        <v>1138.5169350838323</v>
      </c>
      <c r="J16" s="5">
        <f>J17/(1+regional_rent_growth!J16)</f>
        <v>1425.0008054383195</v>
      </c>
      <c r="K16" s="5">
        <f>K17/(1+regional_rent_growth!K16)</f>
        <v>935.91406483294065</v>
      </c>
      <c r="L16" s="5">
        <f>L17/(1+regional_rent_growth!L16)</f>
        <v>1289.0635796892946</v>
      </c>
      <c r="M16" s="5">
        <f>M17/(1+regional_rent_growth!M16)</f>
        <v>1419.2046967758865</v>
      </c>
      <c r="N16" s="5">
        <f>N17/(1+regional_rent_growth!N16)</f>
        <v>1029.3838523566924</v>
      </c>
      <c r="O16" s="5">
        <f>O17/(1+regional_rent_growth!O16)</f>
        <v>760.34329731756372</v>
      </c>
      <c r="P16" s="5">
        <f>P17/(1+regional_rent_growth!P16)</f>
        <v>862.41382495747314</v>
      </c>
      <c r="Q16" s="5">
        <f>Q17/(1+regional_rent_growth!Q16)</f>
        <v>828.40336472401896</v>
      </c>
      <c r="R16" s="5">
        <f>R17/(1+regional_rent_growth!R16)</f>
        <v>823.40692917269143</v>
      </c>
      <c r="S16" s="5">
        <f>S17/(1+regional_rent_growth!S16)</f>
        <v>889.76155889572624</v>
      </c>
      <c r="T16" s="5">
        <f>T17/(1+regional_rent_growth!T16)</f>
        <v>955.08238494973284</v>
      </c>
      <c r="U16" s="5">
        <f>U17/(1+regional_rent_growth!U16)</f>
        <v>859.62542175880503</v>
      </c>
      <c r="V16" s="5">
        <f>V17/(1+regional_rent_growth!V16)</f>
        <v>972.1082917218655</v>
      </c>
      <c r="W16" s="5">
        <f>W17/(1+regional_rent_growth!W16)</f>
        <v>990.4921177652144</v>
      </c>
      <c r="X16" s="5">
        <f>X17/(1+regional_rent_growth!X16)</f>
        <v>1018.8336333888152</v>
      </c>
      <c r="Y16" s="5">
        <f>Y17/(1+regional_rent_growth!Y16)</f>
        <v>1254.4136395360433</v>
      </c>
      <c r="Z16" s="5">
        <f>Z17/(1+regional_rent_growth!Z16)</f>
        <v>1438.7456874810857</v>
      </c>
      <c r="AA16" s="5">
        <f>AA17/(1+regional_rent_growth!AA16)</f>
        <v>1072.1701662740279</v>
      </c>
    </row>
    <row r="17" spans="1:27">
      <c r="A17">
        <v>2020</v>
      </c>
      <c r="B17" s="5">
        <f>B18/(1+regional_rent_growth!B17)</f>
        <v>2886.3010694858481</v>
      </c>
      <c r="C17" s="5">
        <f>C18/(1+regional_rent_growth!C17)</f>
        <v>1210.3163891566132</v>
      </c>
      <c r="D17" s="5">
        <f>D18/(1+regional_rent_growth!D17)</f>
        <v>1309.2201144233663</v>
      </c>
      <c r="E17" s="5">
        <f>E18/(1+regional_rent_growth!E17)</f>
        <v>2028.0158654305651</v>
      </c>
      <c r="F17" s="5">
        <f>F18/(1+regional_rent_growth!F17)</f>
        <v>1411.5461186613577</v>
      </c>
      <c r="G17" s="5">
        <f>G18/(1+regional_rent_growth!G17)</f>
        <v>962.95386719930184</v>
      </c>
      <c r="H17" s="5">
        <f>H18/(1+regional_rent_growth!H17)</f>
        <v>1077.5384411540629</v>
      </c>
      <c r="I17" s="5">
        <f>I18/(1+regional_rent_growth!I17)</f>
        <v>1242.648480439168</v>
      </c>
      <c r="J17" s="5">
        <f>J18/(1+regional_rent_growth!J17)</f>
        <v>1551.3273623505913</v>
      </c>
      <c r="K17" s="5">
        <f>K18/(1+regional_rent_growth!K17)</f>
        <v>1021.8558512226683</v>
      </c>
      <c r="L17" s="5">
        <f>L18/(1+regional_rent_growth!L17)</f>
        <v>1408.6238638518071</v>
      </c>
      <c r="M17" s="5">
        <f>M18/(1+regional_rent_growth!M17)</f>
        <v>1547.7344452097479</v>
      </c>
      <c r="N17" s="5">
        <f>N18/(1+regional_rent_growth!N17)</f>
        <v>1125.8284804930443</v>
      </c>
      <c r="O17" s="5">
        <f>O18/(1+regional_rent_growth!O17)</f>
        <v>832.45991115352729</v>
      </c>
      <c r="P17" s="5">
        <f>P18/(1+regional_rent_growth!P17)</f>
        <v>943.37920623655202</v>
      </c>
      <c r="Q17" s="5">
        <f>Q18/(1+regional_rent_growth!Q17)</f>
        <v>905.39233888535148</v>
      </c>
      <c r="R17" s="5">
        <f>R18/(1+regional_rent_growth!R17)</f>
        <v>900.24114238317816</v>
      </c>
      <c r="S17" s="5">
        <f>S18/(1+regional_rent_growth!S17)</f>
        <v>972.7874928545009</v>
      </c>
      <c r="T17" s="5">
        <f>T18/(1+regional_rent_growth!T17)</f>
        <v>1042.7843325923222</v>
      </c>
      <c r="U17" s="5">
        <f>U18/(1+regional_rent_growth!U17)</f>
        <v>940.4936016791363</v>
      </c>
      <c r="V17" s="5">
        <f>V18/(1+regional_rent_growth!V17)</f>
        <v>1063.9326743435579</v>
      </c>
      <c r="W17" s="5">
        <f>W18/(1+regional_rent_growth!W17)</f>
        <v>1083.6714174481194</v>
      </c>
      <c r="X17" s="5">
        <f>X18/(1+regional_rent_growth!X17)</f>
        <v>1115.0716453230975</v>
      </c>
      <c r="Y17" s="5">
        <f>Y18/(1+regional_rent_growth!Y17)</f>
        <v>1369.8319042396447</v>
      </c>
      <c r="Z17" s="5">
        <f>Z18/(1+regional_rent_growth!Z17)</f>
        <v>1572.9987390295573</v>
      </c>
      <c r="AA17" s="5">
        <f>AA18/(1+regional_rent_growth!AA17)</f>
        <v>1174.072279695449</v>
      </c>
    </row>
    <row r="18" spans="1:27">
      <c r="A18">
        <v>2021</v>
      </c>
      <c r="B18" s="2">
        <f>AVERAGE(sahibinden_rent_price_ibbs!D2)</f>
        <v>3149</v>
      </c>
      <c r="C18" s="2">
        <f>AVERAGE(sahibinden_rent_price_ibbs!D4:D6)</f>
        <v>1330.3333333333333</v>
      </c>
      <c r="D18" s="2">
        <f>AVERAGE(sahibinden_rent_price_ibbs!D10:D11)</f>
        <v>1440</v>
      </c>
      <c r="E18" s="2">
        <f>AVERAGE(sahibinden_rent_price_ibbs!D14)</f>
        <v>2220</v>
      </c>
      <c r="F18" s="2">
        <f>AVERAGE(sahibinden_rent_price_ibbs!D16:D17)</f>
        <v>1550</v>
      </c>
      <c r="G18" s="2">
        <f>AVERAGE(sahibinden_rent_price_ibbs!D20:D23)</f>
        <v>1059.5</v>
      </c>
      <c r="H18" s="2">
        <f>AVERAGE(sahibinden_rent_price_ibbs!D28:D30)</f>
        <v>1184</v>
      </c>
      <c r="I18" s="2">
        <f>AVERAGE([1]sahibinden_rent_price_ibbs!D35:D39)</f>
        <v>1365.2</v>
      </c>
      <c r="J18" s="2">
        <f>AVERAGE([1]sahibinden_rent_price_ibbs!D45)</f>
        <v>1700</v>
      </c>
      <c r="K18" s="2">
        <f>AVERAGE([1]sahibinden_rent_price_ibbs!D47:D48)</f>
        <v>1123</v>
      </c>
      <c r="L18" s="2">
        <f>AVERAGE([1]sahibinden_rent_price_ibbs!D51:D53)</f>
        <v>1549.3333333333333</v>
      </c>
      <c r="M18" s="2">
        <f>AVERAGE([1]sahibinden_rent_price_ibbs!D57:D58)</f>
        <v>1699</v>
      </c>
      <c r="N18" s="2">
        <f>AVERAGE([1]sahibinden_rent_price_ibbs!D61:D63)</f>
        <v>1239.3333333333333</v>
      </c>
      <c r="O18" s="2">
        <f>AVERAGE([1]sahibinden_rent_price_ibbs!D67:D69)</f>
        <v>917.33333333333337</v>
      </c>
      <c r="P18" s="2">
        <f>AVERAGE([1]sahibinden_rent_price_ibbs!D77:D79)</f>
        <v>1038.6666666666667</v>
      </c>
      <c r="Q18" s="2">
        <f>AVERAGE([1]sahibinden_rent_price_ibbs!D83:D85)</f>
        <v>996</v>
      </c>
      <c r="R18" s="2">
        <f>AVERAGE([1]sahibinden_rent_price_ibbs!D89:D91)</f>
        <v>990.66666666666663</v>
      </c>
      <c r="S18" s="2">
        <f>AVERAGE([1]sahibinden_rent_price_ibbs!D95:D98)</f>
        <v>1070.5</v>
      </c>
      <c r="T18" s="2">
        <f>AVERAGE([1]sahibinden_rent_price_ibbs!D104:D108)</f>
        <v>1146</v>
      </c>
      <c r="U18" s="2">
        <f>AVERAGE([1]sahibinden_rent_price_ibbs!D115:D117)</f>
        <v>1035.6666666666667</v>
      </c>
      <c r="V18" s="2">
        <f>AVERAGE([1]sahibinden_rent_price_ibbs!D121:D123)</f>
        <v>1172</v>
      </c>
      <c r="W18" s="2">
        <f>AVERAGE([1]sahibinden_rent_price_ibbs!D127:D129)</f>
        <v>1193.3333333333333</v>
      </c>
      <c r="X18" s="2">
        <f>AVERAGE([1]sahibinden_rent_price_ibbs!D133:D135)</f>
        <v>1228.3333333333333</v>
      </c>
      <c r="Y18" s="2">
        <f>AVERAGE([1]sahibinden_rent_price_ibbs!D139:D141)</f>
        <v>1505.6666666666667</v>
      </c>
      <c r="Z18" s="2">
        <f>AVERAGE([1]sahibinden_rent_price_ibbs!D145:D146)</f>
        <v>1731</v>
      </c>
      <c r="AA18" s="2">
        <f>AVERAGE([1]sahibinden_rent_price_ibbs!D149:D151)</f>
        <v>1294</v>
      </c>
    </row>
    <row r="19" spans="1:27">
      <c r="A19">
        <v>2022</v>
      </c>
      <c r="B19" s="2">
        <f>sahibinden_rent_price_ibbs!D3</f>
        <v>8513</v>
      </c>
      <c r="C19" s="2">
        <f>AVERAGE(sahibinden_rent_price_ibbs!D7:D9)</f>
        <v>2943</v>
      </c>
      <c r="D19" s="2">
        <f>AVERAGE(sahibinden_rent_price_ibbs!D12:D13)</f>
        <v>3866</v>
      </c>
      <c r="E19" s="2">
        <f>AVERAGE(sahibinden_rent_price_ibbs!D15)</f>
        <v>6200</v>
      </c>
      <c r="F19" s="2">
        <f>AVERAGE(sahibinden_rent_price_ibbs!D18:D19)</f>
        <v>3421.5</v>
      </c>
      <c r="G19" s="2">
        <f>AVERAGE(sahibinden_rent_price_ibbs!D24:D27)</f>
        <v>2360</v>
      </c>
      <c r="H19" s="2">
        <f>AVERAGE(sahibinden_rent_price_ibbs!D31:D33)</f>
        <v>3067</v>
      </c>
      <c r="I19" s="2">
        <f>AVERAGE([1]sahibinden_rent_price_ibbs!D40:D44)</f>
        <v>3500.8</v>
      </c>
      <c r="J19" s="2">
        <f>AVERAGE([1]sahibinden_rent_price_ibbs!D46)</f>
        <v>4556</v>
      </c>
      <c r="K19" s="2">
        <f>AVERAGE([1]sahibinden_rent_price_ibbs!D49:D50)</f>
        <v>2701</v>
      </c>
      <c r="L19" s="2">
        <f>AVERAGE([1]sahibinden_rent_price_ibbs!D54:D56)</f>
        <v>4917.666666666667</v>
      </c>
      <c r="M19" s="2">
        <f>AVERAGE([1]sahibinden_rent_price_ibbs!D59:D60)</f>
        <v>4629</v>
      </c>
      <c r="N19" s="2">
        <f>AVERAGE([1]sahibinden_rent_price_ibbs!D64:D66)</f>
        <v>2448.6666666666665</v>
      </c>
      <c r="O19" s="2">
        <f>AVERAGE([1]sahibinden_rent_price_ibbs!D64:D66)</f>
        <v>2448.6666666666665</v>
      </c>
      <c r="P19" s="2">
        <f>AVERAGE([1]sahibinden_rent_price_ibbs!D80:D82)</f>
        <v>2399.6666666666665</v>
      </c>
      <c r="Q19" s="2">
        <f>AVERAGE([1]sahibinden_rent_price_ibbs!D86:D88)</f>
        <v>2337.3333333333335</v>
      </c>
      <c r="R19" s="2">
        <f>AVERAGE([1]sahibinden_rent_price_ibbs!D92:D94)</f>
        <v>2158.3333333333335</v>
      </c>
      <c r="S19" s="2">
        <f>AVERAGE([1]sahibinden_rent_price_ibbs!D99:D102)</f>
        <v>2274.5</v>
      </c>
      <c r="T19" s="2">
        <f>AVERAGE([1]sahibinden_rent_price_ibbs!D109:D114)</f>
        <v>2207.6666666666665</v>
      </c>
      <c r="U19" s="2">
        <f>AVERAGE([1]sahibinden_rent_price_ibbs!D118:D120)</f>
        <v>1921.3333333333333</v>
      </c>
      <c r="V19" s="2">
        <f>AVERAGE([1]sahibinden_rent_price_ibbs!D124:D126)</f>
        <v>1916</v>
      </c>
      <c r="W19" s="2">
        <f>AVERAGE([1]sahibinden_rent_price_ibbs!D130:D132)</f>
        <v>1799.3333333333333</v>
      </c>
      <c r="X19" s="2">
        <f>AVERAGE([1]sahibinden_rent_price_ibbs!D136:D138)</f>
        <v>1924</v>
      </c>
      <c r="Y19" s="2">
        <f>AVERAGE([1]sahibinden_rent_price_ibbs!D142:D144)</f>
        <v>2734</v>
      </c>
      <c r="Z19" s="2">
        <f>AVERAGE([1]sahibinden_rent_price_ibbs!D147:D148)</f>
        <v>3084.5</v>
      </c>
      <c r="AA19" s="2">
        <f>AVERAGE([1]sahibinden_rent_price_ibbs!D152:D154)</f>
        <v>2125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31E92-17F4-2F43-AC09-9BF0AD1F91C0}">
  <dimension ref="A1:AA19"/>
  <sheetViews>
    <sheetView workbookViewId="0">
      <selection activeCell="B18" sqref="B18"/>
    </sheetView>
  </sheetViews>
  <sheetFormatPr baseColWidth="10" defaultRowHeight="16"/>
  <sheetData>
    <row r="1" spans="1:27">
      <c r="A1" t="s">
        <v>0</v>
      </c>
      <c r="B1" s="73" t="s">
        <v>151</v>
      </c>
      <c r="C1" s="73" t="s">
        <v>152</v>
      </c>
      <c r="D1" s="73" t="s">
        <v>153</v>
      </c>
      <c r="E1" s="73" t="s">
        <v>154</v>
      </c>
      <c r="F1" s="73" t="s">
        <v>155</v>
      </c>
      <c r="G1" s="73" t="s">
        <v>156</v>
      </c>
      <c r="H1" s="73" t="s">
        <v>157</v>
      </c>
      <c r="I1" s="73" t="s">
        <v>158</v>
      </c>
      <c r="J1" s="73" t="s">
        <v>159</v>
      </c>
      <c r="K1" s="73" t="s">
        <v>160</v>
      </c>
      <c r="L1" s="73" t="s">
        <v>161</v>
      </c>
      <c r="M1" s="73" t="s">
        <v>162</v>
      </c>
      <c r="N1" s="73" t="s">
        <v>163</v>
      </c>
      <c r="O1" s="73" t="s">
        <v>164</v>
      </c>
      <c r="P1" s="73" t="s">
        <v>165</v>
      </c>
      <c r="Q1" s="73" t="s">
        <v>166</v>
      </c>
      <c r="R1" s="73" t="s">
        <v>167</v>
      </c>
      <c r="S1" s="73" t="s">
        <v>168</v>
      </c>
      <c r="T1" s="73" t="s">
        <v>169</v>
      </c>
      <c r="U1" s="73" t="s">
        <v>170</v>
      </c>
      <c r="V1" s="73" t="s">
        <v>171</v>
      </c>
      <c r="W1" s="73" t="s">
        <v>172</v>
      </c>
      <c r="X1" s="73" t="s">
        <v>173</v>
      </c>
      <c r="Y1" s="73" t="s">
        <v>174</v>
      </c>
      <c r="Z1" s="73" t="s">
        <v>175</v>
      </c>
      <c r="AA1" s="73" t="s">
        <v>176</v>
      </c>
    </row>
    <row r="2" spans="1:27">
      <c r="A2">
        <v>2005</v>
      </c>
      <c r="B2" s="98">
        <f>(regional_rental_cpi_transposed!B3-regional_rental_cpi_transposed!B2)/regional_rental_cpi_transposed!B2</f>
        <v>0.14927869537946897</v>
      </c>
      <c r="C2" s="98">
        <f>(regional_rental_cpi_transposed!C3-regional_rental_cpi_transposed!C2)/regional_rental_cpi_transposed!C2</f>
        <v>0.20067453625632381</v>
      </c>
      <c r="D2" s="98">
        <f>(regional_rental_cpi_transposed!D3-regional_rental_cpi_transposed!D2)/regional_rental_cpi_transposed!D2</f>
        <v>0.2064777327935223</v>
      </c>
      <c r="E2" s="98">
        <f>(regional_rental_cpi_transposed!E3-regional_rental_cpi_transposed!E2)/regional_rental_cpi_transposed!E2</f>
        <v>0.16967680608365021</v>
      </c>
      <c r="F2" s="98">
        <f>(regional_rental_cpi_transposed!F3-regional_rental_cpi_transposed!F2)/regional_rental_cpi_transposed!F2</f>
        <v>0.19255663430420714</v>
      </c>
      <c r="G2" s="98">
        <f>(regional_rental_cpi_transposed!G3-regional_rental_cpi_transposed!G2)/regional_rental_cpi_transposed!G2</f>
        <v>0.20950704225352115</v>
      </c>
      <c r="H2" s="98">
        <f>(regional_rental_cpi_transposed!H3-regional_rental_cpi_transposed!H2)/regional_rental_cpi_transposed!H2</f>
        <v>0.19789356984478937</v>
      </c>
      <c r="I2" s="98">
        <f>(regional_rental_cpi_transposed!I3-regional_rental_cpi_transposed!I2)/regional_rental_cpi_transposed!I2</f>
        <v>0.19653179190751446</v>
      </c>
      <c r="J2" s="98">
        <f>(regional_rental_cpi_transposed!J3-regional_rental_cpi_transposed!J2)/regional_rental_cpi_transposed!J2</f>
        <v>0.17703942474584677</v>
      </c>
      <c r="K2" s="98">
        <f>(regional_rental_cpi_transposed!K3-regional_rental_cpi_transposed!K2)/regional_rental_cpi_transposed!K2</f>
        <v>0.19927435110242817</v>
      </c>
      <c r="L2" s="98">
        <f>(regional_rental_cpi_transposed!L3-regional_rental_cpi_transposed!L2)/regional_rental_cpi_transposed!L2</f>
        <v>0.2064777327935223</v>
      </c>
      <c r="M2" s="98">
        <f>(regional_rental_cpi_transposed!M3-regional_rental_cpi_transposed!M2)/regional_rental_cpi_transposed!M2</f>
        <v>0.18999467802022355</v>
      </c>
      <c r="N2" s="98">
        <f>(regional_rental_cpi_transposed!N3-regional_rental_cpi_transposed!N2)/regional_rental_cpi_transposed!N2</f>
        <v>0.21422142214221426</v>
      </c>
      <c r="O2" s="98">
        <f>(regional_rental_cpi_transposed!O3-regional_rental_cpi_transposed!O2)/regional_rental_cpi_transposed!O2</f>
        <v>0.22431668237511784</v>
      </c>
      <c r="P2" s="98">
        <f>(regional_rental_cpi_transposed!P3-regional_rental_cpi_transposed!P2)/regional_rental_cpi_transposed!P2</f>
        <v>0.21584038694074972</v>
      </c>
      <c r="Q2" s="98">
        <f>(regional_rental_cpi_transposed!Q3-regional_rental_cpi_transposed!Q2)/regional_rental_cpi_transposed!Q2</f>
        <v>0.20798135741334112</v>
      </c>
      <c r="R2" s="98">
        <f>(regional_rental_cpi_transposed!R3-regional_rental_cpi_transposed!R2)/regional_rental_cpi_transposed!R2</f>
        <v>0.21105527638190957</v>
      </c>
      <c r="S2" s="98">
        <f>(regional_rental_cpi_transposed!S3-regional_rental_cpi_transposed!S2)/regional_rental_cpi_transposed!S2</f>
        <v>0.21105527638190957</v>
      </c>
      <c r="T2" s="98">
        <f>(regional_rental_cpi_transposed!T3-regional_rental_cpi_transposed!T2)/regional_rental_cpi_transposed!T2</f>
        <v>0.19927435110242817</v>
      </c>
      <c r="U2" s="98">
        <f>(regional_rental_cpi_transposed!U3-regional_rental_cpi_transposed!U2)/regional_rental_cpi_transposed!U2</f>
        <v>0.21748400852878469</v>
      </c>
      <c r="V2" s="98">
        <f>(regional_rental_cpi_transposed!V3-regional_rental_cpi_transposed!V2)/regional_rental_cpi_transposed!V2</f>
        <v>0.22084751005258277</v>
      </c>
      <c r="W2" s="98">
        <f>(regional_rental_cpi_transposed!W3-regional_rental_cpi_transposed!W2)/regional_rental_cpi_transposed!W2</f>
        <v>0.21748400852878469</v>
      </c>
      <c r="X2" s="98">
        <f>(regional_rental_cpi_transposed!X3-regional_rental_cpi_transposed!X2)/regional_rental_cpi_transposed!X2</f>
        <v>0.22084751005258277</v>
      </c>
      <c r="Y2" s="98">
        <f>(regional_rental_cpi_transposed!Y3-regional_rental_cpi_transposed!Y2)/regional_rental_cpi_transposed!Y2</f>
        <v>0.20067453625632381</v>
      </c>
      <c r="Z2" s="98">
        <f>(regional_rental_cpi_transposed!Z3-regional_rental_cpi_transposed!Z2)/regional_rental_cpi_transposed!Z2</f>
        <v>0.21105527638190957</v>
      </c>
      <c r="AA2" s="98">
        <f>(regional_rental_cpi_transposed!AA3-regional_rental_cpi_transposed!AA2)/regional_rental_cpi_transposed!AA2</f>
        <v>0.22609246358454721</v>
      </c>
    </row>
    <row r="3" spans="1:27">
      <c r="A3">
        <v>2006</v>
      </c>
      <c r="B3" s="98">
        <f>(regional_rental_cpi_transposed!B4-regional_rental_cpi_transposed!B3)/regional_rental_cpi_transposed!B3</f>
        <v>0.15021830089139532</v>
      </c>
      <c r="C3" s="98">
        <f>(regional_rental_cpi_transposed!C4-regional_rental_cpi_transposed!C3)/regional_rental_cpi_transposed!C3</f>
        <v>0.1932935393258427</v>
      </c>
      <c r="D3" s="98">
        <f>(regional_rental_cpi_transposed!D4-regional_rental_cpi_transposed!D3)/regional_rental_cpi_transposed!D3</f>
        <v>0.19792665388302974</v>
      </c>
      <c r="E3" s="98">
        <f>(regional_rental_cpi_transposed!E4-regional_rental_cpi_transposed!E3)/regional_rental_cpi_transposed!E3</f>
        <v>0.16776716781796019</v>
      </c>
      <c r="F3" s="98">
        <f>(regional_rental_cpi_transposed!F4-regional_rental_cpi_transposed!F3)/regional_rental_cpi_transposed!F3</f>
        <v>0.1867367706919946</v>
      </c>
      <c r="G3" s="98">
        <f>(regional_rental_cpi_transposed!G4-regional_rental_cpi_transposed!G3)/regional_rental_cpi_transposed!G3</f>
        <v>0.20032751091703058</v>
      </c>
      <c r="H3" s="98">
        <f>(regional_rental_cpi_transposed!H4-regional_rental_cpi_transposed!H3)/regional_rental_cpi_transposed!H3</f>
        <v>0.1910573808422027</v>
      </c>
      <c r="I3" s="98">
        <f>(regional_rental_cpi_transposed!I4-regional_rental_cpi_transposed!I3)/regional_rental_cpi_transposed!I3</f>
        <v>0.18995859213250518</v>
      </c>
      <c r="J3" s="98">
        <f>(regional_rental_cpi_transposed!J4-regional_rental_cpi_transposed!J3)/regional_rental_cpi_transposed!J3</f>
        <v>0.17395196966505161</v>
      </c>
      <c r="K3" s="98">
        <f>(regional_rental_cpi_transposed!K4-regional_rental_cpi_transposed!K3)/regional_rental_cpi_transposed!K3</f>
        <v>0.192168955084943</v>
      </c>
      <c r="L3" s="98">
        <f>(regional_rental_cpi_transposed!L4-regional_rental_cpi_transposed!L3)/regional_rental_cpi_transposed!L3</f>
        <v>0.19792665388302974</v>
      </c>
      <c r="M3" s="98">
        <f>(regional_rental_cpi_transposed!M4-regional_rental_cpi_transposed!M3)/regional_rental_cpi_transposed!M3</f>
        <v>0.18464892665474061</v>
      </c>
      <c r="N3" s="98">
        <f>(regional_rental_cpi_transposed!N4-regional_rental_cpi_transposed!N3)/regional_rental_cpi_transposed!N3</f>
        <v>0.20404002965159379</v>
      </c>
      <c r="O3" s="98">
        <f>(regional_rental_cpi_transposed!O4-regional_rental_cpi_transposed!O3)/regional_rental_cpi_transposed!O3</f>
        <v>0.21189376443418015</v>
      </c>
      <c r="P3" s="98">
        <f>(regional_rental_cpi_transposed!P4-regional_rental_cpi_transposed!P3)/regional_rental_cpi_transposed!P3</f>
        <v>0.20530830432620589</v>
      </c>
      <c r="Q3" s="98">
        <f>(regional_rental_cpi_transposed!Q4-regional_rental_cpi_transposed!Q3)/regional_rental_cpi_transposed!Q3</f>
        <v>0.19911984567156982</v>
      </c>
      <c r="R3" s="98">
        <f>(regional_rental_cpi_transposed!R4-regional_rental_cpi_transposed!R3)/regional_rental_cpi_transposed!R3</f>
        <v>0.20154991457163779</v>
      </c>
      <c r="S3" s="98">
        <f>(regional_rental_cpi_transposed!S4-regional_rental_cpi_transposed!S3)/regional_rental_cpi_transposed!S3</f>
        <v>0.20154991457163779</v>
      </c>
      <c r="T3" s="98">
        <f>(regional_rental_cpi_transposed!T4-regional_rental_cpi_transposed!T3)/regional_rental_cpi_transposed!T3</f>
        <v>0.192168955084943</v>
      </c>
      <c r="U3" s="98">
        <f>(regional_rental_cpi_transposed!U4-regional_rental_cpi_transposed!U3)/regional_rental_cpi_transposed!U3</f>
        <v>0.20659244433324994</v>
      </c>
      <c r="V3" s="98">
        <f>(regional_rental_cpi_transposed!V4-regional_rental_cpi_transposed!V3)/regional_rental_cpi_transposed!V3</f>
        <v>0.20920952622244743</v>
      </c>
      <c r="W3" s="98">
        <f>(regional_rental_cpi_transposed!W4-regional_rental_cpi_transposed!W3)/regional_rental_cpi_transposed!W3</f>
        <v>0.20659244433324994</v>
      </c>
      <c r="X3" s="98">
        <f>(regional_rental_cpi_transposed!X4-regional_rental_cpi_transposed!X3)/regional_rental_cpi_transposed!X3</f>
        <v>0.20920952622244743</v>
      </c>
      <c r="Y3" s="98">
        <f>(regional_rental_cpi_transposed!Y4-regional_rental_cpi_transposed!Y3)/regional_rental_cpi_transposed!Y3</f>
        <v>0.1932935393258427</v>
      </c>
      <c r="Z3" s="98">
        <f>(regional_rental_cpi_transposed!Z4-regional_rental_cpi_transposed!Z3)/regional_rental_cpi_transposed!Z3</f>
        <v>0.20154991457163779</v>
      </c>
      <c r="AA3" s="98">
        <f>(regional_rental_cpi_transposed!AA4-regional_rental_cpi_transposed!AA3)/regional_rental_cpi_transposed!AA3</f>
        <v>0.21326188016528927</v>
      </c>
    </row>
    <row r="4" spans="1:27">
      <c r="A4">
        <v>2007</v>
      </c>
      <c r="B4" s="98">
        <f>(regional_rental_cpi_transposed!B5-regional_rental_cpi_transposed!B4)/regional_rental_cpi_transposed!B4</f>
        <v>0.11288600687991791</v>
      </c>
      <c r="C4" s="98">
        <f>(regional_rental_cpi_transposed!C5-regional_rental_cpi_transposed!C4)/regional_rental_cpi_transposed!C4</f>
        <v>0.14001275072335839</v>
      </c>
      <c r="D4" s="98">
        <f>(regional_rental_cpi_transposed!D5-regional_rental_cpi_transposed!D4)/regional_rental_cpi_transposed!D4</f>
        <v>0.14281426641988901</v>
      </c>
      <c r="E4" s="98">
        <f>(regional_rental_cpi_transposed!E5-regional_rental_cpi_transposed!E4)/regional_rental_cpi_transposed!E4</f>
        <v>0.12417902657561672</v>
      </c>
      <c r="F4" s="98">
        <f>(regional_rental_cpi_transposed!F5-regional_rental_cpi_transposed!F4)/regional_rental_cpi_transposed!F4</f>
        <v>0.13601067124005531</v>
      </c>
      <c r="G4" s="98">
        <f>(regional_rental_cpi_transposed!G5-regional_rental_cpi_transposed!G4)/regional_rental_cpi_transposed!G4</f>
        <v>0.14425749077863681</v>
      </c>
      <c r="H4" s="98">
        <f>(regional_rental_cpi_transposed!H5-regional_rental_cpi_transposed!H4)/regional_rental_cpi_transposed!H4</f>
        <v>0.13865280947986991</v>
      </c>
      <c r="I4" s="98">
        <f>(regional_rental_cpi_transposed!I5-regional_rental_cpi_transposed!I4)/regional_rental_cpi_transposed!I4</f>
        <v>0.13798269779131028</v>
      </c>
      <c r="J4" s="98">
        <f>(regional_rental_cpi_transposed!J5-regional_rental_cpi_transposed!J4)/regional_rental_cpi_transposed!J4</f>
        <v>0.12807859674308023</v>
      </c>
      <c r="K4" s="98">
        <f>(regional_rental_cpi_transposed!K5-regional_rental_cpi_transposed!K4)/regional_rental_cpi_transposed!K4</f>
        <v>0.13932946171489929</v>
      </c>
      <c r="L4" s="98">
        <f>(regional_rental_cpi_transposed!L5-regional_rental_cpi_transposed!L4)/regional_rental_cpi_transposed!L4</f>
        <v>0.14281426641988901</v>
      </c>
      <c r="M4" s="98">
        <f>(regional_rental_cpi_transposed!M5-regional_rental_cpi_transposed!M4)/regional_rental_cpi_transposed!M4</f>
        <v>0.13472700674814786</v>
      </c>
      <c r="N4" s="98">
        <f>(regional_rental_cpi_transposed!N5-regional_rental_cpi_transposed!N4)/regional_rental_cpi_transposed!N4</f>
        <v>0.14647786157713824</v>
      </c>
      <c r="O4" s="98">
        <f>(regional_rental_cpi_transposed!O5-regional_rental_cpi_transposed!O4)/regional_rental_cpi_transposed!O4</f>
        <v>0.15113016780477481</v>
      </c>
      <c r="P4" s="98">
        <f>(regional_rental_cpi_transposed!P5-regional_rental_cpi_transposed!P4)/regional_rental_cpi_transposed!P4</f>
        <v>0.14723325253983813</v>
      </c>
      <c r="Q4" s="98">
        <f>(regional_rental_cpi_transposed!Q5-regional_rental_cpi_transposed!Q4)/regional_rental_cpi_transposed!Q4</f>
        <v>0.14353225076667844</v>
      </c>
      <c r="R4" s="98">
        <f>(regional_rental_cpi_transposed!R5-regional_rental_cpi_transposed!R4)/regional_rental_cpi_transposed!R4</f>
        <v>0.14499009699862889</v>
      </c>
      <c r="S4" s="98">
        <f>(regional_rental_cpi_transposed!S5-regional_rental_cpi_transposed!S4)/regional_rental_cpi_transposed!S4</f>
        <v>0.14499009699862889</v>
      </c>
      <c r="T4" s="98">
        <f>(regional_rental_cpi_transposed!T5-regional_rental_cpi_transposed!T4)/regional_rental_cpi_transposed!T4</f>
        <v>0.13932946171489929</v>
      </c>
      <c r="U4" s="98">
        <f>(regional_rental_cpi_transposed!U5-regional_rental_cpi_transposed!U4)/regional_rental_cpi_transposed!U4</f>
        <v>0.14799647504017424</v>
      </c>
      <c r="V4" s="98">
        <f>(regional_rental_cpi_transposed!V5-regional_rental_cpi_transposed!V4)/regional_rental_cpi_transposed!V4</f>
        <v>0.14954690691949094</v>
      </c>
      <c r="W4" s="98">
        <f>(regional_rental_cpi_transposed!W5-regional_rental_cpi_transposed!W4)/regional_rental_cpi_transposed!W4</f>
        <v>0.14799647504017424</v>
      </c>
      <c r="X4" s="98">
        <f>(regional_rental_cpi_transposed!X5-regional_rental_cpi_transposed!X4)/regional_rental_cpi_transposed!X4</f>
        <v>0.14954690691949094</v>
      </c>
      <c r="Y4" s="98">
        <f>(regional_rental_cpi_transposed!Y5-regional_rental_cpi_transposed!Y4)/regional_rental_cpi_transposed!Y4</f>
        <v>0.14001275072335839</v>
      </c>
      <c r="Z4" s="98">
        <f>(regional_rental_cpi_transposed!Z5-regional_rental_cpi_transposed!Z4)/regional_rental_cpi_transposed!Z4</f>
        <v>0.14499009699862889</v>
      </c>
      <c r="AA4" s="98">
        <f>(regional_rental_cpi_transposed!AA5-regional_rental_cpi_transposed!AA4)/regional_rental_cpi_transposed!AA4</f>
        <v>0.15193443669841952</v>
      </c>
    </row>
    <row r="5" spans="1:27">
      <c r="A5">
        <v>2008</v>
      </c>
      <c r="B5" s="98">
        <f>(regional_rental_cpi_transposed!B6-regional_rental_cpi_transposed!B5)/regional_rental_cpi_transposed!B5</f>
        <v>7.1839693029204746E-2</v>
      </c>
      <c r="C5" s="98">
        <f>(regional_rental_cpi_transposed!C6-regional_rental_cpi_transposed!C5)/regional_rental_cpi_transposed!C5</f>
        <v>8.6982706702228338E-2</v>
      </c>
      <c r="D5" s="98">
        <f>(regional_rental_cpi_transposed!D6-regional_rental_cpi_transposed!D5)/regional_rental_cpi_transposed!D5</f>
        <v>8.8505646502670038E-2</v>
      </c>
      <c r="E5" s="98">
        <f>(regional_rental_cpi_transposed!E6-regional_rental_cpi_transposed!E5)/regional_rental_cpi_transposed!E5</f>
        <v>7.823260852743158E-2</v>
      </c>
      <c r="F5" s="98">
        <f>(regional_rental_cpi_transposed!F6-regional_rental_cpi_transposed!F5)/regional_rental_cpi_transposed!F5</f>
        <v>8.4794095445777068E-2</v>
      </c>
      <c r="G5" s="98">
        <f>(regional_rental_cpi_transposed!G6-regional_rental_cpi_transposed!G5)/regional_rental_cpi_transposed!G5</f>
        <v>8.9287291353881471E-2</v>
      </c>
      <c r="H5" s="98">
        <f>(regional_rental_cpi_transposed!H6-regional_rental_cpi_transposed!H5)/regional_rental_cpi_transposed!H5</f>
        <v>8.6240723364326533E-2</v>
      </c>
      <c r="I5" s="98">
        <f>(regional_rental_cpi_transposed!I6-regional_rental_cpi_transposed!I5)/regional_rental_cpi_transposed!I5</f>
        <v>8.5874458506752738E-2</v>
      </c>
      <c r="J5" s="98">
        <f>(regional_rental_cpi_transposed!J6-regional_rental_cpi_transposed!J5)/regional_rental_cpi_transposed!J5</f>
        <v>8.0410403245048903E-2</v>
      </c>
      <c r="K5" s="98">
        <f>(regional_rental_cpi_transposed!K6-regional_rental_cpi_transposed!K5)/regional_rental_cpi_transposed!K5</f>
        <v>8.6610125931637097E-2</v>
      </c>
      <c r="L5" s="98">
        <f>(regional_rental_cpi_transposed!L6-regional_rental_cpi_transposed!L5)/regional_rental_cpi_transposed!L5</f>
        <v>8.8505646502670038E-2</v>
      </c>
      <c r="M5" s="98">
        <f>(regional_rental_cpi_transposed!M6-regional_rental_cpi_transposed!M5)/regional_rental_cpi_transposed!M5</f>
        <v>8.4088829742992588E-2</v>
      </c>
      <c r="N5" s="98">
        <f>(regional_rental_cpi_transposed!N6-regional_rental_cpi_transposed!N5)/regional_rental_cpi_transposed!N5</f>
        <v>9.0485993018884797E-2</v>
      </c>
      <c r="O5" s="98">
        <f>(regional_rental_cpi_transposed!O6-regional_rental_cpi_transposed!O5)/regional_rental_cpi_transposed!O5</f>
        <v>9.2982617492872247E-2</v>
      </c>
      <c r="P5" s="98">
        <f>(regional_rental_cpi_transposed!P6-regional_rental_cpi_transposed!P5)/regional_rental_cpi_transposed!P5</f>
        <v>9.0892744763103467E-2</v>
      </c>
      <c r="Q5" s="98">
        <f>(regional_rental_cpi_transposed!Q6-regional_rental_cpi_transposed!Q5)/regional_rental_cpi_transposed!Q5</f>
        <v>8.8894750725402261E-2</v>
      </c>
      <c r="R5" s="98">
        <f>(regional_rental_cpi_transposed!R6-regional_rental_cpi_transposed!R5)/regional_rental_cpi_transposed!R5</f>
        <v>8.9683314113368218E-2</v>
      </c>
      <c r="S5" s="98">
        <f>(regional_rental_cpi_transposed!S6-regional_rental_cpi_transposed!S5)/regional_rental_cpi_transposed!S5</f>
        <v>8.9683314113368218E-2</v>
      </c>
      <c r="T5" s="98">
        <f>(regional_rental_cpi_transposed!T6-regional_rental_cpi_transposed!T5)/regional_rental_cpi_transposed!T5</f>
        <v>8.6610125931637097E-2</v>
      </c>
      <c r="U5" s="98">
        <f>(regional_rental_cpi_transposed!U6-regional_rental_cpi_transposed!U5)/regional_rental_cpi_transposed!U5</f>
        <v>9.1303169872663223E-2</v>
      </c>
      <c r="V5" s="98">
        <f>(regional_rental_cpi_transposed!V6-regional_rental_cpi_transposed!V5)/regional_rental_cpi_transposed!V5</f>
        <v>9.2135241046204311E-2</v>
      </c>
      <c r="W5" s="98">
        <f>(regional_rental_cpi_transposed!W6-regional_rental_cpi_transposed!W5)/regional_rental_cpi_transposed!W5</f>
        <v>9.1303169872663223E-2</v>
      </c>
      <c r="X5" s="98">
        <f>(regional_rental_cpi_transposed!X6-regional_rental_cpi_transposed!X5)/regional_rental_cpi_transposed!X5</f>
        <v>9.2135241046204311E-2</v>
      </c>
      <c r="Y5" s="98">
        <f>(regional_rental_cpi_transposed!Y6-regional_rental_cpi_transposed!Y5)/regional_rental_cpi_transposed!Y5</f>
        <v>8.6982706702228338E-2</v>
      </c>
      <c r="Z5" s="98">
        <f>(regional_rental_cpi_transposed!Z6-regional_rental_cpi_transposed!Z5)/regional_rental_cpi_transposed!Z5</f>
        <v>8.9683314113368218E-2</v>
      </c>
      <c r="AA5" s="98">
        <f>(regional_rental_cpi_transposed!AA6-regional_rental_cpi_transposed!AA5)/regional_rental_cpi_transposed!AA5</f>
        <v>9.3412177769564814E-2</v>
      </c>
    </row>
    <row r="6" spans="1:27">
      <c r="A6">
        <v>2009</v>
      </c>
      <c r="B6" s="98">
        <f>(regional_rental_cpi_transposed!B7-regional_rental_cpi_transposed!B6)/regional_rental_cpi_transposed!B6</f>
        <v>3.5136568549456265E-2</v>
      </c>
      <c r="C6" s="98">
        <f>(regional_rental_cpi_transposed!C7-regional_rental_cpi_transposed!C6)/regional_rental_cpi_transposed!C6</f>
        <v>4.1950292860534928E-2</v>
      </c>
      <c r="D6" s="98">
        <f>(regional_rental_cpi_transposed!D7-regional_rental_cpi_transposed!D6)/regional_rental_cpi_transposed!D6</f>
        <v>4.2625060318481442E-2</v>
      </c>
      <c r="E6" s="98">
        <f>(regional_rental_cpi_transposed!E7-regional_rental_cpi_transposed!E6)/regional_rental_cpi_transposed!E6</f>
        <v>3.8036457585761324E-2</v>
      </c>
      <c r="F6" s="98">
        <f>(regional_rental_cpi_transposed!F7-regional_rental_cpi_transposed!F6)/regional_rental_cpi_transposed!F6</f>
        <v>4.0977269212927034E-2</v>
      </c>
      <c r="G6" s="98">
        <f>(regional_rental_cpi_transposed!G7-regional_rental_cpi_transposed!G6)/regional_rental_cpi_transposed!G6</f>
        <v>4.2970650235122289E-2</v>
      </c>
      <c r="H6" s="98">
        <f>(regional_rental_cpi_transposed!H7-regional_rental_cpi_transposed!H6)/regional_rental_cpi_transposed!H6</f>
        <v>4.1620857546725169E-2</v>
      </c>
      <c r="I6" s="98">
        <f>(regional_rental_cpi_transposed!I7-regional_rental_cpi_transposed!I6)/regional_rental_cpi_transposed!I6</f>
        <v>4.145807259073829E-2</v>
      </c>
      <c r="J6" s="98">
        <f>(regional_rental_cpi_transposed!J7-regional_rental_cpi_transposed!J6)/regional_rental_cpi_transposed!J6</f>
        <v>3.9016489988221312E-2</v>
      </c>
      <c r="K6" s="98">
        <f>(regional_rental_cpi_transposed!K7-regional_rental_cpi_transposed!K6)/regional_rental_cpi_transposed!K6</f>
        <v>4.1784925890886018E-2</v>
      </c>
      <c r="L6" s="98">
        <f>(regional_rental_cpi_transposed!L7-regional_rental_cpi_transposed!L6)/regional_rental_cpi_transposed!L6</f>
        <v>4.2625060318481442E-2</v>
      </c>
      <c r="M6" s="98">
        <f>(regional_rental_cpi_transposed!M7-regional_rental_cpi_transposed!M6)/regional_rental_cpi_transposed!M6</f>
        <v>4.0662881694030865E-2</v>
      </c>
      <c r="N6" s="98">
        <f>(regional_rental_cpi_transposed!N7-regional_rental_cpi_transposed!N6)/regional_rental_cpi_transposed!N6</f>
        <v>4.3499671700590797E-2</v>
      </c>
      <c r="O6" s="98">
        <f>(regional_rental_cpi_transposed!O7-regional_rental_cpi_transposed!O6)/regional_rental_cpi_transposed!O6</f>
        <v>4.4597778525748762E-2</v>
      </c>
      <c r="P6" s="98">
        <f>(regional_rental_cpi_transposed!P7-regional_rental_cpi_transposed!P6)/regional_rental_cpi_transposed!P6</f>
        <v>4.3678918740728392E-2</v>
      </c>
      <c r="Q6" s="98">
        <f>(regional_rental_cpi_transposed!Q7-regional_rental_cpi_transposed!Q6)/regional_rental_cpi_transposed!Q6</f>
        <v>4.2797157622738877E-2</v>
      </c>
      <c r="R6" s="98">
        <f>(regional_rental_cpi_transposed!R7-regional_rental_cpi_transposed!R6)/regional_rental_cpi_transposed!R6</f>
        <v>4.3145555193747825E-2</v>
      </c>
      <c r="S6" s="98">
        <f>(regional_rental_cpi_transposed!S7-regional_rental_cpi_transposed!S6)/regional_rental_cpi_transposed!S6</f>
        <v>4.3145555193747825E-2</v>
      </c>
      <c r="T6" s="98">
        <f>(regional_rental_cpi_transposed!T7-regional_rental_cpi_transposed!T6)/regional_rental_cpi_transposed!T6</f>
        <v>4.1784925890886018E-2</v>
      </c>
      <c r="U6" s="98">
        <f>(regional_rental_cpi_transposed!U7-regional_rental_cpi_transposed!U6)/regional_rental_cpi_transposed!U6</f>
        <v>4.3859649122806876E-2</v>
      </c>
      <c r="V6" s="98">
        <f>(regional_rental_cpi_transposed!V7-regional_rental_cpi_transposed!V6)/regional_rental_cpi_transposed!V6</f>
        <v>4.4225634178905064E-2</v>
      </c>
      <c r="W6" s="98">
        <f>(regional_rental_cpi_transposed!W7-regional_rental_cpi_transposed!W6)/regional_rental_cpi_transposed!W6</f>
        <v>4.3859649122806876E-2</v>
      </c>
      <c r="X6" s="98">
        <f>(regional_rental_cpi_transposed!X7-regional_rental_cpi_transposed!X6)/regional_rental_cpi_transposed!X6</f>
        <v>4.4225634178905064E-2</v>
      </c>
      <c r="Y6" s="98">
        <f>(regional_rental_cpi_transposed!Y7-regional_rental_cpi_transposed!Y6)/regional_rental_cpi_transposed!Y6</f>
        <v>4.1950292860534928E-2</v>
      </c>
      <c r="Z6" s="98">
        <f>(regional_rental_cpi_transposed!Z7-regional_rental_cpi_transposed!Z6)/regional_rental_cpi_transposed!Z6</f>
        <v>4.3145555193747825E-2</v>
      </c>
      <c r="AA6" s="98">
        <f>(regional_rental_cpi_transposed!AA7-regional_rental_cpi_transposed!AA6)/regional_rental_cpi_transposed!AA6</f>
        <v>4.4786209227649004E-2</v>
      </c>
    </row>
    <row r="7" spans="1:27">
      <c r="A7">
        <v>2010</v>
      </c>
      <c r="B7" s="98">
        <f>(regional_rental_cpi_transposed!B8-regional_rental_cpi_transposed!B7)/regional_rental_cpi_transposed!B7</f>
        <v>3.7178173434097649E-2</v>
      </c>
      <c r="C7" s="98">
        <f>(regional_rental_cpi_transposed!C8-regional_rental_cpi_transposed!C7)/regional_rental_cpi_transposed!C7</f>
        <v>4.4097538742023761E-2</v>
      </c>
      <c r="D7" s="98">
        <f>(regional_rental_cpi_transposed!D8-regional_rental_cpi_transposed!D7)/regional_rental_cpi_transposed!D7</f>
        <v>4.4777846343721131E-2</v>
      </c>
      <c r="E7" s="98">
        <f>(regional_rental_cpi_transposed!E8-regional_rental_cpi_transposed!E7)/regional_rental_cpi_transposed!E7</f>
        <v>4.013412610619474E-2</v>
      </c>
      <c r="F7" s="98">
        <f>(regional_rental_cpi_transposed!F8-regional_rental_cpi_transposed!F7)/regional_rental_cpi_transposed!F7</f>
        <v>4.311497326203214E-2</v>
      </c>
      <c r="G7" s="98">
        <f>(regional_rental_cpi_transposed!G8-regional_rental_cpi_transposed!G7)/regional_rental_cpi_transposed!G7</f>
        <v>4.5125932835820955E-2</v>
      </c>
      <c r="H7" s="98">
        <f>(regional_rental_cpi_transposed!H8-regional_rental_cpi_transposed!H7)/regional_rental_cpi_transposed!H7</f>
        <v>4.3765078407720204E-2</v>
      </c>
      <c r="I7" s="98">
        <f>(regional_rental_cpi_transposed!I8-regional_rental_cpi_transposed!I7)/regional_rental_cpi_transposed!I7</f>
        <v>4.3600721045516051E-2</v>
      </c>
      <c r="J7" s="98">
        <f>(regional_rental_cpi_transposed!J8-regional_rental_cpi_transposed!J7)/regional_rental_cpi_transposed!J7</f>
        <v>4.1129375088564596E-2</v>
      </c>
      <c r="K7" s="98">
        <f>(regional_rental_cpi_transposed!K8-regional_rental_cpi_transposed!K7)/regional_rental_cpi_transposed!K7</f>
        <v>4.3930679582261295E-2</v>
      </c>
      <c r="L7" s="98">
        <f>(regional_rental_cpi_transposed!L8-regional_rental_cpi_transposed!L7)/regional_rental_cpi_transposed!L7</f>
        <v>4.4777846343721131E-2</v>
      </c>
      <c r="M7" s="98">
        <f>(regional_rental_cpi_transposed!M8-regional_rental_cpi_transposed!M7)/regional_rental_cpi_transposed!M7</f>
        <v>4.2797109997051073E-2</v>
      </c>
      <c r="N7" s="98">
        <f>(regional_rental_cpi_transposed!N8-regional_rental_cpi_transposed!N7)/regional_rental_cpi_transposed!N7</f>
        <v>4.5658329400660745E-2</v>
      </c>
      <c r="O7" s="98">
        <f>(regional_rental_cpi_transposed!O8-regional_rental_cpi_transposed!O7)/regional_rental_cpi_transposed!O7</f>
        <v>4.6761720637989425E-2</v>
      </c>
      <c r="P7" s="98">
        <f>(regional_rental_cpi_transposed!P8-regional_rental_cpi_transposed!P7)/regional_rental_cpi_transposed!P7</f>
        <v>4.5838597599494692E-2</v>
      </c>
      <c r="Q7" s="98">
        <f>(regional_rental_cpi_transposed!Q8-regional_rental_cpi_transposed!Q7)/regional_rental_cpi_transposed!Q7</f>
        <v>4.4951215734861445E-2</v>
      </c>
      <c r="R7" s="98">
        <f>(regional_rental_cpi_transposed!R8-regional_rental_cpi_transposed!R7)/regional_rental_cpi_transposed!R7</f>
        <v>4.5302013422818851E-2</v>
      </c>
      <c r="S7" s="98">
        <f>(regional_rental_cpi_transposed!S8-regional_rental_cpi_transposed!S7)/regional_rental_cpi_transposed!S7</f>
        <v>4.5302013422818851E-2</v>
      </c>
      <c r="T7" s="98">
        <f>(regional_rental_cpi_transposed!T8-regional_rental_cpi_transposed!T7)/regional_rental_cpi_transposed!T7</f>
        <v>4.3930679582261295E-2</v>
      </c>
      <c r="U7" s="98">
        <f>(regional_rental_cpi_transposed!U8-regional_rental_cpi_transposed!U7)/regional_rental_cpi_transposed!U7</f>
        <v>4.6020294910417057E-2</v>
      </c>
      <c r="V7" s="98">
        <f>(regional_rental_cpi_transposed!V8-regional_rental_cpi_transposed!V7)/regional_rental_cpi_transposed!V7</f>
        <v>4.6388045389164197E-2</v>
      </c>
      <c r="W7" s="98">
        <f>(regional_rental_cpi_transposed!W8-regional_rental_cpi_transposed!W7)/regional_rental_cpi_transposed!W7</f>
        <v>4.6020294910417057E-2</v>
      </c>
      <c r="X7" s="98">
        <f>(regional_rental_cpi_transposed!X8-regional_rental_cpi_transposed!X7)/regional_rental_cpi_transposed!X7</f>
        <v>4.6388045389164197E-2</v>
      </c>
      <c r="Y7" s="98">
        <f>(regional_rental_cpi_transposed!Y8-regional_rental_cpi_transposed!Y7)/regional_rental_cpi_transposed!Y7</f>
        <v>4.4097538742023761E-2</v>
      </c>
      <c r="Z7" s="98">
        <f>(regional_rental_cpi_transposed!Z8-regional_rental_cpi_transposed!Z7)/regional_rental_cpi_transposed!Z7</f>
        <v>4.5302013422818851E-2</v>
      </c>
      <c r="AA7" s="98">
        <f>(regional_rental_cpi_transposed!AA8-regional_rental_cpi_transposed!AA7)/regional_rental_cpi_transposed!AA7</f>
        <v>4.695082497573607E-2</v>
      </c>
    </row>
    <row r="8" spans="1:27">
      <c r="A8">
        <v>2011</v>
      </c>
      <c r="B8" s="98">
        <f>(regional_rental_cpi_transposed!B9-regional_rental_cpi_transposed!B8)/regional_rental_cpi_transposed!B8</f>
        <v>4.0631078452561135E-2</v>
      </c>
      <c r="C8" s="98">
        <f>(regional_rental_cpi_transposed!C9-regional_rental_cpi_transposed!C8)/regional_rental_cpi_transposed!C8</f>
        <v>4.7873694932518557E-2</v>
      </c>
      <c r="D8" s="98">
        <f>(regional_rental_cpi_transposed!D9-regional_rental_cpi_transposed!D8)/regional_rental_cpi_transposed!D8</f>
        <v>4.8580604673483796E-2</v>
      </c>
      <c r="E8" s="98">
        <f>(regional_rental_cpi_transposed!E9-regional_rental_cpi_transposed!E8)/regional_rental_cpi_transposed!E8</f>
        <v>4.3736913822327181E-2</v>
      </c>
      <c r="F8" s="98">
        <f>(regional_rental_cpi_transposed!F9-regional_rental_cpi_transposed!F8)/regional_rental_cpi_transposed!F8</f>
        <v>4.6851080494143708E-2</v>
      </c>
      <c r="G8" s="98">
        <f>(regional_rental_cpi_transposed!G9-regional_rental_cpi_transposed!G8)/regional_rental_cpi_transposed!G8</f>
        <v>4.894194652088224E-2</v>
      </c>
      <c r="H8" s="98">
        <f>(regional_rental_cpi_transposed!H9-regional_rental_cpi_transposed!H8)/regional_rental_cpi_transposed!H8</f>
        <v>4.7527899165733779E-2</v>
      </c>
      <c r="I8" s="98">
        <f>(regional_rental_cpi_transposed!I9-regional_rental_cpi_transposed!I8)/regional_rental_cpi_transposed!I8</f>
        <v>4.7356867825398628E-2</v>
      </c>
      <c r="J8" s="98">
        <f>(regional_rental_cpi_transposed!J9-regional_rental_cpi_transposed!J8)/regional_rental_cpi_transposed!J8</f>
        <v>4.4778658681819815E-2</v>
      </c>
      <c r="K8" s="98">
        <f>(regional_rental_cpi_transposed!K9-regional_rental_cpi_transposed!K8)/regional_rental_cpi_transposed!K8</f>
        <v>4.770017035775137E-2</v>
      </c>
      <c r="L8" s="98">
        <f>(regional_rental_cpi_transposed!L9-regional_rental_cpi_transposed!L8)/regional_rental_cpi_transposed!L8</f>
        <v>4.8580604673483796E-2</v>
      </c>
      <c r="M8" s="98">
        <f>(regional_rental_cpi_transposed!M9-regional_rental_cpi_transposed!M8)/regional_rental_cpi_transposed!M8</f>
        <v>4.6519848704443513E-2</v>
      </c>
      <c r="N8" s="98">
        <f>(regional_rental_cpi_transposed!N9-regional_rental_cpi_transposed!N8)/regional_rental_cpi_transposed!N8</f>
        <v>4.9494151716875497E-2</v>
      </c>
      <c r="O8" s="98">
        <f>(regional_rental_cpi_transposed!O9-regional_rental_cpi_transposed!O8)/regional_rental_cpi_transposed!O8</f>
        <v>5.063680788025713E-2</v>
      </c>
      <c r="P8" s="98">
        <f>(regional_rental_cpi_transposed!P9-regional_rental_cpi_transposed!P8)/regional_rental_cpi_transposed!P8</f>
        <v>4.9680999660236425E-2</v>
      </c>
      <c r="Q8" s="98">
        <f>(regional_rental_cpi_transposed!Q9-regional_rental_cpi_transposed!Q8)/regional_rental_cpi_transposed!Q8</f>
        <v>4.8760606172885343E-2</v>
      </c>
      <c r="R8" s="98">
        <f>(regional_rental_cpi_transposed!R9-regional_rental_cpi_transposed!R8)/regional_rental_cpi_transposed!R8</f>
        <v>4.9124640710739575E-2</v>
      </c>
      <c r="S8" s="98">
        <f>(regional_rental_cpi_transposed!S9-regional_rental_cpi_transposed!S8)/regional_rental_cpi_transposed!S8</f>
        <v>4.9124640710739575E-2</v>
      </c>
      <c r="T8" s="98">
        <f>(regional_rental_cpi_transposed!T9-regional_rental_cpi_transposed!T8)/regional_rental_cpi_transposed!T8</f>
        <v>4.770017035775137E-2</v>
      </c>
      <c r="U8" s="98">
        <f>(regional_rental_cpi_transposed!U9-regional_rental_cpi_transposed!U8)/regional_rental_cpi_transposed!U8</f>
        <v>4.9869263708363427E-2</v>
      </c>
      <c r="V8" s="98">
        <f>(regional_rental_cpi_transposed!V9-regional_rental_cpi_transposed!V8)/regional_rental_cpi_transposed!V8</f>
        <v>5.0250105005918616E-2</v>
      </c>
      <c r="W8" s="98">
        <f>(regional_rental_cpi_transposed!W9-regional_rental_cpi_transposed!W8)/regional_rental_cpi_transposed!W8</f>
        <v>4.9869263708363427E-2</v>
      </c>
      <c r="X8" s="98">
        <f>(regional_rental_cpi_transposed!X9-regional_rental_cpi_transposed!X8)/regional_rental_cpi_transposed!X8</f>
        <v>5.0250105005918616E-2</v>
      </c>
      <c r="Y8" s="98">
        <f>(regional_rental_cpi_transposed!Y9-regional_rental_cpi_transposed!Y8)/regional_rental_cpi_transposed!Y8</f>
        <v>4.7873694932518557E-2</v>
      </c>
      <c r="Z8" s="98">
        <f>(regional_rental_cpi_transposed!Z9-regional_rental_cpi_transposed!Z8)/regional_rental_cpi_transposed!Z8</f>
        <v>4.9124640710739575E-2</v>
      </c>
      <c r="AA8" s="98">
        <f>(regional_rental_cpi_transposed!AA9-regional_rental_cpi_transposed!AA8)/regional_rental_cpi_transposed!AA8</f>
        <v>5.0832399860944899E-2</v>
      </c>
    </row>
    <row r="9" spans="1:27">
      <c r="A9">
        <v>2012</v>
      </c>
      <c r="B9" s="98">
        <f>(regional_rental_cpi_transposed!B10-regional_rental_cpi_transposed!B9)/regional_rental_cpi_transposed!B9</f>
        <v>5.2514463729416962E-2</v>
      </c>
      <c r="C9" s="98">
        <f>(regional_rental_cpi_transposed!C10-regional_rental_cpi_transposed!C9)/regional_rental_cpi_transposed!C9</f>
        <v>6.1447665335879142E-2</v>
      </c>
      <c r="D9" s="98">
        <f>(regional_rental_cpi_transposed!D10-regional_rental_cpi_transposed!D9)/regional_rental_cpi_transposed!D9</f>
        <v>6.2312973068121766E-2</v>
      </c>
      <c r="E9" s="98">
        <f>(regional_rental_cpi_transposed!E10-regional_rental_cpi_transposed!E9)/regional_rental_cpi_transposed!E9</f>
        <v>5.6360452157299755E-2</v>
      </c>
      <c r="F9" s="98">
        <f>(regional_rental_cpi_transposed!F10-regional_rental_cpi_transposed!F9)/regional_rental_cpi_transposed!F9</f>
        <v>6.0193844584254336E-2</v>
      </c>
      <c r="G9" s="98">
        <f>(regional_rental_cpi_transposed!G10-regional_rental_cpi_transposed!G9)/regional_rental_cpi_transposed!G9</f>
        <v>6.2754830703775882E-2</v>
      </c>
      <c r="H9" s="98">
        <f>(regional_rental_cpi_transposed!H10-regional_rental_cpi_transposed!H9)/regional_rental_cpi_transposed!H9</f>
        <v>6.1023961385967898E-2</v>
      </c>
      <c r="I9" s="98">
        <f>(regional_rental_cpi_transposed!I10-regional_rental_cpi_transposed!I9)/regional_rental_cpi_transposed!I9</f>
        <v>6.0814293076790885E-2</v>
      </c>
      <c r="J9" s="98">
        <f>(regional_rental_cpi_transposed!J10-regional_rental_cpi_transposed!J9)/regional_rental_cpi_transposed!J9</f>
        <v>5.7645334636052724E-2</v>
      </c>
      <c r="K9" s="98">
        <f>(regional_rental_cpi_transposed!K10-regional_rental_cpi_transposed!K9)/regional_rental_cpi_transposed!K9</f>
        <v>6.1235080435910701E-2</v>
      </c>
      <c r="L9" s="98">
        <f>(regional_rental_cpi_transposed!L10-regional_rental_cpi_transposed!L9)/regional_rental_cpi_transposed!L9</f>
        <v>6.2312973068121766E-2</v>
      </c>
      <c r="M9" s="98">
        <f>(regional_rental_cpi_transposed!M10-regional_rental_cpi_transposed!M9)/regional_rental_cpi_transposed!M9</f>
        <v>5.9787198108427593E-2</v>
      </c>
      <c r="N9" s="98">
        <f>(regional_rental_cpi_transposed!N10-regional_rental_cpi_transposed!N9)/regional_rental_cpi_transposed!N9</f>
        <v>6.3429492922415301E-2</v>
      </c>
      <c r="O9" s="98">
        <f>(regional_rental_cpi_transposed!O10-regional_rental_cpi_transposed!O9)/regional_rental_cpi_transposed!O9</f>
        <v>6.4823292437282506E-2</v>
      </c>
      <c r="P9" s="98">
        <f>(regional_rental_cpi_transposed!P10-regional_rental_cpi_transposed!P9)/regional_rental_cpi_transposed!P9</f>
        <v>6.3657615536773918E-2</v>
      </c>
      <c r="Q9" s="98">
        <f>(regional_rental_cpi_transposed!Q10-regional_rental_cpi_transposed!Q9)/regional_rental_cpi_transposed!Q9</f>
        <v>6.253312135665072E-2</v>
      </c>
      <c r="R9" s="98">
        <f>(regional_rental_cpi_transposed!R10-regional_rental_cpi_transposed!R9)/regional_rental_cpi_transposed!R9</f>
        <v>6.2978117772638273E-2</v>
      </c>
      <c r="S9" s="98">
        <f>(regional_rental_cpi_transposed!S10-regional_rental_cpi_transposed!S9)/regional_rental_cpi_transposed!S9</f>
        <v>6.2978117772638273E-2</v>
      </c>
      <c r="T9" s="98">
        <f>(regional_rental_cpi_transposed!T10-regional_rental_cpi_transposed!T9)/regional_rental_cpi_transposed!T9</f>
        <v>6.1235080435910701E-2</v>
      </c>
      <c r="U9" s="98">
        <f>(regional_rental_cpi_transposed!U10-regional_rental_cpi_transposed!U9)/regional_rental_cpi_transposed!U9</f>
        <v>6.3887384948565204E-2</v>
      </c>
      <c r="V9" s="98">
        <f>(regional_rental_cpi_transposed!V10-regional_rental_cpi_transposed!V9)/regional_rental_cpi_transposed!V9</f>
        <v>6.4351936011634206E-2</v>
      </c>
      <c r="W9" s="98">
        <f>(regional_rental_cpi_transposed!W10-regional_rental_cpi_transposed!W9)/regional_rental_cpi_transposed!W9</f>
        <v>6.3887384948565204E-2</v>
      </c>
      <c r="X9" s="98">
        <f>(regional_rental_cpi_transposed!X10-regional_rental_cpi_transposed!X9)/regional_rental_cpi_transposed!X9</f>
        <v>6.4351936011634206E-2</v>
      </c>
      <c r="Y9" s="98">
        <f>(regional_rental_cpi_transposed!Y10-regional_rental_cpi_transposed!Y9)/regional_rental_cpi_transposed!Y9</f>
        <v>6.1447665335879142E-2</v>
      </c>
      <c r="Z9" s="98">
        <f>(regional_rental_cpi_transposed!Z10-regional_rental_cpi_transposed!Z9)/regional_rental_cpi_transposed!Z9</f>
        <v>6.2978117772638273E-2</v>
      </c>
      <c r="AA9" s="98">
        <f>(regional_rental_cpi_transposed!AA10-regional_rental_cpi_transposed!AA9)/regional_rental_cpi_transposed!AA9</f>
        <v>6.5061569564418262E-2</v>
      </c>
    </row>
    <row r="10" spans="1:27">
      <c r="A10">
        <v>2013</v>
      </c>
      <c r="B10" s="98">
        <f>(regional_rental_cpi_transposed!B11-regional_rental_cpi_transposed!B10)/regional_rental_cpi_transposed!B10</f>
        <v>5.8435517970401744E-2</v>
      </c>
      <c r="C10" s="98">
        <f>(regional_rental_cpi_transposed!C11-regional_rental_cpi_transposed!C10)/regional_rental_cpi_transposed!C10</f>
        <v>6.7800490596892943E-2</v>
      </c>
      <c r="D10" s="98">
        <f>(regional_rental_cpi_transposed!D11-regional_rental_cpi_transposed!D10)/regional_rental_cpi_transposed!D10</f>
        <v>6.8699254349627231E-2</v>
      </c>
      <c r="E10" s="98">
        <f>(regional_rental_cpi_transposed!E11-regional_rental_cpi_transposed!E10)/regional_rental_cpi_transposed!E10</f>
        <v>6.2486812358703896E-2</v>
      </c>
      <c r="F10" s="98">
        <f>(regional_rental_cpi_transposed!F11-regional_rental_cpi_transposed!F10)/regional_rental_cpi_transposed!F10</f>
        <v>6.6495589414595088E-2</v>
      </c>
      <c r="G10" s="98">
        <f>(regional_rental_cpi_transposed!G11-regional_rental_cpi_transposed!G10)/regional_rental_cpi_transposed!G10</f>
        <v>6.9157631359466287E-2</v>
      </c>
      <c r="H10" s="98">
        <f>(regional_rental_cpi_transposed!H11-regional_rental_cpi_transposed!H10)/regional_rental_cpi_transposed!H10</f>
        <v>6.7359870024370494E-2</v>
      </c>
      <c r="I10" s="98">
        <f>(regional_rental_cpi_transposed!I11-regional_rental_cpi_transposed!I10)/regional_rental_cpi_transposed!I10</f>
        <v>6.7141700404858354E-2</v>
      </c>
      <c r="J10" s="98">
        <f>(regional_rental_cpi_transposed!J11-regional_rental_cpi_transposed!J10)/regional_rental_cpi_transposed!J10</f>
        <v>6.3833718244803744E-2</v>
      </c>
      <c r="K10" s="98">
        <f>(regional_rental_cpi_transposed!K11-regional_rental_cpi_transposed!K10)/regional_rental_cpi_transposed!K10</f>
        <v>6.7579462102689544E-2</v>
      </c>
      <c r="L10" s="98">
        <f>(regional_rental_cpi_transposed!L11-regional_rental_cpi_transposed!L10)/regional_rental_cpi_transposed!L10</f>
        <v>6.8699254349627231E-2</v>
      </c>
      <c r="M10" s="98">
        <f>(regional_rental_cpi_transposed!M11-regional_rental_cpi_transposed!M10)/regional_rental_cpi_transposed!M10</f>
        <v>6.6071713147410421E-2</v>
      </c>
      <c r="N10" s="98">
        <f>(regional_rental_cpi_transposed!N11-regional_rental_cpi_transposed!N10)/regional_rental_cpi_transposed!N10</f>
        <v>6.9856781802864421E-2</v>
      </c>
      <c r="O10" s="98">
        <f>(regional_rental_cpi_transposed!O11-regional_rental_cpi_transposed!O10)/regional_rental_cpi_transposed!O10</f>
        <v>7.1298366294067134E-2</v>
      </c>
      <c r="P10" s="98">
        <f>(regional_rental_cpi_transposed!P11-regional_rental_cpi_transposed!P10)/regional_rental_cpi_transposed!P10</f>
        <v>7.0092983939137848E-2</v>
      </c>
      <c r="Q10" s="98">
        <f>(regional_rental_cpi_transposed!Q11-regional_rental_cpi_transposed!Q10)/regional_rental_cpi_transposed!Q10</f>
        <v>6.8927680798005042E-2</v>
      </c>
      <c r="R10" s="98">
        <f>(regional_rental_cpi_transposed!R11-regional_rental_cpi_transposed!R10)/regional_rental_cpi_transposed!R10</f>
        <v>6.9389121338912188E-2</v>
      </c>
      <c r="S10" s="98">
        <f>(regional_rental_cpi_transposed!S11-regional_rental_cpi_transposed!S10)/regional_rental_cpi_transposed!S10</f>
        <v>6.9389121338912188E-2</v>
      </c>
      <c r="T10" s="98">
        <f>(regional_rental_cpi_transposed!T11-regional_rental_cpi_transposed!T10)/regional_rental_cpi_transposed!T10</f>
        <v>6.7579462102689544E-2</v>
      </c>
      <c r="U10" s="98">
        <f>(regional_rental_cpi_transposed!U11-regional_rental_cpi_transposed!U10)/regional_rental_cpi_transposed!U10</f>
        <v>7.0330788804071315E-2</v>
      </c>
      <c r="V10" s="98">
        <f>(regional_rental_cpi_transposed!V11-regional_rental_cpi_transposed!V10)/regional_rental_cpi_transposed!V10</f>
        <v>7.0811272416737889E-2</v>
      </c>
      <c r="W10" s="98">
        <f>(regional_rental_cpi_transposed!W11-regional_rental_cpi_transposed!W10)/regional_rental_cpi_transposed!W10</f>
        <v>7.0330788804071315E-2</v>
      </c>
      <c r="X10" s="98">
        <f>(regional_rental_cpi_transposed!X11-regional_rental_cpi_transposed!X10)/regional_rental_cpi_transposed!X10</f>
        <v>7.0811272416737889E-2</v>
      </c>
      <c r="Y10" s="98">
        <f>(regional_rental_cpi_transposed!Y11-regional_rental_cpi_transposed!Y10)/regional_rental_cpi_transposed!Y10</f>
        <v>6.7800490596892943E-2</v>
      </c>
      <c r="Z10" s="98">
        <f>(regional_rental_cpi_transposed!Z11-regional_rental_cpi_transposed!Z10)/regional_rental_cpi_transposed!Z10</f>
        <v>6.9389121338912188E-2</v>
      </c>
      <c r="AA10" s="98">
        <f>(regional_rental_cpi_transposed!AA11-regional_rental_cpi_transposed!AA10)/regional_rental_cpi_transposed!AA10</f>
        <v>7.1544434857635952E-2</v>
      </c>
    </row>
    <row r="11" spans="1:27">
      <c r="A11">
        <v>2014</v>
      </c>
      <c r="B11" s="98">
        <f>(regional_rental_cpi_transposed!B12-regional_rental_cpi_transposed!B11)/regional_rental_cpi_transposed!B11</f>
        <v>6.4717162032598155E-2</v>
      </c>
      <c r="C11" s="98">
        <f>(regional_rental_cpi_transposed!C12-regional_rental_cpi_transposed!C11)/regional_rental_cpi_transposed!C11</f>
        <v>7.4430286694437492E-2</v>
      </c>
      <c r="D11" s="98">
        <f>(regional_rental_cpi_transposed!D12-regional_rental_cpi_transposed!D11)/regional_rental_cpi_transposed!D11</f>
        <v>7.5353510295211965E-2</v>
      </c>
      <c r="E11" s="98">
        <f>(regional_rental_cpi_transposed!E12-regional_rental_cpi_transposed!E11)/regional_rental_cpi_transposed!E11</f>
        <v>6.894008170676337E-2</v>
      </c>
      <c r="F11" s="98">
        <f>(regional_rental_cpi_transposed!F12-regional_rental_cpi_transposed!F11)/regional_rental_cpi_transposed!F11</f>
        <v>7.3087102983637978E-2</v>
      </c>
      <c r="G11" s="98">
        <f>(regional_rental_cpi_transposed!G12-regional_rental_cpi_transposed!G11)/regional_rental_cpi_transposed!G11</f>
        <v>7.5823764353469644E-2</v>
      </c>
      <c r="H11" s="98">
        <f>(regional_rental_cpi_transposed!H12-regional_rental_cpi_transposed!H11)/regional_rental_cpi_transposed!H11</f>
        <v>7.3977106673161083E-2</v>
      </c>
      <c r="I11" s="98">
        <f>(regional_rental_cpi_transposed!I12-regional_rental_cpi_transposed!I11)/regional_rental_cpi_transposed!I11</f>
        <v>7.3752579822750866E-2</v>
      </c>
      <c r="J11" s="98">
        <f>(regional_rental_cpi_transposed!J12-regional_rental_cpi_transposed!J11)/regional_rental_cpi_transposed!J11</f>
        <v>7.0336922542549363E-2</v>
      </c>
      <c r="K11" s="98">
        <f>(regional_rental_cpi_transposed!K12-regional_rental_cpi_transposed!K11)/regional_rental_cpi_transposed!K11</f>
        <v>7.4203004763649549E-2</v>
      </c>
      <c r="L11" s="98">
        <f>(regional_rental_cpi_transposed!L12-regional_rental_cpi_transposed!L11)/regional_rental_cpi_transposed!L11</f>
        <v>7.5353510295211965E-2</v>
      </c>
      <c r="M11" s="98">
        <f>(regional_rental_cpi_transposed!M12-regional_rental_cpi_transposed!M11)/regional_rental_cpi_transposed!M11</f>
        <v>7.265008371203048E-2</v>
      </c>
      <c r="N11" s="98">
        <f>(regional_rental_cpi_transposed!N12-regional_rental_cpi_transposed!N11)/regional_rental_cpi_transposed!N11</f>
        <v>7.6540254504220584E-2</v>
      </c>
      <c r="O11" s="98">
        <f>(regional_rental_cpi_transposed!O12-regional_rental_cpi_transposed!O11)/regional_rental_cpi_transposed!O11</f>
        <v>7.8014639784255657E-2</v>
      </c>
      <c r="P11" s="98">
        <f>(regional_rental_cpi_transposed!P12-regional_rental_cpi_transposed!P11)/regional_rental_cpi_transposed!P11</f>
        <v>7.6782103134479127E-2</v>
      </c>
      <c r="Q11" s="98">
        <f>(regional_rental_cpi_transposed!Q12-regional_rental_cpi_transposed!Q11)/regional_rental_cpi_transposed!Q11</f>
        <v>7.5587905935050242E-2</v>
      </c>
      <c r="R11" s="98">
        <f>(regional_rental_cpi_transposed!R12-regional_rental_cpi_transposed!R11)/regional_rental_cpi_transposed!R11</f>
        <v>7.6061099286340153E-2</v>
      </c>
      <c r="S11" s="98">
        <f>(regional_rental_cpi_transposed!S12-regional_rental_cpi_transposed!S11)/regional_rental_cpi_transposed!S11</f>
        <v>7.6061099286340153E-2</v>
      </c>
      <c r="T11" s="98">
        <f>(regional_rental_cpi_transposed!T12-regional_rental_cpi_transposed!T11)/regional_rental_cpi_transposed!T11</f>
        <v>7.4203004763649549E-2</v>
      </c>
      <c r="U11" s="98">
        <f>(regional_rental_cpi_transposed!U12-regional_rental_cpi_transposed!U11)/regional_rental_cpi_transposed!U11</f>
        <v>7.7025484975275615E-2</v>
      </c>
      <c r="V11" s="98">
        <f>(regional_rental_cpi_transposed!V12-regional_rental_cpi_transposed!V11)/regional_rental_cpi_transposed!V11</f>
        <v>7.7516906979711475E-2</v>
      </c>
      <c r="W11" s="98">
        <f>(regional_rental_cpi_transposed!W12-regional_rental_cpi_transposed!W11)/regional_rental_cpi_transposed!W11</f>
        <v>7.7025484975275615E-2</v>
      </c>
      <c r="X11" s="98">
        <f>(regional_rental_cpi_transposed!X12-regional_rental_cpi_transposed!X11)/regional_rental_cpi_transposed!X11</f>
        <v>7.7516906979711475E-2</v>
      </c>
      <c r="Y11" s="98">
        <f>(regional_rental_cpi_transposed!Y12-regional_rental_cpi_transposed!Y11)/regional_rental_cpi_transposed!Y11</f>
        <v>7.4430286694437492E-2</v>
      </c>
      <c r="Z11" s="98">
        <f>(regional_rental_cpi_transposed!Z12-regional_rental_cpi_transposed!Z11)/regional_rental_cpi_transposed!Z11</f>
        <v>7.6061099286340153E-2</v>
      </c>
      <c r="AA11" s="98">
        <f>(regional_rental_cpi_transposed!AA12-regional_rental_cpi_transposed!AA11)/regional_rental_cpi_transposed!AA11</f>
        <v>7.8265910847719514E-2</v>
      </c>
    </row>
    <row r="12" spans="1:27">
      <c r="A12">
        <v>2015</v>
      </c>
      <c r="B12" s="98">
        <f>(regional_rental_cpi_transposed!B13-regional_rental_cpi_transposed!B12)/regional_rental_cpi_transposed!B12</f>
        <v>7.724248336585135E-2</v>
      </c>
      <c r="C12" s="98">
        <f>(regional_rental_cpi_transposed!C13-regional_rental_cpi_transposed!C12)/regional_rental_cpi_transposed!C12</f>
        <v>8.803238497063702E-2</v>
      </c>
      <c r="D12" s="98">
        <f>(regional_rental_cpi_transposed!D13-regional_rental_cpi_transposed!D12)/regional_rental_cpi_transposed!D12</f>
        <v>8.9047811292462239E-2</v>
      </c>
      <c r="E12" s="98">
        <f>(regional_rental_cpi_transposed!E13-regional_rental_cpi_transposed!E12)/regional_rental_cpi_transposed!E12</f>
        <v>8.1957641063750877E-2</v>
      </c>
      <c r="F12" s="98">
        <f>(regional_rental_cpi_transposed!F13-regional_rental_cpi_transposed!F12)/regional_rental_cpi_transposed!F12</f>
        <v>8.6551936767756188E-2</v>
      </c>
      <c r="G12" s="98">
        <f>(regional_rental_cpi_transposed!G13-regional_rental_cpi_transposed!G12)/regional_rental_cpi_transposed!G12</f>
        <v>8.9564359881663821E-2</v>
      </c>
      <c r="H12" s="98">
        <f>(regional_rental_cpi_transposed!H13-regional_rental_cpi_transposed!H12)/regional_rental_cpi_transposed!H12</f>
        <v>8.7533306876807229E-2</v>
      </c>
      <c r="I12" s="98">
        <f>(regional_rental_cpi_transposed!I13-regional_rental_cpi_transposed!I12)/regional_rental_cpi_transposed!I12</f>
        <v>8.7285883882639081E-2</v>
      </c>
      <c r="J12" s="98">
        <f>(regional_rental_cpi_transposed!J13-regional_rental_cpi_transposed!J12)/regional_rental_cpi_transposed!J12</f>
        <v>8.3509113526962123E-2</v>
      </c>
      <c r="K12" s="98">
        <f>(regional_rental_cpi_transposed!K13-regional_rental_cpi_transposed!K12)/regional_rental_cpi_transposed!K12</f>
        <v>8.7782136562624527E-2</v>
      </c>
      <c r="L12" s="98">
        <f>(regional_rental_cpi_transposed!L13-regional_rental_cpi_transposed!L12)/regional_rental_cpi_transposed!L12</f>
        <v>8.9047811292462239E-2</v>
      </c>
      <c r="M12" s="98">
        <f>(regional_rental_cpi_transposed!M13-regional_rental_cpi_transposed!M12)/regional_rental_cpi_transposed!M12</f>
        <v>8.6069457606332722E-2</v>
      </c>
      <c r="N12" s="98">
        <f>(regional_rental_cpi_transposed!N13-regional_rental_cpi_transposed!N12)/regional_rental_cpi_transposed!N12</f>
        <v>9.0350517876997063E-2</v>
      </c>
      <c r="O12" s="98">
        <f>(regional_rental_cpi_transposed!O13-regional_rental_cpi_transposed!O12)/regional_rental_cpi_transposed!O12</f>
        <v>9.1964977068318701E-2</v>
      </c>
      <c r="P12" s="98">
        <f>(regional_rental_cpi_transposed!P13-regional_rental_cpi_transposed!P12)/regional_rental_cpi_transposed!P12</f>
        <v>9.0615646458125643E-2</v>
      </c>
      <c r="Q12" s="98">
        <f>(regional_rental_cpi_transposed!Q13-regional_rental_cpi_transposed!Q12)/regional_rental_cpi_transposed!Q12</f>
        <v>8.9305338654636052E-2</v>
      </c>
      <c r="R12" s="98">
        <f>(regional_rental_cpi_transposed!R13-regional_rental_cpi_transposed!R12)/regional_rental_cpi_transposed!R12</f>
        <v>8.9824888009773854E-2</v>
      </c>
      <c r="S12" s="98">
        <f>(regional_rental_cpi_transposed!S13-regional_rental_cpi_transposed!S12)/regional_rental_cpi_transposed!S12</f>
        <v>8.9824888009773854E-2</v>
      </c>
      <c r="T12" s="98">
        <f>(regional_rental_cpi_transposed!T13-regional_rental_cpi_transposed!T12)/regional_rental_cpi_transposed!T12</f>
        <v>8.7782136562624527E-2</v>
      </c>
      <c r="U12" s="98">
        <f>(regional_rental_cpi_transposed!U13-regional_rental_cpi_transposed!U12)/regional_rental_cpi_transposed!U12</f>
        <v>9.0882335628936536E-2</v>
      </c>
      <c r="V12" s="98">
        <f>(regional_rental_cpi_transposed!V13-regional_rental_cpi_transposed!V12)/regional_rental_cpi_transposed!V12</f>
        <v>9.1420451181242396E-2</v>
      </c>
      <c r="W12" s="98">
        <f>(regional_rental_cpi_transposed!W13-regional_rental_cpi_transposed!W12)/regional_rental_cpi_transposed!W12</f>
        <v>9.0882335628936536E-2</v>
      </c>
      <c r="X12" s="98">
        <f>(regional_rental_cpi_transposed!X13-regional_rental_cpi_transposed!X12)/regional_rental_cpi_transposed!X12</f>
        <v>9.1420451181242396E-2</v>
      </c>
      <c r="Y12" s="98">
        <f>(regional_rental_cpi_transposed!Y13-regional_rental_cpi_transposed!Y12)/regional_rental_cpi_transposed!Y12</f>
        <v>8.803238497063702E-2</v>
      </c>
      <c r="Z12" s="98">
        <f>(regional_rental_cpi_transposed!Z13-regional_rental_cpi_transposed!Z12)/regional_rental_cpi_transposed!Z12</f>
        <v>8.9824888009773854E-2</v>
      </c>
      <c r="AA12" s="98">
        <f>(regional_rental_cpi_transposed!AA13-regional_rental_cpi_transposed!AA12)/regional_rental_cpi_transposed!AA12</f>
        <v>9.2239679789712814E-2</v>
      </c>
    </row>
    <row r="13" spans="1:27">
      <c r="A13">
        <v>2016</v>
      </c>
      <c r="B13" s="98">
        <f>(regional_rental_cpi_transposed!B14-regional_rental_cpi_transposed!B13)/regional_rental_cpi_transposed!B13</f>
        <v>7.7880462545859758E-2</v>
      </c>
      <c r="C13" s="98">
        <f>(regional_rental_cpi_transposed!C14-regional_rental_cpi_transposed!C13)/regional_rental_cpi_transposed!C13</f>
        <v>8.7879264266624638E-2</v>
      </c>
      <c r="D13" s="98">
        <f>(regional_rental_cpi_transposed!D14-regional_rental_cpi_transposed!D13)/regional_rental_cpi_transposed!D13</f>
        <v>8.8810040777418733E-2</v>
      </c>
      <c r="E13" s="98">
        <f>(regional_rental_cpi_transposed!E14-regional_rental_cpi_transposed!E13)/regional_rental_cpi_transposed!E13</f>
        <v>8.2274444389932699E-2</v>
      </c>
      <c r="F13" s="98">
        <f>(regional_rental_cpi_transposed!F14-regional_rental_cpi_transposed!F13)/regional_rental_cpi_transposed!F13</f>
        <v>8.6519114688128673E-2</v>
      </c>
      <c r="G13" s="98">
        <f>(regional_rental_cpi_transposed!G14-regional_rental_cpi_transposed!G13)/regional_rental_cpi_transposed!G13</f>
        <v>8.9282862162593735E-2</v>
      </c>
      <c r="H13" s="98">
        <f>(regional_rental_cpi_transposed!H14-regional_rental_cpi_transposed!H13)/regional_rental_cpi_transposed!H13</f>
        <v>8.7421154146900798E-2</v>
      </c>
      <c r="I13" s="98">
        <f>(regional_rental_cpi_transposed!I14-regional_rental_cpi_transposed!I13)/regional_rental_cpi_transposed!I13</f>
        <v>8.7193885509280825E-2</v>
      </c>
      <c r="J13" s="98">
        <f>(regional_rental_cpi_transposed!J14-regional_rental_cpi_transposed!J13)/regional_rental_cpi_transposed!J13</f>
        <v>8.3711875405580699E-2</v>
      </c>
      <c r="K13" s="98">
        <f>(regional_rental_cpi_transposed!K14-regional_rental_cpi_transposed!K13)/regional_rental_cpi_transposed!K13</f>
        <v>8.7649610620393989E-2</v>
      </c>
      <c r="L13" s="98">
        <f>(regional_rental_cpi_transposed!L14-regional_rental_cpi_transposed!L13)/regional_rental_cpi_transposed!L13</f>
        <v>8.8810040777418733E-2</v>
      </c>
      <c r="M13" s="98">
        <f>(regional_rental_cpi_transposed!M14-regional_rental_cpi_transposed!M13)/regional_rental_cpi_transposed!M13</f>
        <v>8.6075039778268136E-2</v>
      </c>
      <c r="N13" s="98">
        <f>(regional_rental_cpi_transposed!N14-regional_rental_cpi_transposed!N13)/regional_rental_cpi_transposed!N13</f>
        <v>9.0001610046691244E-2</v>
      </c>
      <c r="O13" s="98">
        <f>(regional_rental_cpi_transposed!O14-regional_rental_cpi_transposed!O13)/regional_rental_cpi_transposed!O13</f>
        <v>9.1474390443462505E-2</v>
      </c>
      <c r="P13" s="98">
        <f>(regional_rental_cpi_transposed!P14-regional_rental_cpi_transposed!P13)/regional_rental_cpi_transposed!P13</f>
        <v>9.0243771188720776E-2</v>
      </c>
      <c r="Q13" s="98">
        <f>(regional_rental_cpi_transposed!Q14-regional_rental_cpi_transposed!Q13)/regional_rental_cpi_transposed!Q13</f>
        <v>8.9045823819890513E-2</v>
      </c>
      <c r="R13" s="98">
        <f>(regional_rental_cpi_transposed!R14-regional_rental_cpi_transposed!R13)/regional_rental_cpi_transposed!R13</f>
        <v>8.9521165857043616E-2</v>
      </c>
      <c r="S13" s="98">
        <f>(regional_rental_cpi_transposed!S14-regional_rental_cpi_transposed!S13)/regional_rental_cpi_transposed!S13</f>
        <v>8.9521165857043616E-2</v>
      </c>
      <c r="T13" s="98">
        <f>(regional_rental_cpi_transposed!T14-regional_rental_cpi_transposed!T13)/regional_rental_cpi_transposed!T13</f>
        <v>8.7649610620393989E-2</v>
      </c>
      <c r="U13" s="98">
        <f>(regional_rental_cpi_transposed!U14-regional_rental_cpi_transposed!U13)/regional_rental_cpi_transposed!U13</f>
        <v>9.0487238979118229E-2</v>
      </c>
      <c r="V13" s="98">
        <f>(regional_rental_cpi_transposed!V14-regional_rental_cpi_transposed!V13)/regional_rental_cpi_transposed!V13</f>
        <v>9.0978137036836007E-2</v>
      </c>
      <c r="W13" s="98">
        <f>(regional_rental_cpi_transposed!W14-regional_rental_cpi_transposed!W13)/regional_rental_cpi_transposed!W13</f>
        <v>9.0487238979118229E-2</v>
      </c>
      <c r="X13" s="98">
        <f>(regional_rental_cpi_transposed!X14-regional_rental_cpi_transposed!X13)/regional_rental_cpi_transposed!X13</f>
        <v>9.0978137036836007E-2</v>
      </c>
      <c r="Y13" s="98">
        <f>(regional_rental_cpi_transposed!Y14-regional_rental_cpi_transposed!Y13)/regional_rental_cpi_transposed!Y13</f>
        <v>8.7879264266624638E-2</v>
      </c>
      <c r="Z13" s="98">
        <f>(regional_rental_cpi_transposed!Z14-regional_rental_cpi_transposed!Z13)/regional_rental_cpi_transposed!Z13</f>
        <v>8.9521165857043616E-2</v>
      </c>
      <c r="AA13" s="98">
        <f>(regional_rental_cpi_transposed!AA14-regional_rental_cpi_transposed!AA13)/regional_rental_cpi_transposed!AA13</f>
        <v>9.1724552863315545E-2</v>
      </c>
    </row>
    <row r="14" spans="1:27">
      <c r="A14">
        <v>2017</v>
      </c>
      <c r="B14" s="98">
        <f>(regional_rental_cpi_transposed!B15-regional_rental_cpi_transposed!B14)/regional_rental_cpi_transposed!B14</f>
        <v>8.5825075398535192E-2</v>
      </c>
      <c r="C14" s="98">
        <f>(regional_rental_cpi_transposed!C15-regional_rental_cpi_transposed!C14)/regional_rental_cpi_transposed!C14</f>
        <v>9.5953757225433603E-2</v>
      </c>
      <c r="D14" s="98">
        <f>(regional_rental_cpi_transposed!D15-regional_rental_cpi_transposed!D14)/regional_rental_cpi_transposed!D14</f>
        <v>9.6887159533074016E-2</v>
      </c>
      <c r="E14" s="98">
        <f>(regional_rental_cpi_transposed!E15-regional_rental_cpi_transposed!E14)/regional_rental_cpi_transposed!E14</f>
        <v>9.029918404351775E-2</v>
      </c>
      <c r="F14" s="98">
        <f>(regional_rental_cpi_transposed!F15-regional_rental_cpi_transposed!F14)/regional_rental_cpi_transposed!F14</f>
        <v>9.4586894586894663E-2</v>
      </c>
      <c r="G14" s="98">
        <f>(regional_rental_cpi_transposed!G15-regional_rental_cpi_transposed!G14)/regional_rental_cpi_transposed!G14</f>
        <v>9.736070381231679E-2</v>
      </c>
      <c r="H14" s="98">
        <f>(regional_rental_cpi_transposed!H15-regional_rental_cpi_transposed!H14)/regional_rental_cpi_transposed!H14</f>
        <v>9.5493767976989538E-2</v>
      </c>
      <c r="I14" s="98">
        <f>(regional_rental_cpi_transposed!I15-regional_rental_cpi_transposed!I14)/regional_rental_cpi_transposed!I14</f>
        <v>9.5265423242467798E-2</v>
      </c>
      <c r="J14" s="98">
        <f>(regional_rental_cpi_transposed!J15-regional_rental_cpi_transposed!J14)/regional_rental_cpi_transposed!J14</f>
        <v>9.1754951635191234E-2</v>
      </c>
      <c r="K14" s="98">
        <f>(regional_rental_cpi_transposed!K15-regional_rental_cpi_transposed!K14)/regional_rental_cpi_transposed!K14</f>
        <v>9.5723209995194694E-2</v>
      </c>
      <c r="L14" s="98">
        <f>(regional_rental_cpi_transposed!L15-regional_rental_cpi_transposed!L14)/regional_rental_cpi_transposed!L14</f>
        <v>9.6887159533074016E-2</v>
      </c>
      <c r="M14" s="98">
        <f>(regional_rental_cpi_transposed!M15-regional_rental_cpi_transposed!M14)/regional_rental_cpi_transposed!M14</f>
        <v>9.4139886578449988E-2</v>
      </c>
      <c r="N14" s="98">
        <f>(regional_rental_cpi_transposed!N15-regional_rental_cpi_transposed!N14)/regional_rental_cpi_transposed!N14</f>
        <v>9.8079763663220174E-2</v>
      </c>
      <c r="O14" s="98">
        <f>(regional_rental_cpi_transposed!O15-regional_rental_cpi_transposed!O14)/regional_rental_cpi_transposed!O14</f>
        <v>9.9550224887556299E-2</v>
      </c>
      <c r="P14" s="98">
        <f>(regional_rental_cpi_transposed!P15-regional_rental_cpi_transposed!P14)/regional_rental_cpi_transposed!P14</f>
        <v>9.8321816386969477E-2</v>
      </c>
      <c r="Q14" s="98">
        <f>(regional_rental_cpi_transposed!Q15-regional_rental_cpi_transposed!Q14)/regional_rental_cpi_transposed!Q14</f>
        <v>9.7123354461238501E-2</v>
      </c>
      <c r="R14" s="98">
        <f>(regional_rental_cpi_transposed!R15-regional_rental_cpi_transposed!R14)/regional_rental_cpi_transposed!R14</f>
        <v>9.7599216070553732E-2</v>
      </c>
      <c r="S14" s="98">
        <f>(regional_rental_cpi_transposed!S15-regional_rental_cpi_transposed!S14)/regional_rental_cpi_transposed!S14</f>
        <v>9.7599216070553732E-2</v>
      </c>
      <c r="T14" s="98">
        <f>(regional_rental_cpi_transposed!T15-regional_rental_cpi_transposed!T14)/regional_rental_cpi_transposed!T14</f>
        <v>9.5723209995194694E-2</v>
      </c>
      <c r="U14" s="98">
        <f>(regional_rental_cpi_transposed!U15-regional_rental_cpi_transposed!U14)/regional_rental_cpi_transposed!U14</f>
        <v>9.8565066798614626E-2</v>
      </c>
      <c r="V14" s="98">
        <f>(regional_rental_cpi_transposed!V15-regional_rental_cpi_transposed!V14)/regional_rental_cpi_transposed!V14</f>
        <v>9.9055196419691779E-2</v>
      </c>
      <c r="W14" s="98">
        <f>(regional_rental_cpi_transposed!W15-regional_rental_cpi_transposed!W14)/regional_rental_cpi_transposed!W14</f>
        <v>9.8565066798614626E-2</v>
      </c>
      <c r="X14" s="98">
        <f>(regional_rental_cpi_transposed!X15-regional_rental_cpi_transposed!X14)/regional_rental_cpi_transposed!X14</f>
        <v>9.9055196419691779E-2</v>
      </c>
      <c r="Y14" s="98">
        <f>(regional_rental_cpi_transposed!Y15-regional_rental_cpi_transposed!Y14)/regional_rental_cpi_transposed!Y14</f>
        <v>9.5953757225433603E-2</v>
      </c>
      <c r="Z14" s="98">
        <f>(regional_rental_cpi_transposed!Z15-regional_rental_cpi_transposed!Z14)/regional_rental_cpi_transposed!Z14</f>
        <v>9.7599216070553732E-2</v>
      </c>
      <c r="AA14" s="98">
        <f>(regional_rental_cpi_transposed!AA15-regional_rental_cpi_transposed!AA14)/regional_rental_cpi_transposed!AA14</f>
        <v>9.9799599198396871E-2</v>
      </c>
    </row>
    <row r="15" spans="1:27">
      <c r="A15">
        <v>2018</v>
      </c>
      <c r="B15" s="98">
        <f>(regional_rental_cpi_transposed!B16-regional_rental_cpi_transposed!B15)/regional_rental_cpi_transposed!B15</f>
        <v>9.1897468454884515E-2</v>
      </c>
      <c r="C15" s="98">
        <f>(regional_rental_cpi_transposed!C16-regional_rental_cpi_transposed!C15)/regional_rental_cpi_transposed!C15</f>
        <v>0.10179324894514766</v>
      </c>
      <c r="D15" s="98">
        <f>(regional_rental_cpi_transposed!D16-regional_rental_cpi_transposed!D15)/regional_rental_cpi_transposed!D15</f>
        <v>0.10269599148634266</v>
      </c>
      <c r="E15" s="98">
        <f>(regional_rental_cpi_transposed!E16-regional_rental_cpi_transposed!E15)/regional_rental_cpi_transposed!E15</f>
        <v>9.6291368701147489E-2</v>
      </c>
      <c r="F15" s="98">
        <f>(regional_rental_cpi_transposed!F16-regional_rental_cpi_transposed!F15)/regional_rental_cpi_transposed!F15</f>
        <v>0.10046850598646537</v>
      </c>
      <c r="G15" s="98">
        <f>(regional_rental_cpi_transposed!G16-regional_rental_cpi_transposed!G15)/regional_rental_cpi_transposed!G15</f>
        <v>0.10315339390700158</v>
      </c>
      <c r="H15" s="98">
        <f>(regional_rental_cpi_transposed!H16-regional_rental_cpi_transposed!H15)/regional_rental_cpi_transposed!H15</f>
        <v>0.10134780325573252</v>
      </c>
      <c r="I15" s="98">
        <f>(regional_rental_cpi_transposed!I16-regional_rental_cpi_transposed!I15)/regional_rental_cpi_transposed!I15</f>
        <v>0.10112653916688497</v>
      </c>
      <c r="J15" s="98">
        <f>(regional_rental_cpi_transposed!J16-regional_rental_cpi_transposed!J15)/regional_rental_cpi_transposed!J15</f>
        <v>9.7713273141507032E-2</v>
      </c>
      <c r="K15" s="98">
        <f>(regional_rental_cpi_transposed!K16-regional_rental_cpi_transposed!K15)/regional_rental_cpi_transposed!K15</f>
        <v>0.10157003771598981</v>
      </c>
      <c r="L15" s="98">
        <f>(regional_rental_cpi_transposed!L16-regional_rental_cpi_transposed!L15)/regional_rental_cpi_transposed!L15</f>
        <v>0.10269599148634266</v>
      </c>
      <c r="M15" s="98">
        <f>(regional_rental_cpi_transposed!M16-regional_rental_cpi_transposed!M15)/regional_rental_cpi_transposed!M15</f>
        <v>0.10003455425017276</v>
      </c>
      <c r="N15" s="98">
        <f>(regional_rental_cpi_transposed!N16-regional_rental_cpi_transposed!N15)/regional_rental_cpi_transposed!N15</f>
        <v>0.10384718859295128</v>
      </c>
      <c r="O15" s="98">
        <f>(regional_rental_cpi_transposed!O16-regional_rental_cpi_transposed!O15)/regional_rental_cpi_transposed!O15</f>
        <v>0.10526315789473682</v>
      </c>
      <c r="P15" s="98">
        <f>(regional_rental_cpi_transposed!P16-regional_rental_cpi_transposed!P15)/regional_rental_cpi_transposed!P15</f>
        <v>0.10408053208700339</v>
      </c>
      <c r="Q15" s="98">
        <f>(regional_rental_cpi_transposed!Q16-regional_rental_cpi_transposed!Q15)/regional_rental_cpi_transposed!Q15</f>
        <v>0.1029241845169318</v>
      </c>
      <c r="R15" s="98">
        <f>(regional_rental_cpi_transposed!R16-regional_rental_cpi_transposed!R15)/regional_rental_cpi_transposed!R15</f>
        <v>0.10338362646192302</v>
      </c>
      <c r="S15" s="98">
        <f>(regional_rental_cpi_transposed!S16-regional_rental_cpi_transposed!S15)/regional_rental_cpi_transposed!S15</f>
        <v>0.10338362646192302</v>
      </c>
      <c r="T15" s="98">
        <f>(regional_rental_cpi_transposed!T16-regional_rental_cpi_transposed!T15)/regional_rental_cpi_transposed!T15</f>
        <v>0.10157003771598981</v>
      </c>
      <c r="U15" s="98">
        <f>(regional_rental_cpi_transposed!U16-regional_rental_cpi_transposed!U15)/regional_rental_cpi_transposed!U15</f>
        <v>0.10431492658319068</v>
      </c>
      <c r="V15" s="98">
        <f>(regional_rental_cpi_transposed!V16-regional_rental_cpi_transposed!V15)/regional_rental_cpi_transposed!V15</f>
        <v>0.10478689711338339</v>
      </c>
      <c r="W15" s="98">
        <f>(regional_rental_cpi_transposed!W16-regional_rental_cpi_transposed!W15)/regional_rental_cpi_transposed!W15</f>
        <v>0.10431492658319068</v>
      </c>
      <c r="X15" s="98">
        <f>(regional_rental_cpi_transposed!X16-regional_rental_cpi_transposed!X15)/regional_rental_cpi_transposed!X15</f>
        <v>0.10478689711338339</v>
      </c>
      <c r="Y15" s="98">
        <f>(regional_rental_cpi_transposed!Y16-regional_rental_cpi_transposed!Y15)/regional_rental_cpi_transposed!Y15</f>
        <v>0.10179324894514766</v>
      </c>
      <c r="Z15" s="98">
        <f>(regional_rental_cpi_transposed!Z16-regional_rental_cpi_transposed!Z15)/regional_rental_cpi_transposed!Z15</f>
        <v>0.10338362646192302</v>
      </c>
      <c r="AA15" s="98">
        <f>(regional_rental_cpi_transposed!AA16-regional_rental_cpi_transposed!AA15)/regional_rental_cpi_transposed!AA15</f>
        <v>0.10550291545189502</v>
      </c>
    </row>
    <row r="16" spans="1:27">
      <c r="A16">
        <v>2019</v>
      </c>
      <c r="B16" s="98">
        <f>(regional_rental_cpi_transposed!B17-regional_rental_cpi_transposed!B16)/regional_rental_cpi_transposed!B16</f>
        <v>8.3817864670397549E-2</v>
      </c>
      <c r="C16" s="98">
        <f>(regional_rental_cpi_transposed!C17-regional_rental_cpi_transposed!C16)/regional_rental_cpi_transposed!C16</f>
        <v>9.2009733524812495E-2</v>
      </c>
      <c r="D16" s="98">
        <f>(regional_rental_cpi_transposed!D17-regional_rental_cpi_transposed!D16)/regional_rental_cpi_transposed!D16</f>
        <v>9.2749718513752605E-2</v>
      </c>
      <c r="E16" s="98">
        <f>(regional_rental_cpi_transposed!E17-regional_rental_cpi_transposed!E16)/regional_rental_cpi_transposed!E16</f>
        <v>8.7473452669902904E-2</v>
      </c>
      <c r="F16" s="98">
        <f>(regional_rental_cpi_transposed!F17-regional_rental_cpi_transposed!F16)/regional_rental_cpi_transposed!F16</f>
        <v>9.0921633554083878E-2</v>
      </c>
      <c r="G16" s="98">
        <f>(regional_rental_cpi_transposed!G17-regional_rental_cpi_transposed!G16)/regional_rental_cpi_transposed!G16</f>
        <v>9.3124192506459938E-2</v>
      </c>
      <c r="H16" s="98">
        <f>(regional_rental_cpi_transposed!H17-regional_rental_cpi_transposed!H16)/regional_rental_cpi_transposed!H16</f>
        <v>9.1644151303242202E-2</v>
      </c>
      <c r="I16" s="98">
        <f>(regional_rental_cpi_transposed!I17-regional_rental_cpi_transposed!I16)/regional_rental_cpi_transposed!I16</f>
        <v>9.1462447458164786E-2</v>
      </c>
      <c r="J16" s="98">
        <f>(regional_rental_cpi_transposed!J17-regional_rental_cpi_transposed!J16)/regional_rental_cpi_transposed!J16</f>
        <v>8.8650165270197548E-2</v>
      </c>
      <c r="K16" s="98">
        <f>(regional_rental_cpi_transposed!K17-regional_rental_cpi_transposed!K16)/regional_rental_cpi_transposed!K16</f>
        <v>9.1826578549247542E-2</v>
      </c>
      <c r="L16" s="98">
        <f>(regional_rental_cpi_transposed!L17-regional_rental_cpi_transposed!L16)/regional_rental_cpi_transposed!L16</f>
        <v>9.2749718513752605E-2</v>
      </c>
      <c r="M16" s="98">
        <f>(regional_rental_cpi_transposed!M17-regional_rental_cpi_transposed!M16)/regional_rental_cpi_transposed!M16</f>
        <v>9.0564630124077256E-2</v>
      </c>
      <c r="N16" s="98">
        <f>(regional_rental_cpi_transposed!N17-regional_rental_cpi_transposed!N16)/regional_rental_cpi_transposed!N16</f>
        <v>9.3691607766674775E-2</v>
      </c>
      <c r="O16" s="98">
        <f>(regional_rental_cpi_transposed!O17-regional_rental_cpi_transposed!O16)/regional_rental_cpi_transposed!O16</f>
        <v>9.4847438111686805E-2</v>
      </c>
      <c r="P16" s="98">
        <f>(regional_rental_cpi_transposed!P17-regional_rental_cpi_transposed!P16)/regional_rental_cpi_transposed!P16</f>
        <v>9.3882285900358173E-2</v>
      </c>
      <c r="Q16" s="98">
        <f>(regional_rental_cpi_transposed!Q17-regional_rental_cpi_transposed!Q16)/regional_rental_cpi_transposed!Q16</f>
        <v>9.2936578289950833E-2</v>
      </c>
      <c r="R16" s="98">
        <f>(regional_rental_cpi_transposed!R17-regional_rental_cpi_transposed!R16)/regional_rental_cpi_transposed!R16</f>
        <v>9.3312565741564837E-2</v>
      </c>
      <c r="S16" s="98">
        <f>(regional_rental_cpi_transposed!S17-regional_rental_cpi_transposed!S16)/regional_rental_cpi_transposed!S16</f>
        <v>9.3312565741564837E-2</v>
      </c>
      <c r="T16" s="98">
        <f>(regional_rental_cpi_transposed!T17-regional_rental_cpi_transposed!T16)/regional_rental_cpi_transposed!T16</f>
        <v>9.1826578549247542E-2</v>
      </c>
      <c r="U16" s="98">
        <f>(regional_rental_cpi_transposed!U17-regional_rental_cpi_transposed!U16)/regional_rental_cpi_transposed!U16</f>
        <v>9.4073741740761871E-2</v>
      </c>
      <c r="V16" s="98">
        <f>(regional_rental_cpi_transposed!V17-regional_rental_cpi_transposed!V16)/regional_rental_cpi_transposed!V16</f>
        <v>9.4459005651568506E-2</v>
      </c>
      <c r="W16" s="98">
        <f>(regional_rental_cpi_transposed!W17-regional_rental_cpi_transposed!W16)/regional_rental_cpi_transposed!W16</f>
        <v>9.4073741740761871E-2</v>
      </c>
      <c r="X16" s="98">
        <f>(regional_rental_cpi_transposed!X17-regional_rental_cpi_transposed!X16)/regional_rental_cpi_transposed!X16</f>
        <v>9.4459005651568506E-2</v>
      </c>
      <c r="Y16" s="98">
        <f>(regional_rental_cpi_transposed!Y17-regional_rental_cpi_transposed!Y16)/regional_rental_cpi_transposed!Y16</f>
        <v>9.2009733524812495E-2</v>
      </c>
      <c r="Z16" s="98">
        <f>(regional_rental_cpi_transposed!Z17-regional_rental_cpi_transposed!Z16)/regional_rental_cpi_transposed!Z16</f>
        <v>9.3312565741564837E-2</v>
      </c>
      <c r="AA16" s="98">
        <f>(regional_rental_cpi_transposed!AA17-regional_rental_cpi_transposed!AA16)/regional_rental_cpi_transposed!AA16</f>
        <v>9.5042854788198433E-2</v>
      </c>
    </row>
    <row r="17" spans="1:27">
      <c r="A17">
        <v>2020</v>
      </c>
      <c r="B17" s="98">
        <f>(regional_rental_cpi_transposed!B18-regional_rental_cpi_transposed!B17)/regional_rental_cpi_transposed!B17</f>
        <v>9.1015775620714445E-2</v>
      </c>
      <c r="C17" s="98">
        <f>(regional_rental_cpi_transposed!C18-regional_rental_cpi_transposed!C17)/regional_rental_cpi_transposed!C17</f>
        <v>9.9161628522895326E-2</v>
      </c>
      <c r="D17" s="98">
        <f>(regional_rental_cpi_transposed!D18-regional_rental_cpi_transposed!D17)/regional_rental_cpi_transposed!D17</f>
        <v>9.9891442344845288E-2</v>
      </c>
      <c r="E17" s="98">
        <f>(regional_rental_cpi_transposed!E18-regional_rental_cpi_transposed!E17)/regional_rental_cpi_transposed!E17</f>
        <v>9.4665992432300408E-2</v>
      </c>
      <c r="F17" s="98">
        <f>(regional_rental_cpi_transposed!F18-regional_rental_cpi_transposed!F17)/regional_rental_cpi_transposed!F17</f>
        <v>9.8086686299662079E-2</v>
      </c>
      <c r="G17" s="98">
        <f>(regional_rental_cpi_transposed!G18-regional_rental_cpi_transposed!G17)/regional_rental_cpi_transposed!G17</f>
        <v>0.10026039262036227</v>
      </c>
      <c r="H17" s="98">
        <f>(regional_rental_cpi_transposed!H18-regional_rental_cpi_transposed!H17)/regional_rental_cpi_transposed!H17</f>
        <v>9.8800706109301278E-2</v>
      </c>
      <c r="I17" s="98">
        <f>(regional_rental_cpi_transposed!I18-regional_rental_cpi_transposed!I17)/regional_rental_cpi_transposed!I17</f>
        <v>9.8621228360188135E-2</v>
      </c>
      <c r="J17" s="98">
        <f>(regional_rental_cpi_transposed!J18-regional_rental_cpi_transposed!J17)/regional_rental_cpi_transposed!J17</f>
        <v>9.5835760560645314E-2</v>
      </c>
      <c r="K17" s="98">
        <f>(regional_rental_cpi_transposed!K18-regional_rental_cpi_transposed!K17)/regional_rental_cpi_transposed!K17</f>
        <v>9.8980838301518645E-2</v>
      </c>
      <c r="L17" s="98">
        <f>(regional_rental_cpi_transposed!L18-regional_rental_cpi_transposed!L17)/regional_rental_cpi_transposed!L17</f>
        <v>9.9891442344845288E-2</v>
      </c>
      <c r="M17" s="98">
        <f>(regional_rental_cpi_transposed!M18-regional_rental_cpi_transposed!M17)/regional_rental_cpi_transposed!M17</f>
        <v>9.773353255684164E-2</v>
      </c>
      <c r="N17" s="98">
        <f>(regional_rental_cpi_transposed!N18-regional_rental_cpi_transposed!N17)/regional_rental_cpi_transposed!N17</f>
        <v>0.10081895671228799</v>
      </c>
      <c r="O17" s="98">
        <f>(regional_rental_cpi_transposed!O18-regional_rental_cpi_transposed!O17)/regional_rental_cpi_transposed!O17</f>
        <v>0.1019549662904467</v>
      </c>
      <c r="P17" s="98">
        <f>(regional_rental_cpi_transposed!P18-regional_rental_cpi_transposed!P17)/regional_rental_cpi_transposed!P17</f>
        <v>0.10100653035405303</v>
      </c>
      <c r="Q17" s="98">
        <f>(regional_rental_cpi_transposed!Q18-regional_rental_cpi_transposed!Q17)/regional_rental_cpi_transposed!Q17</f>
        <v>0.10007557742999865</v>
      </c>
      <c r="R17" s="98">
        <f>(regional_rental_cpi_transposed!R18-regional_rental_cpi_transposed!R17)/regional_rental_cpi_transposed!R17</f>
        <v>0.10044589169087302</v>
      </c>
      <c r="S17" s="98">
        <f>(regional_rental_cpi_transposed!S18-regional_rental_cpi_transposed!S17)/regional_rental_cpi_transposed!S17</f>
        <v>0.10044589169087302</v>
      </c>
      <c r="T17" s="98">
        <f>(regional_rental_cpi_transposed!T18-regional_rental_cpi_transposed!T17)/regional_rental_cpi_transposed!T17</f>
        <v>9.8980838301518645E-2</v>
      </c>
      <c r="U17" s="98">
        <f>(regional_rental_cpi_transposed!U18-regional_rental_cpi_transposed!U17)/regional_rental_cpi_transposed!U17</f>
        <v>0.10119480325821537</v>
      </c>
      <c r="V17" s="98">
        <f>(regional_rental_cpi_transposed!V18-regional_rental_cpi_transposed!V17)/regional_rental_cpi_transposed!V17</f>
        <v>0.10157346255308793</v>
      </c>
      <c r="W17" s="98">
        <f>(regional_rental_cpi_transposed!W18-regional_rental_cpi_transposed!W17)/regional_rental_cpi_transposed!W17</f>
        <v>0.10119480325821537</v>
      </c>
      <c r="X17" s="98">
        <f>(regional_rental_cpi_transposed!X18-regional_rental_cpi_transposed!X17)/regional_rental_cpi_transposed!X17</f>
        <v>0.10157346255308793</v>
      </c>
      <c r="Y17" s="98">
        <f>(regional_rental_cpi_transposed!Y18-regional_rental_cpi_transposed!Y17)/regional_rental_cpi_transposed!Y17</f>
        <v>9.9161628522895326E-2</v>
      </c>
      <c r="Z17" s="98">
        <f>(regional_rental_cpi_transposed!Z18-regional_rental_cpi_transposed!Z17)/regional_rental_cpi_transposed!Z17</f>
        <v>0.10044589169087302</v>
      </c>
      <c r="AA17" s="98">
        <f>(regional_rental_cpi_transposed!AA18-regional_rental_cpi_transposed!AA17)/regional_rental_cpi_transposed!AA17</f>
        <v>0.10214679485973388</v>
      </c>
    </row>
    <row r="18" spans="1:27">
      <c r="A18">
        <v>2021</v>
      </c>
      <c r="B18" s="98">
        <f>(regional_rental_cpi_transposed!B19-regional_rental_cpi_transposed!B18)/regional_rental_cpi_transposed!B18</f>
        <v>0.21047051230830702</v>
      </c>
      <c r="C18" s="98">
        <f>(regional_rental_cpi_transposed!C19-regional_rental_cpi_transposed!C18)/regional_rental_cpi_transposed!C18</f>
        <v>0.22760809598192036</v>
      </c>
      <c r="D18" s="98">
        <f>(regional_rental_cpi_transposed!D19-regional_rental_cpi_transposed!D18)/regional_rental_cpi_transposed!D18</f>
        <v>0.22913111847167861</v>
      </c>
      <c r="E18" s="98">
        <f>(regional_rental_cpi_transposed!E19-regional_rental_cpi_transposed!E18)/regional_rental_cpi_transposed!E18</f>
        <v>0.2181815285609609</v>
      </c>
      <c r="F18" s="98">
        <f>(regional_rental_cpi_transposed!F19-regional_rental_cpi_transposed!F18)/regional_rental_cpi_transposed!F18</f>
        <v>0.22536115041626911</v>
      </c>
      <c r="G18" s="98">
        <f>(regional_rental_cpi_transposed!G19-regional_rental_cpi_transposed!G18)/regional_rental_cpi_transposed!G18</f>
        <v>0.22990029876800167</v>
      </c>
      <c r="H18" s="98">
        <f>(regional_rental_cpi_transposed!H19-regional_rental_cpi_transposed!H18)/regional_rental_cpi_transposed!H18</f>
        <v>0.2268541521746332</v>
      </c>
      <c r="I18" s="98">
        <f>(regional_rental_cpi_transposed!I19-regional_rental_cpi_transposed!I18)/regional_rental_cpi_transposed!I18</f>
        <v>0.22647905023314269</v>
      </c>
      <c r="J18" s="98">
        <f>(regional_rental_cpi_transposed!J19-regional_rental_cpi_transposed!J18)/regional_rental_cpi_transposed!J18</f>
        <v>0.22064177325300433</v>
      </c>
      <c r="K18" s="98">
        <f>(regional_rental_cpi_transposed!K19-regional_rental_cpi_transposed!K18)/regional_rental_cpi_transposed!K18</f>
        <v>0.22723049868940581</v>
      </c>
      <c r="L18" s="98">
        <f>(regional_rental_cpi_transposed!L19-regional_rental_cpi_transposed!L18)/regional_rental_cpi_transposed!L18</f>
        <v>0.22913111847167861</v>
      </c>
      <c r="M18" s="98">
        <f>(regional_rental_cpi_transposed!M19-regional_rental_cpi_transposed!M18)/regional_rental_cpi_transposed!M18</f>
        <v>0.22462199481780321</v>
      </c>
      <c r="N18" s="98">
        <f>(regional_rental_cpi_transposed!N19-regional_rental_cpi_transposed!N18)/regional_rental_cpi_transposed!N18</f>
        <v>0.23106380107291075</v>
      </c>
      <c r="O18" s="98">
        <f>(regional_rental_cpi_transposed!O19-regional_rental_cpi_transposed!O18)/regional_rental_cpi_transposed!O18</f>
        <v>0.23342649715395894</v>
      </c>
      <c r="P18" s="98">
        <f>(regional_rental_cpi_transposed!P19-regional_rental_cpi_transposed!P18)/regional_rental_cpi_transposed!P18</f>
        <v>0.23145425664943059</v>
      </c>
      <c r="Q18" s="98">
        <f>(regional_rental_cpi_transposed!Q19-regional_rental_cpi_transposed!Q18)/regional_rental_cpi_transposed!Q18</f>
        <v>0.229515064177754</v>
      </c>
      <c r="R18" s="98">
        <f>(regional_rental_cpi_transposed!R19-regional_rental_cpi_transposed!R18)/regional_rental_cpi_transposed!R18</f>
        <v>0.23028682874340098</v>
      </c>
      <c r="S18" s="98">
        <f>(regional_rental_cpi_transposed!S19-regional_rental_cpi_transposed!S18)/regional_rental_cpi_transposed!S18</f>
        <v>0.23028682874340098</v>
      </c>
      <c r="T18" s="98">
        <f>(regional_rental_cpi_transposed!T19-regional_rental_cpi_transposed!T18)/regional_rental_cpi_transposed!T18</f>
        <v>0.22723049868940581</v>
      </c>
      <c r="U18" s="98">
        <f>(regional_rental_cpi_transposed!U19-regional_rental_cpi_transposed!U18)/regional_rental_cpi_transposed!U18</f>
        <v>0.2318460340566709</v>
      </c>
      <c r="V18" s="98">
        <f>(regional_rental_cpi_transposed!V19-regional_rental_cpi_transposed!V18)/regional_rental_cpi_transposed!V18</f>
        <v>0.23263358130371281</v>
      </c>
      <c r="W18" s="98">
        <f>(regional_rental_cpi_transposed!W19-regional_rental_cpi_transposed!W18)/regional_rental_cpi_transposed!W18</f>
        <v>0.2318460340566709</v>
      </c>
      <c r="X18" s="98">
        <f>(regional_rental_cpi_transposed!X19-regional_rental_cpi_transposed!X18)/regional_rental_cpi_transposed!X18</f>
        <v>0.23263358130371281</v>
      </c>
      <c r="Y18" s="98">
        <f>(regional_rental_cpi_transposed!Y19-regional_rental_cpi_transposed!Y18)/regional_rental_cpi_transposed!Y18</f>
        <v>0.22760809598192036</v>
      </c>
      <c r="Z18" s="98">
        <f>(regional_rental_cpi_transposed!Z19-regional_rental_cpi_transposed!Z18)/regional_rental_cpi_transposed!Z18</f>
        <v>0.23028682874340098</v>
      </c>
      <c r="AA18" s="98">
        <f>(regional_rental_cpi_transposed!AA19-regional_rental_cpi_transposed!AA18)/regional_rental_cpi_transposed!AA18</f>
        <v>0.23382498548943295</v>
      </c>
    </row>
    <row r="19" spans="1:27">
      <c r="A19">
        <v>2022</v>
      </c>
      <c r="B19" s="98">
        <f>(regional_rental_cpi_transposed!B20-regional_rental_cpi_transposed!B19)/regional_rental_cpi_transposed!B19</f>
        <v>0.71087273881307522</v>
      </c>
      <c r="C19" s="98">
        <f>(regional_rental_cpi_transposed!C20-regional_rental_cpi_transposed!C19)/regional_rental_cpi_transposed!C19</f>
        <v>0.75802368866328262</v>
      </c>
      <c r="D19" s="98">
        <f>(regional_rental_cpi_transposed!D20-regional_rental_cpi_transposed!D19)/regional_rental_cpi_transposed!D19</f>
        <v>0.76215039128955431</v>
      </c>
      <c r="E19" s="98">
        <f>(regional_rental_cpi_transposed!E20-regional_rental_cpi_transposed!E19)/regional_rental_cpi_transposed!E19</f>
        <v>0.73225237005557375</v>
      </c>
      <c r="F19" s="98">
        <f>(regional_rental_cpi_transposed!F20-regional_rental_cpi_transposed!F19)/regional_rental_cpi_transposed!F19</f>
        <v>0.75191675058744545</v>
      </c>
      <c r="G19" s="98">
        <f>(regional_rental_cpi_transposed!G20-regional_rental_cpi_transposed!G19)/regional_rental_cpi_transposed!G19</f>
        <v>0.76423063800750601</v>
      </c>
      <c r="H19" s="98">
        <f>(regional_rental_cpi_transposed!H20-regional_rental_cpi_transposed!H19)/regional_rental_cpi_transposed!H19</f>
        <v>0.75597705028687145</v>
      </c>
      <c r="I19" s="98">
        <f>(regional_rental_cpi_transposed!I20-regional_rental_cpi_transposed!I19)/regional_rental_cpi_transposed!I19</f>
        <v>0.75495786990225822</v>
      </c>
      <c r="J19" s="98">
        <f>(regional_rental_cpi_transposed!J20-regional_rental_cpi_transposed!J19)/regional_rental_cpi_transposed!J19</f>
        <v>0.73901682612999009</v>
      </c>
      <c r="K19" s="98">
        <f>(regional_rental_cpi_transposed!K20-regional_rental_cpi_transposed!K19)/regional_rental_cpi_transposed!K19</f>
        <v>0.75699898614396754</v>
      </c>
      <c r="L19" s="98">
        <f>(regional_rental_cpi_transposed!L20-regional_rental_cpi_transposed!L19)/regional_rental_cpi_transposed!L19</f>
        <v>0.76215039128955431</v>
      </c>
      <c r="M19" s="98">
        <f>(regional_rental_cpi_transposed!M20-regional_rental_cpi_transposed!M19)/regional_rental_cpi_transposed!M19</f>
        <v>0.74990291262135922</v>
      </c>
      <c r="N19" s="98">
        <f>(regional_rental_cpi_transposed!N20-regional_rental_cpi_transposed!N19)/regional_rental_cpi_transposed!N19</f>
        <v>0.76737238780404249</v>
      </c>
      <c r="O19" s="98">
        <f>(regional_rental_cpi_transposed!O20-regional_rental_cpi_transposed!O19)/regional_rental_cpi_transposed!O19</f>
        <v>0.77373402417962001</v>
      </c>
      <c r="P19" s="98">
        <f>(regional_rental_cpi_transposed!P20-regional_rental_cpi_transposed!P19)/regional_rental_cpi_transposed!P19</f>
        <v>0.7684253859348199</v>
      </c>
      <c r="Q19" s="98">
        <f>(regional_rental_cpi_transposed!Q20-regional_rental_cpi_transposed!Q19)/regional_rental_cpi_transposed!Q19</f>
        <v>0.76318909710391825</v>
      </c>
      <c r="R19" s="98">
        <f>(regional_rental_cpi_transposed!R20-regional_rental_cpi_transposed!R19)/regional_rental_cpi_transposed!R19</f>
        <v>0.76527502562350536</v>
      </c>
      <c r="S19" s="98">
        <f>(regional_rental_cpi_transposed!S20-regional_rental_cpi_transposed!S19)/regional_rental_cpi_transposed!S19</f>
        <v>0.76527502562350536</v>
      </c>
      <c r="T19" s="98">
        <f>(regional_rental_cpi_transposed!T20-regional_rental_cpi_transposed!T19)/regional_rental_cpi_transposed!T19</f>
        <v>0.75699898614396754</v>
      </c>
      <c r="U19" s="98">
        <f>(regional_rental_cpi_transposed!U20-regional_rental_cpi_transposed!U19)/regional_rental_cpi_transposed!U19</f>
        <v>0.76948127791137066</v>
      </c>
      <c r="V19" s="98">
        <f>(regional_rental_cpi_transposed!V20-regional_rental_cpi_transposed!V19)/regional_rental_cpi_transposed!V19</f>
        <v>0.7716017912504306</v>
      </c>
      <c r="W19" s="98">
        <f>(regional_rental_cpi_transposed!W20-regional_rental_cpi_transposed!W19)/regional_rental_cpi_transposed!W19</f>
        <v>0.76948127791137066</v>
      </c>
      <c r="X19" s="98">
        <f>(regional_rental_cpi_transposed!X20-regional_rental_cpi_transposed!X19)/regional_rental_cpi_transposed!X19</f>
        <v>0.7716017912504306</v>
      </c>
      <c r="Y19" s="98">
        <f>(regional_rental_cpi_transposed!Y20-regional_rental_cpi_transposed!Y19)/regional_rental_cpi_transposed!Y19</f>
        <v>0.75802368866328262</v>
      </c>
      <c r="Z19" s="98">
        <f>(regional_rental_cpi_transposed!Z20-regional_rental_cpi_transposed!Z19)/regional_rental_cpi_transposed!Z19</f>
        <v>0.76527502562350536</v>
      </c>
      <c r="AA19" s="98">
        <f>(regional_rental_cpi_transposed!AA20-regional_rental_cpi_transposed!AA19)/regional_rental_cpi_transposed!AA19</f>
        <v>0.77480456589415425</v>
      </c>
    </row>
  </sheetData>
  <phoneticPr fontId="9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1DD98-1B66-3447-BEEA-177B29DA516F}">
  <dimension ref="A1:V22"/>
  <sheetViews>
    <sheetView workbookViewId="0">
      <selection activeCell="C20" sqref="C20"/>
    </sheetView>
  </sheetViews>
  <sheetFormatPr baseColWidth="10" defaultRowHeight="16"/>
  <sheetData>
    <row r="1" spans="1:22">
      <c r="A1" s="77" t="s">
        <v>1051</v>
      </c>
      <c r="B1" s="77" t="s">
        <v>0</v>
      </c>
      <c r="C1" s="74" t="s">
        <v>1031</v>
      </c>
      <c r="D1" s="74" t="s">
        <v>1032</v>
      </c>
      <c r="E1" s="74" t="s">
        <v>1033</v>
      </c>
      <c r="F1" s="74" t="s">
        <v>1034</v>
      </c>
      <c r="G1" s="74" t="s">
        <v>1035</v>
      </c>
      <c r="H1" s="74" t="s">
        <v>1036</v>
      </c>
      <c r="I1" s="74" t="s">
        <v>1037</v>
      </c>
      <c r="J1" s="74" t="s">
        <v>1038</v>
      </c>
      <c r="K1" s="74" t="s">
        <v>1039</v>
      </c>
      <c r="L1" s="74" t="s">
        <v>1040</v>
      </c>
      <c r="M1" s="74" t="s">
        <v>1041</v>
      </c>
      <c r="N1" s="74" t="s">
        <v>1042</v>
      </c>
      <c r="O1" s="74" t="s">
        <v>1043</v>
      </c>
      <c r="P1" s="74" t="s">
        <v>1044</v>
      </c>
      <c r="Q1" s="74" t="s">
        <v>1045</v>
      </c>
      <c r="R1" s="74" t="s">
        <v>1046</v>
      </c>
      <c r="S1" s="74" t="s">
        <v>1047</v>
      </c>
      <c r="T1" s="74" t="s">
        <v>1048</v>
      </c>
      <c r="U1" s="74" t="s">
        <v>1049</v>
      </c>
      <c r="V1" s="74" t="s">
        <v>1050</v>
      </c>
    </row>
    <row r="2" spans="1:22">
      <c r="B2">
        <v>2005</v>
      </c>
    </row>
    <row r="3" spans="1:22">
      <c r="B3">
        <v>2006</v>
      </c>
    </row>
    <row r="4" spans="1:22">
      <c r="B4">
        <v>2007</v>
      </c>
    </row>
    <row r="5" spans="1:22">
      <c r="B5">
        <v>2008</v>
      </c>
    </row>
    <row r="6" spans="1:22">
      <c r="B6">
        <v>2009</v>
      </c>
    </row>
    <row r="7" spans="1:22">
      <c r="A7" t="s">
        <v>1052</v>
      </c>
      <c r="B7" s="75">
        <v>2010</v>
      </c>
      <c r="C7" s="76">
        <v>4.7</v>
      </c>
      <c r="D7" s="76">
        <v>4.28</v>
      </c>
      <c r="E7" s="76">
        <v>5.23</v>
      </c>
      <c r="F7" s="76">
        <v>4.08</v>
      </c>
      <c r="G7" s="76">
        <v>4.4400000000000004</v>
      </c>
      <c r="H7" s="76">
        <v>4.5199999999999996</v>
      </c>
      <c r="I7" s="76">
        <v>3.78</v>
      </c>
      <c r="J7" s="76">
        <v>5.38</v>
      </c>
      <c r="K7" s="76">
        <v>5.29</v>
      </c>
      <c r="L7" s="76">
        <v>4.9400000000000004</v>
      </c>
      <c r="M7" s="76">
        <v>4.53</v>
      </c>
      <c r="N7" s="76">
        <v>3.27</v>
      </c>
      <c r="O7" s="76">
        <v>4.26</v>
      </c>
      <c r="P7" s="76">
        <v>5.58</v>
      </c>
      <c r="Q7" s="76">
        <v>5.62</v>
      </c>
      <c r="R7" s="76">
        <v>5.22</v>
      </c>
      <c r="S7" s="76">
        <v>5.38</v>
      </c>
      <c r="T7" s="76">
        <v>5.97</v>
      </c>
      <c r="U7" s="76">
        <v>5.8</v>
      </c>
      <c r="V7" s="76">
        <v>5.0599999999999996</v>
      </c>
    </row>
    <row r="8" spans="1:22">
      <c r="A8" t="s">
        <v>1052</v>
      </c>
      <c r="B8" s="75">
        <v>2011</v>
      </c>
      <c r="C8" s="76">
        <v>5.1100000000000003</v>
      </c>
      <c r="D8" s="76">
        <v>4.74</v>
      </c>
      <c r="E8" s="76">
        <v>5.64</v>
      </c>
      <c r="F8" s="76">
        <v>4.47</v>
      </c>
      <c r="G8" s="76">
        <v>4.7300000000000004</v>
      </c>
      <c r="H8" s="76">
        <v>4.72</v>
      </c>
      <c r="I8" s="76">
        <v>4.0199999999999996</v>
      </c>
      <c r="J8" s="76">
        <v>5.89</v>
      </c>
      <c r="K8" s="76">
        <v>5.65</v>
      </c>
      <c r="L8" s="76">
        <v>5.19</v>
      </c>
      <c r="M8" s="76">
        <v>4.9000000000000004</v>
      </c>
      <c r="N8" s="76">
        <v>3.57</v>
      </c>
      <c r="O8" s="76">
        <v>4.72</v>
      </c>
      <c r="P8" s="76">
        <v>5.98</v>
      </c>
      <c r="Q8" s="76">
        <v>6.12</v>
      </c>
      <c r="R8" s="76">
        <v>5.51</v>
      </c>
      <c r="S8" s="76">
        <v>5.64</v>
      </c>
      <c r="T8" s="76">
        <v>6.67</v>
      </c>
      <c r="U8" s="76">
        <v>6.1</v>
      </c>
      <c r="V8" s="76">
        <v>5.85</v>
      </c>
    </row>
    <row r="9" spans="1:22">
      <c r="A9" t="s">
        <v>1052</v>
      </c>
      <c r="B9" s="75">
        <v>2012</v>
      </c>
      <c r="C9" s="76">
        <v>5.67</v>
      </c>
      <c r="D9" s="76">
        <v>5.3</v>
      </c>
      <c r="E9" s="76">
        <v>6.14</v>
      </c>
      <c r="F9" s="76">
        <v>4.88</v>
      </c>
      <c r="G9" s="76">
        <v>5.0199999999999996</v>
      </c>
      <c r="H9" s="76">
        <v>5.03</v>
      </c>
      <c r="I9" s="76">
        <v>4.29</v>
      </c>
      <c r="J9" s="76">
        <v>6.7</v>
      </c>
      <c r="K9" s="76">
        <v>5.99</v>
      </c>
      <c r="L9" s="76">
        <v>5.41</v>
      </c>
      <c r="M9" s="76">
        <v>5.54</v>
      </c>
      <c r="N9" s="76">
        <v>3.91</v>
      </c>
      <c r="O9" s="76">
        <v>5.21</v>
      </c>
      <c r="P9" s="76">
        <v>6.42</v>
      </c>
      <c r="Q9" s="76">
        <v>6.78</v>
      </c>
      <c r="R9" s="76">
        <v>5.98</v>
      </c>
      <c r="S9" s="76">
        <v>5.97</v>
      </c>
      <c r="T9" s="76">
        <v>7.82</v>
      </c>
      <c r="U9" s="76">
        <v>6.61</v>
      </c>
      <c r="V9" s="76">
        <v>7.03</v>
      </c>
    </row>
    <row r="10" spans="1:22">
      <c r="A10" t="s">
        <v>1052</v>
      </c>
      <c r="B10" s="75">
        <v>2013</v>
      </c>
      <c r="C10" s="76">
        <v>6.31</v>
      </c>
      <c r="D10" s="76">
        <v>6.11</v>
      </c>
      <c r="E10" s="76">
        <v>6.72</v>
      </c>
      <c r="F10" s="76">
        <v>5.45</v>
      </c>
      <c r="G10" s="76">
        <v>5.38</v>
      </c>
      <c r="H10" s="76">
        <v>5.38</v>
      </c>
      <c r="I10" s="76">
        <v>4.7300000000000004</v>
      </c>
      <c r="J10" s="76">
        <v>7.48</v>
      </c>
      <c r="K10" s="76">
        <v>6.47</v>
      </c>
      <c r="L10" s="76">
        <v>5.81</v>
      </c>
      <c r="M10" s="76">
        <v>6.13</v>
      </c>
      <c r="N10" s="76">
        <v>4.3499999999999996</v>
      </c>
      <c r="O10" s="76">
        <v>5.75</v>
      </c>
      <c r="P10" s="76">
        <v>6.84</v>
      </c>
      <c r="Q10" s="76">
        <v>7.45</v>
      </c>
      <c r="R10" s="76">
        <v>6.48</v>
      </c>
      <c r="S10" s="76">
        <v>6.42</v>
      </c>
      <c r="T10" s="76">
        <v>8.4600000000000009</v>
      </c>
      <c r="U10" s="76">
        <v>7.18</v>
      </c>
      <c r="V10" s="76">
        <v>7.87</v>
      </c>
    </row>
    <row r="11" spans="1:22">
      <c r="A11" t="s">
        <v>1052</v>
      </c>
      <c r="B11" s="75">
        <v>2014</v>
      </c>
      <c r="C11" s="76">
        <v>7.1</v>
      </c>
      <c r="D11" s="76">
        <v>7.32</v>
      </c>
      <c r="E11" s="76">
        <v>7.35</v>
      </c>
      <c r="F11" s="76">
        <v>6.11</v>
      </c>
      <c r="G11" s="76">
        <v>5.88</v>
      </c>
      <c r="H11" s="76">
        <v>5.79</v>
      </c>
      <c r="I11" s="76">
        <v>5.34</v>
      </c>
      <c r="J11" s="76">
        <v>8.1</v>
      </c>
      <c r="K11" s="76">
        <v>7.05</v>
      </c>
      <c r="L11" s="76">
        <v>6.44</v>
      </c>
      <c r="M11" s="76">
        <v>6.83</v>
      </c>
      <c r="N11" s="76">
        <v>4.99</v>
      </c>
      <c r="O11" s="76">
        <v>6.56</v>
      </c>
      <c r="P11" s="76">
        <v>7.65</v>
      </c>
      <c r="Q11" s="76">
        <v>8.27</v>
      </c>
      <c r="R11" s="76">
        <v>6.95</v>
      </c>
      <c r="S11" s="76">
        <v>6.98</v>
      </c>
      <c r="T11" s="76">
        <v>9.26</v>
      </c>
      <c r="U11" s="76">
        <v>7.62</v>
      </c>
      <c r="V11" s="76">
        <v>8.5500000000000007</v>
      </c>
    </row>
    <row r="12" spans="1:22">
      <c r="A12" t="s">
        <v>1052</v>
      </c>
      <c r="B12" s="75">
        <v>2015</v>
      </c>
      <c r="C12" s="76">
        <v>8.2200000000000006</v>
      </c>
      <c r="D12" s="76">
        <v>9.17</v>
      </c>
      <c r="E12" s="76">
        <v>8.15</v>
      </c>
      <c r="F12" s="76">
        <v>7.06</v>
      </c>
      <c r="G12" s="76">
        <v>6.8</v>
      </c>
      <c r="H12" s="76">
        <v>6.69</v>
      </c>
      <c r="I12" s="76">
        <v>6.36</v>
      </c>
      <c r="J12" s="76">
        <v>8.89</v>
      </c>
      <c r="K12" s="76">
        <v>7.86</v>
      </c>
      <c r="L12" s="76">
        <v>7.47</v>
      </c>
      <c r="M12" s="76">
        <v>7.71</v>
      </c>
      <c r="N12" s="76">
        <v>5.84</v>
      </c>
      <c r="O12" s="76">
        <v>7.66</v>
      </c>
      <c r="P12" s="76">
        <v>8.5399999999999991</v>
      </c>
      <c r="Q12" s="76">
        <v>9.14</v>
      </c>
      <c r="R12" s="76">
        <v>7.66</v>
      </c>
      <c r="S12" s="76">
        <v>7.81</v>
      </c>
      <c r="T12" s="76">
        <v>9.86</v>
      </c>
      <c r="U12" s="76">
        <v>8.39</v>
      </c>
      <c r="V12" s="76">
        <v>9.18</v>
      </c>
    </row>
    <row r="13" spans="1:22">
      <c r="A13" t="s">
        <v>1052</v>
      </c>
      <c r="B13" s="75">
        <v>2016</v>
      </c>
      <c r="C13" s="76">
        <v>9.27</v>
      </c>
      <c r="D13" s="76">
        <v>10.65</v>
      </c>
      <c r="E13" s="76">
        <v>8.91</v>
      </c>
      <c r="F13" s="76">
        <v>8.14</v>
      </c>
      <c r="G13" s="76">
        <v>8.18</v>
      </c>
      <c r="H13" s="76">
        <v>7.79</v>
      </c>
      <c r="I13" s="76">
        <v>7.37</v>
      </c>
      <c r="J13" s="76">
        <v>9.69</v>
      </c>
      <c r="K13" s="76">
        <v>8.89</v>
      </c>
      <c r="L13" s="76">
        <v>8.8000000000000007</v>
      </c>
      <c r="M13" s="76">
        <v>8.6199999999999992</v>
      </c>
      <c r="N13" s="76">
        <v>6.65</v>
      </c>
      <c r="O13" s="76">
        <v>8.75</v>
      </c>
      <c r="P13" s="76">
        <v>9.1300000000000008</v>
      </c>
      <c r="Q13" s="76">
        <v>9.8699999999999992</v>
      </c>
      <c r="R13" s="76">
        <v>8.44</v>
      </c>
      <c r="S13" s="76">
        <v>8.7899999999999991</v>
      </c>
      <c r="T13" s="76">
        <v>10.66</v>
      </c>
      <c r="U13" s="76">
        <v>9.0399999999999991</v>
      </c>
      <c r="V13" s="76">
        <v>9.5299999999999994</v>
      </c>
    </row>
    <row r="14" spans="1:22">
      <c r="A14" t="s">
        <v>1052</v>
      </c>
      <c r="B14" s="75">
        <v>2017</v>
      </c>
      <c r="C14" s="76">
        <v>10.28</v>
      </c>
      <c r="D14" s="76">
        <v>11.55</v>
      </c>
      <c r="E14" s="76">
        <v>9.68</v>
      </c>
      <c r="F14" s="76">
        <v>9.64</v>
      </c>
      <c r="G14" s="76">
        <v>9.5</v>
      </c>
      <c r="H14" s="76">
        <v>9.11</v>
      </c>
      <c r="I14" s="76">
        <v>8.48</v>
      </c>
      <c r="J14" s="76">
        <v>10.75</v>
      </c>
      <c r="K14" s="76">
        <v>10.39</v>
      </c>
      <c r="L14" s="76">
        <v>9.99</v>
      </c>
      <c r="M14" s="76">
        <v>9.67</v>
      </c>
      <c r="N14" s="76">
        <v>7.41</v>
      </c>
      <c r="O14" s="76">
        <v>9.7799999999999994</v>
      </c>
      <c r="P14" s="76">
        <v>9.75</v>
      </c>
      <c r="Q14" s="76">
        <v>10.91</v>
      </c>
      <c r="R14" s="76">
        <v>9.57</v>
      </c>
      <c r="S14" s="76">
        <v>10.11</v>
      </c>
      <c r="T14" s="76">
        <v>11.68</v>
      </c>
      <c r="U14" s="76">
        <v>10.23</v>
      </c>
      <c r="V14" s="76">
        <v>9.9600000000000009</v>
      </c>
    </row>
    <row r="15" spans="1:22">
      <c r="A15" t="s">
        <v>1052</v>
      </c>
      <c r="B15" s="75">
        <v>2018</v>
      </c>
      <c r="C15" s="76">
        <v>11.08</v>
      </c>
      <c r="D15" s="76">
        <v>11.92</v>
      </c>
      <c r="E15" s="76">
        <v>10.32</v>
      </c>
      <c r="F15" s="76">
        <v>10.98</v>
      </c>
      <c r="G15" s="76">
        <v>10.8</v>
      </c>
      <c r="H15" s="76">
        <v>10.27</v>
      </c>
      <c r="I15" s="76">
        <v>9.57</v>
      </c>
      <c r="J15" s="76">
        <v>11.73</v>
      </c>
      <c r="K15" s="76">
        <v>11.61</v>
      </c>
      <c r="L15" s="76">
        <v>10.84</v>
      </c>
      <c r="M15" s="76">
        <v>10.66</v>
      </c>
      <c r="N15" s="76">
        <v>8.14</v>
      </c>
      <c r="O15" s="76">
        <v>10.51</v>
      </c>
      <c r="P15" s="76">
        <v>10.51</v>
      </c>
      <c r="Q15" s="76">
        <v>11.97</v>
      </c>
      <c r="R15" s="76">
        <v>10.62</v>
      </c>
      <c r="S15" s="76">
        <v>11.15</v>
      </c>
      <c r="T15" s="76">
        <v>12.43</v>
      </c>
      <c r="U15" s="76">
        <v>11.86</v>
      </c>
      <c r="V15" s="76">
        <v>10.82</v>
      </c>
    </row>
    <row r="16" spans="1:22">
      <c r="A16" t="s">
        <v>1052</v>
      </c>
      <c r="B16" s="75">
        <v>2019</v>
      </c>
      <c r="C16" s="76">
        <v>11.61</v>
      </c>
      <c r="D16" s="76">
        <v>11.88</v>
      </c>
      <c r="E16" s="76">
        <v>10.89</v>
      </c>
      <c r="F16" s="76">
        <v>11.58</v>
      </c>
      <c r="G16" s="76">
        <v>11.27</v>
      </c>
      <c r="H16" s="76">
        <v>11.29</v>
      </c>
      <c r="I16" s="76">
        <v>10.31</v>
      </c>
      <c r="J16" s="76">
        <v>12.48</v>
      </c>
      <c r="K16" s="76">
        <v>12.17</v>
      </c>
      <c r="L16" s="76">
        <v>11.39</v>
      </c>
      <c r="M16" s="76">
        <v>11.34</v>
      </c>
      <c r="N16" s="76">
        <v>8.82</v>
      </c>
      <c r="O16" s="76">
        <v>10.83</v>
      </c>
      <c r="P16" s="76">
        <v>11.47</v>
      </c>
      <c r="Q16" s="76">
        <v>13.05</v>
      </c>
      <c r="R16" s="76">
        <v>11.65</v>
      </c>
      <c r="S16" s="76">
        <v>12</v>
      </c>
      <c r="T16" s="76">
        <v>13.54</v>
      </c>
      <c r="U16" s="76">
        <v>13.39</v>
      </c>
      <c r="V16" s="76">
        <v>11.75</v>
      </c>
    </row>
    <row r="17" spans="1:22">
      <c r="A17" t="s">
        <v>1052</v>
      </c>
      <c r="B17" s="75">
        <v>2020</v>
      </c>
      <c r="C17" s="76">
        <v>14.38</v>
      </c>
      <c r="D17" s="76">
        <v>14.27</v>
      </c>
      <c r="E17" s="76">
        <v>13.43</v>
      </c>
      <c r="F17" s="76">
        <v>14.56</v>
      </c>
      <c r="G17" s="76">
        <v>13.72</v>
      </c>
      <c r="H17" s="76">
        <v>14.09</v>
      </c>
      <c r="I17" s="76">
        <v>13.23</v>
      </c>
      <c r="J17" s="76">
        <v>15.37</v>
      </c>
      <c r="K17" s="76">
        <v>15.08</v>
      </c>
      <c r="L17" s="76">
        <v>13.69</v>
      </c>
      <c r="M17" s="76">
        <v>14.05</v>
      </c>
      <c r="N17" s="76">
        <v>11.76</v>
      </c>
      <c r="O17" s="76">
        <v>13.32</v>
      </c>
      <c r="P17" s="76">
        <v>14.74</v>
      </c>
      <c r="Q17" s="76">
        <v>16.12</v>
      </c>
      <c r="R17" s="76">
        <v>14.61</v>
      </c>
      <c r="S17" s="76">
        <v>14.54</v>
      </c>
      <c r="T17" s="76">
        <v>16.420000000000002</v>
      </c>
      <c r="U17" s="76">
        <v>17.05</v>
      </c>
      <c r="V17" s="76">
        <v>15.33</v>
      </c>
    </row>
    <row r="18" spans="1:22">
      <c r="A18" t="s">
        <v>1052</v>
      </c>
      <c r="B18" s="75">
        <v>2021</v>
      </c>
      <c r="C18" s="76">
        <v>19.77</v>
      </c>
      <c r="D18" s="76">
        <v>19.239999999999998</v>
      </c>
      <c r="E18" s="76">
        <v>17.989999999999998</v>
      </c>
      <c r="F18" s="76">
        <v>20.190000000000001</v>
      </c>
      <c r="G18" s="76">
        <v>18.25</v>
      </c>
      <c r="H18" s="76">
        <v>20.03</v>
      </c>
      <c r="I18" s="76">
        <v>19.54</v>
      </c>
      <c r="J18" s="76">
        <v>20.58</v>
      </c>
      <c r="K18" s="76">
        <v>20.5</v>
      </c>
      <c r="L18" s="76">
        <v>18.260000000000002</v>
      </c>
      <c r="M18" s="76">
        <v>19.59</v>
      </c>
      <c r="N18" s="76">
        <v>17.489999999999998</v>
      </c>
      <c r="O18" s="76">
        <v>18.78</v>
      </c>
      <c r="P18" s="76">
        <v>20.94</v>
      </c>
      <c r="Q18" s="76">
        <v>22.02</v>
      </c>
      <c r="R18" s="76">
        <v>19.68</v>
      </c>
      <c r="S18" s="76">
        <v>19.329999999999998</v>
      </c>
      <c r="T18" s="76">
        <v>21.82</v>
      </c>
      <c r="U18" s="76">
        <v>22.71</v>
      </c>
      <c r="V18" s="76">
        <v>22.45</v>
      </c>
    </row>
    <row r="19" spans="1:22">
      <c r="A19" t="s">
        <v>1052</v>
      </c>
      <c r="B19" s="75">
        <v>2022</v>
      </c>
      <c r="C19" s="76">
        <v>49.42</v>
      </c>
      <c r="D19" s="76">
        <v>52.54</v>
      </c>
      <c r="E19" s="76">
        <v>47.05</v>
      </c>
      <c r="F19" s="76">
        <v>48.99</v>
      </c>
      <c r="G19" s="76">
        <v>45.74</v>
      </c>
      <c r="H19" s="76">
        <v>48.15</v>
      </c>
      <c r="I19" s="76">
        <v>48.25</v>
      </c>
      <c r="J19" s="76">
        <v>46.8</v>
      </c>
      <c r="K19" s="76">
        <v>49.09</v>
      </c>
      <c r="L19" s="76">
        <v>46.5</v>
      </c>
      <c r="M19" s="76">
        <v>47.48</v>
      </c>
      <c r="N19" s="76">
        <v>47.84</v>
      </c>
      <c r="O19" s="76">
        <v>49.6</v>
      </c>
      <c r="P19" s="76">
        <v>47.94</v>
      </c>
      <c r="Q19" s="76">
        <v>50.08</v>
      </c>
      <c r="R19" s="76">
        <v>45.51</v>
      </c>
      <c r="S19" s="76">
        <v>44.11</v>
      </c>
      <c r="T19" s="76">
        <v>46.93</v>
      </c>
      <c r="U19" s="76">
        <v>48.7</v>
      </c>
      <c r="V19" s="76">
        <v>53.47</v>
      </c>
    </row>
    <row r="20" spans="1:22">
      <c r="A20" t="s">
        <v>1052</v>
      </c>
      <c r="B20" s="75">
        <v>2023</v>
      </c>
      <c r="C20" s="76">
        <v>100</v>
      </c>
      <c r="D20" s="76">
        <v>100</v>
      </c>
      <c r="E20" s="76">
        <v>100</v>
      </c>
      <c r="F20" s="76">
        <v>100</v>
      </c>
      <c r="G20" s="76">
        <v>100</v>
      </c>
      <c r="H20" s="76">
        <v>100</v>
      </c>
      <c r="I20" s="76">
        <v>100</v>
      </c>
      <c r="J20" s="76">
        <v>100</v>
      </c>
      <c r="K20" s="76">
        <v>100</v>
      </c>
      <c r="L20" s="76">
        <v>100</v>
      </c>
      <c r="M20" s="76">
        <v>100</v>
      </c>
      <c r="N20" s="76">
        <v>100</v>
      </c>
      <c r="O20" s="76">
        <v>100</v>
      </c>
      <c r="P20" s="76">
        <v>100</v>
      </c>
      <c r="Q20" s="76">
        <v>100</v>
      </c>
      <c r="R20" s="76">
        <v>100</v>
      </c>
      <c r="S20" s="76">
        <v>100</v>
      </c>
      <c r="T20" s="76">
        <v>100</v>
      </c>
      <c r="U20" s="76">
        <v>100</v>
      </c>
      <c r="V20" s="76">
        <v>100</v>
      </c>
    </row>
    <row r="21" spans="1:22">
      <c r="A21" t="s">
        <v>1052</v>
      </c>
      <c r="B21" s="75">
        <v>2024</v>
      </c>
      <c r="C21" s="76">
        <v>141.54</v>
      </c>
      <c r="D21" s="76">
        <v>132.31</v>
      </c>
      <c r="E21" s="76">
        <v>146.19999999999999</v>
      </c>
      <c r="F21" s="76">
        <v>138.38</v>
      </c>
      <c r="G21" s="76">
        <v>144.26</v>
      </c>
      <c r="H21" s="76">
        <v>146.37</v>
      </c>
      <c r="I21" s="76">
        <v>142.1</v>
      </c>
      <c r="J21" s="76">
        <v>153.74</v>
      </c>
      <c r="K21" s="76">
        <v>142.52000000000001</v>
      </c>
      <c r="L21" s="76">
        <v>145.99</v>
      </c>
      <c r="M21" s="76">
        <v>147.85</v>
      </c>
      <c r="N21" s="76">
        <v>129.15</v>
      </c>
      <c r="O21" s="76">
        <v>134.06</v>
      </c>
      <c r="P21" s="76">
        <v>153.88999999999999</v>
      </c>
      <c r="Q21" s="76">
        <v>148.41999999999999</v>
      </c>
      <c r="R21" s="76">
        <v>150.77000000000001</v>
      </c>
      <c r="S21" s="76">
        <v>153.93</v>
      </c>
      <c r="T21" s="76">
        <v>162.52000000000001</v>
      </c>
      <c r="U21" s="76">
        <v>161.46</v>
      </c>
      <c r="V21" s="76">
        <v>141.97</v>
      </c>
    </row>
    <row r="22" spans="1:22">
      <c r="A22" t="s">
        <v>1052</v>
      </c>
      <c r="B22" s="75">
        <v>2025</v>
      </c>
      <c r="C22" s="76">
        <v>171.68</v>
      </c>
      <c r="D22" s="76">
        <v>159.01</v>
      </c>
      <c r="E22" s="76">
        <v>184.54</v>
      </c>
      <c r="F22" s="76">
        <v>167.73</v>
      </c>
      <c r="G22" s="76">
        <v>172.81</v>
      </c>
      <c r="H22" s="76">
        <v>179.03</v>
      </c>
      <c r="I22" s="76">
        <v>170.57</v>
      </c>
      <c r="J22" s="76">
        <v>194.51</v>
      </c>
      <c r="K22" s="76">
        <v>171.56</v>
      </c>
      <c r="L22" s="76">
        <v>177</v>
      </c>
      <c r="M22" s="76">
        <v>176.43</v>
      </c>
      <c r="N22" s="76">
        <v>147.76</v>
      </c>
      <c r="O22" s="76">
        <v>159.53</v>
      </c>
      <c r="P22" s="76">
        <v>181.03</v>
      </c>
      <c r="Q22" s="76">
        <v>180</v>
      </c>
      <c r="R22" s="76">
        <v>182.39</v>
      </c>
      <c r="S22" s="76">
        <v>183.65</v>
      </c>
      <c r="T22" s="76">
        <v>205.47</v>
      </c>
      <c r="U22" s="76">
        <v>204.51</v>
      </c>
      <c r="V22" s="76">
        <v>177.07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4E2AD-1A81-E646-A709-662364EE60BE}">
  <dimension ref="A1:G154"/>
  <sheetViews>
    <sheetView workbookViewId="0">
      <selection activeCell="J37" sqref="J37"/>
    </sheetView>
  </sheetViews>
  <sheetFormatPr baseColWidth="10" defaultRowHeight="16"/>
  <sheetData>
    <row r="1" spans="1:7">
      <c r="A1" t="s">
        <v>0</v>
      </c>
      <c r="B1" t="s">
        <v>16</v>
      </c>
      <c r="C1" t="s">
        <v>14</v>
      </c>
      <c r="D1" t="s">
        <v>1030</v>
      </c>
      <c r="E1" t="s">
        <v>15</v>
      </c>
      <c r="F1" t="s">
        <v>94</v>
      </c>
      <c r="G1" t="s">
        <v>110</v>
      </c>
    </row>
    <row r="2" spans="1:7">
      <c r="A2">
        <v>2021</v>
      </c>
      <c r="B2">
        <v>6</v>
      </c>
      <c r="C2" t="s">
        <v>17</v>
      </c>
      <c r="D2">
        <v>3149</v>
      </c>
      <c r="E2">
        <v>621852</v>
      </c>
      <c r="F2" t="s">
        <v>95</v>
      </c>
      <c r="G2" t="s">
        <v>104</v>
      </c>
    </row>
    <row r="3" spans="1:7">
      <c r="A3">
        <v>2021</v>
      </c>
      <c r="B3">
        <v>6</v>
      </c>
      <c r="C3" t="s">
        <v>18</v>
      </c>
      <c r="D3">
        <v>1700</v>
      </c>
      <c r="E3">
        <v>371250</v>
      </c>
      <c r="F3" t="s">
        <v>99</v>
      </c>
      <c r="G3" t="s">
        <v>113</v>
      </c>
    </row>
    <row r="4" spans="1:7">
      <c r="A4">
        <v>2021</v>
      </c>
      <c r="B4">
        <v>6</v>
      </c>
      <c r="C4" t="s">
        <v>19</v>
      </c>
      <c r="D4">
        <v>2220</v>
      </c>
      <c r="E4">
        <v>611908</v>
      </c>
      <c r="F4" t="s">
        <v>97</v>
      </c>
      <c r="G4" t="s">
        <v>107</v>
      </c>
    </row>
    <row r="5" spans="1:7">
      <c r="A5">
        <v>2021</v>
      </c>
      <c r="B5">
        <v>6</v>
      </c>
      <c r="C5" t="s">
        <v>20</v>
      </c>
      <c r="D5">
        <v>1431</v>
      </c>
      <c r="E5">
        <v>448000</v>
      </c>
      <c r="F5" t="s">
        <v>100</v>
      </c>
      <c r="G5" t="s">
        <v>116</v>
      </c>
    </row>
    <row r="6" spans="1:7">
      <c r="A6">
        <v>2021</v>
      </c>
      <c r="B6">
        <v>6</v>
      </c>
      <c r="C6" t="s">
        <v>21</v>
      </c>
      <c r="D6">
        <v>1160</v>
      </c>
      <c r="E6">
        <v>414907</v>
      </c>
      <c r="F6" t="s">
        <v>124</v>
      </c>
      <c r="G6" t="s">
        <v>125</v>
      </c>
    </row>
    <row r="7" spans="1:7">
      <c r="A7">
        <v>2021</v>
      </c>
      <c r="B7">
        <v>6</v>
      </c>
      <c r="C7" t="s">
        <v>22</v>
      </c>
      <c r="D7">
        <v>1124</v>
      </c>
      <c r="E7">
        <v>339286</v>
      </c>
      <c r="F7" t="s">
        <v>97</v>
      </c>
      <c r="G7" t="s">
        <v>109</v>
      </c>
    </row>
    <row r="8" spans="1:7">
      <c r="A8">
        <v>2021</v>
      </c>
      <c r="B8">
        <v>6</v>
      </c>
      <c r="C8" t="s">
        <v>23</v>
      </c>
      <c r="D8">
        <v>1099</v>
      </c>
      <c r="E8">
        <v>291808</v>
      </c>
      <c r="F8" t="s">
        <v>128</v>
      </c>
      <c r="G8" t="s">
        <v>129</v>
      </c>
    </row>
    <row r="9" spans="1:7">
      <c r="A9" s="10">
        <v>2021</v>
      </c>
      <c r="B9" s="10">
        <v>6</v>
      </c>
      <c r="C9" s="10" t="s">
        <v>24</v>
      </c>
      <c r="D9" s="10">
        <v>915</v>
      </c>
      <c r="E9" s="10">
        <v>436256</v>
      </c>
      <c r="F9" t="s">
        <v>101</v>
      </c>
      <c r="G9" t="s">
        <v>118</v>
      </c>
    </row>
    <row r="10" spans="1:7">
      <c r="A10" s="10">
        <v>2021</v>
      </c>
      <c r="B10" s="10">
        <v>6</v>
      </c>
      <c r="C10" s="10" t="s">
        <v>25</v>
      </c>
      <c r="D10" s="10">
        <v>938</v>
      </c>
      <c r="E10" s="10">
        <v>369115</v>
      </c>
      <c r="F10" t="s">
        <v>102</v>
      </c>
      <c r="G10" t="s">
        <v>122</v>
      </c>
    </row>
    <row r="11" spans="1:7">
      <c r="A11" s="10">
        <v>2021</v>
      </c>
      <c r="B11" s="10">
        <v>6</v>
      </c>
      <c r="C11" s="10" t="s">
        <v>26</v>
      </c>
      <c r="D11" s="10">
        <v>2360</v>
      </c>
      <c r="E11" s="10">
        <v>578125</v>
      </c>
      <c r="F11" t="s">
        <v>100</v>
      </c>
      <c r="G11" t="s">
        <v>115</v>
      </c>
    </row>
    <row r="12" spans="1:7">
      <c r="A12" s="10">
        <v>2021</v>
      </c>
      <c r="B12" s="10">
        <v>6</v>
      </c>
      <c r="C12" s="10" t="s">
        <v>27</v>
      </c>
      <c r="D12" s="10">
        <v>1176</v>
      </c>
      <c r="E12" s="10">
        <v>398125</v>
      </c>
      <c r="F12" t="s">
        <v>103</v>
      </c>
      <c r="G12" t="s">
        <v>123</v>
      </c>
    </row>
    <row r="13" spans="1:7">
      <c r="A13" s="10">
        <v>2021</v>
      </c>
      <c r="B13" s="10">
        <v>6</v>
      </c>
      <c r="C13" s="10" t="s">
        <v>28</v>
      </c>
      <c r="D13" s="10">
        <v>1714</v>
      </c>
      <c r="E13" s="10">
        <v>787500</v>
      </c>
      <c r="F13" t="s">
        <v>97</v>
      </c>
      <c r="G13" t="s">
        <v>108</v>
      </c>
    </row>
    <row r="14" spans="1:7">
      <c r="A14" s="10">
        <v>2021</v>
      </c>
      <c r="B14" s="10">
        <v>6</v>
      </c>
      <c r="C14" s="10" t="s">
        <v>29</v>
      </c>
      <c r="D14" s="10">
        <v>1560</v>
      </c>
      <c r="E14" s="10">
        <v>517044</v>
      </c>
      <c r="F14" t="s">
        <v>96</v>
      </c>
      <c r="G14" t="s">
        <v>106</v>
      </c>
    </row>
    <row r="15" spans="1:7">
      <c r="A15" s="10">
        <v>2021</v>
      </c>
      <c r="B15" s="10">
        <v>6</v>
      </c>
      <c r="C15" s="10" t="s">
        <v>30</v>
      </c>
      <c r="D15" s="10">
        <v>984</v>
      </c>
      <c r="E15" s="10">
        <v>388390</v>
      </c>
      <c r="F15" t="s">
        <v>102</v>
      </c>
      <c r="G15" t="s">
        <v>120</v>
      </c>
    </row>
    <row r="16" spans="1:7">
      <c r="A16" s="10">
        <v>2021</v>
      </c>
      <c r="B16" s="10">
        <v>6</v>
      </c>
      <c r="C16" s="10" t="s">
        <v>31</v>
      </c>
      <c r="D16" s="10">
        <v>1597</v>
      </c>
      <c r="E16" s="10">
        <v>448000</v>
      </c>
      <c r="F16" t="s">
        <v>124</v>
      </c>
      <c r="G16" t="s">
        <v>127</v>
      </c>
    </row>
    <row r="17" spans="1:7">
      <c r="A17" s="10">
        <v>2021</v>
      </c>
      <c r="B17" s="10">
        <v>6</v>
      </c>
      <c r="C17" s="10" t="s">
        <v>32</v>
      </c>
      <c r="D17" s="10">
        <v>888</v>
      </c>
      <c r="E17" s="10">
        <v>342221</v>
      </c>
      <c r="F17" t="s">
        <v>128</v>
      </c>
      <c r="G17" t="s">
        <v>130</v>
      </c>
    </row>
    <row r="18" spans="1:7">
      <c r="A18" s="10">
        <v>2021</v>
      </c>
      <c r="B18" s="10">
        <v>6</v>
      </c>
      <c r="C18" s="10" t="s">
        <v>33</v>
      </c>
      <c r="D18" s="10">
        <v>920</v>
      </c>
      <c r="E18" s="10">
        <v>311316</v>
      </c>
      <c r="F18" t="s">
        <v>98</v>
      </c>
      <c r="G18" t="s">
        <v>111</v>
      </c>
    </row>
    <row r="19" spans="1:7">
      <c r="A19" s="10">
        <v>2021</v>
      </c>
      <c r="B19" s="10">
        <v>6</v>
      </c>
      <c r="C19" s="10" t="s">
        <v>34</v>
      </c>
      <c r="D19" s="10">
        <v>849</v>
      </c>
      <c r="E19" s="10">
        <v>342999</v>
      </c>
      <c r="F19" t="s">
        <v>131</v>
      </c>
      <c r="G19" t="s">
        <v>132</v>
      </c>
    </row>
    <row r="20" spans="1:7">
      <c r="A20" s="10">
        <v>2021</v>
      </c>
      <c r="B20" s="10">
        <v>6</v>
      </c>
      <c r="C20" s="10" t="s">
        <v>35</v>
      </c>
      <c r="D20" s="10">
        <v>1160</v>
      </c>
      <c r="E20" s="10">
        <v>317059</v>
      </c>
      <c r="F20" t="s">
        <v>131</v>
      </c>
      <c r="G20" t="s">
        <v>133</v>
      </c>
    </row>
    <row r="21" spans="1:7">
      <c r="A21" s="10">
        <v>2021</v>
      </c>
      <c r="B21" s="10">
        <v>6</v>
      </c>
      <c r="C21" s="10" t="s">
        <v>36</v>
      </c>
      <c r="D21" s="10">
        <v>1065</v>
      </c>
      <c r="E21" s="10">
        <v>370658</v>
      </c>
      <c r="F21" t="s">
        <v>98</v>
      </c>
      <c r="G21" t="s">
        <v>112</v>
      </c>
    </row>
    <row r="22" spans="1:7">
      <c r="A22" s="10">
        <v>2021</v>
      </c>
      <c r="B22" s="10">
        <v>6</v>
      </c>
      <c r="C22" s="10" t="s">
        <v>37</v>
      </c>
      <c r="D22" s="10">
        <v>1096</v>
      </c>
      <c r="E22" s="10">
        <v>375000</v>
      </c>
      <c r="F22" t="s">
        <v>100</v>
      </c>
      <c r="G22" t="s">
        <v>115</v>
      </c>
    </row>
    <row r="23" spans="1:7">
      <c r="A23" s="10">
        <v>2021</v>
      </c>
      <c r="B23" s="10">
        <v>6</v>
      </c>
      <c r="C23" s="10" t="s">
        <v>38</v>
      </c>
      <c r="D23" s="10">
        <v>1526</v>
      </c>
      <c r="E23" s="10">
        <v>435703</v>
      </c>
      <c r="F23" t="s">
        <v>98</v>
      </c>
      <c r="G23" t="s">
        <v>111</v>
      </c>
    </row>
    <row r="24" spans="1:7">
      <c r="A24" s="10">
        <v>2021</v>
      </c>
      <c r="B24" s="10">
        <v>6</v>
      </c>
      <c r="C24" s="10" t="s">
        <v>39</v>
      </c>
      <c r="D24" s="10">
        <v>1320</v>
      </c>
      <c r="E24" s="10">
        <v>464841</v>
      </c>
      <c r="F24" t="s">
        <v>96</v>
      </c>
      <c r="G24" t="s">
        <v>106</v>
      </c>
    </row>
    <row r="25" spans="1:7">
      <c r="A25" s="10">
        <v>2021</v>
      </c>
      <c r="B25" s="10">
        <v>6</v>
      </c>
      <c r="C25" s="10" t="s">
        <v>40</v>
      </c>
      <c r="D25" s="10">
        <v>864</v>
      </c>
      <c r="E25" s="10">
        <v>352523</v>
      </c>
      <c r="F25" t="s">
        <v>102</v>
      </c>
      <c r="G25" t="s">
        <v>121</v>
      </c>
    </row>
    <row r="26" spans="1:7">
      <c r="A26" s="10">
        <v>2021</v>
      </c>
      <c r="B26" s="10">
        <v>6</v>
      </c>
      <c r="C26" s="10" t="s">
        <v>41</v>
      </c>
      <c r="D26" s="10">
        <v>999</v>
      </c>
      <c r="E26" s="10">
        <v>337500</v>
      </c>
      <c r="F26" t="s">
        <v>102</v>
      </c>
      <c r="G26" t="s">
        <v>122</v>
      </c>
    </row>
    <row r="27" spans="1:7">
      <c r="A27" s="10">
        <v>2021</v>
      </c>
      <c r="B27" s="10">
        <v>6</v>
      </c>
      <c r="C27" s="10" t="s">
        <v>42</v>
      </c>
      <c r="D27" s="10">
        <v>1386</v>
      </c>
      <c r="E27" s="10">
        <v>480744</v>
      </c>
      <c r="F27" t="s">
        <v>97</v>
      </c>
      <c r="G27" t="s">
        <v>108</v>
      </c>
    </row>
    <row r="28" spans="1:7">
      <c r="A28" s="10">
        <v>2021</v>
      </c>
      <c r="B28" s="10">
        <v>6</v>
      </c>
      <c r="C28" s="10" t="s">
        <v>43</v>
      </c>
      <c r="D28" s="10">
        <v>1929</v>
      </c>
      <c r="E28" s="10">
        <v>421901</v>
      </c>
      <c r="F28" t="s">
        <v>124</v>
      </c>
      <c r="G28" t="s">
        <v>126</v>
      </c>
    </row>
    <row r="29" spans="1:7">
      <c r="A29" s="10">
        <v>2021</v>
      </c>
      <c r="B29" s="10">
        <v>6</v>
      </c>
      <c r="C29" s="10" t="s">
        <v>44</v>
      </c>
      <c r="D29" s="10">
        <v>1017</v>
      </c>
      <c r="E29" s="10">
        <v>318396</v>
      </c>
      <c r="F29" t="s">
        <v>98</v>
      </c>
      <c r="G29" t="s">
        <v>112</v>
      </c>
    </row>
    <row r="30" spans="1:7">
      <c r="A30" s="10">
        <v>2021</v>
      </c>
      <c r="B30" s="10">
        <v>6</v>
      </c>
      <c r="C30" s="10" t="s">
        <v>45</v>
      </c>
      <c r="D30" s="10">
        <v>1421</v>
      </c>
      <c r="E30" s="10">
        <v>389999</v>
      </c>
      <c r="F30" t="s">
        <v>96</v>
      </c>
      <c r="G30" t="s">
        <v>105</v>
      </c>
    </row>
    <row r="31" spans="1:7">
      <c r="A31" s="10">
        <v>2021</v>
      </c>
      <c r="B31" s="10">
        <v>6</v>
      </c>
      <c r="C31" s="10" t="s">
        <v>46</v>
      </c>
      <c r="D31" s="10">
        <v>1368</v>
      </c>
      <c r="E31" s="10">
        <v>393429</v>
      </c>
      <c r="F31" t="s">
        <v>131</v>
      </c>
      <c r="G31" t="s">
        <v>132</v>
      </c>
    </row>
    <row r="32" spans="1:7">
      <c r="A32" s="10">
        <v>2021</v>
      </c>
      <c r="B32" s="10">
        <v>6</v>
      </c>
      <c r="C32" s="10" t="s">
        <v>47</v>
      </c>
      <c r="D32" s="10">
        <v>1224</v>
      </c>
      <c r="E32" s="10">
        <v>412221</v>
      </c>
      <c r="F32" t="s">
        <v>128</v>
      </c>
      <c r="G32" t="s">
        <v>130</v>
      </c>
    </row>
    <row r="33" spans="1:7">
      <c r="A33" s="10">
        <v>2021</v>
      </c>
      <c r="B33" s="10">
        <v>6</v>
      </c>
      <c r="C33" s="10" t="s">
        <v>48</v>
      </c>
      <c r="D33" s="10">
        <v>995</v>
      </c>
      <c r="E33" s="10">
        <v>319657</v>
      </c>
      <c r="F33" t="s">
        <v>128</v>
      </c>
      <c r="G33" t="s">
        <v>130</v>
      </c>
    </row>
    <row r="34" spans="1:7">
      <c r="A34" s="10">
        <v>2021</v>
      </c>
      <c r="B34" s="10">
        <v>6</v>
      </c>
      <c r="C34" s="10" t="s">
        <v>49</v>
      </c>
      <c r="D34" s="10">
        <v>1106</v>
      </c>
      <c r="E34" s="10">
        <v>384300</v>
      </c>
      <c r="F34" t="s">
        <v>98</v>
      </c>
      <c r="G34" t="s">
        <v>111</v>
      </c>
    </row>
    <row r="35" spans="1:7">
      <c r="A35" s="10">
        <v>2021</v>
      </c>
      <c r="B35" s="10">
        <v>6</v>
      </c>
      <c r="C35" s="10" t="s">
        <v>50</v>
      </c>
      <c r="D35" s="10">
        <v>2100</v>
      </c>
      <c r="E35" s="10">
        <v>595000</v>
      </c>
      <c r="F35" t="s">
        <v>124</v>
      </c>
      <c r="G35" t="s">
        <v>125</v>
      </c>
    </row>
    <row r="36" spans="1:7">
      <c r="A36" s="10">
        <v>2021</v>
      </c>
      <c r="B36" s="10">
        <v>6</v>
      </c>
      <c r="C36" s="10" t="s">
        <v>51</v>
      </c>
      <c r="D36" s="10">
        <v>1260</v>
      </c>
      <c r="E36" s="10">
        <v>377546</v>
      </c>
      <c r="F36" t="s">
        <v>103</v>
      </c>
      <c r="G36" t="s">
        <v>123</v>
      </c>
    </row>
    <row r="37" spans="1:7">
      <c r="A37" s="10">
        <v>2021</v>
      </c>
      <c r="B37" s="10">
        <v>6</v>
      </c>
      <c r="C37" s="10" t="s">
        <v>52</v>
      </c>
      <c r="D37" s="10">
        <v>876</v>
      </c>
      <c r="E37" s="10">
        <v>315204</v>
      </c>
      <c r="F37" t="s">
        <v>103</v>
      </c>
      <c r="G37" t="s">
        <v>123</v>
      </c>
    </row>
    <row r="38" spans="1:7">
      <c r="A38" s="10">
        <v>2021</v>
      </c>
      <c r="B38" s="10">
        <v>6</v>
      </c>
      <c r="C38" s="10" t="s">
        <v>53</v>
      </c>
      <c r="D38" s="10">
        <v>1183</v>
      </c>
      <c r="E38" s="10">
        <v>373700</v>
      </c>
      <c r="F38" t="s">
        <v>100</v>
      </c>
      <c r="G38" t="s">
        <v>117</v>
      </c>
    </row>
    <row r="39" spans="1:7">
      <c r="A39" s="10">
        <v>2021</v>
      </c>
      <c r="B39" s="10">
        <v>6</v>
      </c>
      <c r="C39" s="10" t="s">
        <v>54</v>
      </c>
      <c r="D39" s="10">
        <v>1244</v>
      </c>
      <c r="E39" s="10">
        <v>351730</v>
      </c>
      <c r="F39" t="s">
        <v>128</v>
      </c>
      <c r="G39" t="s">
        <v>129</v>
      </c>
    </row>
    <row r="40" spans="1:7">
      <c r="A40" s="10">
        <v>2021</v>
      </c>
      <c r="B40" s="10">
        <v>6</v>
      </c>
      <c r="C40" s="10" t="s">
        <v>55</v>
      </c>
      <c r="D40" s="10">
        <v>1192</v>
      </c>
      <c r="E40" s="10">
        <v>477101</v>
      </c>
      <c r="F40" t="s">
        <v>100</v>
      </c>
      <c r="G40" t="s">
        <v>115</v>
      </c>
    </row>
    <row r="41" spans="1:7">
      <c r="A41" s="10">
        <v>2021</v>
      </c>
      <c r="B41" s="10">
        <v>6</v>
      </c>
      <c r="C41" s="10" t="s">
        <v>56</v>
      </c>
      <c r="D41" s="10">
        <v>1427</v>
      </c>
      <c r="E41" s="10">
        <v>419310</v>
      </c>
      <c r="F41" t="s">
        <v>100</v>
      </c>
      <c r="G41" t="s">
        <v>117</v>
      </c>
    </row>
    <row r="42" spans="1:7">
      <c r="A42" s="10">
        <v>2021</v>
      </c>
      <c r="B42" s="10">
        <v>6</v>
      </c>
      <c r="C42" s="10" t="s">
        <v>57</v>
      </c>
      <c r="D42" s="10">
        <v>848</v>
      </c>
      <c r="E42" s="10">
        <v>304347</v>
      </c>
      <c r="F42" t="s">
        <v>102</v>
      </c>
      <c r="G42" t="s">
        <v>120</v>
      </c>
    </row>
    <row r="43" spans="1:7">
      <c r="A43" s="10">
        <v>2021</v>
      </c>
      <c r="B43" s="10">
        <v>6</v>
      </c>
      <c r="C43" s="10" t="s">
        <v>58</v>
      </c>
      <c r="D43" s="10">
        <v>1055</v>
      </c>
      <c r="E43" s="10">
        <v>385130</v>
      </c>
      <c r="F43" t="s">
        <v>99</v>
      </c>
      <c r="G43" t="s">
        <v>114</v>
      </c>
    </row>
    <row r="44" spans="1:7">
      <c r="A44" s="10">
        <v>2021</v>
      </c>
      <c r="B44" s="10">
        <v>6</v>
      </c>
      <c r="C44" s="10" t="s">
        <v>59</v>
      </c>
      <c r="D44" s="10">
        <v>1173</v>
      </c>
      <c r="E44" s="10">
        <v>294231</v>
      </c>
      <c r="F44" t="s">
        <v>128</v>
      </c>
      <c r="G44" t="s">
        <v>129</v>
      </c>
    </row>
    <row r="45" spans="1:7">
      <c r="A45" s="10">
        <v>2021</v>
      </c>
      <c r="B45" s="10">
        <v>6</v>
      </c>
      <c r="C45" s="10" t="s">
        <v>60</v>
      </c>
      <c r="D45" s="10">
        <v>904</v>
      </c>
      <c r="E45" s="10">
        <v>327999</v>
      </c>
      <c r="F45" t="s">
        <v>102</v>
      </c>
      <c r="G45" t="s">
        <v>121</v>
      </c>
    </row>
    <row r="46" spans="1:7">
      <c r="A46" s="10">
        <v>2021</v>
      </c>
      <c r="B46" s="10">
        <v>6</v>
      </c>
      <c r="C46" s="10" t="s">
        <v>61</v>
      </c>
      <c r="D46" s="10">
        <v>1130</v>
      </c>
      <c r="E46" s="10">
        <v>386294</v>
      </c>
      <c r="F46" t="s">
        <v>101</v>
      </c>
      <c r="G46" t="s">
        <v>119</v>
      </c>
    </row>
    <row r="47" spans="1:7">
      <c r="A47" s="10">
        <v>2021</v>
      </c>
      <c r="B47" s="10">
        <v>6</v>
      </c>
      <c r="C47" s="10" t="s">
        <v>62</v>
      </c>
      <c r="D47" s="10">
        <v>855</v>
      </c>
      <c r="E47" s="10">
        <v>274499</v>
      </c>
      <c r="F47" t="s">
        <v>101</v>
      </c>
      <c r="G47" t="s">
        <v>118</v>
      </c>
    </row>
    <row r="48" spans="1:7">
      <c r="A48" s="10">
        <v>2021</v>
      </c>
      <c r="B48" s="10">
        <v>6</v>
      </c>
      <c r="C48" s="10" t="s">
        <v>63</v>
      </c>
      <c r="D48" s="10">
        <v>1131</v>
      </c>
      <c r="E48" s="10">
        <v>320000</v>
      </c>
      <c r="F48" t="s">
        <v>96</v>
      </c>
      <c r="G48" t="s">
        <v>105</v>
      </c>
    </row>
    <row r="49" spans="1:7">
      <c r="A49" s="10">
        <v>2021</v>
      </c>
      <c r="B49" s="10">
        <v>6</v>
      </c>
      <c r="C49" s="10" t="s">
        <v>64</v>
      </c>
      <c r="D49" s="10">
        <v>982</v>
      </c>
      <c r="E49" s="10">
        <v>347727</v>
      </c>
      <c r="F49" t="s">
        <v>101</v>
      </c>
      <c r="G49" t="s">
        <v>118</v>
      </c>
    </row>
    <row r="50" spans="1:7">
      <c r="A50" s="10">
        <v>2021</v>
      </c>
      <c r="B50" s="10">
        <v>6</v>
      </c>
      <c r="C50" s="10" t="s">
        <v>65</v>
      </c>
      <c r="D50" s="10">
        <v>1257</v>
      </c>
      <c r="E50" s="10">
        <v>335789</v>
      </c>
      <c r="F50" t="s">
        <v>124</v>
      </c>
      <c r="G50" t="s">
        <v>125</v>
      </c>
    </row>
    <row r="51" spans="1:7">
      <c r="A51" s="10">
        <v>2021</v>
      </c>
      <c r="B51" s="10">
        <v>6</v>
      </c>
      <c r="C51" s="10" t="s">
        <v>66</v>
      </c>
      <c r="D51" s="10">
        <v>1356</v>
      </c>
      <c r="E51" s="10">
        <v>378695</v>
      </c>
      <c r="F51" t="s">
        <v>98</v>
      </c>
      <c r="G51" t="s">
        <v>112</v>
      </c>
    </row>
    <row r="52" spans="1:7">
      <c r="A52" s="10">
        <v>2021</v>
      </c>
      <c r="B52" s="10">
        <v>6</v>
      </c>
      <c r="C52" s="10" t="s">
        <v>67</v>
      </c>
      <c r="D52" s="10">
        <v>1191</v>
      </c>
      <c r="E52" s="10">
        <v>400000</v>
      </c>
      <c r="F52" t="s">
        <v>99</v>
      </c>
      <c r="G52" t="s">
        <v>114</v>
      </c>
    </row>
    <row r="53" spans="1:7">
      <c r="A53" s="10">
        <v>2021</v>
      </c>
      <c r="B53" s="10">
        <v>6</v>
      </c>
      <c r="C53" s="10" t="s">
        <v>68</v>
      </c>
      <c r="D53" s="10">
        <v>838</v>
      </c>
      <c r="E53" s="10">
        <v>312000</v>
      </c>
      <c r="F53" t="s">
        <v>97</v>
      </c>
      <c r="G53" t="s">
        <v>109</v>
      </c>
    </row>
    <row r="54" spans="1:7">
      <c r="A54" s="10">
        <v>2021</v>
      </c>
      <c r="B54" s="10">
        <v>6</v>
      </c>
      <c r="C54" s="10" t="s">
        <v>69</v>
      </c>
      <c r="D54" s="10">
        <v>1363</v>
      </c>
      <c r="E54" s="10">
        <v>416164</v>
      </c>
      <c r="F54" t="s">
        <v>131</v>
      </c>
      <c r="G54" t="s">
        <v>132</v>
      </c>
    </row>
    <row r="55" spans="1:7">
      <c r="A55" s="10">
        <v>2021</v>
      </c>
      <c r="B55" s="10">
        <v>6</v>
      </c>
      <c r="C55" s="10" t="s">
        <v>70</v>
      </c>
      <c r="D55" s="10">
        <v>1192</v>
      </c>
      <c r="E55" s="10">
        <v>379411</v>
      </c>
      <c r="F55" t="s">
        <v>97</v>
      </c>
      <c r="G55" t="s">
        <v>109</v>
      </c>
    </row>
    <row r="56" spans="1:7">
      <c r="A56" s="10">
        <v>2021</v>
      </c>
      <c r="B56" s="10">
        <v>6</v>
      </c>
      <c r="C56" s="10" t="s">
        <v>71</v>
      </c>
      <c r="D56" s="10">
        <v>1205</v>
      </c>
      <c r="E56" s="10">
        <v>363135</v>
      </c>
      <c r="F56" t="s">
        <v>124</v>
      </c>
      <c r="G56" t="s">
        <v>127</v>
      </c>
    </row>
    <row r="57" spans="1:7">
      <c r="A57" s="10">
        <v>2021</v>
      </c>
      <c r="B57" s="10">
        <v>6</v>
      </c>
      <c r="C57" s="10" t="s">
        <v>72</v>
      </c>
      <c r="D57" s="10">
        <v>1967</v>
      </c>
      <c r="E57" s="10">
        <v>453332</v>
      </c>
      <c r="F57" t="s">
        <v>100</v>
      </c>
      <c r="G57" t="s">
        <v>116</v>
      </c>
    </row>
    <row r="58" spans="1:7">
      <c r="A58" s="10">
        <v>2021</v>
      </c>
      <c r="B58" s="10">
        <v>6</v>
      </c>
      <c r="C58" s="10" t="s">
        <v>74</v>
      </c>
      <c r="D58" s="10">
        <v>1273</v>
      </c>
      <c r="E58" s="10">
        <v>288786</v>
      </c>
      <c r="F58" t="s">
        <v>131</v>
      </c>
      <c r="G58" t="s">
        <v>133</v>
      </c>
    </row>
    <row r="59" spans="1:7">
      <c r="A59" s="10">
        <v>2021</v>
      </c>
      <c r="B59" s="10">
        <v>6</v>
      </c>
      <c r="C59" s="10" t="s">
        <v>75</v>
      </c>
      <c r="D59" s="10">
        <v>1520</v>
      </c>
      <c r="E59" s="10">
        <v>453519</v>
      </c>
      <c r="F59" t="s">
        <v>101</v>
      </c>
      <c r="G59" t="s">
        <v>118</v>
      </c>
    </row>
    <row r="60" spans="1:7">
      <c r="A60" s="10">
        <v>2021</v>
      </c>
      <c r="B60" s="10">
        <v>6</v>
      </c>
      <c r="C60" s="10" t="s">
        <v>76</v>
      </c>
      <c r="D60" s="10">
        <v>789</v>
      </c>
      <c r="E60" s="10">
        <v>305454</v>
      </c>
      <c r="F60" t="s">
        <v>101</v>
      </c>
      <c r="G60" t="s">
        <v>118</v>
      </c>
    </row>
    <row r="61" spans="1:7">
      <c r="A61" s="10">
        <v>2021</v>
      </c>
      <c r="B61" s="10">
        <v>6</v>
      </c>
      <c r="C61" s="10" t="s">
        <v>77</v>
      </c>
      <c r="D61" s="10">
        <v>1117</v>
      </c>
      <c r="E61" s="10">
        <v>399374</v>
      </c>
      <c r="F61" t="s">
        <v>103</v>
      </c>
      <c r="G61" t="s">
        <v>123</v>
      </c>
    </row>
    <row r="62" spans="1:7">
      <c r="A62" s="10">
        <v>2021</v>
      </c>
      <c r="B62" s="10">
        <v>6</v>
      </c>
      <c r="C62" s="10" t="s">
        <v>78</v>
      </c>
      <c r="D62" s="10">
        <v>1108</v>
      </c>
      <c r="E62" s="10">
        <v>359321</v>
      </c>
      <c r="F62" t="s">
        <v>100</v>
      </c>
      <c r="G62" t="s">
        <v>117</v>
      </c>
    </row>
    <row r="63" spans="1:7">
      <c r="A63" s="10">
        <v>2021</v>
      </c>
      <c r="B63" s="10">
        <v>6</v>
      </c>
      <c r="C63" s="10" t="s">
        <v>79</v>
      </c>
      <c r="D63" s="10">
        <v>1295</v>
      </c>
      <c r="E63" s="10">
        <v>434000</v>
      </c>
      <c r="F63" t="s">
        <v>103</v>
      </c>
      <c r="G63" t="s">
        <v>123</v>
      </c>
    </row>
    <row r="64" spans="1:7">
      <c r="A64" s="10">
        <v>2021</v>
      </c>
      <c r="B64" s="10">
        <v>6</v>
      </c>
      <c r="C64" s="10" t="s">
        <v>80</v>
      </c>
      <c r="D64" s="10">
        <v>1416</v>
      </c>
      <c r="E64" s="10">
        <v>381000</v>
      </c>
      <c r="F64" t="s">
        <v>98</v>
      </c>
      <c r="G64" t="s">
        <v>112</v>
      </c>
    </row>
    <row r="65" spans="1:7">
      <c r="A65" s="10">
        <v>2021</v>
      </c>
      <c r="B65" s="10">
        <v>6</v>
      </c>
      <c r="C65" s="10" t="s">
        <v>81</v>
      </c>
      <c r="D65" s="10">
        <v>1305</v>
      </c>
      <c r="E65" s="10">
        <v>420000</v>
      </c>
      <c r="F65" t="s">
        <v>102</v>
      </c>
      <c r="G65" t="s">
        <v>122</v>
      </c>
    </row>
    <row r="66" spans="1:7">
      <c r="A66" s="10">
        <v>2021</v>
      </c>
      <c r="B66" s="10">
        <v>6</v>
      </c>
      <c r="C66" s="10" t="s">
        <v>82</v>
      </c>
      <c r="D66" s="10">
        <v>1080</v>
      </c>
      <c r="E66" s="10">
        <v>329000</v>
      </c>
      <c r="F66" t="s">
        <v>124</v>
      </c>
      <c r="G66" t="s">
        <v>127</v>
      </c>
    </row>
    <row r="67" spans="1:7">
      <c r="A67" s="10">
        <v>2021</v>
      </c>
      <c r="B67" s="10">
        <v>6</v>
      </c>
      <c r="C67" s="10" t="s">
        <v>83</v>
      </c>
      <c r="D67" s="10">
        <v>1204</v>
      </c>
      <c r="E67" s="10">
        <v>409999</v>
      </c>
      <c r="F67" t="s">
        <v>102</v>
      </c>
      <c r="G67" t="s">
        <v>121</v>
      </c>
    </row>
    <row r="68" spans="1:7">
      <c r="A68" s="10">
        <v>2021</v>
      </c>
      <c r="B68" s="10">
        <v>6</v>
      </c>
      <c r="C68" s="10" t="s">
        <v>84</v>
      </c>
      <c r="D68" s="10">
        <v>828</v>
      </c>
      <c r="E68" s="10">
        <v>319999</v>
      </c>
      <c r="F68" t="s">
        <v>101</v>
      </c>
      <c r="G68" t="s">
        <v>119</v>
      </c>
    </row>
    <row r="69" spans="1:7">
      <c r="A69" s="10">
        <v>2021</v>
      </c>
      <c r="B69" s="10">
        <v>6</v>
      </c>
      <c r="C69" s="10" t="s">
        <v>85</v>
      </c>
      <c r="D69" s="10">
        <v>1533</v>
      </c>
      <c r="E69" s="10">
        <v>406220</v>
      </c>
      <c r="F69" t="s">
        <v>124</v>
      </c>
      <c r="G69" t="s">
        <v>126</v>
      </c>
    </row>
    <row r="70" spans="1:7">
      <c r="A70" s="10">
        <v>2021</v>
      </c>
      <c r="B70" s="10">
        <v>6</v>
      </c>
      <c r="C70" s="10" t="s">
        <v>86</v>
      </c>
      <c r="D70" s="10">
        <v>1439</v>
      </c>
      <c r="E70" s="10">
        <v>357721</v>
      </c>
      <c r="F70" t="s">
        <v>96</v>
      </c>
      <c r="G70" t="s">
        <v>105</v>
      </c>
    </row>
    <row r="71" spans="1:7">
      <c r="A71" s="10">
        <v>2021</v>
      </c>
      <c r="B71" s="10">
        <v>6</v>
      </c>
      <c r="C71" s="10" t="s">
        <v>87</v>
      </c>
      <c r="D71" s="10">
        <v>1040</v>
      </c>
      <c r="E71" s="10">
        <v>352500</v>
      </c>
      <c r="F71" t="s">
        <v>102</v>
      </c>
      <c r="G71" t="s">
        <v>122</v>
      </c>
    </row>
    <row r="72" spans="1:7">
      <c r="A72" s="10">
        <v>2021</v>
      </c>
      <c r="B72" s="10">
        <v>6</v>
      </c>
      <c r="C72" s="10" t="s">
        <v>88</v>
      </c>
      <c r="D72" s="10">
        <v>1182</v>
      </c>
      <c r="E72" s="10">
        <v>441489</v>
      </c>
      <c r="F72" t="s">
        <v>103</v>
      </c>
      <c r="G72" t="s">
        <v>123</v>
      </c>
    </row>
    <row r="73" spans="1:7">
      <c r="A73" s="10">
        <v>2021</v>
      </c>
      <c r="B73" s="10">
        <v>6</v>
      </c>
      <c r="C73" s="10" t="s">
        <v>89</v>
      </c>
      <c r="D73" s="10">
        <v>1084</v>
      </c>
      <c r="E73" s="10">
        <v>396774</v>
      </c>
      <c r="F73" t="s">
        <v>97</v>
      </c>
      <c r="G73" t="s">
        <v>109</v>
      </c>
    </row>
    <row r="74" spans="1:7">
      <c r="A74" s="10">
        <v>2021</v>
      </c>
      <c r="B74" s="10">
        <v>6</v>
      </c>
      <c r="C74" s="10" t="s">
        <v>90</v>
      </c>
      <c r="D74" s="10">
        <v>1252</v>
      </c>
      <c r="E74" s="10">
        <v>372727</v>
      </c>
      <c r="F74" t="s">
        <v>131</v>
      </c>
      <c r="G74" t="s">
        <v>133</v>
      </c>
    </row>
    <row r="75" spans="1:7">
      <c r="A75" s="10">
        <v>2021</v>
      </c>
      <c r="B75" s="10">
        <v>6</v>
      </c>
      <c r="C75" s="10" t="s">
        <v>91</v>
      </c>
      <c r="D75" s="10">
        <v>1972</v>
      </c>
      <c r="E75" s="10">
        <v>445000</v>
      </c>
      <c r="F75" t="s">
        <v>98</v>
      </c>
      <c r="G75" t="s">
        <v>112</v>
      </c>
    </row>
    <row r="76" spans="1:7">
      <c r="A76" s="10">
        <v>2021</v>
      </c>
      <c r="B76" s="10">
        <v>6</v>
      </c>
      <c r="C76" s="10" t="s">
        <v>92</v>
      </c>
      <c r="D76" s="10">
        <v>1158</v>
      </c>
      <c r="E76" s="10">
        <v>343703</v>
      </c>
      <c r="F76" t="s">
        <v>101</v>
      </c>
      <c r="G76" t="s">
        <v>119</v>
      </c>
    </row>
    <row r="77" spans="1:7">
      <c r="A77" s="10">
        <v>2021</v>
      </c>
      <c r="B77" s="10">
        <v>6</v>
      </c>
      <c r="C77" s="10" t="s">
        <v>93</v>
      </c>
      <c r="D77" s="10">
        <v>1156</v>
      </c>
      <c r="E77" s="10">
        <v>398125</v>
      </c>
      <c r="F77" t="s">
        <v>102</v>
      </c>
      <c r="G77" t="s">
        <v>120</v>
      </c>
    </row>
    <row r="78" spans="1:7">
      <c r="A78">
        <v>2022</v>
      </c>
      <c r="B78">
        <v>6</v>
      </c>
      <c r="C78" t="s">
        <v>17</v>
      </c>
      <c r="D78">
        <v>8513</v>
      </c>
      <c r="E78">
        <v>2133336</v>
      </c>
      <c r="F78" t="s">
        <v>95</v>
      </c>
      <c r="G78" t="s">
        <v>104</v>
      </c>
    </row>
    <row r="79" spans="1:7">
      <c r="A79">
        <v>2022</v>
      </c>
      <c r="B79">
        <v>6</v>
      </c>
      <c r="C79" t="s">
        <v>18</v>
      </c>
      <c r="D79">
        <v>4556</v>
      </c>
      <c r="E79">
        <v>1032435</v>
      </c>
      <c r="F79" t="s">
        <v>99</v>
      </c>
      <c r="G79" t="s">
        <v>113</v>
      </c>
    </row>
    <row r="80" spans="1:7">
      <c r="A80">
        <v>2022</v>
      </c>
      <c r="B80">
        <v>6</v>
      </c>
      <c r="C80" t="s">
        <v>19</v>
      </c>
      <c r="D80">
        <v>6200</v>
      </c>
      <c r="E80">
        <v>1639131</v>
      </c>
      <c r="F80" t="s">
        <v>97</v>
      </c>
      <c r="G80" t="s">
        <v>107</v>
      </c>
    </row>
    <row r="81" spans="1:7">
      <c r="A81">
        <v>2022</v>
      </c>
      <c r="B81">
        <v>6</v>
      </c>
      <c r="C81" t="s">
        <v>20</v>
      </c>
      <c r="D81">
        <v>3532</v>
      </c>
      <c r="E81">
        <v>1362963</v>
      </c>
      <c r="F81" t="s">
        <v>100</v>
      </c>
      <c r="G81" t="s">
        <v>116</v>
      </c>
    </row>
    <row r="82" spans="1:7">
      <c r="A82">
        <v>2022</v>
      </c>
      <c r="B82">
        <v>6</v>
      </c>
      <c r="C82" t="s">
        <v>21</v>
      </c>
      <c r="D82">
        <v>2105</v>
      </c>
      <c r="E82">
        <v>980000</v>
      </c>
      <c r="F82" t="s">
        <v>124</v>
      </c>
      <c r="G82" t="s">
        <v>125</v>
      </c>
    </row>
    <row r="83" spans="1:7">
      <c r="A83">
        <v>2022</v>
      </c>
      <c r="B83">
        <v>6</v>
      </c>
      <c r="C83" t="s">
        <v>22</v>
      </c>
      <c r="D83">
        <v>2350</v>
      </c>
      <c r="E83">
        <v>850908</v>
      </c>
      <c r="F83" t="s">
        <v>97</v>
      </c>
      <c r="G83" t="s">
        <v>109</v>
      </c>
    </row>
    <row r="84" spans="1:7">
      <c r="A84">
        <v>2022</v>
      </c>
      <c r="B84">
        <v>6</v>
      </c>
      <c r="C84" t="s">
        <v>23</v>
      </c>
      <c r="D84">
        <v>1920</v>
      </c>
      <c r="E84">
        <v>642680</v>
      </c>
      <c r="F84" t="s">
        <v>128</v>
      </c>
      <c r="G84" t="s">
        <v>129</v>
      </c>
    </row>
    <row r="85" spans="1:7">
      <c r="A85" s="10">
        <v>2022</v>
      </c>
      <c r="B85" s="10">
        <v>6</v>
      </c>
      <c r="C85" s="10" t="s">
        <v>24</v>
      </c>
      <c r="D85" s="10">
        <v>2297</v>
      </c>
      <c r="E85" s="10">
        <v>1065625</v>
      </c>
      <c r="F85" t="s">
        <v>101</v>
      </c>
      <c r="G85" t="s">
        <v>118</v>
      </c>
    </row>
    <row r="86" spans="1:7">
      <c r="A86" s="10">
        <v>2022</v>
      </c>
      <c r="B86" s="10">
        <v>6</v>
      </c>
      <c r="C86" s="10" t="s">
        <v>25</v>
      </c>
      <c r="D86" s="10">
        <v>2037</v>
      </c>
      <c r="E86" s="10">
        <v>875000</v>
      </c>
      <c r="F86" t="s">
        <v>102</v>
      </c>
      <c r="G86" t="s">
        <v>122</v>
      </c>
    </row>
    <row r="87" spans="1:7">
      <c r="A87" s="10">
        <v>2022</v>
      </c>
      <c r="B87" s="10">
        <v>6</v>
      </c>
      <c r="C87" s="10" t="s">
        <v>26</v>
      </c>
      <c r="D87" s="10">
        <v>10000</v>
      </c>
      <c r="E87" s="10">
        <v>1950000</v>
      </c>
      <c r="F87" t="s">
        <v>100</v>
      </c>
      <c r="G87" t="s">
        <v>115</v>
      </c>
    </row>
    <row r="88" spans="1:7">
      <c r="A88" s="10">
        <v>2022</v>
      </c>
      <c r="B88" s="10">
        <v>6</v>
      </c>
      <c r="C88" s="10" t="s">
        <v>27</v>
      </c>
      <c r="D88" s="10">
        <v>2222</v>
      </c>
      <c r="E88" s="10">
        <v>799166</v>
      </c>
      <c r="F88" t="s">
        <v>103</v>
      </c>
      <c r="G88" t="s">
        <v>123</v>
      </c>
    </row>
    <row r="89" spans="1:7">
      <c r="A89" s="10">
        <v>2022</v>
      </c>
      <c r="B89" s="10">
        <v>6</v>
      </c>
      <c r="C89" s="10" t="s">
        <v>28</v>
      </c>
      <c r="D89" s="10">
        <v>4166</v>
      </c>
      <c r="E89" s="10">
        <v>1982145</v>
      </c>
      <c r="F89" t="s">
        <v>97</v>
      </c>
      <c r="G89" t="s">
        <v>108</v>
      </c>
    </row>
    <row r="90" spans="1:7">
      <c r="A90" s="10">
        <v>2022</v>
      </c>
      <c r="B90" s="10">
        <v>6</v>
      </c>
      <c r="C90" s="10" t="s">
        <v>29</v>
      </c>
      <c r="D90" s="10">
        <v>3832</v>
      </c>
      <c r="E90" s="10">
        <v>1522692</v>
      </c>
      <c r="F90" t="s">
        <v>96</v>
      </c>
      <c r="G90" t="s">
        <v>106</v>
      </c>
    </row>
    <row r="91" spans="1:7">
      <c r="A91" s="10">
        <v>2022</v>
      </c>
      <c r="B91" s="10">
        <v>6</v>
      </c>
      <c r="C91" s="10" t="s">
        <v>30</v>
      </c>
      <c r="D91" s="10">
        <v>2636</v>
      </c>
      <c r="E91" s="10">
        <v>961998</v>
      </c>
      <c r="F91" t="s">
        <v>102</v>
      </c>
      <c r="G91" t="s">
        <v>120</v>
      </c>
    </row>
    <row r="92" spans="1:7">
      <c r="A92" s="10">
        <v>2022</v>
      </c>
      <c r="B92" s="10">
        <v>6</v>
      </c>
      <c r="C92" s="10" t="s">
        <v>31</v>
      </c>
      <c r="D92" s="10">
        <v>2290</v>
      </c>
      <c r="E92" s="10">
        <v>950302</v>
      </c>
      <c r="F92" t="s">
        <v>124</v>
      </c>
      <c r="G92" t="s">
        <v>127</v>
      </c>
    </row>
    <row r="93" spans="1:7">
      <c r="A93" s="10">
        <v>2022</v>
      </c>
      <c r="B93" s="10">
        <v>6</v>
      </c>
      <c r="C93" s="10" t="s">
        <v>32</v>
      </c>
      <c r="D93" s="10">
        <v>1495</v>
      </c>
      <c r="E93" s="10">
        <v>720745</v>
      </c>
      <c r="F93" t="s">
        <v>128</v>
      </c>
      <c r="G93" t="s">
        <v>130</v>
      </c>
    </row>
    <row r="94" spans="1:7">
      <c r="A94" s="10">
        <v>2022</v>
      </c>
      <c r="B94" s="10">
        <v>6</v>
      </c>
      <c r="C94" s="10" t="s">
        <v>33</v>
      </c>
      <c r="D94" s="10">
        <v>2169</v>
      </c>
      <c r="E94" s="10">
        <v>667703</v>
      </c>
      <c r="F94" t="s">
        <v>98</v>
      </c>
      <c r="G94" t="s">
        <v>111</v>
      </c>
    </row>
    <row r="95" spans="1:7">
      <c r="A95" s="10">
        <v>2022</v>
      </c>
      <c r="B95" s="10">
        <v>6</v>
      </c>
      <c r="C95" s="10" t="s">
        <v>34</v>
      </c>
      <c r="D95" s="10">
        <v>1610</v>
      </c>
      <c r="E95" s="10">
        <v>740000</v>
      </c>
      <c r="F95" t="s">
        <v>131</v>
      </c>
      <c r="G95" t="s">
        <v>132</v>
      </c>
    </row>
    <row r="96" spans="1:7">
      <c r="A96" s="10">
        <v>2022</v>
      </c>
      <c r="B96" s="10">
        <v>6</v>
      </c>
      <c r="C96" s="10" t="s">
        <v>35</v>
      </c>
      <c r="D96" s="10">
        <v>1662</v>
      </c>
      <c r="E96" s="10">
        <v>687471</v>
      </c>
      <c r="F96" t="s">
        <v>131</v>
      </c>
      <c r="G96" t="s">
        <v>133</v>
      </c>
    </row>
    <row r="97" spans="1:7">
      <c r="A97" s="10">
        <v>2022</v>
      </c>
      <c r="B97" s="10">
        <v>6</v>
      </c>
      <c r="C97" s="10" t="s">
        <v>36</v>
      </c>
      <c r="D97" s="10">
        <v>2544</v>
      </c>
      <c r="E97" s="10">
        <v>950000</v>
      </c>
      <c r="F97" t="s">
        <v>98</v>
      </c>
      <c r="G97" t="s">
        <v>112</v>
      </c>
    </row>
    <row r="98" spans="1:7">
      <c r="A98" s="10">
        <v>2022</v>
      </c>
      <c r="B98" s="10">
        <v>6</v>
      </c>
      <c r="C98" s="10" t="s">
        <v>37</v>
      </c>
      <c r="D98" s="10">
        <v>2329</v>
      </c>
      <c r="E98" s="10">
        <v>981818</v>
      </c>
      <c r="F98" t="s">
        <v>100</v>
      </c>
      <c r="G98" t="s">
        <v>115</v>
      </c>
    </row>
    <row r="99" spans="1:7">
      <c r="A99" s="10">
        <v>2022</v>
      </c>
      <c r="B99" s="10">
        <v>6</v>
      </c>
      <c r="C99" s="10" t="s">
        <v>38</v>
      </c>
      <c r="D99" s="10">
        <v>3977</v>
      </c>
      <c r="E99" s="10">
        <v>1254166</v>
      </c>
      <c r="F99" t="s">
        <v>98</v>
      </c>
      <c r="G99" t="s">
        <v>111</v>
      </c>
    </row>
    <row r="100" spans="1:7">
      <c r="A100" s="10">
        <v>2022</v>
      </c>
      <c r="B100" s="10">
        <v>6</v>
      </c>
      <c r="C100" s="10" t="s">
        <v>39</v>
      </c>
      <c r="D100" s="10">
        <v>3900</v>
      </c>
      <c r="E100" s="10">
        <v>1448577</v>
      </c>
      <c r="F100" t="s">
        <v>96</v>
      </c>
      <c r="G100" t="s">
        <v>106</v>
      </c>
    </row>
    <row r="101" spans="1:7">
      <c r="A101" s="10">
        <v>2022</v>
      </c>
      <c r="B101" s="10">
        <v>6</v>
      </c>
      <c r="C101" s="10" t="s">
        <v>40</v>
      </c>
      <c r="D101" s="10">
        <v>2296</v>
      </c>
      <c r="E101" s="10">
        <v>758767</v>
      </c>
      <c r="F101" t="s">
        <v>102</v>
      </c>
      <c r="G101" t="s">
        <v>121</v>
      </c>
    </row>
    <row r="102" spans="1:7">
      <c r="A102" s="10">
        <v>2022</v>
      </c>
      <c r="B102" s="10">
        <v>6</v>
      </c>
      <c r="C102" s="10" t="s">
        <v>41</v>
      </c>
      <c r="D102" s="10">
        <v>1843</v>
      </c>
      <c r="E102" s="10">
        <v>787667</v>
      </c>
      <c r="F102" t="s">
        <v>102</v>
      </c>
      <c r="G102" t="s">
        <v>122</v>
      </c>
    </row>
    <row r="103" spans="1:7">
      <c r="A103" s="10">
        <v>2022</v>
      </c>
      <c r="B103" s="10">
        <v>6</v>
      </c>
      <c r="C103" s="10" t="s">
        <v>42</v>
      </c>
      <c r="D103" s="10">
        <v>2677</v>
      </c>
      <c r="E103" s="10">
        <v>1168056</v>
      </c>
      <c r="F103" t="s">
        <v>97</v>
      </c>
      <c r="G103" t="s">
        <v>108</v>
      </c>
    </row>
    <row r="104" spans="1:7">
      <c r="A104" s="10">
        <v>2022</v>
      </c>
      <c r="B104" s="10">
        <v>6</v>
      </c>
      <c r="C104" s="10" t="s">
        <v>43</v>
      </c>
      <c r="D104" s="10">
        <v>3429</v>
      </c>
      <c r="E104" s="10">
        <v>1199135</v>
      </c>
      <c r="F104" t="s">
        <v>124</v>
      </c>
      <c r="G104" t="s">
        <v>126</v>
      </c>
    </row>
    <row r="105" spans="1:7">
      <c r="A105" s="10">
        <v>2022</v>
      </c>
      <c r="B105" s="10">
        <v>6</v>
      </c>
      <c r="C105" s="10" t="s">
        <v>44</v>
      </c>
      <c r="D105" s="10">
        <v>2375</v>
      </c>
      <c r="E105" s="10">
        <v>866461</v>
      </c>
      <c r="F105" t="s">
        <v>98</v>
      </c>
      <c r="G105" t="s">
        <v>112</v>
      </c>
    </row>
    <row r="106" spans="1:7">
      <c r="A106" s="10">
        <v>2022</v>
      </c>
      <c r="B106" s="10">
        <v>6</v>
      </c>
      <c r="C106" s="10" t="s">
        <v>45</v>
      </c>
      <c r="D106" s="10">
        <v>2685</v>
      </c>
      <c r="E106" s="10">
        <v>979636</v>
      </c>
      <c r="F106" t="s">
        <v>96</v>
      </c>
      <c r="G106" t="s">
        <v>105</v>
      </c>
    </row>
    <row r="107" spans="1:7">
      <c r="A107" s="10">
        <v>2022</v>
      </c>
      <c r="B107" s="10">
        <v>6</v>
      </c>
      <c r="C107" s="10" t="s">
        <v>46</v>
      </c>
      <c r="D107" s="10">
        <v>1391</v>
      </c>
      <c r="E107" s="10">
        <v>789286</v>
      </c>
      <c r="F107" t="s">
        <v>131</v>
      </c>
      <c r="G107" t="s">
        <v>132</v>
      </c>
    </row>
    <row r="108" spans="1:7">
      <c r="A108" s="10">
        <v>2022</v>
      </c>
      <c r="B108" s="10">
        <v>6</v>
      </c>
      <c r="C108" s="10" t="s">
        <v>47</v>
      </c>
      <c r="D108" s="10">
        <v>2184</v>
      </c>
      <c r="E108" s="10">
        <v>844827</v>
      </c>
      <c r="F108" t="s">
        <v>128</v>
      </c>
      <c r="G108" t="s">
        <v>130</v>
      </c>
    </row>
    <row r="109" spans="1:7">
      <c r="A109" s="10">
        <v>2022</v>
      </c>
      <c r="B109" s="10">
        <v>6</v>
      </c>
      <c r="C109" s="10" t="s">
        <v>48</v>
      </c>
      <c r="D109" s="10">
        <v>2085</v>
      </c>
      <c r="E109" s="10">
        <v>742500</v>
      </c>
      <c r="F109" t="s">
        <v>128</v>
      </c>
      <c r="G109" t="s">
        <v>130</v>
      </c>
    </row>
    <row r="110" spans="1:7">
      <c r="A110" s="10">
        <v>2022</v>
      </c>
      <c r="B110" s="10">
        <v>6</v>
      </c>
      <c r="C110" s="10" t="s">
        <v>49</v>
      </c>
      <c r="D110" s="10">
        <v>3055</v>
      </c>
      <c r="E110" s="10">
        <v>948148</v>
      </c>
      <c r="F110" t="s">
        <v>98</v>
      </c>
      <c r="G110" t="s">
        <v>111</v>
      </c>
    </row>
    <row r="111" spans="1:7">
      <c r="A111" s="10">
        <v>2022</v>
      </c>
      <c r="B111" s="10">
        <v>6</v>
      </c>
      <c r="C111" s="10" t="s">
        <v>50</v>
      </c>
      <c r="D111" s="10">
        <v>4042</v>
      </c>
      <c r="E111" s="10">
        <v>1341539</v>
      </c>
      <c r="F111" t="s">
        <v>124</v>
      </c>
      <c r="G111" t="s">
        <v>125</v>
      </c>
    </row>
    <row r="112" spans="1:7">
      <c r="A112" s="10">
        <v>2022</v>
      </c>
      <c r="B112" s="10">
        <v>6</v>
      </c>
      <c r="C112" s="10" t="s">
        <v>51</v>
      </c>
      <c r="D112" s="10">
        <v>2033</v>
      </c>
      <c r="E112" s="10">
        <v>900000</v>
      </c>
      <c r="F112" t="s">
        <v>103</v>
      </c>
      <c r="G112" t="s">
        <v>123</v>
      </c>
    </row>
    <row r="113" spans="1:7">
      <c r="A113" s="10">
        <v>2022</v>
      </c>
      <c r="B113" s="10">
        <v>6</v>
      </c>
      <c r="C113" s="10" t="s">
        <v>52</v>
      </c>
      <c r="D113" s="10">
        <v>1798</v>
      </c>
      <c r="E113" s="10">
        <v>758578</v>
      </c>
      <c r="F113" t="s">
        <v>103</v>
      </c>
      <c r="G113" t="s">
        <v>123</v>
      </c>
    </row>
    <row r="114" spans="1:7">
      <c r="A114" s="10">
        <v>2022</v>
      </c>
      <c r="B114" s="10">
        <v>6</v>
      </c>
      <c r="C114" s="10" t="s">
        <v>53</v>
      </c>
      <c r="D114" s="10">
        <v>2683</v>
      </c>
      <c r="E114" s="10">
        <v>921212</v>
      </c>
      <c r="F114" t="s">
        <v>100</v>
      </c>
      <c r="G114" t="s">
        <v>117</v>
      </c>
    </row>
    <row r="115" spans="1:7">
      <c r="A115" s="10">
        <v>2022</v>
      </c>
      <c r="B115" s="10">
        <v>6</v>
      </c>
      <c r="C115" s="10" t="s">
        <v>54</v>
      </c>
      <c r="D115" s="10">
        <v>1936</v>
      </c>
      <c r="E115" s="10">
        <v>853105</v>
      </c>
      <c r="F115" t="s">
        <v>128</v>
      </c>
      <c r="G115" t="s">
        <v>129</v>
      </c>
    </row>
    <row r="116" spans="1:7">
      <c r="A116" s="10">
        <v>2022</v>
      </c>
      <c r="B116" s="10">
        <v>6</v>
      </c>
      <c r="C116" s="10" t="s">
        <v>55</v>
      </c>
      <c r="D116" s="10">
        <v>2424</v>
      </c>
      <c r="E116" s="10">
        <v>1144796</v>
      </c>
      <c r="F116" t="s">
        <v>100</v>
      </c>
      <c r="G116" t="s">
        <v>115</v>
      </c>
    </row>
    <row r="117" spans="1:7">
      <c r="A117" s="10">
        <v>2022</v>
      </c>
      <c r="B117" s="10">
        <v>6</v>
      </c>
      <c r="C117" s="10" t="s">
        <v>56</v>
      </c>
      <c r="D117" s="10">
        <v>2647</v>
      </c>
      <c r="E117" s="10">
        <v>990968</v>
      </c>
      <c r="F117" t="s">
        <v>100</v>
      </c>
      <c r="G117" t="s">
        <v>117</v>
      </c>
    </row>
    <row r="118" spans="1:7">
      <c r="A118" s="10">
        <v>2022</v>
      </c>
      <c r="B118" s="10">
        <v>6</v>
      </c>
      <c r="C118" s="10" t="s">
        <v>57</v>
      </c>
      <c r="D118" s="10">
        <v>2068</v>
      </c>
      <c r="E118" s="10">
        <v>812500</v>
      </c>
      <c r="F118" t="s">
        <v>102</v>
      </c>
      <c r="G118" t="s">
        <v>120</v>
      </c>
    </row>
    <row r="119" spans="1:7">
      <c r="A119" s="10">
        <v>2022</v>
      </c>
      <c r="B119" s="10">
        <v>6</v>
      </c>
      <c r="C119" s="10" t="s">
        <v>58</v>
      </c>
      <c r="D119" s="10">
        <v>2099</v>
      </c>
      <c r="E119" s="10">
        <v>992000</v>
      </c>
      <c r="F119" t="s">
        <v>99</v>
      </c>
      <c r="G119" t="s">
        <v>114</v>
      </c>
    </row>
    <row r="120" spans="1:7">
      <c r="A120" s="10">
        <v>2022</v>
      </c>
      <c r="B120" s="10">
        <v>6</v>
      </c>
      <c r="C120" s="10" t="s">
        <v>59</v>
      </c>
      <c r="D120" s="10">
        <v>1892</v>
      </c>
      <c r="E120" s="10">
        <v>650999</v>
      </c>
      <c r="F120" t="s">
        <v>128</v>
      </c>
      <c r="G120" t="s">
        <v>129</v>
      </c>
    </row>
    <row r="121" spans="1:7">
      <c r="A121" s="10">
        <v>2022</v>
      </c>
      <c r="B121" s="10">
        <v>6</v>
      </c>
      <c r="C121" s="10" t="s">
        <v>60</v>
      </c>
      <c r="D121" s="10">
        <v>1861</v>
      </c>
      <c r="E121" s="10">
        <v>777391</v>
      </c>
      <c r="F121" t="s">
        <v>102</v>
      </c>
      <c r="G121" t="s">
        <v>121</v>
      </c>
    </row>
    <row r="122" spans="1:7">
      <c r="A122" s="10">
        <v>2022</v>
      </c>
      <c r="B122" s="10">
        <v>6</v>
      </c>
      <c r="C122" s="10" t="s">
        <v>61</v>
      </c>
      <c r="D122" s="10">
        <v>2984</v>
      </c>
      <c r="E122" s="10">
        <v>978718</v>
      </c>
      <c r="F122" t="s">
        <v>101</v>
      </c>
      <c r="G122" t="s">
        <v>119</v>
      </c>
    </row>
    <row r="123" spans="1:7">
      <c r="A123" s="10">
        <v>2022</v>
      </c>
      <c r="B123" s="10">
        <v>6</v>
      </c>
      <c r="C123" s="10" t="s">
        <v>62</v>
      </c>
      <c r="D123" s="10">
        <v>1534</v>
      </c>
      <c r="E123" s="10">
        <v>600750</v>
      </c>
      <c r="F123" t="s">
        <v>101</v>
      </c>
      <c r="G123" t="s">
        <v>118</v>
      </c>
    </row>
    <row r="124" spans="1:7">
      <c r="A124" s="10">
        <v>2022</v>
      </c>
      <c r="B124" s="10">
        <v>6</v>
      </c>
      <c r="C124" s="10" t="s">
        <v>63</v>
      </c>
      <c r="D124" s="10">
        <v>2350</v>
      </c>
      <c r="E124" s="10">
        <v>843750</v>
      </c>
      <c r="F124" t="s">
        <v>96</v>
      </c>
      <c r="G124" t="s">
        <v>105</v>
      </c>
    </row>
    <row r="125" spans="1:7">
      <c r="A125" s="10">
        <v>2022</v>
      </c>
      <c r="B125" s="10">
        <v>6</v>
      </c>
      <c r="C125" s="10" t="s">
        <v>64</v>
      </c>
      <c r="D125" s="10">
        <v>1825</v>
      </c>
      <c r="E125" s="10">
        <v>799999</v>
      </c>
      <c r="F125" t="s">
        <v>101</v>
      </c>
      <c r="G125" t="s">
        <v>118</v>
      </c>
    </row>
    <row r="126" spans="1:7">
      <c r="A126" s="10">
        <v>2022</v>
      </c>
      <c r="B126" s="10">
        <v>6</v>
      </c>
      <c r="C126" s="10" t="s">
        <v>65</v>
      </c>
      <c r="D126" s="10">
        <v>2055</v>
      </c>
      <c r="E126" s="10">
        <v>766427</v>
      </c>
      <c r="F126" t="s">
        <v>124</v>
      </c>
      <c r="G126" t="s">
        <v>125</v>
      </c>
    </row>
    <row r="127" spans="1:7">
      <c r="A127" s="10">
        <v>2022</v>
      </c>
      <c r="B127" s="10">
        <v>6</v>
      </c>
      <c r="C127" s="10" t="s">
        <v>66</v>
      </c>
      <c r="D127" s="10">
        <v>3882</v>
      </c>
      <c r="E127" s="10">
        <v>1225000</v>
      </c>
      <c r="F127" t="s">
        <v>98</v>
      </c>
      <c r="G127" t="s">
        <v>112</v>
      </c>
    </row>
    <row r="128" spans="1:7">
      <c r="A128" s="10">
        <v>2022</v>
      </c>
      <c r="B128" s="10">
        <v>6</v>
      </c>
      <c r="C128" s="10" t="s">
        <v>67</v>
      </c>
      <c r="D128" s="10">
        <v>3303</v>
      </c>
      <c r="E128" s="10">
        <v>1122000</v>
      </c>
      <c r="F128" t="s">
        <v>99</v>
      </c>
      <c r="G128" t="s">
        <v>114</v>
      </c>
    </row>
    <row r="129" spans="1:7">
      <c r="A129" s="10">
        <v>2022</v>
      </c>
      <c r="B129" s="10">
        <v>6</v>
      </c>
      <c r="C129" s="10" t="s">
        <v>68</v>
      </c>
      <c r="D129" s="10">
        <v>1935</v>
      </c>
      <c r="E129" s="10">
        <v>748453</v>
      </c>
      <c r="F129" t="s">
        <v>97</v>
      </c>
      <c r="G129" t="s">
        <v>109</v>
      </c>
    </row>
    <row r="130" spans="1:7">
      <c r="A130" s="10">
        <v>2022</v>
      </c>
      <c r="B130" s="10">
        <v>6</v>
      </c>
      <c r="C130" s="10" t="s">
        <v>69</v>
      </c>
      <c r="D130" s="10">
        <v>2397</v>
      </c>
      <c r="E130" s="10">
        <v>1045138</v>
      </c>
      <c r="F130" t="s">
        <v>131</v>
      </c>
      <c r="G130" t="s">
        <v>132</v>
      </c>
    </row>
    <row r="131" spans="1:7">
      <c r="A131" s="10">
        <v>2022</v>
      </c>
      <c r="B131" s="10">
        <v>6</v>
      </c>
      <c r="C131" s="10" t="s">
        <v>70</v>
      </c>
      <c r="D131" s="10">
        <v>2825</v>
      </c>
      <c r="E131" s="10">
        <v>930800</v>
      </c>
      <c r="F131" t="s">
        <v>97</v>
      </c>
      <c r="G131" t="s">
        <v>109</v>
      </c>
    </row>
    <row r="132" spans="1:7">
      <c r="A132" s="10">
        <v>2022</v>
      </c>
      <c r="B132" s="10">
        <v>6</v>
      </c>
      <c r="C132" s="10" t="s">
        <v>71</v>
      </c>
      <c r="D132" s="10">
        <v>2242</v>
      </c>
      <c r="E132" s="10">
        <v>929687</v>
      </c>
      <c r="F132" t="s">
        <v>124</v>
      </c>
      <c r="G132" t="s">
        <v>127</v>
      </c>
    </row>
    <row r="133" spans="1:7">
      <c r="A133" s="10">
        <v>2022</v>
      </c>
      <c r="B133" s="10">
        <v>6</v>
      </c>
      <c r="C133" s="10" t="s">
        <v>72</v>
      </c>
      <c r="D133" s="10">
        <v>5726</v>
      </c>
      <c r="E133" s="10">
        <v>1586667</v>
      </c>
      <c r="F133" t="s">
        <v>100</v>
      </c>
      <c r="G133" t="s">
        <v>116</v>
      </c>
    </row>
    <row r="134" spans="1:7">
      <c r="A134" s="10">
        <v>2022</v>
      </c>
      <c r="B134" s="10">
        <v>6</v>
      </c>
      <c r="C134" s="10" t="s">
        <v>73</v>
      </c>
      <c r="D134" s="10">
        <v>21667</v>
      </c>
      <c r="E134" s="10">
        <v>3266662</v>
      </c>
      <c r="F134" t="s">
        <v>97</v>
      </c>
      <c r="G134" t="s">
        <v>108</v>
      </c>
    </row>
    <row r="135" spans="1:7">
      <c r="A135" s="10">
        <v>2022</v>
      </c>
      <c r="B135" s="10">
        <v>6</v>
      </c>
      <c r="C135" s="10" t="s">
        <v>74</v>
      </c>
      <c r="D135" s="10">
        <v>1832</v>
      </c>
      <c r="E135" s="10">
        <v>707227</v>
      </c>
      <c r="F135" t="s">
        <v>131</v>
      </c>
      <c r="G135" t="s">
        <v>133</v>
      </c>
    </row>
    <row r="136" spans="1:7">
      <c r="A136" s="10">
        <v>2022</v>
      </c>
      <c r="B136" s="10">
        <v>6</v>
      </c>
      <c r="C136" s="10" t="s">
        <v>75</v>
      </c>
      <c r="D136" s="10">
        <v>2881</v>
      </c>
      <c r="E136" s="10">
        <v>1129411</v>
      </c>
      <c r="F136" t="s">
        <v>101</v>
      </c>
      <c r="G136" t="s">
        <v>118</v>
      </c>
    </row>
    <row r="137" spans="1:7">
      <c r="A137" s="10">
        <v>2022</v>
      </c>
      <c r="B137" s="10">
        <v>6</v>
      </c>
      <c r="C137" s="10" t="s">
        <v>76</v>
      </c>
      <c r="D137" s="10">
        <v>2500</v>
      </c>
      <c r="E137" s="10">
        <v>899000</v>
      </c>
      <c r="F137" t="s">
        <v>101</v>
      </c>
      <c r="G137" t="s">
        <v>118</v>
      </c>
    </row>
    <row r="138" spans="1:7">
      <c r="A138" s="10">
        <v>2022</v>
      </c>
      <c r="B138" s="10">
        <v>6</v>
      </c>
      <c r="C138" s="10" t="s">
        <v>77</v>
      </c>
      <c r="D138" s="10">
        <v>2240</v>
      </c>
      <c r="E138" s="10">
        <v>1015000</v>
      </c>
      <c r="F138" t="s">
        <v>103</v>
      </c>
      <c r="G138" t="s">
        <v>123</v>
      </c>
    </row>
    <row r="139" spans="1:7">
      <c r="A139" s="10">
        <v>2022</v>
      </c>
      <c r="B139" s="10">
        <v>6</v>
      </c>
      <c r="C139" s="10" t="s">
        <v>78</v>
      </c>
      <c r="D139" s="10">
        <v>2016</v>
      </c>
      <c r="E139" s="10">
        <v>812159</v>
      </c>
      <c r="F139" t="s">
        <v>100</v>
      </c>
      <c r="G139" t="s">
        <v>117</v>
      </c>
    </row>
    <row r="140" spans="1:7">
      <c r="A140" s="10">
        <v>2022</v>
      </c>
      <c r="B140" s="10">
        <v>6</v>
      </c>
      <c r="C140" s="10" t="s">
        <v>79</v>
      </c>
      <c r="D140" s="10">
        <v>2523</v>
      </c>
      <c r="E140" s="10">
        <v>1036518</v>
      </c>
      <c r="F140" t="s">
        <v>103</v>
      </c>
      <c r="G140" t="s">
        <v>123</v>
      </c>
    </row>
    <row r="141" spans="1:7">
      <c r="A141" s="10">
        <v>2022</v>
      </c>
      <c r="B141" s="10">
        <v>6</v>
      </c>
      <c r="C141" s="10" t="s">
        <v>80</v>
      </c>
      <c r="D141" s="10">
        <v>3832</v>
      </c>
      <c r="E141" s="10">
        <v>1071573</v>
      </c>
      <c r="F141" t="s">
        <v>98</v>
      </c>
      <c r="G141" t="s">
        <v>112</v>
      </c>
    </row>
    <row r="142" spans="1:7">
      <c r="A142" s="10">
        <v>2022</v>
      </c>
      <c r="B142" s="10">
        <v>6</v>
      </c>
      <c r="C142" s="10" t="s">
        <v>81</v>
      </c>
      <c r="D142" s="10">
        <v>3250</v>
      </c>
      <c r="E142" s="10">
        <v>1166666</v>
      </c>
      <c r="F142" t="s">
        <v>102</v>
      </c>
      <c r="G142" t="s">
        <v>122</v>
      </c>
    </row>
    <row r="143" spans="1:7">
      <c r="A143" s="10">
        <v>2022</v>
      </c>
      <c r="B143" s="10">
        <v>6</v>
      </c>
      <c r="C143" s="10" t="s">
        <v>82</v>
      </c>
      <c r="D143" s="10">
        <v>1843</v>
      </c>
      <c r="E143" s="10">
        <v>669640</v>
      </c>
      <c r="F143" t="s">
        <v>124</v>
      </c>
      <c r="G143" t="s">
        <v>127</v>
      </c>
    </row>
    <row r="144" spans="1:7">
      <c r="A144" s="10">
        <v>2022</v>
      </c>
      <c r="B144" s="10">
        <v>6</v>
      </c>
      <c r="C144" s="10" t="s">
        <v>83</v>
      </c>
      <c r="D144" s="10">
        <v>2318</v>
      </c>
      <c r="E144" s="10">
        <v>952381</v>
      </c>
      <c r="F144" t="s">
        <v>102</v>
      </c>
      <c r="G144" t="s">
        <v>121</v>
      </c>
    </row>
    <row r="145" spans="1:7">
      <c r="A145" s="10">
        <v>2022</v>
      </c>
      <c r="B145" s="10">
        <v>6</v>
      </c>
      <c r="C145" s="10" t="s">
        <v>84</v>
      </c>
      <c r="D145" s="10">
        <v>2204</v>
      </c>
      <c r="E145" s="10">
        <v>865000</v>
      </c>
      <c r="F145" t="s">
        <v>101</v>
      </c>
      <c r="G145" t="s">
        <v>119</v>
      </c>
    </row>
    <row r="146" spans="1:7">
      <c r="A146" s="10">
        <v>2022</v>
      </c>
      <c r="B146" s="10">
        <v>6</v>
      </c>
      <c r="C146" s="10" t="s">
        <v>85</v>
      </c>
      <c r="D146" s="10">
        <v>2740</v>
      </c>
      <c r="E146" s="10">
        <v>1131399</v>
      </c>
      <c r="F146" t="s">
        <v>124</v>
      </c>
      <c r="G146" t="s">
        <v>126</v>
      </c>
    </row>
    <row r="147" spans="1:7">
      <c r="A147" s="10">
        <v>2022</v>
      </c>
      <c r="B147" s="10">
        <v>6</v>
      </c>
      <c r="C147" s="10" t="s">
        <v>86</v>
      </c>
      <c r="D147" s="10">
        <v>3794</v>
      </c>
      <c r="E147" s="10">
        <v>1050000</v>
      </c>
      <c r="F147" t="s">
        <v>96</v>
      </c>
      <c r="G147" t="s">
        <v>105</v>
      </c>
    </row>
    <row r="148" spans="1:7">
      <c r="A148" s="10">
        <v>2022</v>
      </c>
      <c r="B148" s="10">
        <v>6</v>
      </c>
      <c r="C148" s="10" t="s">
        <v>87</v>
      </c>
      <c r="D148" s="10">
        <v>1968</v>
      </c>
      <c r="E148" s="10">
        <v>920191</v>
      </c>
      <c r="F148" t="s">
        <v>102</v>
      </c>
      <c r="G148" t="s">
        <v>122</v>
      </c>
    </row>
    <row r="149" spans="1:7">
      <c r="A149" s="10">
        <v>2022</v>
      </c>
      <c r="B149" s="10">
        <v>6</v>
      </c>
      <c r="C149" s="10" t="s">
        <v>88</v>
      </c>
      <c r="D149" s="10">
        <v>2430</v>
      </c>
      <c r="E149" s="10">
        <v>1272857</v>
      </c>
      <c r="F149" t="s">
        <v>103</v>
      </c>
      <c r="G149" t="s">
        <v>123</v>
      </c>
    </row>
    <row r="150" spans="1:7">
      <c r="A150" s="10">
        <v>2022</v>
      </c>
      <c r="B150" s="10">
        <v>6</v>
      </c>
      <c r="C150" s="10" t="s">
        <v>89</v>
      </c>
      <c r="D150" s="10">
        <v>2330</v>
      </c>
      <c r="E150" s="10">
        <v>949999</v>
      </c>
      <c r="F150" t="s">
        <v>97</v>
      </c>
      <c r="G150" t="s">
        <v>109</v>
      </c>
    </row>
    <row r="151" spans="1:7">
      <c r="A151" s="10">
        <v>2022</v>
      </c>
      <c r="B151" s="10">
        <v>6</v>
      </c>
      <c r="C151" s="10" t="s">
        <v>90</v>
      </c>
      <c r="D151" s="10">
        <v>2278</v>
      </c>
      <c r="E151" s="10">
        <v>900000</v>
      </c>
      <c r="F151" t="s">
        <v>131</v>
      </c>
      <c r="G151" t="s">
        <v>133</v>
      </c>
    </row>
    <row r="152" spans="1:7">
      <c r="A152" s="10">
        <v>2022</v>
      </c>
      <c r="B152" s="10">
        <v>6</v>
      </c>
      <c r="C152" s="10" t="s">
        <v>91</v>
      </c>
      <c r="D152" s="10">
        <v>4871</v>
      </c>
      <c r="E152" s="10">
        <v>1253570</v>
      </c>
      <c r="F152" t="s">
        <v>98</v>
      </c>
      <c r="G152" t="s">
        <v>112</v>
      </c>
    </row>
    <row r="153" spans="1:7">
      <c r="A153" s="10">
        <v>2022</v>
      </c>
      <c r="B153" s="10">
        <v>6</v>
      </c>
      <c r="C153" s="10" t="s">
        <v>92</v>
      </c>
      <c r="D153" s="10">
        <v>2011</v>
      </c>
      <c r="E153" s="10">
        <v>886110</v>
      </c>
      <c r="F153" t="s">
        <v>101</v>
      </c>
      <c r="G153" t="s">
        <v>119</v>
      </c>
    </row>
    <row r="154" spans="1:7">
      <c r="A154" s="10">
        <v>2022</v>
      </c>
      <c r="B154" s="10">
        <v>6</v>
      </c>
      <c r="C154" s="10" t="s">
        <v>93</v>
      </c>
      <c r="D154" s="10">
        <v>2308</v>
      </c>
      <c r="E154" s="10">
        <v>953332</v>
      </c>
      <c r="F154" t="s">
        <v>102</v>
      </c>
      <c r="G154" t="s">
        <v>120</v>
      </c>
    </row>
  </sheetData>
  <sortState xmlns:xlrd2="http://schemas.microsoft.com/office/spreadsheetml/2017/richdata2" ref="A2:G154">
    <sortCondition ref="A2:A154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B3DC1-2693-BC45-9D95-537638884915}">
  <dimension ref="A1:G1651"/>
  <sheetViews>
    <sheetView topLeftCell="A594" zoomScale="118" zoomScaleNormal="177" workbookViewId="0">
      <selection activeCell="D613" sqref="D613"/>
    </sheetView>
  </sheetViews>
  <sheetFormatPr baseColWidth="10" defaultRowHeight="16"/>
  <sheetData>
    <row r="1" spans="1:7">
      <c r="A1" t="s">
        <v>0</v>
      </c>
      <c r="B1" t="s">
        <v>16</v>
      </c>
      <c r="C1" t="s">
        <v>14</v>
      </c>
      <c r="D1" t="s">
        <v>1029</v>
      </c>
      <c r="E1" t="s">
        <v>15</v>
      </c>
      <c r="F1" t="s">
        <v>94</v>
      </c>
      <c r="G1" t="s">
        <v>110</v>
      </c>
    </row>
    <row r="2" spans="1:7">
      <c r="A2">
        <v>2021</v>
      </c>
      <c r="B2">
        <v>4</v>
      </c>
      <c r="C2" t="s">
        <v>17</v>
      </c>
      <c r="D2">
        <v>2775</v>
      </c>
      <c r="E2">
        <v>586960</v>
      </c>
      <c r="F2" t="s">
        <v>95</v>
      </c>
      <c r="G2" t="s">
        <v>104</v>
      </c>
    </row>
    <row r="3" spans="1:7">
      <c r="A3">
        <v>2021</v>
      </c>
      <c r="B3">
        <v>5</v>
      </c>
      <c r="C3" t="s">
        <v>17</v>
      </c>
      <c r="D3">
        <v>3039</v>
      </c>
      <c r="E3">
        <v>598000</v>
      </c>
      <c r="F3" t="s">
        <v>95</v>
      </c>
      <c r="G3" t="s">
        <v>104</v>
      </c>
    </row>
    <row r="4" spans="1:7">
      <c r="A4">
        <v>2021</v>
      </c>
      <c r="B4">
        <v>6</v>
      </c>
      <c r="C4" t="s">
        <v>17</v>
      </c>
      <c r="D4">
        <v>3149</v>
      </c>
      <c r="E4">
        <v>621852</v>
      </c>
      <c r="F4" t="s">
        <v>95</v>
      </c>
      <c r="G4" t="s">
        <v>104</v>
      </c>
    </row>
    <row r="5" spans="1:7">
      <c r="A5">
        <v>2021</v>
      </c>
      <c r="B5">
        <v>7</v>
      </c>
      <c r="C5" t="s">
        <v>17</v>
      </c>
      <c r="D5">
        <v>3357</v>
      </c>
      <c r="E5">
        <v>660800</v>
      </c>
      <c r="F5" t="s">
        <v>95</v>
      </c>
      <c r="G5" t="s">
        <v>104</v>
      </c>
    </row>
    <row r="6" spans="1:7">
      <c r="A6">
        <v>2021</v>
      </c>
      <c r="B6">
        <v>8</v>
      </c>
      <c r="C6" t="s">
        <v>17</v>
      </c>
      <c r="D6">
        <v>3722</v>
      </c>
      <c r="E6">
        <v>689660</v>
      </c>
      <c r="F6" t="s">
        <v>95</v>
      </c>
      <c r="G6" t="s">
        <v>104</v>
      </c>
    </row>
    <row r="7" spans="1:7">
      <c r="A7">
        <v>2021</v>
      </c>
      <c r="B7">
        <v>9</v>
      </c>
      <c r="C7" t="s">
        <v>17</v>
      </c>
      <c r="D7">
        <v>3999</v>
      </c>
      <c r="E7">
        <v>750000</v>
      </c>
      <c r="F7" t="s">
        <v>95</v>
      </c>
      <c r="G7" t="s">
        <v>104</v>
      </c>
    </row>
    <row r="8" spans="1:7">
      <c r="A8">
        <v>2021</v>
      </c>
      <c r="B8">
        <v>10</v>
      </c>
      <c r="C8" t="s">
        <v>17</v>
      </c>
      <c r="D8">
        <v>4473</v>
      </c>
      <c r="E8">
        <v>808420</v>
      </c>
      <c r="F8" t="s">
        <v>95</v>
      </c>
      <c r="G8" t="s">
        <v>104</v>
      </c>
    </row>
    <row r="9" spans="1:7">
      <c r="A9">
        <v>2021</v>
      </c>
      <c r="B9">
        <v>11</v>
      </c>
      <c r="C9" t="s">
        <v>17</v>
      </c>
      <c r="D9">
        <v>4679</v>
      </c>
      <c r="E9">
        <v>920000</v>
      </c>
      <c r="F9" t="s">
        <v>95</v>
      </c>
      <c r="G9" t="s">
        <v>104</v>
      </c>
    </row>
    <row r="10" spans="1:7">
      <c r="A10">
        <v>2021</v>
      </c>
      <c r="B10">
        <v>12</v>
      </c>
      <c r="C10" t="s">
        <v>17</v>
      </c>
      <c r="D10">
        <v>4953</v>
      </c>
      <c r="E10">
        <v>1166786</v>
      </c>
      <c r="F10" t="s">
        <v>95</v>
      </c>
      <c r="G10" t="s">
        <v>104</v>
      </c>
    </row>
    <row r="11" spans="1:7">
      <c r="A11">
        <v>2022</v>
      </c>
      <c r="B11">
        <v>1</v>
      </c>
      <c r="C11" t="s">
        <v>17</v>
      </c>
      <c r="D11">
        <v>5413</v>
      </c>
      <c r="E11">
        <v>1308000</v>
      </c>
      <c r="F11" t="s">
        <v>95</v>
      </c>
      <c r="G11" t="s">
        <v>104</v>
      </c>
    </row>
    <row r="12" spans="1:7">
      <c r="A12">
        <v>2022</v>
      </c>
      <c r="B12">
        <v>2</v>
      </c>
      <c r="C12" t="s">
        <v>17</v>
      </c>
      <c r="D12">
        <v>6037</v>
      </c>
      <c r="E12">
        <v>1389480</v>
      </c>
      <c r="F12" t="s">
        <v>95</v>
      </c>
      <c r="G12" t="s">
        <v>104</v>
      </c>
    </row>
    <row r="13" spans="1:7">
      <c r="A13">
        <v>2022</v>
      </c>
      <c r="B13">
        <v>3</v>
      </c>
      <c r="C13" t="s">
        <v>17</v>
      </c>
      <c r="D13">
        <v>6677</v>
      </c>
      <c r="E13">
        <v>1536588</v>
      </c>
      <c r="F13" t="s">
        <v>95</v>
      </c>
      <c r="G13" t="s">
        <v>104</v>
      </c>
    </row>
    <row r="14" spans="1:7">
      <c r="A14">
        <v>2022</v>
      </c>
      <c r="B14">
        <v>4</v>
      </c>
      <c r="C14" t="s">
        <v>17</v>
      </c>
      <c r="D14">
        <v>7320</v>
      </c>
      <c r="E14">
        <v>1736844</v>
      </c>
      <c r="F14" t="s">
        <v>95</v>
      </c>
      <c r="G14" t="s">
        <v>104</v>
      </c>
    </row>
    <row r="15" spans="1:7">
      <c r="A15">
        <v>2022</v>
      </c>
      <c r="B15">
        <v>5</v>
      </c>
      <c r="C15" t="s">
        <v>17</v>
      </c>
      <c r="D15">
        <v>8326</v>
      </c>
      <c r="E15">
        <v>1976472</v>
      </c>
      <c r="F15" t="s">
        <v>95</v>
      </c>
      <c r="G15" t="s">
        <v>104</v>
      </c>
    </row>
    <row r="16" spans="1:7">
      <c r="A16">
        <v>2022</v>
      </c>
      <c r="B16">
        <v>6</v>
      </c>
      <c r="C16" t="s">
        <v>17</v>
      </c>
      <c r="D16">
        <v>8513</v>
      </c>
      <c r="E16">
        <v>2133336</v>
      </c>
      <c r="F16" t="s">
        <v>95</v>
      </c>
      <c r="G16" t="s">
        <v>104</v>
      </c>
    </row>
    <row r="17" spans="1:7">
      <c r="A17">
        <v>2022</v>
      </c>
      <c r="B17">
        <v>7</v>
      </c>
      <c r="C17" t="s">
        <v>17</v>
      </c>
      <c r="D17">
        <v>9076</v>
      </c>
      <c r="E17">
        <v>2290908</v>
      </c>
      <c r="F17" t="s">
        <v>95</v>
      </c>
      <c r="G17" t="s">
        <v>104</v>
      </c>
    </row>
    <row r="18" spans="1:7">
      <c r="A18">
        <v>2022</v>
      </c>
      <c r="B18">
        <v>8</v>
      </c>
      <c r="C18" t="s">
        <v>17</v>
      </c>
      <c r="D18">
        <v>9506</v>
      </c>
      <c r="E18">
        <v>2376240</v>
      </c>
      <c r="F18" t="s">
        <v>95</v>
      </c>
      <c r="G18" t="s">
        <v>104</v>
      </c>
    </row>
    <row r="19" spans="1:7">
      <c r="A19">
        <v>2022</v>
      </c>
      <c r="B19">
        <v>9</v>
      </c>
      <c r="C19" t="s">
        <v>17</v>
      </c>
      <c r="D19">
        <v>9971</v>
      </c>
      <c r="E19">
        <v>2470584</v>
      </c>
      <c r="F19" t="s">
        <v>95</v>
      </c>
      <c r="G19" t="s">
        <v>104</v>
      </c>
    </row>
    <row r="20" spans="1:7">
      <c r="A20">
        <v>2022</v>
      </c>
      <c r="B20">
        <v>10</v>
      </c>
      <c r="C20" t="s">
        <v>17</v>
      </c>
      <c r="D20">
        <v>10698</v>
      </c>
      <c r="E20">
        <v>2571432</v>
      </c>
      <c r="F20" t="s">
        <v>95</v>
      </c>
      <c r="G20" t="s">
        <v>104</v>
      </c>
    </row>
    <row r="21" spans="1:7">
      <c r="A21">
        <v>2022</v>
      </c>
      <c r="B21">
        <v>11</v>
      </c>
      <c r="C21" t="s">
        <v>17</v>
      </c>
      <c r="D21">
        <v>11388</v>
      </c>
      <c r="E21">
        <v>2672724</v>
      </c>
      <c r="F21" t="s">
        <v>95</v>
      </c>
      <c r="G21" t="s">
        <v>104</v>
      </c>
    </row>
    <row r="22" spans="1:7">
      <c r="A22">
        <v>2022</v>
      </c>
      <c r="B22">
        <v>12</v>
      </c>
      <c r="C22" t="s">
        <v>17</v>
      </c>
      <c r="D22">
        <v>12100</v>
      </c>
      <c r="E22">
        <v>2799996</v>
      </c>
      <c r="F22" t="s">
        <v>95</v>
      </c>
      <c r="G22" t="s">
        <v>104</v>
      </c>
    </row>
    <row r="23" spans="1:7">
      <c r="A23">
        <v>2023</v>
      </c>
      <c r="B23">
        <v>1</v>
      </c>
      <c r="C23" t="s">
        <v>17</v>
      </c>
      <c r="D23">
        <v>12648</v>
      </c>
      <c r="E23">
        <v>3000000</v>
      </c>
      <c r="F23" t="s">
        <v>95</v>
      </c>
      <c r="G23" t="s">
        <v>104</v>
      </c>
    </row>
    <row r="24" spans="1:7">
      <c r="A24">
        <v>2023</v>
      </c>
      <c r="B24">
        <v>2</v>
      </c>
      <c r="C24" t="s">
        <v>17</v>
      </c>
      <c r="D24">
        <v>13554</v>
      </c>
      <c r="E24">
        <v>3154284</v>
      </c>
      <c r="F24" t="s">
        <v>95</v>
      </c>
      <c r="G24" t="s">
        <v>104</v>
      </c>
    </row>
    <row r="25" spans="1:7">
      <c r="A25">
        <v>2023</v>
      </c>
      <c r="B25">
        <v>3</v>
      </c>
      <c r="C25" t="s">
        <v>17</v>
      </c>
      <c r="D25">
        <v>13810</v>
      </c>
      <c r="E25">
        <v>3266664</v>
      </c>
      <c r="F25" t="s">
        <v>95</v>
      </c>
      <c r="G25" t="s">
        <v>104</v>
      </c>
    </row>
    <row r="26" spans="1:7">
      <c r="A26">
        <v>2023</v>
      </c>
      <c r="B26">
        <v>4</v>
      </c>
      <c r="C26" t="s">
        <v>17</v>
      </c>
      <c r="D26">
        <v>14738</v>
      </c>
      <c r="E26">
        <v>3378948</v>
      </c>
      <c r="F26" t="s">
        <v>95</v>
      </c>
      <c r="G26" t="s">
        <v>104</v>
      </c>
    </row>
    <row r="27" spans="1:7">
      <c r="A27">
        <v>2023</v>
      </c>
      <c r="B27">
        <v>5</v>
      </c>
      <c r="C27" t="s">
        <v>17</v>
      </c>
      <c r="D27">
        <v>15847</v>
      </c>
      <c r="E27">
        <v>3435440</v>
      </c>
      <c r="F27" t="s">
        <v>95</v>
      </c>
      <c r="G27" t="s">
        <v>104</v>
      </c>
    </row>
    <row r="28" spans="1:7">
      <c r="A28">
        <v>2023</v>
      </c>
      <c r="B28">
        <v>6</v>
      </c>
      <c r="C28" t="s">
        <v>17</v>
      </c>
      <c r="D28">
        <v>17250</v>
      </c>
      <c r="E28">
        <v>3609407</v>
      </c>
      <c r="F28" t="s">
        <v>95</v>
      </c>
      <c r="G28" t="s">
        <v>104</v>
      </c>
    </row>
    <row r="29" spans="1:7">
      <c r="A29">
        <v>2023</v>
      </c>
      <c r="B29">
        <v>7</v>
      </c>
      <c r="C29" t="s">
        <v>17</v>
      </c>
      <c r="D29">
        <v>18696</v>
      </c>
      <c r="E29">
        <v>3712000</v>
      </c>
      <c r="F29" t="s">
        <v>95</v>
      </c>
      <c r="G29" t="s">
        <v>104</v>
      </c>
    </row>
    <row r="30" spans="1:7">
      <c r="A30">
        <v>2023</v>
      </c>
      <c r="B30">
        <v>8</v>
      </c>
      <c r="C30" t="s">
        <v>17</v>
      </c>
      <c r="D30">
        <v>19000</v>
      </c>
      <c r="E30">
        <v>3814170</v>
      </c>
      <c r="F30" t="s">
        <v>95</v>
      </c>
      <c r="G30" t="s">
        <v>104</v>
      </c>
    </row>
    <row r="31" spans="1:7">
      <c r="A31">
        <v>2023</v>
      </c>
      <c r="B31">
        <v>9</v>
      </c>
      <c r="C31" t="s">
        <v>17</v>
      </c>
      <c r="D31">
        <v>18833</v>
      </c>
      <c r="E31">
        <v>4002000</v>
      </c>
      <c r="F31" t="s">
        <v>95</v>
      </c>
      <c r="G31" t="s">
        <v>104</v>
      </c>
    </row>
    <row r="32" spans="1:7">
      <c r="A32">
        <v>2023</v>
      </c>
      <c r="B32">
        <v>10</v>
      </c>
      <c r="C32" t="s">
        <v>17</v>
      </c>
      <c r="D32">
        <v>18833</v>
      </c>
      <c r="E32">
        <v>4040536</v>
      </c>
      <c r="F32" t="s">
        <v>95</v>
      </c>
      <c r="G32" t="s">
        <v>104</v>
      </c>
    </row>
    <row r="33" spans="1:7">
      <c r="A33">
        <v>2023</v>
      </c>
      <c r="B33">
        <v>11</v>
      </c>
      <c r="C33" t="s">
        <v>17</v>
      </c>
      <c r="D33">
        <v>18833</v>
      </c>
      <c r="E33">
        <v>4088894</v>
      </c>
      <c r="F33" t="s">
        <v>95</v>
      </c>
      <c r="G33" t="s">
        <v>104</v>
      </c>
    </row>
    <row r="34" spans="1:7">
      <c r="A34">
        <v>2023</v>
      </c>
      <c r="B34">
        <v>12</v>
      </c>
      <c r="C34" t="s">
        <v>17</v>
      </c>
      <c r="D34">
        <v>19586</v>
      </c>
      <c r="E34">
        <v>4152776</v>
      </c>
      <c r="F34" t="s">
        <v>95</v>
      </c>
      <c r="G34" t="s">
        <v>104</v>
      </c>
    </row>
    <row r="35" spans="1:7">
      <c r="A35">
        <v>2021</v>
      </c>
      <c r="B35">
        <v>4</v>
      </c>
      <c r="C35" t="s">
        <v>18</v>
      </c>
      <c r="D35">
        <v>1497</v>
      </c>
      <c r="E35">
        <v>356028</v>
      </c>
      <c r="F35" t="s">
        <v>99</v>
      </c>
      <c r="G35" t="s">
        <v>113</v>
      </c>
    </row>
    <row r="36" spans="1:7">
      <c r="A36">
        <v>2021</v>
      </c>
      <c r="B36">
        <v>5</v>
      </c>
      <c r="C36" t="s">
        <v>18</v>
      </c>
      <c r="D36">
        <v>1582</v>
      </c>
      <c r="E36">
        <v>363461</v>
      </c>
      <c r="F36" t="s">
        <v>99</v>
      </c>
      <c r="G36" t="s">
        <v>113</v>
      </c>
    </row>
    <row r="37" spans="1:7">
      <c r="A37">
        <v>2021</v>
      </c>
      <c r="B37">
        <v>6</v>
      </c>
      <c r="C37" t="s">
        <v>18</v>
      </c>
      <c r="D37">
        <v>1700</v>
      </c>
      <c r="E37">
        <v>371250</v>
      </c>
      <c r="F37" t="s">
        <v>99</v>
      </c>
      <c r="G37" t="s">
        <v>113</v>
      </c>
    </row>
    <row r="38" spans="1:7">
      <c r="A38">
        <v>2021</v>
      </c>
      <c r="B38">
        <v>7</v>
      </c>
      <c r="C38" t="s">
        <v>18</v>
      </c>
      <c r="D38">
        <v>1845</v>
      </c>
      <c r="E38">
        <v>381522</v>
      </c>
      <c r="F38" t="s">
        <v>99</v>
      </c>
      <c r="G38" t="s">
        <v>113</v>
      </c>
    </row>
    <row r="39" spans="1:7">
      <c r="A39">
        <v>2021</v>
      </c>
      <c r="B39">
        <v>8</v>
      </c>
      <c r="C39" t="s">
        <v>18</v>
      </c>
      <c r="D39">
        <v>1922</v>
      </c>
      <c r="E39">
        <v>393750</v>
      </c>
      <c r="F39" t="s">
        <v>99</v>
      </c>
      <c r="G39" t="s">
        <v>113</v>
      </c>
    </row>
    <row r="40" spans="1:7">
      <c r="A40">
        <v>2021</v>
      </c>
      <c r="B40">
        <v>9</v>
      </c>
      <c r="C40" t="s">
        <v>18</v>
      </c>
      <c r="D40">
        <v>2102</v>
      </c>
      <c r="E40">
        <v>411135</v>
      </c>
      <c r="F40" t="s">
        <v>99</v>
      </c>
      <c r="G40" t="s">
        <v>113</v>
      </c>
    </row>
    <row r="41" spans="1:7">
      <c r="A41">
        <v>2021</v>
      </c>
      <c r="B41">
        <v>10</v>
      </c>
      <c r="C41" t="s">
        <v>18</v>
      </c>
      <c r="D41">
        <v>2241</v>
      </c>
      <c r="E41">
        <v>436153</v>
      </c>
      <c r="F41" t="s">
        <v>99</v>
      </c>
      <c r="G41" t="s">
        <v>113</v>
      </c>
    </row>
    <row r="42" spans="1:7">
      <c r="A42">
        <v>2021</v>
      </c>
      <c r="B42">
        <v>11</v>
      </c>
      <c r="C42" t="s">
        <v>18</v>
      </c>
      <c r="D42">
        <v>2394</v>
      </c>
      <c r="E42">
        <v>477320</v>
      </c>
      <c r="F42" t="s">
        <v>99</v>
      </c>
      <c r="G42" t="s">
        <v>113</v>
      </c>
    </row>
    <row r="43" spans="1:7">
      <c r="A43">
        <v>2021</v>
      </c>
      <c r="B43">
        <v>12</v>
      </c>
      <c r="C43" t="s">
        <v>18</v>
      </c>
      <c r="D43">
        <v>2456</v>
      </c>
      <c r="E43">
        <v>616000</v>
      </c>
      <c r="F43" t="s">
        <v>99</v>
      </c>
      <c r="G43" t="s">
        <v>113</v>
      </c>
    </row>
    <row r="44" spans="1:7">
      <c r="A44">
        <v>2022</v>
      </c>
      <c r="B44">
        <v>1</v>
      </c>
      <c r="C44" t="s">
        <v>18</v>
      </c>
      <c r="D44">
        <v>2728</v>
      </c>
      <c r="E44">
        <v>684444</v>
      </c>
      <c r="F44" t="s">
        <v>99</v>
      </c>
      <c r="G44" t="s">
        <v>113</v>
      </c>
    </row>
    <row r="45" spans="1:7">
      <c r="A45">
        <v>2022</v>
      </c>
      <c r="B45">
        <v>2</v>
      </c>
      <c r="C45" t="s">
        <v>18</v>
      </c>
      <c r="D45">
        <v>3064</v>
      </c>
      <c r="E45">
        <v>708925</v>
      </c>
      <c r="F45" t="s">
        <v>99</v>
      </c>
      <c r="G45" t="s">
        <v>113</v>
      </c>
    </row>
    <row r="46" spans="1:7">
      <c r="A46">
        <v>2022</v>
      </c>
      <c r="B46">
        <v>3</v>
      </c>
      <c r="C46" t="s">
        <v>18</v>
      </c>
      <c r="D46">
        <v>3267</v>
      </c>
      <c r="E46">
        <v>748635</v>
      </c>
      <c r="F46" t="s">
        <v>99</v>
      </c>
      <c r="G46" t="s">
        <v>113</v>
      </c>
    </row>
    <row r="47" spans="1:7">
      <c r="A47">
        <v>2022</v>
      </c>
      <c r="B47">
        <v>4</v>
      </c>
      <c r="C47" t="s">
        <v>18</v>
      </c>
      <c r="D47">
        <v>3706</v>
      </c>
      <c r="E47">
        <v>832500</v>
      </c>
      <c r="F47" t="s">
        <v>99</v>
      </c>
      <c r="G47" t="s">
        <v>113</v>
      </c>
    </row>
    <row r="48" spans="1:7">
      <c r="A48">
        <v>2022</v>
      </c>
      <c r="B48">
        <v>5</v>
      </c>
      <c r="C48" t="s">
        <v>18</v>
      </c>
      <c r="D48">
        <v>4234</v>
      </c>
      <c r="E48">
        <v>959000</v>
      </c>
      <c r="F48" t="s">
        <v>99</v>
      </c>
      <c r="G48" t="s">
        <v>113</v>
      </c>
    </row>
    <row r="49" spans="1:7">
      <c r="A49">
        <v>2022</v>
      </c>
      <c r="B49">
        <v>6</v>
      </c>
      <c r="C49" t="s">
        <v>18</v>
      </c>
      <c r="D49">
        <v>4556</v>
      </c>
      <c r="E49">
        <v>1032435</v>
      </c>
      <c r="F49" t="s">
        <v>99</v>
      </c>
      <c r="G49" t="s">
        <v>113</v>
      </c>
    </row>
    <row r="50" spans="1:7">
      <c r="A50">
        <v>2022</v>
      </c>
      <c r="B50">
        <v>7</v>
      </c>
      <c r="C50" t="s">
        <v>18</v>
      </c>
      <c r="D50">
        <v>5115</v>
      </c>
      <c r="E50">
        <v>1120500</v>
      </c>
      <c r="F50" t="s">
        <v>99</v>
      </c>
      <c r="G50" t="s">
        <v>113</v>
      </c>
    </row>
    <row r="51" spans="1:7">
      <c r="A51">
        <v>2022</v>
      </c>
      <c r="B51">
        <v>8</v>
      </c>
      <c r="C51" t="s">
        <v>18</v>
      </c>
      <c r="D51">
        <v>5402</v>
      </c>
      <c r="E51">
        <v>1194428</v>
      </c>
      <c r="F51" t="s">
        <v>99</v>
      </c>
      <c r="G51" t="s">
        <v>113</v>
      </c>
    </row>
    <row r="52" spans="1:7">
      <c r="A52">
        <v>2022</v>
      </c>
      <c r="B52">
        <v>9</v>
      </c>
      <c r="C52" t="s">
        <v>18</v>
      </c>
      <c r="D52">
        <v>5669</v>
      </c>
      <c r="E52">
        <v>1256387</v>
      </c>
      <c r="F52" t="s">
        <v>99</v>
      </c>
      <c r="G52" t="s">
        <v>113</v>
      </c>
    </row>
    <row r="53" spans="1:7">
      <c r="A53">
        <v>2022</v>
      </c>
      <c r="B53">
        <v>10</v>
      </c>
      <c r="C53" t="s">
        <v>18</v>
      </c>
      <c r="D53">
        <v>5796</v>
      </c>
      <c r="E53">
        <v>1298076</v>
      </c>
      <c r="F53" t="s">
        <v>99</v>
      </c>
      <c r="G53" t="s">
        <v>113</v>
      </c>
    </row>
    <row r="54" spans="1:7">
      <c r="A54">
        <v>2022</v>
      </c>
      <c r="B54">
        <v>11</v>
      </c>
      <c r="C54" t="s">
        <v>18</v>
      </c>
      <c r="D54">
        <v>6165</v>
      </c>
      <c r="E54">
        <v>1344600</v>
      </c>
      <c r="F54" t="s">
        <v>99</v>
      </c>
      <c r="G54" t="s">
        <v>113</v>
      </c>
    </row>
    <row r="55" spans="1:7">
      <c r="A55">
        <v>2022</v>
      </c>
      <c r="B55">
        <v>12</v>
      </c>
      <c r="C55" t="s">
        <v>18</v>
      </c>
      <c r="D55">
        <v>6340</v>
      </c>
      <c r="E55">
        <v>1422967</v>
      </c>
      <c r="F55" t="s">
        <v>99</v>
      </c>
      <c r="G55" t="s">
        <v>113</v>
      </c>
    </row>
    <row r="56" spans="1:7">
      <c r="A56">
        <v>2023</v>
      </c>
      <c r="B56">
        <v>1</v>
      </c>
      <c r="C56" t="s">
        <v>18</v>
      </c>
      <c r="D56">
        <v>6765</v>
      </c>
      <c r="E56">
        <v>1582753</v>
      </c>
      <c r="F56" t="s">
        <v>99</v>
      </c>
      <c r="G56" t="s">
        <v>113</v>
      </c>
    </row>
    <row r="57" spans="1:7">
      <c r="A57">
        <v>2023</v>
      </c>
      <c r="B57">
        <v>2</v>
      </c>
      <c r="C57" t="s">
        <v>18</v>
      </c>
      <c r="D57">
        <v>8074</v>
      </c>
      <c r="E57">
        <v>1676254</v>
      </c>
      <c r="F57" t="s">
        <v>99</v>
      </c>
      <c r="G57" t="s">
        <v>113</v>
      </c>
    </row>
    <row r="58" spans="1:7">
      <c r="A58">
        <v>2023</v>
      </c>
      <c r="B58">
        <v>3</v>
      </c>
      <c r="C58" t="s">
        <v>18</v>
      </c>
      <c r="D58">
        <v>9847</v>
      </c>
      <c r="E58">
        <v>1783930</v>
      </c>
      <c r="F58" t="s">
        <v>99</v>
      </c>
      <c r="G58" t="s">
        <v>113</v>
      </c>
    </row>
    <row r="59" spans="1:7">
      <c r="A59">
        <v>2023</v>
      </c>
      <c r="B59">
        <v>4</v>
      </c>
      <c r="C59" t="s">
        <v>18</v>
      </c>
      <c r="D59">
        <v>10662</v>
      </c>
      <c r="E59">
        <v>1896628</v>
      </c>
      <c r="F59" t="s">
        <v>99</v>
      </c>
      <c r="G59" t="s">
        <v>113</v>
      </c>
    </row>
    <row r="60" spans="1:7">
      <c r="A60">
        <v>2023</v>
      </c>
      <c r="B60">
        <v>5</v>
      </c>
      <c r="C60" t="s">
        <v>18</v>
      </c>
      <c r="D60">
        <v>11716</v>
      </c>
      <c r="E60">
        <v>2006761</v>
      </c>
      <c r="F60" t="s">
        <v>99</v>
      </c>
      <c r="G60" t="s">
        <v>113</v>
      </c>
    </row>
    <row r="61" spans="1:7">
      <c r="A61">
        <v>2023</v>
      </c>
      <c r="B61">
        <v>6</v>
      </c>
      <c r="C61" t="s">
        <v>18</v>
      </c>
      <c r="D61">
        <v>12600</v>
      </c>
      <c r="E61">
        <v>2149416</v>
      </c>
      <c r="F61" t="s">
        <v>99</v>
      </c>
      <c r="G61" t="s">
        <v>113</v>
      </c>
    </row>
    <row r="62" spans="1:7">
      <c r="A62">
        <v>2023</v>
      </c>
      <c r="B62">
        <v>7</v>
      </c>
      <c r="C62" t="s">
        <v>18</v>
      </c>
      <c r="D62">
        <v>14110</v>
      </c>
      <c r="E62">
        <v>2274993</v>
      </c>
      <c r="F62" t="s">
        <v>99</v>
      </c>
      <c r="G62" t="s">
        <v>113</v>
      </c>
    </row>
    <row r="63" spans="1:7">
      <c r="A63">
        <v>2023</v>
      </c>
      <c r="B63">
        <v>8</v>
      </c>
      <c r="C63" t="s">
        <v>18</v>
      </c>
      <c r="D63">
        <v>14768</v>
      </c>
      <c r="E63">
        <v>2430000</v>
      </c>
      <c r="F63" t="s">
        <v>99</v>
      </c>
      <c r="G63" t="s">
        <v>113</v>
      </c>
    </row>
    <row r="64" spans="1:7">
      <c r="A64">
        <v>2023</v>
      </c>
      <c r="B64">
        <v>9</v>
      </c>
      <c r="C64" t="s">
        <v>18</v>
      </c>
      <c r="D64">
        <v>14883</v>
      </c>
      <c r="E64">
        <v>2555361</v>
      </c>
      <c r="F64" t="s">
        <v>99</v>
      </c>
      <c r="G64" t="s">
        <v>113</v>
      </c>
    </row>
    <row r="65" spans="1:7">
      <c r="A65">
        <v>2023</v>
      </c>
      <c r="B65">
        <v>10</v>
      </c>
      <c r="C65" t="s">
        <v>18</v>
      </c>
      <c r="D65">
        <v>14817</v>
      </c>
      <c r="E65">
        <v>2602611</v>
      </c>
      <c r="F65" t="s">
        <v>99</v>
      </c>
      <c r="G65" t="s">
        <v>113</v>
      </c>
    </row>
    <row r="66" spans="1:7">
      <c r="A66">
        <v>2023</v>
      </c>
      <c r="B66">
        <v>11</v>
      </c>
      <c r="C66" t="s">
        <v>18</v>
      </c>
      <c r="D66">
        <v>14700</v>
      </c>
      <c r="E66">
        <v>2615382</v>
      </c>
      <c r="F66" t="s">
        <v>99</v>
      </c>
      <c r="G66" t="s">
        <v>113</v>
      </c>
    </row>
    <row r="67" spans="1:7">
      <c r="A67">
        <v>2023</v>
      </c>
      <c r="B67">
        <v>12</v>
      </c>
      <c r="C67" t="s">
        <v>18</v>
      </c>
      <c r="D67">
        <v>14890</v>
      </c>
      <c r="E67">
        <v>2647039</v>
      </c>
      <c r="F67" t="s">
        <v>99</v>
      </c>
      <c r="G67" t="s">
        <v>113</v>
      </c>
    </row>
    <row r="68" spans="1:7">
      <c r="A68">
        <v>2021</v>
      </c>
      <c r="B68">
        <v>4</v>
      </c>
      <c r="C68" t="s">
        <v>19</v>
      </c>
      <c r="D68">
        <v>1981</v>
      </c>
      <c r="E68">
        <v>576000</v>
      </c>
      <c r="F68" t="s">
        <v>97</v>
      </c>
      <c r="G68" t="s">
        <v>107</v>
      </c>
    </row>
    <row r="69" spans="1:7">
      <c r="A69">
        <v>2021</v>
      </c>
      <c r="B69">
        <v>5</v>
      </c>
      <c r="C69" t="s">
        <v>19</v>
      </c>
      <c r="D69">
        <v>2124</v>
      </c>
      <c r="E69">
        <v>586207</v>
      </c>
      <c r="F69" t="s">
        <v>97</v>
      </c>
      <c r="G69" t="s">
        <v>107</v>
      </c>
    </row>
    <row r="70" spans="1:7">
      <c r="A70">
        <v>2021</v>
      </c>
      <c r="B70">
        <v>6</v>
      </c>
      <c r="C70" t="s">
        <v>19</v>
      </c>
      <c r="D70">
        <v>2220</v>
      </c>
      <c r="E70">
        <v>611908</v>
      </c>
      <c r="F70" t="s">
        <v>97</v>
      </c>
      <c r="G70" t="s">
        <v>107</v>
      </c>
    </row>
    <row r="71" spans="1:7">
      <c r="A71">
        <v>2021</v>
      </c>
      <c r="B71">
        <v>7</v>
      </c>
      <c r="C71" t="s">
        <v>19</v>
      </c>
      <c r="D71">
        <v>2358</v>
      </c>
      <c r="E71">
        <v>640000</v>
      </c>
      <c r="F71" t="s">
        <v>97</v>
      </c>
      <c r="G71" t="s">
        <v>107</v>
      </c>
    </row>
    <row r="72" spans="1:7">
      <c r="A72">
        <v>2021</v>
      </c>
      <c r="B72">
        <v>8</v>
      </c>
      <c r="C72" t="s">
        <v>19</v>
      </c>
      <c r="D72">
        <v>2509</v>
      </c>
      <c r="E72">
        <v>676000</v>
      </c>
      <c r="F72" t="s">
        <v>97</v>
      </c>
      <c r="G72" t="s">
        <v>107</v>
      </c>
    </row>
    <row r="73" spans="1:7">
      <c r="A73">
        <v>2021</v>
      </c>
      <c r="B73">
        <v>9</v>
      </c>
      <c r="C73" t="s">
        <v>19</v>
      </c>
      <c r="D73">
        <v>2704</v>
      </c>
      <c r="E73">
        <v>709582</v>
      </c>
      <c r="F73" t="s">
        <v>97</v>
      </c>
      <c r="G73" t="s">
        <v>107</v>
      </c>
    </row>
    <row r="74" spans="1:7">
      <c r="A74">
        <v>2021</v>
      </c>
      <c r="B74">
        <v>10</v>
      </c>
      <c r="C74" t="s">
        <v>19</v>
      </c>
      <c r="D74">
        <v>2946</v>
      </c>
      <c r="E74">
        <v>751739</v>
      </c>
      <c r="F74" t="s">
        <v>97</v>
      </c>
      <c r="G74" t="s">
        <v>107</v>
      </c>
    </row>
    <row r="75" spans="1:7">
      <c r="A75">
        <v>2021</v>
      </c>
      <c r="B75">
        <v>11</v>
      </c>
      <c r="C75" t="s">
        <v>19</v>
      </c>
      <c r="D75">
        <v>3048</v>
      </c>
      <c r="E75">
        <v>824626</v>
      </c>
      <c r="F75" t="s">
        <v>97</v>
      </c>
      <c r="G75" t="s">
        <v>107</v>
      </c>
    </row>
    <row r="76" spans="1:7">
      <c r="A76">
        <v>2021</v>
      </c>
      <c r="B76">
        <v>12</v>
      </c>
      <c r="C76" t="s">
        <v>19</v>
      </c>
      <c r="D76">
        <v>3173</v>
      </c>
      <c r="E76">
        <v>983784</v>
      </c>
      <c r="F76" t="s">
        <v>97</v>
      </c>
      <c r="G76" t="s">
        <v>107</v>
      </c>
    </row>
    <row r="77" spans="1:7">
      <c r="A77">
        <v>2022</v>
      </c>
      <c r="B77">
        <v>1</v>
      </c>
      <c r="C77" t="s">
        <v>19</v>
      </c>
      <c r="D77">
        <v>3262</v>
      </c>
      <c r="E77">
        <v>1087499</v>
      </c>
      <c r="F77" t="s">
        <v>97</v>
      </c>
      <c r="G77" t="s">
        <v>107</v>
      </c>
    </row>
    <row r="78" spans="1:7">
      <c r="A78">
        <v>2022</v>
      </c>
      <c r="B78">
        <v>2</v>
      </c>
      <c r="C78" t="s">
        <v>19</v>
      </c>
      <c r="D78">
        <v>3510</v>
      </c>
      <c r="E78">
        <v>1163158</v>
      </c>
      <c r="F78" t="s">
        <v>97</v>
      </c>
      <c r="G78" t="s">
        <v>107</v>
      </c>
    </row>
    <row r="79" spans="1:7">
      <c r="A79">
        <v>2022</v>
      </c>
      <c r="B79">
        <v>3</v>
      </c>
      <c r="C79" t="s">
        <v>19</v>
      </c>
      <c r="D79">
        <v>3835</v>
      </c>
      <c r="E79">
        <v>1263888</v>
      </c>
      <c r="F79" t="s">
        <v>97</v>
      </c>
      <c r="G79" t="s">
        <v>107</v>
      </c>
    </row>
    <row r="80" spans="1:7">
      <c r="A80">
        <v>2022</v>
      </c>
      <c r="B80">
        <v>4</v>
      </c>
      <c r="C80" t="s">
        <v>19</v>
      </c>
      <c r="D80">
        <v>4637</v>
      </c>
      <c r="E80">
        <v>1404000</v>
      </c>
      <c r="F80" t="s">
        <v>97</v>
      </c>
      <c r="G80" t="s">
        <v>107</v>
      </c>
    </row>
    <row r="81" spans="1:7">
      <c r="A81">
        <v>2022</v>
      </c>
      <c r="B81">
        <v>5</v>
      </c>
      <c r="C81" t="s">
        <v>19</v>
      </c>
      <c r="D81">
        <v>5625</v>
      </c>
      <c r="E81">
        <v>1582607</v>
      </c>
      <c r="F81" t="s">
        <v>97</v>
      </c>
      <c r="G81" t="s">
        <v>107</v>
      </c>
    </row>
    <row r="82" spans="1:7">
      <c r="A82">
        <v>2022</v>
      </c>
      <c r="B82">
        <v>6</v>
      </c>
      <c r="C82" t="s">
        <v>19</v>
      </c>
      <c r="D82">
        <v>6200</v>
      </c>
      <c r="E82">
        <v>1639131</v>
      </c>
      <c r="F82" t="s">
        <v>97</v>
      </c>
      <c r="G82" t="s">
        <v>107</v>
      </c>
    </row>
    <row r="83" spans="1:7">
      <c r="A83">
        <v>2022</v>
      </c>
      <c r="B83">
        <v>7</v>
      </c>
      <c r="C83" t="s">
        <v>19</v>
      </c>
      <c r="D83">
        <v>6764</v>
      </c>
      <c r="E83">
        <v>1772732</v>
      </c>
      <c r="F83" t="s">
        <v>97</v>
      </c>
      <c r="G83" t="s">
        <v>107</v>
      </c>
    </row>
    <row r="84" spans="1:7">
      <c r="A84">
        <v>2022</v>
      </c>
      <c r="B84">
        <v>8</v>
      </c>
      <c r="C84" t="s">
        <v>19</v>
      </c>
      <c r="D84">
        <v>7117</v>
      </c>
      <c r="E84">
        <v>1895829</v>
      </c>
      <c r="F84" t="s">
        <v>97</v>
      </c>
      <c r="G84" t="s">
        <v>107</v>
      </c>
    </row>
    <row r="85" spans="1:7">
      <c r="A85">
        <v>2022</v>
      </c>
      <c r="B85">
        <v>9</v>
      </c>
      <c r="C85" t="s">
        <v>19</v>
      </c>
      <c r="D85">
        <v>7080</v>
      </c>
      <c r="E85">
        <v>2009085</v>
      </c>
      <c r="F85" t="s">
        <v>97</v>
      </c>
      <c r="G85" t="s">
        <v>107</v>
      </c>
    </row>
    <row r="86" spans="1:7">
      <c r="A86">
        <v>2022</v>
      </c>
      <c r="B86">
        <v>10</v>
      </c>
      <c r="C86" t="s">
        <v>19</v>
      </c>
      <c r="D86">
        <v>7324</v>
      </c>
      <c r="E86">
        <v>2112500</v>
      </c>
      <c r="F86" t="s">
        <v>97</v>
      </c>
      <c r="G86" t="s">
        <v>107</v>
      </c>
    </row>
    <row r="87" spans="1:7">
      <c r="A87">
        <v>2022</v>
      </c>
      <c r="B87">
        <v>11</v>
      </c>
      <c r="C87" t="s">
        <v>19</v>
      </c>
      <c r="D87">
        <v>7670</v>
      </c>
      <c r="E87">
        <v>2218671</v>
      </c>
      <c r="F87" t="s">
        <v>97</v>
      </c>
      <c r="G87" t="s">
        <v>107</v>
      </c>
    </row>
    <row r="88" spans="1:7">
      <c r="A88">
        <v>2022</v>
      </c>
      <c r="B88">
        <v>12</v>
      </c>
      <c r="C88" t="s">
        <v>19</v>
      </c>
      <c r="D88">
        <v>7977</v>
      </c>
      <c r="E88">
        <v>2330185</v>
      </c>
      <c r="F88" t="s">
        <v>97</v>
      </c>
      <c r="G88" t="s">
        <v>107</v>
      </c>
    </row>
    <row r="89" spans="1:7">
      <c r="A89">
        <v>2023</v>
      </c>
      <c r="B89">
        <v>1</v>
      </c>
      <c r="C89" t="s">
        <v>19</v>
      </c>
      <c r="D89">
        <v>8717</v>
      </c>
      <c r="E89">
        <v>2553577</v>
      </c>
      <c r="F89" t="s">
        <v>97</v>
      </c>
      <c r="G89" t="s">
        <v>107</v>
      </c>
    </row>
    <row r="90" spans="1:7">
      <c r="A90">
        <v>2023</v>
      </c>
      <c r="B90">
        <v>2</v>
      </c>
      <c r="C90" t="s">
        <v>19</v>
      </c>
      <c r="D90">
        <v>9646</v>
      </c>
      <c r="E90">
        <v>2716311</v>
      </c>
      <c r="F90" t="s">
        <v>97</v>
      </c>
      <c r="G90" t="s">
        <v>107</v>
      </c>
    </row>
    <row r="91" spans="1:7">
      <c r="A91">
        <v>2023</v>
      </c>
      <c r="B91">
        <v>3</v>
      </c>
      <c r="C91" t="s">
        <v>19</v>
      </c>
      <c r="D91">
        <v>10520</v>
      </c>
      <c r="E91">
        <v>2840734</v>
      </c>
      <c r="F91" t="s">
        <v>97</v>
      </c>
      <c r="G91" t="s">
        <v>107</v>
      </c>
    </row>
    <row r="92" spans="1:7">
      <c r="A92">
        <v>2023</v>
      </c>
      <c r="B92">
        <v>4</v>
      </c>
      <c r="C92" t="s">
        <v>19</v>
      </c>
      <c r="D92">
        <v>11600</v>
      </c>
      <c r="E92">
        <v>2954549</v>
      </c>
      <c r="F92" t="s">
        <v>97</v>
      </c>
      <c r="G92" t="s">
        <v>107</v>
      </c>
    </row>
    <row r="93" spans="1:7">
      <c r="A93">
        <v>2023</v>
      </c>
      <c r="B93">
        <v>5</v>
      </c>
      <c r="C93" t="s">
        <v>19</v>
      </c>
      <c r="D93">
        <v>13275</v>
      </c>
      <c r="E93">
        <v>3064282</v>
      </c>
      <c r="F93" t="s">
        <v>97</v>
      </c>
      <c r="G93" t="s">
        <v>107</v>
      </c>
    </row>
    <row r="94" spans="1:7">
      <c r="A94">
        <v>2023</v>
      </c>
      <c r="B94">
        <v>6</v>
      </c>
      <c r="C94" t="s">
        <v>19</v>
      </c>
      <c r="D94">
        <v>14918</v>
      </c>
      <c r="E94">
        <v>3250000</v>
      </c>
      <c r="F94" t="s">
        <v>97</v>
      </c>
      <c r="G94" t="s">
        <v>107</v>
      </c>
    </row>
    <row r="95" spans="1:7">
      <c r="A95">
        <v>2023</v>
      </c>
      <c r="B95">
        <v>7</v>
      </c>
      <c r="C95" t="s">
        <v>19</v>
      </c>
      <c r="D95">
        <v>15692</v>
      </c>
      <c r="E95">
        <v>3389282</v>
      </c>
      <c r="F95" t="s">
        <v>97</v>
      </c>
      <c r="G95" t="s">
        <v>107</v>
      </c>
    </row>
    <row r="96" spans="1:7">
      <c r="A96">
        <v>2023</v>
      </c>
      <c r="B96">
        <v>8</v>
      </c>
      <c r="C96" t="s">
        <v>19</v>
      </c>
      <c r="D96">
        <v>15750</v>
      </c>
      <c r="E96">
        <v>3537079</v>
      </c>
      <c r="F96" t="s">
        <v>97</v>
      </c>
      <c r="G96" t="s">
        <v>107</v>
      </c>
    </row>
    <row r="97" spans="1:7">
      <c r="A97">
        <v>2023</v>
      </c>
      <c r="B97">
        <v>9</v>
      </c>
      <c r="C97" t="s">
        <v>19</v>
      </c>
      <c r="D97">
        <v>16044</v>
      </c>
      <c r="E97">
        <v>3659266</v>
      </c>
      <c r="F97" t="s">
        <v>97</v>
      </c>
      <c r="G97" t="s">
        <v>107</v>
      </c>
    </row>
    <row r="98" spans="1:7">
      <c r="A98">
        <v>2023</v>
      </c>
      <c r="B98">
        <v>10</v>
      </c>
      <c r="C98" t="s">
        <v>19</v>
      </c>
      <c r="D98">
        <v>15922</v>
      </c>
      <c r="E98">
        <v>3750006</v>
      </c>
      <c r="F98" t="s">
        <v>97</v>
      </c>
      <c r="G98" t="s">
        <v>107</v>
      </c>
    </row>
    <row r="99" spans="1:7">
      <c r="A99">
        <v>2023</v>
      </c>
      <c r="B99">
        <v>11</v>
      </c>
      <c r="C99" t="s">
        <v>19</v>
      </c>
      <c r="D99">
        <v>15812</v>
      </c>
      <c r="E99">
        <v>3716134</v>
      </c>
      <c r="F99" t="s">
        <v>97</v>
      </c>
      <c r="G99" t="s">
        <v>107</v>
      </c>
    </row>
    <row r="100" spans="1:7">
      <c r="A100">
        <v>2023</v>
      </c>
      <c r="B100">
        <v>12</v>
      </c>
      <c r="C100" t="s">
        <v>19</v>
      </c>
      <c r="D100">
        <v>16290</v>
      </c>
      <c r="E100">
        <v>3763673</v>
      </c>
      <c r="F100" t="s">
        <v>97</v>
      </c>
      <c r="G100" t="s">
        <v>107</v>
      </c>
    </row>
    <row r="101" spans="1:7">
      <c r="A101">
        <v>2021</v>
      </c>
      <c r="B101">
        <v>4</v>
      </c>
      <c r="C101" t="s">
        <v>20</v>
      </c>
      <c r="D101">
        <v>1345</v>
      </c>
      <c r="E101">
        <v>439541</v>
      </c>
      <c r="F101" t="s">
        <v>100</v>
      </c>
      <c r="G101" t="s">
        <v>116</v>
      </c>
    </row>
    <row r="102" spans="1:7">
      <c r="A102">
        <v>2021</v>
      </c>
      <c r="B102">
        <v>5</v>
      </c>
      <c r="C102" t="s">
        <v>20</v>
      </c>
      <c r="D102">
        <v>1439</v>
      </c>
      <c r="E102">
        <v>435555</v>
      </c>
      <c r="F102" t="s">
        <v>100</v>
      </c>
      <c r="G102" t="s">
        <v>116</v>
      </c>
    </row>
    <row r="103" spans="1:7">
      <c r="A103">
        <v>2021</v>
      </c>
      <c r="B103">
        <v>6</v>
      </c>
      <c r="C103" t="s">
        <v>20</v>
      </c>
      <c r="D103">
        <v>1431</v>
      </c>
      <c r="E103">
        <v>448000</v>
      </c>
      <c r="F103" t="s">
        <v>100</v>
      </c>
      <c r="G103" t="s">
        <v>116</v>
      </c>
    </row>
    <row r="104" spans="1:7">
      <c r="A104">
        <v>2021</v>
      </c>
      <c r="B104">
        <v>7</v>
      </c>
      <c r="C104" t="s">
        <v>20</v>
      </c>
      <c r="D104">
        <v>1545</v>
      </c>
      <c r="E104">
        <v>472380</v>
      </c>
      <c r="F104" t="s">
        <v>100</v>
      </c>
      <c r="G104" t="s">
        <v>116</v>
      </c>
    </row>
    <row r="105" spans="1:7">
      <c r="A105">
        <v>2021</v>
      </c>
      <c r="B105">
        <v>8</v>
      </c>
      <c r="C105" t="s">
        <v>20</v>
      </c>
      <c r="D105">
        <v>1653</v>
      </c>
      <c r="E105">
        <v>525556</v>
      </c>
      <c r="F105" t="s">
        <v>100</v>
      </c>
      <c r="G105" t="s">
        <v>116</v>
      </c>
    </row>
    <row r="106" spans="1:7">
      <c r="A106">
        <v>2021</v>
      </c>
      <c r="B106">
        <v>9</v>
      </c>
      <c r="C106" t="s">
        <v>20</v>
      </c>
      <c r="D106">
        <v>1680</v>
      </c>
      <c r="E106">
        <v>556111</v>
      </c>
      <c r="F106" t="s">
        <v>100</v>
      </c>
      <c r="G106" t="s">
        <v>116</v>
      </c>
    </row>
    <row r="107" spans="1:7">
      <c r="A107">
        <v>2021</v>
      </c>
      <c r="B107">
        <v>10</v>
      </c>
      <c r="C107" t="s">
        <v>20</v>
      </c>
      <c r="D107">
        <v>1899</v>
      </c>
      <c r="E107">
        <v>591724</v>
      </c>
      <c r="F107" t="s">
        <v>100</v>
      </c>
      <c r="G107" t="s">
        <v>116</v>
      </c>
    </row>
    <row r="108" spans="1:7">
      <c r="A108">
        <v>2021</v>
      </c>
      <c r="B108">
        <v>11</v>
      </c>
      <c r="C108" t="s">
        <v>20</v>
      </c>
      <c r="D108">
        <v>1865</v>
      </c>
      <c r="E108">
        <v>650571</v>
      </c>
      <c r="F108" t="s">
        <v>100</v>
      </c>
      <c r="G108" t="s">
        <v>116</v>
      </c>
    </row>
    <row r="109" spans="1:7">
      <c r="A109">
        <v>2021</v>
      </c>
      <c r="B109">
        <v>12</v>
      </c>
      <c r="C109" t="s">
        <v>20</v>
      </c>
      <c r="D109">
        <v>1983</v>
      </c>
      <c r="E109">
        <v>808971</v>
      </c>
      <c r="F109" t="s">
        <v>100</v>
      </c>
      <c r="G109" t="s">
        <v>116</v>
      </c>
    </row>
    <row r="110" spans="1:7">
      <c r="A110">
        <v>2022</v>
      </c>
      <c r="B110">
        <v>1</v>
      </c>
      <c r="C110" t="s">
        <v>20</v>
      </c>
      <c r="D110">
        <v>2251</v>
      </c>
      <c r="E110">
        <v>866250</v>
      </c>
      <c r="F110" t="s">
        <v>100</v>
      </c>
      <c r="G110" t="s">
        <v>116</v>
      </c>
    </row>
    <row r="111" spans="1:7">
      <c r="A111">
        <v>2022</v>
      </c>
      <c r="B111">
        <v>2</v>
      </c>
      <c r="C111" t="s">
        <v>20</v>
      </c>
      <c r="D111">
        <v>2310</v>
      </c>
      <c r="E111">
        <v>890000</v>
      </c>
      <c r="F111" t="s">
        <v>100</v>
      </c>
      <c r="G111" t="s">
        <v>116</v>
      </c>
    </row>
    <row r="112" spans="1:7">
      <c r="A112">
        <v>2022</v>
      </c>
      <c r="B112">
        <v>3</v>
      </c>
      <c r="C112" t="s">
        <v>20</v>
      </c>
      <c r="D112">
        <v>2450</v>
      </c>
      <c r="E112">
        <v>971142</v>
      </c>
      <c r="F112" t="s">
        <v>100</v>
      </c>
      <c r="G112" t="s">
        <v>116</v>
      </c>
    </row>
    <row r="113" spans="1:7">
      <c r="A113">
        <v>2022</v>
      </c>
      <c r="B113">
        <v>4</v>
      </c>
      <c r="C113" t="s">
        <v>20</v>
      </c>
      <c r="D113">
        <v>2841</v>
      </c>
      <c r="E113">
        <v>1100000</v>
      </c>
      <c r="F113" t="s">
        <v>100</v>
      </c>
      <c r="G113" t="s">
        <v>116</v>
      </c>
    </row>
    <row r="114" spans="1:7">
      <c r="A114">
        <v>2022</v>
      </c>
      <c r="B114">
        <v>5</v>
      </c>
      <c r="C114" t="s">
        <v>20</v>
      </c>
      <c r="D114">
        <v>3348</v>
      </c>
      <c r="E114">
        <v>1223529</v>
      </c>
      <c r="F114" t="s">
        <v>100</v>
      </c>
      <c r="G114" t="s">
        <v>116</v>
      </c>
    </row>
    <row r="115" spans="1:7">
      <c r="A115">
        <v>2022</v>
      </c>
      <c r="B115">
        <v>6</v>
      </c>
      <c r="C115" t="s">
        <v>20</v>
      </c>
      <c r="D115">
        <v>3532</v>
      </c>
      <c r="E115">
        <v>1362963</v>
      </c>
      <c r="F115" t="s">
        <v>100</v>
      </c>
      <c r="G115" t="s">
        <v>116</v>
      </c>
    </row>
    <row r="116" spans="1:7">
      <c r="A116">
        <v>2022</v>
      </c>
      <c r="B116">
        <v>7</v>
      </c>
      <c r="C116" t="s">
        <v>20</v>
      </c>
      <c r="D116">
        <v>3879</v>
      </c>
      <c r="E116">
        <v>1474578</v>
      </c>
      <c r="F116" t="s">
        <v>100</v>
      </c>
      <c r="G116" t="s">
        <v>116</v>
      </c>
    </row>
    <row r="117" spans="1:7">
      <c r="A117">
        <v>2022</v>
      </c>
      <c r="B117">
        <v>8</v>
      </c>
      <c r="C117" t="s">
        <v>20</v>
      </c>
      <c r="D117">
        <v>4237</v>
      </c>
      <c r="E117">
        <v>1485713</v>
      </c>
      <c r="F117" t="s">
        <v>100</v>
      </c>
      <c r="G117" t="s">
        <v>116</v>
      </c>
    </row>
    <row r="118" spans="1:7">
      <c r="A118">
        <v>2022</v>
      </c>
      <c r="B118">
        <v>9</v>
      </c>
      <c r="C118" t="s">
        <v>20</v>
      </c>
      <c r="D118">
        <v>4511</v>
      </c>
      <c r="E118">
        <v>1546132</v>
      </c>
      <c r="F118" t="s">
        <v>100</v>
      </c>
      <c r="G118" t="s">
        <v>116</v>
      </c>
    </row>
    <row r="119" spans="1:7">
      <c r="A119">
        <v>2022</v>
      </c>
      <c r="B119">
        <v>10</v>
      </c>
      <c r="C119" t="s">
        <v>20</v>
      </c>
      <c r="D119">
        <v>4499</v>
      </c>
      <c r="E119">
        <v>1582545</v>
      </c>
      <c r="F119" t="s">
        <v>100</v>
      </c>
      <c r="G119" t="s">
        <v>116</v>
      </c>
    </row>
    <row r="120" spans="1:7">
      <c r="A120">
        <v>2022</v>
      </c>
      <c r="B120">
        <v>11</v>
      </c>
      <c r="C120" t="s">
        <v>20</v>
      </c>
      <c r="D120">
        <v>4786</v>
      </c>
      <c r="E120">
        <v>1647520</v>
      </c>
      <c r="F120" t="s">
        <v>100</v>
      </c>
      <c r="G120" t="s">
        <v>116</v>
      </c>
    </row>
    <row r="121" spans="1:7">
      <c r="A121">
        <v>2022</v>
      </c>
      <c r="B121">
        <v>12</v>
      </c>
      <c r="C121" t="s">
        <v>20</v>
      </c>
      <c r="D121">
        <v>5175</v>
      </c>
      <c r="E121">
        <v>1800001</v>
      </c>
      <c r="F121" t="s">
        <v>100</v>
      </c>
      <c r="G121" t="s">
        <v>116</v>
      </c>
    </row>
    <row r="122" spans="1:7">
      <c r="A122">
        <v>2023</v>
      </c>
      <c r="B122">
        <v>1</v>
      </c>
      <c r="C122" t="s">
        <v>20</v>
      </c>
      <c r="D122">
        <v>5700</v>
      </c>
      <c r="E122">
        <v>1976464</v>
      </c>
      <c r="F122" t="s">
        <v>100</v>
      </c>
      <c r="G122" t="s">
        <v>116</v>
      </c>
    </row>
    <row r="123" spans="1:7">
      <c r="A123">
        <v>2023</v>
      </c>
      <c r="B123">
        <v>2</v>
      </c>
      <c r="C123" t="s">
        <v>20</v>
      </c>
      <c r="D123">
        <v>6228</v>
      </c>
      <c r="E123">
        <v>2193807</v>
      </c>
      <c r="F123" t="s">
        <v>100</v>
      </c>
      <c r="G123" t="s">
        <v>116</v>
      </c>
    </row>
    <row r="124" spans="1:7">
      <c r="A124">
        <v>2023</v>
      </c>
      <c r="B124">
        <v>3</v>
      </c>
      <c r="C124" t="s">
        <v>20</v>
      </c>
      <c r="D124">
        <v>6448</v>
      </c>
      <c r="E124">
        <v>2200000</v>
      </c>
      <c r="F124" t="s">
        <v>100</v>
      </c>
      <c r="G124" t="s">
        <v>116</v>
      </c>
    </row>
    <row r="125" spans="1:7">
      <c r="A125">
        <v>2023</v>
      </c>
      <c r="B125">
        <v>4</v>
      </c>
      <c r="C125" t="s">
        <v>20</v>
      </c>
      <c r="D125">
        <v>6707</v>
      </c>
      <c r="E125">
        <v>2240000</v>
      </c>
      <c r="F125" t="s">
        <v>100</v>
      </c>
      <c r="G125" t="s">
        <v>116</v>
      </c>
    </row>
    <row r="126" spans="1:7">
      <c r="A126">
        <v>2023</v>
      </c>
      <c r="B126">
        <v>5</v>
      </c>
      <c r="C126" t="s">
        <v>20</v>
      </c>
      <c r="D126">
        <v>7303</v>
      </c>
      <c r="E126">
        <v>2293328</v>
      </c>
      <c r="F126" t="s">
        <v>100</v>
      </c>
      <c r="G126" t="s">
        <v>116</v>
      </c>
    </row>
    <row r="127" spans="1:7">
      <c r="A127">
        <v>2023</v>
      </c>
      <c r="B127">
        <v>6</v>
      </c>
      <c r="C127" t="s">
        <v>20</v>
      </c>
      <c r="D127">
        <v>7929</v>
      </c>
      <c r="E127">
        <v>2398768</v>
      </c>
      <c r="F127" t="s">
        <v>100</v>
      </c>
      <c r="G127" t="s">
        <v>116</v>
      </c>
    </row>
    <row r="128" spans="1:7">
      <c r="A128">
        <v>2023</v>
      </c>
      <c r="B128">
        <v>7</v>
      </c>
      <c r="C128" t="s">
        <v>20</v>
      </c>
      <c r="D128">
        <v>8810</v>
      </c>
      <c r="E128">
        <v>2514288</v>
      </c>
      <c r="F128" t="s">
        <v>100</v>
      </c>
      <c r="G128" t="s">
        <v>116</v>
      </c>
    </row>
    <row r="129" spans="1:7">
      <c r="A129">
        <v>2023</v>
      </c>
      <c r="B129">
        <v>8</v>
      </c>
      <c r="C129" t="s">
        <v>20</v>
      </c>
      <c r="D129">
        <v>9450</v>
      </c>
      <c r="E129">
        <v>2567495</v>
      </c>
      <c r="F129" t="s">
        <v>100</v>
      </c>
      <c r="G129" t="s">
        <v>116</v>
      </c>
    </row>
    <row r="130" spans="1:7">
      <c r="A130">
        <v>2023</v>
      </c>
      <c r="B130">
        <v>9</v>
      </c>
      <c r="C130" t="s">
        <v>20</v>
      </c>
      <c r="D130">
        <v>10257</v>
      </c>
      <c r="E130">
        <v>2604589</v>
      </c>
      <c r="F130" t="s">
        <v>100</v>
      </c>
      <c r="G130" t="s">
        <v>116</v>
      </c>
    </row>
    <row r="131" spans="1:7">
      <c r="A131">
        <v>2023</v>
      </c>
      <c r="B131">
        <v>10</v>
      </c>
      <c r="C131" t="s">
        <v>20</v>
      </c>
      <c r="D131">
        <v>10260</v>
      </c>
      <c r="E131">
        <v>2630303</v>
      </c>
      <c r="F131" t="s">
        <v>100</v>
      </c>
      <c r="G131" t="s">
        <v>116</v>
      </c>
    </row>
    <row r="132" spans="1:7">
      <c r="A132">
        <v>2023</v>
      </c>
      <c r="B132">
        <v>11</v>
      </c>
      <c r="C132" t="s">
        <v>20</v>
      </c>
      <c r="D132">
        <v>10231</v>
      </c>
      <c r="E132">
        <v>2584000</v>
      </c>
      <c r="F132" t="s">
        <v>100</v>
      </c>
      <c r="G132" t="s">
        <v>116</v>
      </c>
    </row>
    <row r="133" spans="1:7">
      <c r="A133">
        <v>2023</v>
      </c>
      <c r="B133">
        <v>12</v>
      </c>
      <c r="C133" t="s">
        <v>20</v>
      </c>
      <c r="D133">
        <v>10499</v>
      </c>
      <c r="E133">
        <v>2562855</v>
      </c>
      <c r="F133" t="s">
        <v>100</v>
      </c>
      <c r="G133" t="s">
        <v>116</v>
      </c>
    </row>
    <row r="134" spans="1:7">
      <c r="A134">
        <v>2021</v>
      </c>
      <c r="B134">
        <v>4</v>
      </c>
      <c r="C134" t="s">
        <v>21</v>
      </c>
      <c r="D134">
        <v>1061</v>
      </c>
      <c r="E134">
        <v>397020</v>
      </c>
      <c r="F134" t="s">
        <v>124</v>
      </c>
      <c r="G134" t="s">
        <v>125</v>
      </c>
    </row>
    <row r="135" spans="1:7">
      <c r="A135">
        <v>2021</v>
      </c>
      <c r="B135">
        <v>5</v>
      </c>
      <c r="C135" t="s">
        <v>21</v>
      </c>
      <c r="D135">
        <v>1145</v>
      </c>
      <c r="E135">
        <v>396216</v>
      </c>
      <c r="F135" t="s">
        <v>124</v>
      </c>
      <c r="G135" t="s">
        <v>125</v>
      </c>
    </row>
    <row r="136" spans="1:7">
      <c r="A136">
        <v>2021</v>
      </c>
      <c r="B136">
        <v>6</v>
      </c>
      <c r="C136" t="s">
        <v>21</v>
      </c>
      <c r="D136">
        <v>1160</v>
      </c>
      <c r="E136">
        <v>414907</v>
      </c>
      <c r="F136" t="s">
        <v>124</v>
      </c>
      <c r="G136" t="s">
        <v>125</v>
      </c>
    </row>
    <row r="137" spans="1:7">
      <c r="A137">
        <v>2021</v>
      </c>
      <c r="B137">
        <v>7</v>
      </c>
      <c r="C137" t="s">
        <v>21</v>
      </c>
      <c r="D137">
        <v>1237</v>
      </c>
      <c r="E137">
        <v>429473</v>
      </c>
      <c r="F137" t="s">
        <v>124</v>
      </c>
      <c r="G137" t="s">
        <v>125</v>
      </c>
    </row>
    <row r="138" spans="1:7">
      <c r="A138">
        <v>2021</v>
      </c>
      <c r="B138">
        <v>8</v>
      </c>
      <c r="C138" t="s">
        <v>21</v>
      </c>
      <c r="D138">
        <v>1313</v>
      </c>
      <c r="E138">
        <v>441081</v>
      </c>
      <c r="F138" t="s">
        <v>124</v>
      </c>
      <c r="G138" t="s">
        <v>125</v>
      </c>
    </row>
    <row r="139" spans="1:7">
      <c r="A139">
        <v>2021</v>
      </c>
      <c r="B139">
        <v>9</v>
      </c>
      <c r="C139" t="s">
        <v>21</v>
      </c>
      <c r="D139">
        <v>1370</v>
      </c>
      <c r="E139">
        <v>446667</v>
      </c>
      <c r="F139" t="s">
        <v>124</v>
      </c>
      <c r="G139" t="s">
        <v>125</v>
      </c>
    </row>
    <row r="140" spans="1:7">
      <c r="A140">
        <v>2021</v>
      </c>
      <c r="B140">
        <v>10</v>
      </c>
      <c r="C140" t="s">
        <v>21</v>
      </c>
      <c r="D140">
        <v>1397</v>
      </c>
      <c r="E140">
        <v>475555</v>
      </c>
      <c r="F140" t="s">
        <v>124</v>
      </c>
      <c r="G140" t="s">
        <v>125</v>
      </c>
    </row>
    <row r="141" spans="1:7">
      <c r="A141">
        <v>2021</v>
      </c>
      <c r="B141">
        <v>11</v>
      </c>
      <c r="C141" t="s">
        <v>21</v>
      </c>
      <c r="D141">
        <v>1521</v>
      </c>
      <c r="E141">
        <v>509091</v>
      </c>
      <c r="F141" t="s">
        <v>124</v>
      </c>
      <c r="G141" t="s">
        <v>125</v>
      </c>
    </row>
    <row r="142" spans="1:7">
      <c r="A142">
        <v>2021</v>
      </c>
      <c r="B142">
        <v>12</v>
      </c>
      <c r="C142" t="s">
        <v>21</v>
      </c>
      <c r="D142">
        <v>1544</v>
      </c>
      <c r="E142">
        <v>598710</v>
      </c>
      <c r="F142" t="s">
        <v>124</v>
      </c>
      <c r="G142" t="s">
        <v>125</v>
      </c>
    </row>
    <row r="143" spans="1:7">
      <c r="A143">
        <v>2022</v>
      </c>
      <c r="B143">
        <v>1</v>
      </c>
      <c r="C143" t="s">
        <v>21</v>
      </c>
      <c r="D143">
        <v>1577</v>
      </c>
      <c r="E143">
        <v>639485</v>
      </c>
      <c r="F143" t="s">
        <v>124</v>
      </c>
      <c r="G143" t="s">
        <v>125</v>
      </c>
    </row>
    <row r="144" spans="1:7">
      <c r="A144">
        <v>2022</v>
      </c>
      <c r="B144">
        <v>2</v>
      </c>
      <c r="C144" t="s">
        <v>21</v>
      </c>
      <c r="D144">
        <v>1555</v>
      </c>
      <c r="E144">
        <v>664285</v>
      </c>
      <c r="F144" t="s">
        <v>124</v>
      </c>
      <c r="G144" t="s">
        <v>125</v>
      </c>
    </row>
    <row r="145" spans="1:7">
      <c r="A145">
        <v>2022</v>
      </c>
      <c r="B145">
        <v>3</v>
      </c>
      <c r="C145" t="s">
        <v>21</v>
      </c>
      <c r="D145">
        <v>1580</v>
      </c>
      <c r="E145">
        <v>708398</v>
      </c>
      <c r="F145" t="s">
        <v>124</v>
      </c>
      <c r="G145" t="s">
        <v>125</v>
      </c>
    </row>
    <row r="146" spans="1:7">
      <c r="A146">
        <v>2022</v>
      </c>
      <c r="B146">
        <v>4</v>
      </c>
      <c r="C146" t="s">
        <v>21</v>
      </c>
      <c r="D146">
        <v>1813</v>
      </c>
      <c r="E146">
        <v>763928</v>
      </c>
      <c r="F146" t="s">
        <v>124</v>
      </c>
      <c r="G146" t="s">
        <v>125</v>
      </c>
    </row>
    <row r="147" spans="1:7">
      <c r="A147">
        <v>2022</v>
      </c>
      <c r="B147">
        <v>5</v>
      </c>
      <c r="C147" t="s">
        <v>21</v>
      </c>
      <c r="D147">
        <v>1925</v>
      </c>
      <c r="E147">
        <v>866177</v>
      </c>
      <c r="F147" t="s">
        <v>124</v>
      </c>
      <c r="G147" t="s">
        <v>125</v>
      </c>
    </row>
    <row r="148" spans="1:7">
      <c r="A148">
        <v>2022</v>
      </c>
      <c r="B148">
        <v>6</v>
      </c>
      <c r="C148" t="s">
        <v>21</v>
      </c>
      <c r="D148">
        <v>2105</v>
      </c>
      <c r="E148">
        <v>980000</v>
      </c>
      <c r="F148" t="s">
        <v>124</v>
      </c>
      <c r="G148" t="s">
        <v>125</v>
      </c>
    </row>
    <row r="149" spans="1:7">
      <c r="A149">
        <v>2022</v>
      </c>
      <c r="B149">
        <v>7</v>
      </c>
      <c r="C149" t="s">
        <v>21</v>
      </c>
      <c r="D149">
        <v>2703</v>
      </c>
      <c r="E149">
        <v>1018571</v>
      </c>
      <c r="F149" t="s">
        <v>124</v>
      </c>
      <c r="G149" t="s">
        <v>125</v>
      </c>
    </row>
    <row r="150" spans="1:7">
      <c r="A150">
        <v>2022</v>
      </c>
      <c r="B150">
        <v>8</v>
      </c>
      <c r="C150" t="s">
        <v>21</v>
      </c>
      <c r="D150">
        <v>2973</v>
      </c>
      <c r="E150">
        <v>1097931</v>
      </c>
      <c r="F150" t="s">
        <v>124</v>
      </c>
      <c r="G150" t="s">
        <v>125</v>
      </c>
    </row>
    <row r="151" spans="1:7">
      <c r="A151">
        <v>2022</v>
      </c>
      <c r="B151">
        <v>9</v>
      </c>
      <c r="C151" t="s">
        <v>21</v>
      </c>
      <c r="D151">
        <v>3102</v>
      </c>
      <c r="E151">
        <v>1142857</v>
      </c>
      <c r="F151" t="s">
        <v>124</v>
      </c>
      <c r="G151" t="s">
        <v>125</v>
      </c>
    </row>
    <row r="152" spans="1:7">
      <c r="A152">
        <v>2022</v>
      </c>
      <c r="B152">
        <v>10</v>
      </c>
      <c r="C152" t="s">
        <v>21</v>
      </c>
      <c r="D152">
        <v>3134</v>
      </c>
      <c r="E152">
        <v>1168461</v>
      </c>
      <c r="F152" t="s">
        <v>124</v>
      </c>
      <c r="G152" t="s">
        <v>125</v>
      </c>
    </row>
    <row r="153" spans="1:7">
      <c r="A153">
        <v>2022</v>
      </c>
      <c r="B153">
        <v>11</v>
      </c>
      <c r="C153" t="s">
        <v>21</v>
      </c>
      <c r="D153">
        <v>3163</v>
      </c>
      <c r="E153">
        <v>1205824</v>
      </c>
      <c r="F153" t="s">
        <v>124</v>
      </c>
      <c r="G153" t="s">
        <v>125</v>
      </c>
    </row>
    <row r="154" spans="1:7">
      <c r="A154">
        <v>2022</v>
      </c>
      <c r="B154">
        <v>12</v>
      </c>
      <c r="C154" t="s">
        <v>21</v>
      </c>
      <c r="D154">
        <v>3227</v>
      </c>
      <c r="E154">
        <v>1271795</v>
      </c>
      <c r="F154" t="s">
        <v>124</v>
      </c>
      <c r="G154" t="s">
        <v>125</v>
      </c>
    </row>
    <row r="155" spans="1:7">
      <c r="A155">
        <v>2023</v>
      </c>
      <c r="B155">
        <v>1</v>
      </c>
      <c r="C155" t="s">
        <v>21</v>
      </c>
      <c r="D155">
        <v>3289</v>
      </c>
      <c r="E155">
        <v>1404687</v>
      </c>
      <c r="F155" t="s">
        <v>124</v>
      </c>
      <c r="G155" t="s">
        <v>125</v>
      </c>
    </row>
    <row r="156" spans="1:7">
      <c r="A156">
        <v>2023</v>
      </c>
      <c r="B156">
        <v>2</v>
      </c>
      <c r="C156" t="s">
        <v>21</v>
      </c>
      <c r="D156">
        <v>3697</v>
      </c>
      <c r="E156">
        <v>1452244</v>
      </c>
      <c r="F156" t="s">
        <v>124</v>
      </c>
      <c r="G156" t="s">
        <v>125</v>
      </c>
    </row>
    <row r="157" spans="1:7">
      <c r="A157">
        <v>2023</v>
      </c>
      <c r="B157">
        <v>3</v>
      </c>
      <c r="C157" t="s">
        <v>21</v>
      </c>
      <c r="D157" s="6">
        <f>(D158+D156)/2</f>
        <v>4709.5</v>
      </c>
      <c r="E157">
        <v>1453125</v>
      </c>
      <c r="F157" t="s">
        <v>124</v>
      </c>
      <c r="G157" t="s">
        <v>125</v>
      </c>
    </row>
    <row r="158" spans="1:7">
      <c r="A158">
        <v>2023</v>
      </c>
      <c r="B158">
        <v>4</v>
      </c>
      <c r="C158" t="s">
        <v>21</v>
      </c>
      <c r="D158">
        <v>5722</v>
      </c>
      <c r="E158">
        <v>1524448</v>
      </c>
      <c r="F158" t="s">
        <v>124</v>
      </c>
      <c r="G158" t="s">
        <v>125</v>
      </c>
    </row>
    <row r="159" spans="1:7">
      <c r="A159">
        <v>2023</v>
      </c>
      <c r="B159">
        <v>5</v>
      </c>
      <c r="C159" t="s">
        <v>21</v>
      </c>
      <c r="D159">
        <v>5652</v>
      </c>
      <c r="E159">
        <v>1710000</v>
      </c>
      <c r="F159" t="s">
        <v>124</v>
      </c>
      <c r="G159" t="s">
        <v>125</v>
      </c>
    </row>
    <row r="160" spans="1:7">
      <c r="A160">
        <v>2023</v>
      </c>
      <c r="B160">
        <v>6</v>
      </c>
      <c r="C160" t="s">
        <v>21</v>
      </c>
      <c r="D160">
        <v>7805</v>
      </c>
      <c r="E160">
        <v>1850002</v>
      </c>
      <c r="F160" t="s">
        <v>124</v>
      </c>
      <c r="G160" t="s">
        <v>125</v>
      </c>
    </row>
    <row r="161" spans="1:7">
      <c r="A161">
        <v>2023</v>
      </c>
      <c r="B161">
        <v>7</v>
      </c>
      <c r="C161" t="s">
        <v>21</v>
      </c>
      <c r="D161">
        <v>8707</v>
      </c>
      <c r="E161">
        <v>1992850</v>
      </c>
      <c r="F161" t="s">
        <v>124</v>
      </c>
      <c r="G161" t="s">
        <v>125</v>
      </c>
    </row>
    <row r="162" spans="1:7">
      <c r="A162">
        <v>2023</v>
      </c>
      <c r="B162">
        <v>8</v>
      </c>
      <c r="C162" t="s">
        <v>21</v>
      </c>
      <c r="D162">
        <v>9418</v>
      </c>
      <c r="E162">
        <v>2110821</v>
      </c>
      <c r="F162" t="s">
        <v>124</v>
      </c>
      <c r="G162" t="s">
        <v>125</v>
      </c>
    </row>
    <row r="163" spans="1:7">
      <c r="A163">
        <v>2023</v>
      </c>
      <c r="B163">
        <v>9</v>
      </c>
      <c r="C163" t="s">
        <v>21</v>
      </c>
      <c r="D163">
        <v>9562</v>
      </c>
      <c r="E163">
        <v>2156515</v>
      </c>
      <c r="F163" t="s">
        <v>124</v>
      </c>
      <c r="G163" t="s">
        <v>125</v>
      </c>
    </row>
    <row r="164" spans="1:7">
      <c r="A164">
        <v>2023</v>
      </c>
      <c r="B164">
        <v>10</v>
      </c>
      <c r="C164" t="s">
        <v>21</v>
      </c>
      <c r="D164">
        <v>9394</v>
      </c>
      <c r="E164">
        <v>2119170</v>
      </c>
      <c r="F164" t="s">
        <v>124</v>
      </c>
      <c r="G164" t="s">
        <v>125</v>
      </c>
    </row>
    <row r="165" spans="1:7">
      <c r="A165">
        <v>2023</v>
      </c>
      <c r="B165">
        <v>11</v>
      </c>
      <c r="C165" t="s">
        <v>21</v>
      </c>
      <c r="D165">
        <v>9562</v>
      </c>
      <c r="E165">
        <v>2130345</v>
      </c>
      <c r="F165" t="s">
        <v>124</v>
      </c>
      <c r="G165" t="s">
        <v>125</v>
      </c>
    </row>
    <row r="166" spans="1:7">
      <c r="A166">
        <v>2023</v>
      </c>
      <c r="B166">
        <v>12</v>
      </c>
      <c r="C166" t="s">
        <v>21</v>
      </c>
      <c r="D166">
        <v>9227</v>
      </c>
      <c r="E166">
        <v>2163210</v>
      </c>
      <c r="F166" t="s">
        <v>124</v>
      </c>
      <c r="G166" t="s">
        <v>125</v>
      </c>
    </row>
    <row r="167" spans="1:7">
      <c r="A167">
        <v>2021</v>
      </c>
      <c r="B167">
        <v>4</v>
      </c>
      <c r="C167" t="s">
        <v>22</v>
      </c>
      <c r="D167">
        <v>1005</v>
      </c>
      <c r="E167">
        <v>323743</v>
      </c>
      <c r="F167" t="s">
        <v>97</v>
      </c>
      <c r="G167" t="s">
        <v>109</v>
      </c>
    </row>
    <row r="168" spans="1:7">
      <c r="A168">
        <v>2021</v>
      </c>
      <c r="B168">
        <v>5</v>
      </c>
      <c r="C168" t="s">
        <v>22</v>
      </c>
      <c r="D168">
        <v>1053</v>
      </c>
      <c r="E168">
        <v>334077</v>
      </c>
      <c r="F168" t="s">
        <v>97</v>
      </c>
      <c r="G168" t="s">
        <v>109</v>
      </c>
    </row>
    <row r="169" spans="1:7">
      <c r="A169">
        <v>2021</v>
      </c>
      <c r="B169">
        <v>6</v>
      </c>
      <c r="C169" t="s">
        <v>22</v>
      </c>
      <c r="D169">
        <v>1124</v>
      </c>
      <c r="E169">
        <v>339286</v>
      </c>
      <c r="F169" t="s">
        <v>97</v>
      </c>
      <c r="G169" t="s">
        <v>109</v>
      </c>
    </row>
    <row r="170" spans="1:7">
      <c r="A170">
        <v>2021</v>
      </c>
      <c r="B170">
        <v>7</v>
      </c>
      <c r="C170" t="s">
        <v>22</v>
      </c>
      <c r="D170">
        <v>1186</v>
      </c>
      <c r="E170">
        <v>360727</v>
      </c>
      <c r="F170" t="s">
        <v>97</v>
      </c>
      <c r="G170" t="s">
        <v>109</v>
      </c>
    </row>
    <row r="171" spans="1:7">
      <c r="A171">
        <v>2021</v>
      </c>
      <c r="B171">
        <v>8</v>
      </c>
      <c r="C171" t="s">
        <v>22</v>
      </c>
      <c r="D171">
        <v>1280</v>
      </c>
      <c r="E171">
        <v>364138</v>
      </c>
      <c r="F171" t="s">
        <v>97</v>
      </c>
      <c r="G171" t="s">
        <v>109</v>
      </c>
    </row>
    <row r="172" spans="1:7">
      <c r="A172">
        <v>2021</v>
      </c>
      <c r="B172">
        <v>9</v>
      </c>
      <c r="C172" t="s">
        <v>22</v>
      </c>
      <c r="D172">
        <v>1271</v>
      </c>
      <c r="E172">
        <v>380952</v>
      </c>
      <c r="F172" t="s">
        <v>97</v>
      </c>
      <c r="G172" t="s">
        <v>109</v>
      </c>
    </row>
    <row r="173" spans="1:7">
      <c r="A173">
        <v>2021</v>
      </c>
      <c r="B173">
        <v>10</v>
      </c>
      <c r="C173" t="s">
        <v>22</v>
      </c>
      <c r="D173">
        <v>1280</v>
      </c>
      <c r="E173">
        <v>387332</v>
      </c>
      <c r="F173" t="s">
        <v>97</v>
      </c>
      <c r="G173" t="s">
        <v>109</v>
      </c>
    </row>
    <row r="174" spans="1:7">
      <c r="A174">
        <v>2021</v>
      </c>
      <c r="B174">
        <v>11</v>
      </c>
      <c r="C174" t="s">
        <v>22</v>
      </c>
      <c r="D174">
        <v>1323</v>
      </c>
      <c r="E174">
        <v>415000</v>
      </c>
      <c r="F174" t="s">
        <v>97</v>
      </c>
      <c r="G174" t="s">
        <v>109</v>
      </c>
    </row>
    <row r="175" spans="1:7">
      <c r="A175">
        <v>2021</v>
      </c>
      <c r="B175">
        <v>12</v>
      </c>
      <c r="C175" t="s">
        <v>22</v>
      </c>
      <c r="D175">
        <v>1390</v>
      </c>
      <c r="E175">
        <v>477930</v>
      </c>
      <c r="F175" t="s">
        <v>97</v>
      </c>
      <c r="G175" t="s">
        <v>109</v>
      </c>
    </row>
    <row r="176" spans="1:7">
      <c r="A176">
        <v>2022</v>
      </c>
      <c r="B176">
        <v>1</v>
      </c>
      <c r="C176" t="s">
        <v>22</v>
      </c>
      <c r="D176">
        <v>1410</v>
      </c>
      <c r="E176">
        <v>550953</v>
      </c>
      <c r="F176" t="s">
        <v>97</v>
      </c>
      <c r="G176" t="s">
        <v>109</v>
      </c>
    </row>
    <row r="177" spans="1:7">
      <c r="A177">
        <v>2022</v>
      </c>
      <c r="B177">
        <v>2</v>
      </c>
      <c r="C177" t="s">
        <v>22</v>
      </c>
      <c r="D177">
        <v>1416</v>
      </c>
      <c r="E177">
        <v>587550</v>
      </c>
      <c r="F177" t="s">
        <v>97</v>
      </c>
      <c r="G177" t="s">
        <v>109</v>
      </c>
    </row>
    <row r="178" spans="1:7">
      <c r="A178">
        <v>2022</v>
      </c>
      <c r="B178">
        <v>3</v>
      </c>
      <c r="C178" t="s">
        <v>22</v>
      </c>
      <c r="D178">
        <v>1475</v>
      </c>
      <c r="E178">
        <v>629253</v>
      </c>
      <c r="F178" t="s">
        <v>97</v>
      </c>
      <c r="G178" t="s">
        <v>109</v>
      </c>
    </row>
    <row r="179" spans="1:7">
      <c r="A179">
        <v>2022</v>
      </c>
      <c r="B179">
        <v>4</v>
      </c>
      <c r="C179" t="s">
        <v>22</v>
      </c>
      <c r="D179">
        <v>1551</v>
      </c>
      <c r="E179">
        <v>700713</v>
      </c>
      <c r="F179" t="s">
        <v>97</v>
      </c>
      <c r="G179" t="s">
        <v>109</v>
      </c>
    </row>
    <row r="180" spans="1:7">
      <c r="A180">
        <v>2022</v>
      </c>
      <c r="B180">
        <v>5</v>
      </c>
      <c r="C180" t="s">
        <v>22</v>
      </c>
      <c r="D180">
        <v>1892</v>
      </c>
      <c r="E180">
        <v>794904</v>
      </c>
      <c r="F180" t="s">
        <v>97</v>
      </c>
      <c r="G180" t="s">
        <v>109</v>
      </c>
    </row>
    <row r="181" spans="1:7">
      <c r="A181">
        <v>2022</v>
      </c>
      <c r="B181">
        <v>6</v>
      </c>
      <c r="C181" t="s">
        <v>22</v>
      </c>
      <c r="D181">
        <v>2350</v>
      </c>
      <c r="E181">
        <v>850908</v>
      </c>
      <c r="F181" t="s">
        <v>97</v>
      </c>
      <c r="G181" t="s">
        <v>109</v>
      </c>
    </row>
    <row r="182" spans="1:7">
      <c r="A182">
        <v>2022</v>
      </c>
      <c r="B182">
        <v>7</v>
      </c>
      <c r="C182" t="s">
        <v>22</v>
      </c>
      <c r="D182">
        <v>2696</v>
      </c>
      <c r="E182">
        <v>928571</v>
      </c>
      <c r="F182" t="s">
        <v>97</v>
      </c>
      <c r="G182" t="s">
        <v>109</v>
      </c>
    </row>
    <row r="183" spans="1:7">
      <c r="A183">
        <v>2022</v>
      </c>
      <c r="B183">
        <v>8</v>
      </c>
      <c r="C183" t="s">
        <v>22</v>
      </c>
      <c r="D183">
        <v>3076</v>
      </c>
      <c r="E183">
        <v>984285</v>
      </c>
      <c r="F183" t="s">
        <v>97</v>
      </c>
      <c r="G183" t="s">
        <v>109</v>
      </c>
    </row>
    <row r="184" spans="1:7">
      <c r="A184">
        <v>2022</v>
      </c>
      <c r="B184">
        <v>9</v>
      </c>
      <c r="C184" t="s">
        <v>22</v>
      </c>
      <c r="D184">
        <v>3197</v>
      </c>
      <c r="E184">
        <v>1016000</v>
      </c>
      <c r="F184" t="s">
        <v>97</v>
      </c>
      <c r="G184" t="s">
        <v>109</v>
      </c>
    </row>
    <row r="185" spans="1:7">
      <c r="A185">
        <v>2022</v>
      </c>
      <c r="B185">
        <v>10</v>
      </c>
      <c r="C185" t="s">
        <v>22</v>
      </c>
      <c r="D185">
        <v>3168</v>
      </c>
      <c r="E185">
        <v>1041666</v>
      </c>
      <c r="F185" t="s">
        <v>97</v>
      </c>
      <c r="G185" t="s">
        <v>109</v>
      </c>
    </row>
    <row r="186" spans="1:7">
      <c r="A186">
        <v>2022</v>
      </c>
      <c r="B186">
        <v>11</v>
      </c>
      <c r="C186" t="s">
        <v>22</v>
      </c>
      <c r="D186">
        <v>3296</v>
      </c>
      <c r="E186">
        <v>1085376</v>
      </c>
      <c r="F186" t="s">
        <v>97</v>
      </c>
      <c r="G186" t="s">
        <v>109</v>
      </c>
    </row>
    <row r="187" spans="1:7">
      <c r="A187">
        <v>2022</v>
      </c>
      <c r="B187">
        <v>12</v>
      </c>
      <c r="C187" t="s">
        <v>22</v>
      </c>
      <c r="D187">
        <v>3258</v>
      </c>
      <c r="E187">
        <v>1173333</v>
      </c>
      <c r="F187" t="s">
        <v>97</v>
      </c>
      <c r="G187" t="s">
        <v>109</v>
      </c>
    </row>
    <row r="188" spans="1:7">
      <c r="A188">
        <v>2023</v>
      </c>
      <c r="B188">
        <v>1</v>
      </c>
      <c r="C188" t="s">
        <v>22</v>
      </c>
      <c r="D188">
        <v>3496</v>
      </c>
      <c r="E188">
        <v>1250000</v>
      </c>
      <c r="F188" t="s">
        <v>97</v>
      </c>
      <c r="G188" t="s">
        <v>109</v>
      </c>
    </row>
    <row r="189" spans="1:7">
      <c r="A189">
        <v>2023</v>
      </c>
      <c r="B189">
        <v>2</v>
      </c>
      <c r="C189" t="s">
        <v>22</v>
      </c>
      <c r="D189">
        <v>3538</v>
      </c>
      <c r="E189">
        <v>1329550</v>
      </c>
      <c r="F189" t="s">
        <v>97</v>
      </c>
      <c r="G189" t="s">
        <v>109</v>
      </c>
    </row>
    <row r="190" spans="1:7">
      <c r="A190">
        <v>2023</v>
      </c>
      <c r="B190">
        <v>3</v>
      </c>
      <c r="C190" t="s">
        <v>22</v>
      </c>
      <c r="D190">
        <v>3680</v>
      </c>
      <c r="E190">
        <v>1422412</v>
      </c>
      <c r="F190" t="s">
        <v>97</v>
      </c>
      <c r="G190" t="s">
        <v>109</v>
      </c>
    </row>
    <row r="191" spans="1:7">
      <c r="A191">
        <v>2023</v>
      </c>
      <c r="B191">
        <v>4</v>
      </c>
      <c r="C191" t="s">
        <v>22</v>
      </c>
      <c r="D191">
        <v>4000</v>
      </c>
      <c r="E191">
        <v>1458337</v>
      </c>
      <c r="F191" t="s">
        <v>97</v>
      </c>
      <c r="G191" t="s">
        <v>109</v>
      </c>
    </row>
    <row r="192" spans="1:7">
      <c r="A192">
        <v>2023</v>
      </c>
      <c r="B192">
        <v>5</v>
      </c>
      <c r="C192" t="s">
        <v>22</v>
      </c>
      <c r="D192">
        <v>4600</v>
      </c>
      <c r="E192">
        <v>1558337</v>
      </c>
      <c r="F192" t="s">
        <v>97</v>
      </c>
      <c r="G192" t="s">
        <v>109</v>
      </c>
    </row>
    <row r="193" spans="1:7">
      <c r="A193">
        <v>2023</v>
      </c>
      <c r="B193">
        <v>6</v>
      </c>
      <c r="C193" t="s">
        <v>22</v>
      </c>
      <c r="D193">
        <v>5199</v>
      </c>
      <c r="E193">
        <v>1666662</v>
      </c>
      <c r="F193" t="s">
        <v>97</v>
      </c>
      <c r="G193" t="s">
        <v>109</v>
      </c>
    </row>
    <row r="194" spans="1:7">
      <c r="A194">
        <v>2023</v>
      </c>
      <c r="B194">
        <v>7</v>
      </c>
      <c r="C194" t="s">
        <v>22</v>
      </c>
      <c r="D194">
        <v>6340</v>
      </c>
      <c r="E194">
        <v>1770837</v>
      </c>
      <c r="F194" t="s">
        <v>97</v>
      </c>
      <c r="G194" t="s">
        <v>109</v>
      </c>
    </row>
    <row r="195" spans="1:7">
      <c r="A195">
        <v>2023</v>
      </c>
      <c r="B195">
        <v>8</v>
      </c>
      <c r="C195" t="s">
        <v>22</v>
      </c>
      <c r="D195">
        <v>7840</v>
      </c>
      <c r="E195">
        <v>1898150</v>
      </c>
      <c r="F195" t="s">
        <v>97</v>
      </c>
      <c r="G195" t="s">
        <v>109</v>
      </c>
    </row>
    <row r="196" spans="1:7">
      <c r="A196">
        <v>2023</v>
      </c>
      <c r="B196">
        <v>9</v>
      </c>
      <c r="C196" t="s">
        <v>22</v>
      </c>
      <c r="D196">
        <v>8416</v>
      </c>
      <c r="E196">
        <v>2000000</v>
      </c>
      <c r="F196" t="s">
        <v>97</v>
      </c>
      <c r="G196" t="s">
        <v>109</v>
      </c>
    </row>
    <row r="197" spans="1:7">
      <c r="A197">
        <v>2023</v>
      </c>
      <c r="B197">
        <v>10</v>
      </c>
      <c r="C197" t="s">
        <v>22</v>
      </c>
      <c r="D197">
        <v>8400</v>
      </c>
      <c r="E197">
        <v>2082450</v>
      </c>
      <c r="F197" t="s">
        <v>97</v>
      </c>
      <c r="G197" t="s">
        <v>109</v>
      </c>
    </row>
    <row r="198" spans="1:7">
      <c r="A198">
        <v>2023</v>
      </c>
      <c r="B198">
        <v>11</v>
      </c>
      <c r="C198" t="s">
        <v>22</v>
      </c>
      <c r="D198">
        <v>8737</v>
      </c>
      <c r="E198">
        <v>2084425</v>
      </c>
      <c r="F198" t="s">
        <v>97</v>
      </c>
      <c r="G198" t="s">
        <v>109</v>
      </c>
    </row>
    <row r="199" spans="1:7">
      <c r="A199">
        <v>2023</v>
      </c>
      <c r="B199">
        <v>12</v>
      </c>
      <c r="C199" t="s">
        <v>22</v>
      </c>
      <c r="D199">
        <v>8999</v>
      </c>
      <c r="E199">
        <v>2152775</v>
      </c>
      <c r="F199" t="s">
        <v>97</v>
      </c>
      <c r="G199" t="s">
        <v>109</v>
      </c>
    </row>
    <row r="200" spans="1:7">
      <c r="A200">
        <v>2021</v>
      </c>
      <c r="B200">
        <v>4</v>
      </c>
      <c r="C200" t="s">
        <v>23</v>
      </c>
      <c r="D200">
        <v>1036</v>
      </c>
      <c r="E200">
        <v>301825</v>
      </c>
      <c r="F200" t="s">
        <v>128</v>
      </c>
      <c r="G200" t="s">
        <v>129</v>
      </c>
    </row>
    <row r="201" spans="1:7">
      <c r="A201">
        <v>2021</v>
      </c>
      <c r="B201">
        <v>5</v>
      </c>
      <c r="C201" t="s">
        <v>23</v>
      </c>
      <c r="D201">
        <v>991</v>
      </c>
      <c r="E201">
        <v>293505</v>
      </c>
      <c r="F201" t="s">
        <v>128</v>
      </c>
      <c r="G201" t="s">
        <v>129</v>
      </c>
    </row>
    <row r="202" spans="1:7">
      <c r="A202">
        <v>2021</v>
      </c>
      <c r="B202">
        <v>6</v>
      </c>
      <c r="C202" t="s">
        <v>23</v>
      </c>
      <c r="D202">
        <v>1099</v>
      </c>
      <c r="E202">
        <v>291808</v>
      </c>
      <c r="F202" t="s">
        <v>128</v>
      </c>
      <c r="G202" t="s">
        <v>129</v>
      </c>
    </row>
    <row r="203" spans="1:7">
      <c r="A203">
        <v>2021</v>
      </c>
      <c r="B203">
        <v>7</v>
      </c>
      <c r="C203" t="s">
        <v>23</v>
      </c>
      <c r="D203">
        <v>1164</v>
      </c>
      <c r="E203">
        <v>286875</v>
      </c>
      <c r="F203" t="s">
        <v>128</v>
      </c>
      <c r="G203" t="s">
        <v>129</v>
      </c>
    </row>
    <row r="204" spans="1:7">
      <c r="A204">
        <v>2021</v>
      </c>
      <c r="B204">
        <v>8</v>
      </c>
      <c r="C204" t="s">
        <v>23</v>
      </c>
      <c r="D204">
        <v>1151</v>
      </c>
      <c r="E204">
        <v>304257</v>
      </c>
      <c r="F204" t="s">
        <v>128</v>
      </c>
      <c r="G204" t="s">
        <v>129</v>
      </c>
    </row>
    <row r="205" spans="1:7">
      <c r="A205">
        <v>2021</v>
      </c>
      <c r="B205">
        <v>9</v>
      </c>
      <c r="C205" t="s">
        <v>23</v>
      </c>
      <c r="D205">
        <v>1066</v>
      </c>
      <c r="E205">
        <v>300769</v>
      </c>
      <c r="F205" t="s">
        <v>128</v>
      </c>
      <c r="G205" t="s">
        <v>129</v>
      </c>
    </row>
    <row r="206" spans="1:7">
      <c r="A206">
        <v>2021</v>
      </c>
      <c r="B206">
        <v>10</v>
      </c>
      <c r="C206" t="s">
        <v>23</v>
      </c>
      <c r="D206">
        <v>1194</v>
      </c>
      <c r="E206">
        <v>331579</v>
      </c>
      <c r="F206" t="s">
        <v>128</v>
      </c>
      <c r="G206" t="s">
        <v>129</v>
      </c>
    </row>
    <row r="207" spans="1:7">
      <c r="A207">
        <v>2021</v>
      </c>
      <c r="B207">
        <v>11</v>
      </c>
      <c r="C207" t="s">
        <v>23</v>
      </c>
      <c r="D207">
        <v>1153</v>
      </c>
      <c r="E207">
        <v>360937</v>
      </c>
      <c r="F207" t="s">
        <v>128</v>
      </c>
      <c r="G207" t="s">
        <v>129</v>
      </c>
    </row>
    <row r="208" spans="1:7">
      <c r="A208">
        <v>2021</v>
      </c>
      <c r="B208">
        <v>12</v>
      </c>
      <c r="C208" t="s">
        <v>23</v>
      </c>
      <c r="D208">
        <v>1254</v>
      </c>
      <c r="E208">
        <v>371437</v>
      </c>
      <c r="F208" t="s">
        <v>128</v>
      </c>
      <c r="G208" t="s">
        <v>129</v>
      </c>
    </row>
    <row r="209" spans="1:7">
      <c r="A209">
        <v>2022</v>
      </c>
      <c r="B209">
        <v>1</v>
      </c>
      <c r="C209" t="s">
        <v>23</v>
      </c>
      <c r="D209">
        <v>1337</v>
      </c>
      <c r="E209">
        <v>411764</v>
      </c>
      <c r="F209" t="s">
        <v>128</v>
      </c>
      <c r="G209" t="s">
        <v>129</v>
      </c>
    </row>
    <row r="210" spans="1:7">
      <c r="A210">
        <v>2022</v>
      </c>
      <c r="B210">
        <v>2</v>
      </c>
      <c r="C210" t="s">
        <v>23</v>
      </c>
      <c r="D210">
        <v>1314</v>
      </c>
      <c r="E210">
        <v>466667</v>
      </c>
      <c r="F210" t="s">
        <v>128</v>
      </c>
      <c r="G210" t="s">
        <v>129</v>
      </c>
    </row>
    <row r="211" spans="1:7">
      <c r="A211">
        <v>2022</v>
      </c>
      <c r="B211">
        <v>3</v>
      </c>
      <c r="C211" t="s">
        <v>23</v>
      </c>
      <c r="D211">
        <v>1298</v>
      </c>
      <c r="E211">
        <v>469148</v>
      </c>
      <c r="F211" t="s">
        <v>128</v>
      </c>
      <c r="G211" t="s">
        <v>129</v>
      </c>
    </row>
    <row r="212" spans="1:7">
      <c r="A212">
        <v>2022</v>
      </c>
      <c r="B212">
        <v>4</v>
      </c>
      <c r="C212" t="s">
        <v>23</v>
      </c>
      <c r="D212">
        <v>1380</v>
      </c>
      <c r="E212">
        <v>509252</v>
      </c>
      <c r="F212" t="s">
        <v>128</v>
      </c>
      <c r="G212" t="s">
        <v>129</v>
      </c>
    </row>
    <row r="213" spans="1:7">
      <c r="A213">
        <v>2022</v>
      </c>
      <c r="B213">
        <v>5</v>
      </c>
      <c r="C213" t="s">
        <v>23</v>
      </c>
      <c r="D213">
        <v>1499</v>
      </c>
      <c r="E213">
        <v>584375</v>
      </c>
      <c r="F213" t="s">
        <v>128</v>
      </c>
      <c r="G213" t="s">
        <v>129</v>
      </c>
    </row>
    <row r="214" spans="1:7">
      <c r="A214">
        <v>2022</v>
      </c>
      <c r="B214">
        <v>6</v>
      </c>
      <c r="C214" t="s">
        <v>23</v>
      </c>
      <c r="D214">
        <v>1920</v>
      </c>
      <c r="E214">
        <v>642680</v>
      </c>
      <c r="F214" t="s">
        <v>128</v>
      </c>
      <c r="G214" t="s">
        <v>129</v>
      </c>
    </row>
    <row r="215" spans="1:7">
      <c r="A215">
        <v>2022</v>
      </c>
      <c r="B215">
        <v>7</v>
      </c>
      <c r="C215" t="s">
        <v>23</v>
      </c>
      <c r="D215">
        <v>2813</v>
      </c>
      <c r="E215">
        <v>674234</v>
      </c>
      <c r="F215" t="s">
        <v>128</v>
      </c>
      <c r="G215" t="s">
        <v>129</v>
      </c>
    </row>
    <row r="216" spans="1:7">
      <c r="A216">
        <v>2022</v>
      </c>
      <c r="B216">
        <v>8</v>
      </c>
      <c r="C216" t="s">
        <v>23</v>
      </c>
      <c r="D216">
        <v>2343</v>
      </c>
      <c r="E216">
        <v>723676</v>
      </c>
      <c r="F216" t="s">
        <v>128</v>
      </c>
      <c r="G216" t="s">
        <v>129</v>
      </c>
    </row>
    <row r="217" spans="1:7">
      <c r="A217">
        <v>2022</v>
      </c>
      <c r="B217">
        <v>9</v>
      </c>
      <c r="C217" t="s">
        <v>23</v>
      </c>
      <c r="D217">
        <v>2435</v>
      </c>
      <c r="E217">
        <v>791795</v>
      </c>
      <c r="F217" t="s">
        <v>128</v>
      </c>
      <c r="G217" t="s">
        <v>129</v>
      </c>
    </row>
    <row r="218" spans="1:7">
      <c r="A218">
        <v>2022</v>
      </c>
      <c r="B218">
        <v>10</v>
      </c>
      <c r="C218" t="s">
        <v>23</v>
      </c>
      <c r="D218">
        <v>2516</v>
      </c>
      <c r="E218">
        <v>800000</v>
      </c>
      <c r="F218" t="s">
        <v>128</v>
      </c>
      <c r="G218" t="s">
        <v>129</v>
      </c>
    </row>
    <row r="219" spans="1:7">
      <c r="A219">
        <v>2022</v>
      </c>
      <c r="B219">
        <v>11</v>
      </c>
      <c r="C219" t="s">
        <v>23</v>
      </c>
      <c r="D219">
        <v>2414</v>
      </c>
      <c r="E219">
        <v>857142</v>
      </c>
      <c r="F219" t="s">
        <v>128</v>
      </c>
      <c r="G219" t="s">
        <v>129</v>
      </c>
    </row>
    <row r="220" spans="1:7">
      <c r="A220">
        <v>2022</v>
      </c>
      <c r="B220">
        <v>12</v>
      </c>
      <c r="C220" t="s">
        <v>23</v>
      </c>
      <c r="D220">
        <v>2483</v>
      </c>
      <c r="E220">
        <v>867729</v>
      </c>
      <c r="F220" t="s">
        <v>128</v>
      </c>
      <c r="G220" t="s">
        <v>129</v>
      </c>
    </row>
    <row r="221" spans="1:7">
      <c r="A221" s="10">
        <v>2021</v>
      </c>
      <c r="B221" s="10">
        <v>4</v>
      </c>
      <c r="C221" s="10" t="s">
        <v>24</v>
      </c>
      <c r="D221" s="10">
        <v>849</v>
      </c>
      <c r="E221" s="10">
        <v>400000</v>
      </c>
      <c r="F221" t="s">
        <v>101</v>
      </c>
      <c r="G221" t="s">
        <v>118</v>
      </c>
    </row>
    <row r="222" spans="1:7">
      <c r="A222" s="10">
        <v>2021</v>
      </c>
      <c r="B222" s="10">
        <v>5</v>
      </c>
      <c r="C222" s="10" t="s">
        <v>24</v>
      </c>
      <c r="D222" s="10">
        <v>895</v>
      </c>
      <c r="E222" s="10">
        <v>420000</v>
      </c>
      <c r="F222" t="s">
        <v>101</v>
      </c>
      <c r="G222" t="s">
        <v>118</v>
      </c>
    </row>
    <row r="223" spans="1:7">
      <c r="A223" s="10">
        <v>2021</v>
      </c>
      <c r="B223" s="10">
        <v>6</v>
      </c>
      <c r="C223" s="10" t="s">
        <v>24</v>
      </c>
      <c r="D223" s="10">
        <v>915</v>
      </c>
      <c r="E223" s="10">
        <v>436256</v>
      </c>
      <c r="F223" t="s">
        <v>101</v>
      </c>
      <c r="G223" t="s">
        <v>118</v>
      </c>
    </row>
    <row r="224" spans="1:7">
      <c r="A224" s="10">
        <v>2021</v>
      </c>
      <c r="B224" s="10">
        <v>7</v>
      </c>
      <c r="C224" s="10" t="s">
        <v>24</v>
      </c>
      <c r="D224" s="10">
        <v>922</v>
      </c>
      <c r="E224" s="10">
        <v>444283</v>
      </c>
      <c r="F224" t="s">
        <v>101</v>
      </c>
      <c r="G224" t="s">
        <v>118</v>
      </c>
    </row>
    <row r="225" spans="1:7">
      <c r="A225" s="10">
        <v>2021</v>
      </c>
      <c r="B225" s="10">
        <v>8</v>
      </c>
      <c r="C225" s="10" t="s">
        <v>24</v>
      </c>
      <c r="D225" s="10">
        <v>1085</v>
      </c>
      <c r="E225" s="10">
        <v>464044</v>
      </c>
      <c r="F225" t="s">
        <v>101</v>
      </c>
      <c r="G225" t="s">
        <v>118</v>
      </c>
    </row>
    <row r="226" spans="1:7">
      <c r="A226" s="10">
        <v>2021</v>
      </c>
      <c r="B226" s="10">
        <v>9</v>
      </c>
      <c r="C226" s="10" t="s">
        <v>24</v>
      </c>
      <c r="D226" s="10">
        <v>1036</v>
      </c>
      <c r="E226" s="10">
        <v>472728</v>
      </c>
      <c r="F226" t="s">
        <v>101</v>
      </c>
      <c r="G226" t="s">
        <v>118</v>
      </c>
    </row>
    <row r="227" spans="1:7">
      <c r="A227" s="10">
        <v>2021</v>
      </c>
      <c r="B227" s="10">
        <v>10</v>
      </c>
      <c r="C227" s="10" t="s">
        <v>24</v>
      </c>
      <c r="D227" s="10">
        <v>1049</v>
      </c>
      <c r="E227" s="10">
        <v>480766</v>
      </c>
      <c r="F227" t="s">
        <v>101</v>
      </c>
      <c r="G227" t="s">
        <v>118</v>
      </c>
    </row>
    <row r="228" spans="1:7">
      <c r="A228" s="10">
        <v>2021</v>
      </c>
      <c r="B228" s="10">
        <v>11</v>
      </c>
      <c r="C228" s="10" t="s">
        <v>24</v>
      </c>
      <c r="D228" s="10">
        <v>1165</v>
      </c>
      <c r="E228" s="10">
        <v>514999</v>
      </c>
      <c r="F228" t="s">
        <v>101</v>
      </c>
      <c r="G228" t="s">
        <v>118</v>
      </c>
    </row>
    <row r="229" spans="1:7">
      <c r="A229" s="10">
        <v>2021</v>
      </c>
      <c r="B229" s="10">
        <v>12</v>
      </c>
      <c r="C229" s="10" t="s">
        <v>24</v>
      </c>
      <c r="D229" s="10">
        <v>1274</v>
      </c>
      <c r="E229" s="10">
        <v>635500</v>
      </c>
      <c r="F229" t="s">
        <v>101</v>
      </c>
      <c r="G229" t="s">
        <v>118</v>
      </c>
    </row>
    <row r="230" spans="1:7">
      <c r="A230" s="10">
        <v>2022</v>
      </c>
      <c r="B230" s="10">
        <v>1</v>
      </c>
      <c r="C230" s="10" t="s">
        <v>24</v>
      </c>
      <c r="D230" s="10">
        <v>1299</v>
      </c>
      <c r="E230" s="10">
        <v>692149</v>
      </c>
      <c r="F230" t="s">
        <v>101</v>
      </c>
      <c r="G230" t="s">
        <v>118</v>
      </c>
    </row>
    <row r="231" spans="1:7">
      <c r="A231" s="10">
        <v>2022</v>
      </c>
      <c r="B231" s="10">
        <v>2</v>
      </c>
      <c r="C231" s="10" t="s">
        <v>24</v>
      </c>
      <c r="D231" s="10">
        <v>1462</v>
      </c>
      <c r="E231" s="10">
        <v>744000</v>
      </c>
      <c r="F231" t="s">
        <v>101</v>
      </c>
      <c r="G231" t="s">
        <v>118</v>
      </c>
    </row>
    <row r="232" spans="1:7">
      <c r="A232" s="10">
        <v>2022</v>
      </c>
      <c r="B232" s="10">
        <v>3</v>
      </c>
      <c r="C232" s="10" t="s">
        <v>24</v>
      </c>
      <c r="D232" s="10">
        <v>1700</v>
      </c>
      <c r="E232" s="10">
        <v>800833</v>
      </c>
      <c r="F232" t="s">
        <v>101</v>
      </c>
      <c r="G232" t="s">
        <v>118</v>
      </c>
    </row>
    <row r="233" spans="1:7">
      <c r="A233" s="10">
        <v>2022</v>
      </c>
      <c r="B233" s="10">
        <v>4</v>
      </c>
      <c r="C233" s="10" t="s">
        <v>24</v>
      </c>
      <c r="D233" s="10">
        <v>1712</v>
      </c>
      <c r="E233" s="10">
        <v>847756</v>
      </c>
      <c r="F233" t="s">
        <v>101</v>
      </c>
      <c r="G233" t="s">
        <v>118</v>
      </c>
    </row>
    <row r="234" spans="1:7">
      <c r="A234" s="10">
        <v>2022</v>
      </c>
      <c r="B234" s="10">
        <v>5</v>
      </c>
      <c r="C234" s="10" t="s">
        <v>24</v>
      </c>
      <c r="D234" s="10">
        <v>2235</v>
      </c>
      <c r="E234" s="10">
        <v>958182</v>
      </c>
      <c r="F234" t="s">
        <v>101</v>
      </c>
      <c r="G234" t="s">
        <v>118</v>
      </c>
    </row>
    <row r="235" spans="1:7">
      <c r="A235" s="10">
        <v>2022</v>
      </c>
      <c r="B235" s="10">
        <v>6</v>
      </c>
      <c r="C235" s="10" t="s">
        <v>24</v>
      </c>
      <c r="D235" s="10">
        <v>2297</v>
      </c>
      <c r="E235" s="10">
        <v>1065625</v>
      </c>
      <c r="F235" t="s">
        <v>101</v>
      </c>
      <c r="G235" t="s">
        <v>118</v>
      </c>
    </row>
    <row r="236" spans="1:7">
      <c r="A236" s="10">
        <v>2022</v>
      </c>
      <c r="B236" s="10">
        <v>7</v>
      </c>
      <c r="C236" s="10" t="s">
        <v>24</v>
      </c>
      <c r="D236" s="10">
        <v>2599</v>
      </c>
      <c r="E236" s="10">
        <v>1136666</v>
      </c>
      <c r="F236" t="s">
        <v>101</v>
      </c>
      <c r="G236" t="s">
        <v>118</v>
      </c>
    </row>
    <row r="237" spans="1:7">
      <c r="A237" s="10">
        <v>2022</v>
      </c>
      <c r="B237" s="10">
        <v>8</v>
      </c>
      <c r="C237" s="10" t="s">
        <v>24</v>
      </c>
      <c r="D237" s="10">
        <v>2787</v>
      </c>
      <c r="E237" s="10">
        <v>1171800</v>
      </c>
      <c r="F237" t="s">
        <v>101</v>
      </c>
      <c r="G237" t="s">
        <v>118</v>
      </c>
    </row>
    <row r="238" spans="1:7">
      <c r="A238" s="10">
        <v>2022</v>
      </c>
      <c r="B238" s="10">
        <v>9</v>
      </c>
      <c r="C238" s="10" t="s">
        <v>24</v>
      </c>
      <c r="D238" s="10">
        <v>3025</v>
      </c>
      <c r="E238" s="10">
        <v>1225908</v>
      </c>
      <c r="F238" t="s">
        <v>101</v>
      </c>
      <c r="G238" t="s">
        <v>118</v>
      </c>
    </row>
    <row r="239" spans="1:7">
      <c r="A239" s="10">
        <v>2022</v>
      </c>
      <c r="B239" s="10">
        <v>10</v>
      </c>
      <c r="C239" s="10" t="s">
        <v>24</v>
      </c>
      <c r="D239" s="10">
        <v>2993</v>
      </c>
      <c r="E239" s="10">
        <v>1278246</v>
      </c>
      <c r="F239" t="s">
        <v>101</v>
      </c>
      <c r="G239" t="s">
        <v>118</v>
      </c>
    </row>
    <row r="240" spans="1:7">
      <c r="A240" s="10">
        <v>2022</v>
      </c>
      <c r="B240" s="10">
        <v>11</v>
      </c>
      <c r="C240" s="10" t="s">
        <v>24</v>
      </c>
      <c r="D240" s="10">
        <v>3120</v>
      </c>
      <c r="E240" s="10">
        <v>1265625</v>
      </c>
      <c r="F240" t="s">
        <v>101</v>
      </c>
      <c r="G240" t="s">
        <v>118</v>
      </c>
    </row>
    <row r="241" spans="1:7">
      <c r="A241" s="10">
        <v>2022</v>
      </c>
      <c r="B241" s="10">
        <v>12</v>
      </c>
      <c r="C241" s="10" t="s">
        <v>24</v>
      </c>
      <c r="D241" s="10">
        <v>3055</v>
      </c>
      <c r="E241" s="10">
        <v>1322727</v>
      </c>
      <c r="F241" t="s">
        <v>101</v>
      </c>
      <c r="G241" t="s">
        <v>118</v>
      </c>
    </row>
    <row r="242" spans="1:7">
      <c r="A242" s="10">
        <v>2021</v>
      </c>
      <c r="B242" s="10">
        <v>4</v>
      </c>
      <c r="C242" s="10" t="s">
        <v>25</v>
      </c>
      <c r="D242" s="10">
        <v>1001</v>
      </c>
      <c r="E242" s="10">
        <v>348923</v>
      </c>
      <c r="F242" t="s">
        <v>102</v>
      </c>
      <c r="G242" t="s">
        <v>122</v>
      </c>
    </row>
    <row r="243" spans="1:7">
      <c r="A243" s="10">
        <v>2021</v>
      </c>
      <c r="B243" s="10">
        <v>5</v>
      </c>
      <c r="C243" s="10" t="s">
        <v>25</v>
      </c>
      <c r="D243" s="10">
        <v>906</v>
      </c>
      <c r="E243" s="10">
        <v>355908</v>
      </c>
      <c r="F243" t="s">
        <v>102</v>
      </c>
      <c r="G243" t="s">
        <v>122</v>
      </c>
    </row>
    <row r="244" spans="1:7">
      <c r="A244" s="10">
        <v>2021</v>
      </c>
      <c r="B244" s="10">
        <v>6</v>
      </c>
      <c r="C244" s="10" t="s">
        <v>25</v>
      </c>
      <c r="D244" s="10">
        <v>938</v>
      </c>
      <c r="E244" s="10">
        <v>369115</v>
      </c>
      <c r="F244" t="s">
        <v>102</v>
      </c>
      <c r="G244" t="s">
        <v>122</v>
      </c>
    </row>
    <row r="245" spans="1:7">
      <c r="A245" s="10">
        <v>2021</v>
      </c>
      <c r="B245" s="10">
        <v>7</v>
      </c>
      <c r="C245" s="10" t="s">
        <v>25</v>
      </c>
      <c r="D245" s="10">
        <v>1002</v>
      </c>
      <c r="E245" s="10">
        <v>376070</v>
      </c>
      <c r="F245" t="s">
        <v>102</v>
      </c>
      <c r="G245" t="s">
        <v>122</v>
      </c>
    </row>
    <row r="246" spans="1:7">
      <c r="A246" s="10">
        <v>2021</v>
      </c>
      <c r="B246" s="10">
        <v>8</v>
      </c>
      <c r="C246" s="10" t="s">
        <v>25</v>
      </c>
      <c r="D246" s="10">
        <v>1050</v>
      </c>
      <c r="E246" s="10">
        <v>391500</v>
      </c>
      <c r="F246" t="s">
        <v>102</v>
      </c>
      <c r="G246" t="s">
        <v>122</v>
      </c>
    </row>
    <row r="247" spans="1:7">
      <c r="A247" s="10">
        <v>2021</v>
      </c>
      <c r="B247" s="10">
        <v>9</v>
      </c>
      <c r="C247" s="10" t="s">
        <v>25</v>
      </c>
      <c r="D247" s="10">
        <v>1133</v>
      </c>
      <c r="E247" s="10">
        <v>411003</v>
      </c>
      <c r="F247" t="s">
        <v>102</v>
      </c>
      <c r="G247" t="s">
        <v>122</v>
      </c>
    </row>
    <row r="248" spans="1:7">
      <c r="A248" s="10">
        <v>2021</v>
      </c>
      <c r="B248" s="10">
        <v>10</v>
      </c>
      <c r="C248" s="10" t="s">
        <v>25</v>
      </c>
      <c r="D248" s="10">
        <v>1166</v>
      </c>
      <c r="E248" s="10">
        <v>428823</v>
      </c>
      <c r="F248" t="s">
        <v>102</v>
      </c>
      <c r="G248" t="s">
        <v>122</v>
      </c>
    </row>
    <row r="249" spans="1:7">
      <c r="A249" s="10">
        <v>2021</v>
      </c>
      <c r="B249" s="10">
        <v>11</v>
      </c>
      <c r="C249" s="10" t="s">
        <v>25</v>
      </c>
      <c r="D249" s="10">
        <v>1160</v>
      </c>
      <c r="E249" s="10">
        <v>473142</v>
      </c>
      <c r="F249" t="s">
        <v>102</v>
      </c>
      <c r="G249" t="s">
        <v>122</v>
      </c>
    </row>
    <row r="250" spans="1:7">
      <c r="A250" s="10">
        <v>2021</v>
      </c>
      <c r="B250" s="10">
        <v>12</v>
      </c>
      <c r="C250" s="10" t="s">
        <v>25</v>
      </c>
      <c r="D250" s="10">
        <v>1343</v>
      </c>
      <c r="E250" s="10">
        <v>527805</v>
      </c>
      <c r="F250" t="s">
        <v>102</v>
      </c>
      <c r="G250" t="s">
        <v>122</v>
      </c>
    </row>
    <row r="251" spans="1:7">
      <c r="A251" s="10">
        <v>2022</v>
      </c>
      <c r="B251" s="10">
        <v>1</v>
      </c>
      <c r="C251" s="10" t="s">
        <v>25</v>
      </c>
      <c r="D251" s="10">
        <v>1402</v>
      </c>
      <c r="E251" s="10">
        <v>583333</v>
      </c>
      <c r="F251" t="s">
        <v>102</v>
      </c>
      <c r="G251" t="s">
        <v>122</v>
      </c>
    </row>
    <row r="252" spans="1:7">
      <c r="A252" s="10">
        <v>2022</v>
      </c>
      <c r="B252" s="10">
        <v>2</v>
      </c>
      <c r="C252" s="10" t="s">
        <v>25</v>
      </c>
      <c r="D252" s="10">
        <v>1377</v>
      </c>
      <c r="E252" s="10">
        <v>622221</v>
      </c>
      <c r="F252" t="s">
        <v>102</v>
      </c>
      <c r="G252" t="s">
        <v>122</v>
      </c>
    </row>
    <row r="253" spans="1:7">
      <c r="A253" s="10">
        <v>2022</v>
      </c>
      <c r="B253" s="10">
        <v>3</v>
      </c>
      <c r="C253" s="10" t="s">
        <v>25</v>
      </c>
      <c r="D253" s="10">
        <v>1481</v>
      </c>
      <c r="E253" s="10">
        <v>663475</v>
      </c>
      <c r="F253" t="s">
        <v>102</v>
      </c>
      <c r="G253" t="s">
        <v>122</v>
      </c>
    </row>
    <row r="254" spans="1:7">
      <c r="A254" s="10">
        <v>2022</v>
      </c>
      <c r="B254" s="10">
        <v>4</v>
      </c>
      <c r="C254" s="10" t="s">
        <v>25</v>
      </c>
      <c r="D254" s="10">
        <v>1742</v>
      </c>
      <c r="E254" s="10">
        <v>728000</v>
      </c>
      <c r="F254" t="s">
        <v>102</v>
      </c>
      <c r="G254" t="s">
        <v>122</v>
      </c>
    </row>
    <row r="255" spans="1:7">
      <c r="A255" s="10">
        <v>2022</v>
      </c>
      <c r="B255" s="10">
        <v>5</v>
      </c>
      <c r="C255" s="10" t="s">
        <v>25</v>
      </c>
      <c r="D255" s="10">
        <v>1700</v>
      </c>
      <c r="E255" s="10">
        <v>801950</v>
      </c>
      <c r="F255" t="s">
        <v>102</v>
      </c>
      <c r="G255" t="s">
        <v>122</v>
      </c>
    </row>
    <row r="256" spans="1:7">
      <c r="A256" s="10">
        <v>2022</v>
      </c>
      <c r="B256" s="10">
        <v>6</v>
      </c>
      <c r="C256" s="10" t="s">
        <v>25</v>
      </c>
      <c r="D256" s="10">
        <v>2037</v>
      </c>
      <c r="E256" s="10">
        <v>875000</v>
      </c>
      <c r="F256" t="s">
        <v>102</v>
      </c>
      <c r="G256" t="s">
        <v>122</v>
      </c>
    </row>
    <row r="257" spans="1:7">
      <c r="A257" s="10">
        <v>2022</v>
      </c>
      <c r="B257" s="10">
        <v>7</v>
      </c>
      <c r="C257" s="10" t="s">
        <v>25</v>
      </c>
      <c r="D257" s="10">
        <v>2522</v>
      </c>
      <c r="E257" s="10">
        <v>944351</v>
      </c>
      <c r="F257" t="s">
        <v>102</v>
      </c>
      <c r="G257" t="s">
        <v>122</v>
      </c>
    </row>
    <row r="258" spans="1:7">
      <c r="A258" s="10">
        <v>2022</v>
      </c>
      <c r="B258" s="10">
        <v>8</v>
      </c>
      <c r="C258" s="10" t="s">
        <v>25</v>
      </c>
      <c r="D258" s="10">
        <v>2673</v>
      </c>
      <c r="E258" s="10">
        <v>969874</v>
      </c>
      <c r="F258" t="s">
        <v>102</v>
      </c>
      <c r="G258" t="s">
        <v>122</v>
      </c>
    </row>
    <row r="259" spans="1:7">
      <c r="A259" s="10">
        <v>2022</v>
      </c>
      <c r="B259" s="10">
        <v>9</v>
      </c>
      <c r="C259" s="10" t="s">
        <v>25</v>
      </c>
      <c r="D259" s="10">
        <v>2869</v>
      </c>
      <c r="E259" s="10">
        <v>1064000</v>
      </c>
      <c r="F259" t="s">
        <v>102</v>
      </c>
      <c r="G259" t="s">
        <v>122</v>
      </c>
    </row>
    <row r="260" spans="1:7">
      <c r="A260" s="10">
        <v>2022</v>
      </c>
      <c r="B260" s="10">
        <v>10</v>
      </c>
      <c r="C260" s="10" t="s">
        <v>25</v>
      </c>
      <c r="D260" s="10">
        <v>2868</v>
      </c>
      <c r="E260" s="10">
        <v>1080000</v>
      </c>
      <c r="F260" t="s">
        <v>102</v>
      </c>
      <c r="G260" t="s">
        <v>122</v>
      </c>
    </row>
    <row r="261" spans="1:7">
      <c r="A261" s="10">
        <v>2022</v>
      </c>
      <c r="B261" s="10">
        <v>11</v>
      </c>
      <c r="C261" s="10" t="s">
        <v>25</v>
      </c>
      <c r="D261" s="10">
        <v>2869</v>
      </c>
      <c r="E261" s="10">
        <v>1122187</v>
      </c>
      <c r="F261" t="s">
        <v>102</v>
      </c>
      <c r="G261" t="s">
        <v>122</v>
      </c>
    </row>
    <row r="262" spans="1:7">
      <c r="A262" s="10">
        <v>2022</v>
      </c>
      <c r="B262" s="10">
        <v>12</v>
      </c>
      <c r="C262" s="10" t="s">
        <v>25</v>
      </c>
      <c r="D262" s="10">
        <v>3154</v>
      </c>
      <c r="E262" s="10">
        <v>1234020</v>
      </c>
      <c r="F262" t="s">
        <v>102</v>
      </c>
      <c r="G262" t="s">
        <v>122</v>
      </c>
    </row>
    <row r="263" spans="1:7">
      <c r="A263" s="10">
        <v>2021</v>
      </c>
      <c r="B263" s="10">
        <v>4</v>
      </c>
      <c r="C263" s="10" t="s">
        <v>26</v>
      </c>
      <c r="D263" s="10">
        <v>2070</v>
      </c>
      <c r="E263" s="10">
        <v>554587</v>
      </c>
      <c r="F263" t="s">
        <v>100</v>
      </c>
      <c r="G263" t="s">
        <v>115</v>
      </c>
    </row>
    <row r="264" spans="1:7">
      <c r="A264" s="10">
        <v>2021</v>
      </c>
      <c r="B264" s="10">
        <v>5</v>
      </c>
      <c r="C264" s="10" t="s">
        <v>26</v>
      </c>
      <c r="D264" s="10">
        <v>2253</v>
      </c>
      <c r="E264" s="10">
        <v>577777</v>
      </c>
      <c r="F264" t="s">
        <v>100</v>
      </c>
      <c r="G264" t="s">
        <v>115</v>
      </c>
    </row>
    <row r="265" spans="1:7">
      <c r="A265" s="10">
        <v>2021</v>
      </c>
      <c r="B265" s="10">
        <v>6</v>
      </c>
      <c r="C265" s="10" t="s">
        <v>26</v>
      </c>
      <c r="D265" s="10">
        <v>2360</v>
      </c>
      <c r="E265" s="10">
        <v>578125</v>
      </c>
      <c r="F265" t="s">
        <v>100</v>
      </c>
      <c r="G265" t="s">
        <v>115</v>
      </c>
    </row>
    <row r="266" spans="1:7">
      <c r="A266" s="10">
        <v>2021</v>
      </c>
      <c r="B266" s="10">
        <v>7</v>
      </c>
      <c r="C266" s="10" t="s">
        <v>26</v>
      </c>
      <c r="D266" s="10">
        <v>2688</v>
      </c>
      <c r="E266" s="10">
        <v>607142</v>
      </c>
      <c r="F266" t="s">
        <v>100</v>
      </c>
      <c r="G266" t="s">
        <v>115</v>
      </c>
    </row>
    <row r="267" spans="1:7">
      <c r="A267" s="10">
        <v>2021</v>
      </c>
      <c r="B267" s="10">
        <v>8</v>
      </c>
      <c r="C267" s="10" t="s">
        <v>26</v>
      </c>
      <c r="D267" s="10">
        <v>2975</v>
      </c>
      <c r="E267" s="10">
        <v>631466</v>
      </c>
      <c r="F267" t="s">
        <v>100</v>
      </c>
      <c r="G267" t="s">
        <v>115</v>
      </c>
    </row>
    <row r="268" spans="1:7">
      <c r="A268" s="10">
        <v>2021</v>
      </c>
      <c r="B268" s="10">
        <v>9</v>
      </c>
      <c r="C268" s="10" t="s">
        <v>26</v>
      </c>
      <c r="D268" s="10">
        <v>3245</v>
      </c>
      <c r="E268" s="10">
        <v>666773</v>
      </c>
      <c r="F268" t="s">
        <v>100</v>
      </c>
      <c r="G268" t="s">
        <v>115</v>
      </c>
    </row>
    <row r="269" spans="1:7">
      <c r="A269" s="10">
        <v>2021</v>
      </c>
      <c r="B269" s="10">
        <v>10</v>
      </c>
      <c r="C269" s="10" t="s">
        <v>26</v>
      </c>
      <c r="D269" s="10">
        <v>3388</v>
      </c>
      <c r="E269" s="10">
        <v>712462</v>
      </c>
      <c r="F269" t="s">
        <v>100</v>
      </c>
      <c r="G269" t="s">
        <v>115</v>
      </c>
    </row>
    <row r="270" spans="1:7">
      <c r="A270" s="10">
        <v>2021</v>
      </c>
      <c r="B270" s="10">
        <v>11</v>
      </c>
      <c r="C270" s="10" t="s">
        <v>26</v>
      </c>
      <c r="D270" s="10">
        <v>3500</v>
      </c>
      <c r="E270" s="10">
        <v>817142</v>
      </c>
      <c r="F270" t="s">
        <v>100</v>
      </c>
      <c r="G270" t="s">
        <v>115</v>
      </c>
    </row>
    <row r="271" spans="1:7">
      <c r="A271" s="10">
        <v>2021</v>
      </c>
      <c r="B271" s="10">
        <v>12</v>
      </c>
      <c r="C271" s="10" t="s">
        <v>26</v>
      </c>
      <c r="D271" s="10">
        <v>3644</v>
      </c>
      <c r="E271" s="10">
        <v>1040000</v>
      </c>
      <c r="F271" t="s">
        <v>100</v>
      </c>
      <c r="G271" t="s">
        <v>115</v>
      </c>
    </row>
    <row r="272" spans="1:7">
      <c r="A272" s="10">
        <v>2022</v>
      </c>
      <c r="B272" s="10">
        <v>1</v>
      </c>
      <c r="C272" s="10" t="s">
        <v>26</v>
      </c>
      <c r="D272" s="10">
        <v>3932</v>
      </c>
      <c r="E272" s="10">
        <v>1120106</v>
      </c>
      <c r="F272" t="s">
        <v>100</v>
      </c>
      <c r="G272" t="s">
        <v>115</v>
      </c>
    </row>
    <row r="273" spans="1:7">
      <c r="A273" s="10">
        <v>2022</v>
      </c>
      <c r="B273" s="10">
        <v>2</v>
      </c>
      <c r="C273" s="10" t="s">
        <v>26</v>
      </c>
      <c r="D273" s="10">
        <v>4575</v>
      </c>
      <c r="E273" s="10">
        <v>1210106</v>
      </c>
      <c r="F273" t="s">
        <v>100</v>
      </c>
      <c r="G273" t="s">
        <v>115</v>
      </c>
    </row>
    <row r="274" spans="1:7">
      <c r="A274" s="10">
        <v>2022</v>
      </c>
      <c r="B274" s="10">
        <v>3</v>
      </c>
      <c r="C274" s="10" t="s">
        <v>26</v>
      </c>
      <c r="D274" s="10">
        <v>6069</v>
      </c>
      <c r="E274" s="10">
        <v>1300000</v>
      </c>
      <c r="F274" t="s">
        <v>100</v>
      </c>
      <c r="G274" t="s">
        <v>115</v>
      </c>
    </row>
    <row r="275" spans="1:7">
      <c r="A275" s="10">
        <v>2022</v>
      </c>
      <c r="B275" s="10">
        <v>4</v>
      </c>
      <c r="C275" s="10" t="s">
        <v>26</v>
      </c>
      <c r="D275" s="10">
        <v>9967</v>
      </c>
      <c r="E275" s="10">
        <v>1512888</v>
      </c>
      <c r="F275" t="s">
        <v>100</v>
      </c>
      <c r="G275" t="s">
        <v>115</v>
      </c>
    </row>
    <row r="276" spans="1:7">
      <c r="A276" s="10">
        <v>2022</v>
      </c>
      <c r="B276" s="10">
        <v>5</v>
      </c>
      <c r="C276" s="10" t="s">
        <v>26</v>
      </c>
      <c r="D276" s="10">
        <v>10915</v>
      </c>
      <c r="E276" s="10">
        <v>1764282</v>
      </c>
      <c r="F276" t="s">
        <v>100</v>
      </c>
      <c r="G276" t="s">
        <v>115</v>
      </c>
    </row>
    <row r="277" spans="1:7">
      <c r="A277" s="10">
        <v>2022</v>
      </c>
      <c r="B277" s="10">
        <v>6</v>
      </c>
      <c r="C277" s="10" t="s">
        <v>26</v>
      </c>
      <c r="D277" s="10">
        <v>10000</v>
      </c>
      <c r="E277" s="10">
        <v>1950000</v>
      </c>
      <c r="F277" t="s">
        <v>100</v>
      </c>
      <c r="G277" t="s">
        <v>115</v>
      </c>
    </row>
    <row r="278" spans="1:7">
      <c r="A278" s="10">
        <v>2022</v>
      </c>
      <c r="B278" s="10">
        <v>7</v>
      </c>
      <c r="C278" s="10" t="s">
        <v>26</v>
      </c>
      <c r="D278" s="10">
        <v>9558</v>
      </c>
      <c r="E278" s="10">
        <v>2031250</v>
      </c>
      <c r="F278" t="s">
        <v>100</v>
      </c>
      <c r="G278" t="s">
        <v>115</v>
      </c>
    </row>
    <row r="279" spans="1:7">
      <c r="A279" s="10">
        <v>2022</v>
      </c>
      <c r="B279" s="10">
        <v>8</v>
      </c>
      <c r="C279" s="10" t="s">
        <v>26</v>
      </c>
      <c r="D279" s="10">
        <v>9150</v>
      </c>
      <c r="E279" s="10">
        <v>1993250</v>
      </c>
      <c r="F279" t="s">
        <v>100</v>
      </c>
      <c r="G279" t="s">
        <v>115</v>
      </c>
    </row>
    <row r="280" spans="1:7">
      <c r="A280" s="10">
        <v>2022</v>
      </c>
      <c r="B280" s="10">
        <v>9</v>
      </c>
      <c r="C280" s="10" t="s">
        <v>26</v>
      </c>
      <c r="D280" s="10">
        <v>9598</v>
      </c>
      <c r="E280" s="10">
        <v>2109375</v>
      </c>
      <c r="F280" t="s">
        <v>100</v>
      </c>
      <c r="G280" t="s">
        <v>115</v>
      </c>
    </row>
    <row r="281" spans="1:7">
      <c r="A281" s="10">
        <v>2022</v>
      </c>
      <c r="B281" s="10">
        <v>10</v>
      </c>
      <c r="C281" s="10" t="s">
        <v>26</v>
      </c>
      <c r="D281" s="10">
        <v>12800</v>
      </c>
      <c r="E281" s="10">
        <v>2215912</v>
      </c>
      <c r="F281" t="s">
        <v>100</v>
      </c>
      <c r="G281" t="s">
        <v>115</v>
      </c>
    </row>
    <row r="282" spans="1:7">
      <c r="A282" s="10">
        <v>2022</v>
      </c>
      <c r="B282" s="10">
        <v>11</v>
      </c>
      <c r="C282" s="10" t="s">
        <v>26</v>
      </c>
      <c r="D282" s="10">
        <v>14583</v>
      </c>
      <c r="E282" s="10">
        <v>2343750</v>
      </c>
      <c r="F282" t="s">
        <v>100</v>
      </c>
      <c r="G282" t="s">
        <v>115</v>
      </c>
    </row>
    <row r="283" spans="1:7">
      <c r="A283" s="10">
        <v>2022</v>
      </c>
      <c r="B283" s="10">
        <v>12</v>
      </c>
      <c r="C283" s="10" t="s">
        <v>26</v>
      </c>
      <c r="D283" s="10">
        <v>14470</v>
      </c>
      <c r="E283" s="10">
        <v>2500000</v>
      </c>
      <c r="F283" t="s">
        <v>100</v>
      </c>
      <c r="G283" t="s">
        <v>115</v>
      </c>
    </row>
    <row r="284" spans="1:7">
      <c r="A284" s="10">
        <v>2021</v>
      </c>
      <c r="B284" s="10">
        <v>4</v>
      </c>
      <c r="C284" s="10" t="s">
        <v>27</v>
      </c>
      <c r="D284" s="10">
        <v>945</v>
      </c>
      <c r="E284" s="10">
        <v>371466</v>
      </c>
      <c r="F284" t="s">
        <v>103</v>
      </c>
      <c r="G284" t="s">
        <v>123</v>
      </c>
    </row>
    <row r="285" spans="1:7">
      <c r="A285" s="10">
        <v>2021</v>
      </c>
      <c r="B285" s="10">
        <v>5</v>
      </c>
      <c r="C285" s="10" t="s">
        <v>27</v>
      </c>
      <c r="D285" s="10">
        <v>1066</v>
      </c>
      <c r="E285" s="10">
        <v>378000</v>
      </c>
      <c r="F285" t="s">
        <v>103</v>
      </c>
      <c r="G285" t="s">
        <v>123</v>
      </c>
    </row>
    <row r="286" spans="1:7">
      <c r="A286" s="10">
        <v>2021</v>
      </c>
      <c r="B286" s="10">
        <v>6</v>
      </c>
      <c r="C286" s="10" t="s">
        <v>27</v>
      </c>
      <c r="D286" s="10">
        <v>1176</v>
      </c>
      <c r="E286" s="10">
        <v>398125</v>
      </c>
      <c r="F286" t="s">
        <v>103</v>
      </c>
      <c r="G286" t="s">
        <v>123</v>
      </c>
    </row>
    <row r="287" spans="1:7">
      <c r="A287" s="10">
        <v>2021</v>
      </c>
      <c r="B287" s="10">
        <v>7</v>
      </c>
      <c r="C287" s="10" t="s">
        <v>27</v>
      </c>
      <c r="D287" s="10">
        <v>1111</v>
      </c>
      <c r="E287" s="10">
        <v>434483</v>
      </c>
      <c r="F287" t="s">
        <v>103</v>
      </c>
      <c r="G287" t="s">
        <v>123</v>
      </c>
    </row>
    <row r="288" spans="1:7">
      <c r="A288" s="10">
        <v>2021</v>
      </c>
      <c r="B288" s="10">
        <v>8</v>
      </c>
      <c r="C288" s="10" t="s">
        <v>27</v>
      </c>
      <c r="D288" s="10">
        <v>1335</v>
      </c>
      <c r="E288" s="10">
        <v>408592</v>
      </c>
      <c r="F288" t="s">
        <v>103</v>
      </c>
      <c r="G288" t="s">
        <v>123</v>
      </c>
    </row>
    <row r="289" spans="1:7">
      <c r="A289" s="10">
        <v>2021</v>
      </c>
      <c r="B289" s="10">
        <v>9</v>
      </c>
      <c r="C289" s="10" t="s">
        <v>27</v>
      </c>
      <c r="D289" s="10">
        <v>1328</v>
      </c>
      <c r="E289" s="10">
        <v>457333</v>
      </c>
      <c r="F289" t="s">
        <v>103</v>
      </c>
      <c r="G289" t="s">
        <v>123</v>
      </c>
    </row>
    <row r="290" spans="1:7">
      <c r="A290" s="10">
        <v>2021</v>
      </c>
      <c r="B290" s="10">
        <v>10</v>
      </c>
      <c r="C290" s="10" t="s">
        <v>27</v>
      </c>
      <c r="D290" s="10">
        <v>1417</v>
      </c>
      <c r="E290" s="10">
        <v>456590</v>
      </c>
      <c r="F290" t="s">
        <v>103</v>
      </c>
      <c r="G290" t="s">
        <v>123</v>
      </c>
    </row>
    <row r="291" spans="1:7">
      <c r="A291" s="10">
        <v>2021</v>
      </c>
      <c r="B291" s="10">
        <v>11</v>
      </c>
      <c r="C291" s="10" t="s">
        <v>27</v>
      </c>
      <c r="D291" s="10">
        <v>1334</v>
      </c>
      <c r="E291" s="10">
        <v>509090</v>
      </c>
      <c r="F291" t="s">
        <v>103</v>
      </c>
      <c r="G291" t="s">
        <v>123</v>
      </c>
    </row>
    <row r="292" spans="1:7">
      <c r="A292" s="10">
        <v>2021</v>
      </c>
      <c r="B292" s="10">
        <v>12</v>
      </c>
      <c r="C292" s="10" t="s">
        <v>27</v>
      </c>
      <c r="D292" s="10">
        <v>1364</v>
      </c>
      <c r="E292" s="10">
        <v>575555</v>
      </c>
      <c r="F292" t="s">
        <v>103</v>
      </c>
      <c r="G292" t="s">
        <v>123</v>
      </c>
    </row>
    <row r="293" spans="1:7">
      <c r="A293" s="10">
        <v>2022</v>
      </c>
      <c r="B293" s="10">
        <v>1</v>
      </c>
      <c r="C293" s="10" t="s">
        <v>27</v>
      </c>
      <c r="D293" s="10">
        <v>1342</v>
      </c>
      <c r="E293" s="10">
        <v>566796</v>
      </c>
      <c r="F293" t="s">
        <v>103</v>
      </c>
      <c r="G293" t="s">
        <v>123</v>
      </c>
    </row>
    <row r="294" spans="1:7">
      <c r="A294" s="10">
        <v>2022</v>
      </c>
      <c r="B294" s="10">
        <v>2</v>
      </c>
      <c r="C294" s="10" t="s">
        <v>27</v>
      </c>
      <c r="D294" s="10">
        <v>1562</v>
      </c>
      <c r="E294" s="10">
        <v>636792</v>
      </c>
      <c r="F294" t="s">
        <v>103</v>
      </c>
      <c r="G294" t="s">
        <v>123</v>
      </c>
    </row>
    <row r="295" spans="1:7">
      <c r="A295" s="10">
        <v>2022</v>
      </c>
      <c r="B295" s="10">
        <v>3</v>
      </c>
      <c r="C295" s="10" t="s">
        <v>27</v>
      </c>
      <c r="D295" s="10">
        <v>1626</v>
      </c>
      <c r="E295" s="10">
        <v>678310</v>
      </c>
      <c r="F295" t="s">
        <v>103</v>
      </c>
      <c r="G295" t="s">
        <v>123</v>
      </c>
    </row>
    <row r="296" spans="1:7">
      <c r="A296" s="10">
        <v>2022</v>
      </c>
      <c r="B296" s="10">
        <v>4</v>
      </c>
      <c r="C296" s="10" t="s">
        <v>27</v>
      </c>
      <c r="D296" s="10">
        <v>1775</v>
      </c>
      <c r="E296" s="10">
        <v>798658</v>
      </c>
      <c r="F296" t="s">
        <v>103</v>
      </c>
      <c r="G296" t="s">
        <v>123</v>
      </c>
    </row>
    <row r="297" spans="1:7">
      <c r="A297" s="10">
        <v>2022</v>
      </c>
      <c r="B297" s="10">
        <v>5</v>
      </c>
      <c r="C297" s="10" t="s">
        <v>27</v>
      </c>
      <c r="D297" s="10">
        <v>1845</v>
      </c>
      <c r="E297" s="10">
        <v>805555</v>
      </c>
      <c r="F297" t="s">
        <v>103</v>
      </c>
      <c r="G297" t="s">
        <v>123</v>
      </c>
    </row>
    <row r="298" spans="1:7">
      <c r="A298" s="10">
        <v>2022</v>
      </c>
      <c r="B298" s="10">
        <v>6</v>
      </c>
      <c r="C298" s="10" t="s">
        <v>27</v>
      </c>
      <c r="D298" s="10">
        <v>2222</v>
      </c>
      <c r="E298" s="10">
        <v>799166</v>
      </c>
      <c r="F298" t="s">
        <v>103</v>
      </c>
      <c r="G298" t="s">
        <v>123</v>
      </c>
    </row>
    <row r="299" spans="1:7">
      <c r="A299" s="10">
        <v>2022</v>
      </c>
      <c r="B299" s="10">
        <v>7</v>
      </c>
      <c r="C299" s="10" t="s">
        <v>27</v>
      </c>
      <c r="D299" s="10">
        <v>2540</v>
      </c>
      <c r="E299" s="10">
        <v>852741</v>
      </c>
      <c r="F299" t="s">
        <v>103</v>
      </c>
      <c r="G299" t="s">
        <v>123</v>
      </c>
    </row>
    <row r="300" spans="1:7">
      <c r="A300" s="10">
        <v>2022</v>
      </c>
      <c r="B300" s="10">
        <v>8</v>
      </c>
      <c r="C300" s="10" t="s">
        <v>27</v>
      </c>
      <c r="D300" s="10">
        <v>2640</v>
      </c>
      <c r="E300" s="10">
        <v>932318</v>
      </c>
      <c r="F300" t="s">
        <v>103</v>
      </c>
      <c r="G300" t="s">
        <v>123</v>
      </c>
    </row>
    <row r="301" spans="1:7">
      <c r="A301" s="10">
        <v>2022</v>
      </c>
      <c r="B301" s="10">
        <v>9</v>
      </c>
      <c r="C301" s="10" t="s">
        <v>27</v>
      </c>
      <c r="D301" s="10">
        <v>2512</v>
      </c>
      <c r="E301" s="10">
        <v>985185</v>
      </c>
      <c r="F301" t="s">
        <v>103</v>
      </c>
      <c r="G301" t="s">
        <v>123</v>
      </c>
    </row>
    <row r="302" spans="1:7">
      <c r="A302" s="10">
        <v>2022</v>
      </c>
      <c r="B302" s="10">
        <v>10</v>
      </c>
      <c r="C302" s="10" t="s">
        <v>27</v>
      </c>
      <c r="D302" s="10">
        <v>2489</v>
      </c>
      <c r="E302" s="10">
        <v>1030030</v>
      </c>
      <c r="F302" t="s">
        <v>103</v>
      </c>
      <c r="G302" t="s">
        <v>123</v>
      </c>
    </row>
    <row r="303" spans="1:7">
      <c r="A303" s="10">
        <v>2022</v>
      </c>
      <c r="B303" s="10">
        <v>11</v>
      </c>
      <c r="C303" s="10" t="s">
        <v>27</v>
      </c>
      <c r="D303" s="10">
        <v>2619</v>
      </c>
      <c r="E303" s="10">
        <v>1134134</v>
      </c>
      <c r="F303" t="s">
        <v>103</v>
      </c>
      <c r="G303" t="s">
        <v>123</v>
      </c>
    </row>
    <row r="304" spans="1:7">
      <c r="A304" s="10">
        <v>2022</v>
      </c>
      <c r="B304" s="10">
        <v>12</v>
      </c>
      <c r="C304" s="10" t="s">
        <v>27</v>
      </c>
      <c r="D304" s="10">
        <v>2640</v>
      </c>
      <c r="E304" s="10">
        <v>1127351</v>
      </c>
      <c r="F304" t="s">
        <v>103</v>
      </c>
      <c r="G304" t="s">
        <v>123</v>
      </c>
    </row>
    <row r="305" spans="1:7">
      <c r="A305" s="10">
        <v>2021</v>
      </c>
      <c r="B305" s="10">
        <v>4</v>
      </c>
      <c r="C305" s="10" t="s">
        <v>28</v>
      </c>
      <c r="D305" s="10">
        <v>1514</v>
      </c>
      <c r="E305" s="10">
        <v>701893</v>
      </c>
      <c r="F305" t="s">
        <v>97</v>
      </c>
      <c r="G305" t="s">
        <v>108</v>
      </c>
    </row>
    <row r="306" spans="1:7">
      <c r="A306" s="10">
        <v>2021</v>
      </c>
      <c r="B306" s="10">
        <v>5</v>
      </c>
      <c r="C306" s="10" t="s">
        <v>28</v>
      </c>
      <c r="D306" s="10">
        <v>1635</v>
      </c>
      <c r="E306" s="10">
        <v>750000</v>
      </c>
      <c r="F306" t="s">
        <v>97</v>
      </c>
      <c r="G306" t="s">
        <v>108</v>
      </c>
    </row>
    <row r="307" spans="1:7">
      <c r="A307" s="10">
        <v>2021</v>
      </c>
      <c r="B307" s="10">
        <v>6</v>
      </c>
      <c r="C307" s="10" t="s">
        <v>28</v>
      </c>
      <c r="D307" s="10">
        <v>1714</v>
      </c>
      <c r="E307" s="10">
        <v>787500</v>
      </c>
      <c r="F307" t="s">
        <v>97</v>
      </c>
      <c r="G307" t="s">
        <v>108</v>
      </c>
    </row>
    <row r="308" spans="1:7">
      <c r="A308" s="10">
        <v>2021</v>
      </c>
      <c r="B308" s="10">
        <v>7</v>
      </c>
      <c r="C308" s="10" t="s">
        <v>28</v>
      </c>
      <c r="D308" s="10">
        <v>1781</v>
      </c>
      <c r="E308" s="10">
        <v>840000</v>
      </c>
      <c r="F308" t="s">
        <v>97</v>
      </c>
      <c r="G308" t="s">
        <v>108</v>
      </c>
    </row>
    <row r="309" spans="1:7">
      <c r="A309" s="10">
        <v>2021</v>
      </c>
      <c r="B309" s="10">
        <v>8</v>
      </c>
      <c r="C309" s="10" t="s">
        <v>28</v>
      </c>
      <c r="D309" s="10">
        <v>1783</v>
      </c>
      <c r="E309" s="10">
        <v>862500</v>
      </c>
      <c r="F309" t="s">
        <v>97</v>
      </c>
      <c r="G309" t="s">
        <v>108</v>
      </c>
    </row>
    <row r="310" spans="1:7">
      <c r="A310" s="10">
        <v>2021</v>
      </c>
      <c r="B310" s="10">
        <v>9</v>
      </c>
      <c r="C310" s="10" t="s">
        <v>28</v>
      </c>
      <c r="D310" s="10">
        <v>1888</v>
      </c>
      <c r="E310" s="10">
        <v>891742</v>
      </c>
      <c r="F310" t="s">
        <v>97</v>
      </c>
      <c r="G310" t="s">
        <v>108</v>
      </c>
    </row>
    <row r="311" spans="1:7">
      <c r="A311" s="10">
        <v>2021</v>
      </c>
      <c r="B311" s="10">
        <v>10</v>
      </c>
      <c r="C311" s="10" t="s">
        <v>28</v>
      </c>
      <c r="D311" s="10">
        <v>2162</v>
      </c>
      <c r="E311" s="10">
        <v>930657</v>
      </c>
      <c r="F311" t="s">
        <v>97</v>
      </c>
      <c r="G311" t="s">
        <v>108</v>
      </c>
    </row>
    <row r="312" spans="1:7">
      <c r="A312" s="10">
        <v>2021</v>
      </c>
      <c r="B312" s="10">
        <v>11</v>
      </c>
      <c r="C312" s="10" t="s">
        <v>28</v>
      </c>
      <c r="D312" s="10">
        <v>2250</v>
      </c>
      <c r="E312" s="10">
        <v>1035484</v>
      </c>
      <c r="F312" t="s">
        <v>97</v>
      </c>
      <c r="G312" t="s">
        <v>108</v>
      </c>
    </row>
    <row r="313" spans="1:7">
      <c r="A313" s="10">
        <v>2021</v>
      </c>
      <c r="B313" s="10">
        <v>12</v>
      </c>
      <c r="C313" s="10" t="s">
        <v>28</v>
      </c>
      <c r="D313" s="10">
        <v>2439</v>
      </c>
      <c r="E313" s="10">
        <v>1249999</v>
      </c>
      <c r="F313" t="s">
        <v>97</v>
      </c>
      <c r="G313" t="s">
        <v>108</v>
      </c>
    </row>
    <row r="314" spans="1:7">
      <c r="A314" s="10">
        <v>2022</v>
      </c>
      <c r="B314" s="10">
        <v>1</v>
      </c>
      <c r="C314" s="10" t="s">
        <v>28</v>
      </c>
      <c r="D314" s="10">
        <v>2454</v>
      </c>
      <c r="E314" s="10">
        <v>1420833</v>
      </c>
      <c r="F314" t="s">
        <v>97</v>
      </c>
      <c r="G314" t="s">
        <v>108</v>
      </c>
    </row>
    <row r="315" spans="1:7">
      <c r="A315" s="10">
        <v>2022</v>
      </c>
      <c r="B315" s="10">
        <v>2</v>
      </c>
      <c r="C315" s="10" t="s">
        <v>28</v>
      </c>
      <c r="D315" s="10">
        <v>2706</v>
      </c>
      <c r="E315" s="10">
        <v>1511250</v>
      </c>
      <c r="F315" t="s">
        <v>97</v>
      </c>
      <c r="G315" t="s">
        <v>108</v>
      </c>
    </row>
    <row r="316" spans="1:7">
      <c r="A316" s="10">
        <v>2022</v>
      </c>
      <c r="B316" s="10">
        <v>3</v>
      </c>
      <c r="C316" s="10" t="s">
        <v>28</v>
      </c>
      <c r="D316" s="10">
        <v>3125</v>
      </c>
      <c r="E316" s="10">
        <v>1667593</v>
      </c>
      <c r="F316" t="s">
        <v>97</v>
      </c>
      <c r="G316" t="s">
        <v>108</v>
      </c>
    </row>
    <row r="317" spans="1:7">
      <c r="A317" s="10">
        <v>2022</v>
      </c>
      <c r="B317" s="10">
        <v>4</v>
      </c>
      <c r="C317" s="10" t="s">
        <v>28</v>
      </c>
      <c r="D317" s="10">
        <v>3803</v>
      </c>
      <c r="E317" s="10">
        <v>1855303</v>
      </c>
      <c r="F317" t="s">
        <v>97</v>
      </c>
      <c r="G317" t="s">
        <v>108</v>
      </c>
    </row>
    <row r="318" spans="1:7">
      <c r="A318" s="10">
        <v>2022</v>
      </c>
      <c r="B318" s="10">
        <v>5</v>
      </c>
      <c r="C318" s="10" t="s">
        <v>28</v>
      </c>
      <c r="D318" s="10">
        <v>4447</v>
      </c>
      <c r="E318" s="10">
        <v>2066661</v>
      </c>
      <c r="F318" t="s">
        <v>97</v>
      </c>
      <c r="G318" t="s">
        <v>108</v>
      </c>
    </row>
    <row r="319" spans="1:7">
      <c r="A319" s="10">
        <v>2022</v>
      </c>
      <c r="B319" s="10">
        <v>6</v>
      </c>
      <c r="C319" s="10" t="s">
        <v>28</v>
      </c>
      <c r="D319" s="10">
        <v>4166</v>
      </c>
      <c r="E319" s="10">
        <v>1982145</v>
      </c>
      <c r="F319" t="s">
        <v>97</v>
      </c>
      <c r="G319" t="s">
        <v>108</v>
      </c>
    </row>
    <row r="320" spans="1:7">
      <c r="A320" s="10">
        <v>2022</v>
      </c>
      <c r="B320" s="10">
        <v>7</v>
      </c>
      <c r="C320" s="10" t="s">
        <v>28</v>
      </c>
      <c r="D320" s="10">
        <v>4253</v>
      </c>
      <c r="E320" s="10">
        <v>2192130</v>
      </c>
      <c r="F320" t="s">
        <v>97</v>
      </c>
      <c r="G320" t="s">
        <v>108</v>
      </c>
    </row>
    <row r="321" spans="1:7">
      <c r="A321" s="10">
        <v>2022</v>
      </c>
      <c r="B321" s="10">
        <v>8</v>
      </c>
      <c r="C321" s="10" t="s">
        <v>28</v>
      </c>
      <c r="D321" s="10">
        <v>4520</v>
      </c>
      <c r="E321" s="10">
        <v>2291670</v>
      </c>
      <c r="F321" t="s">
        <v>97</v>
      </c>
      <c r="G321" t="s">
        <v>108</v>
      </c>
    </row>
    <row r="322" spans="1:7">
      <c r="A322" s="10">
        <v>2022</v>
      </c>
      <c r="B322" s="10">
        <v>9</v>
      </c>
      <c r="C322" s="10" t="s">
        <v>28</v>
      </c>
      <c r="D322" s="10">
        <v>4977</v>
      </c>
      <c r="E322" s="10">
        <v>2416655</v>
      </c>
      <c r="F322" t="s">
        <v>97</v>
      </c>
      <c r="G322" t="s">
        <v>108</v>
      </c>
    </row>
    <row r="323" spans="1:7">
      <c r="A323" s="10">
        <v>2022</v>
      </c>
      <c r="B323" s="10">
        <v>10</v>
      </c>
      <c r="C323" s="10" t="s">
        <v>28</v>
      </c>
      <c r="D323" s="10">
        <v>5507</v>
      </c>
      <c r="E323" s="10">
        <v>2500005</v>
      </c>
      <c r="F323" t="s">
        <v>97</v>
      </c>
      <c r="G323" t="s">
        <v>108</v>
      </c>
    </row>
    <row r="324" spans="1:7">
      <c r="A324" s="10">
        <v>2022</v>
      </c>
      <c r="B324" s="10">
        <v>11</v>
      </c>
      <c r="C324" s="10" t="s">
        <v>28</v>
      </c>
      <c r="D324" s="10">
        <v>6452</v>
      </c>
      <c r="E324" s="10">
        <v>2594475</v>
      </c>
      <c r="F324" t="s">
        <v>97</v>
      </c>
      <c r="G324" t="s">
        <v>108</v>
      </c>
    </row>
    <row r="325" spans="1:7">
      <c r="A325" s="10">
        <v>2022</v>
      </c>
      <c r="B325" s="10">
        <v>12</v>
      </c>
      <c r="C325" s="10" t="s">
        <v>28</v>
      </c>
      <c r="D325" s="10">
        <v>6667</v>
      </c>
      <c r="E325" s="10">
        <v>2725005</v>
      </c>
      <c r="F325" t="s">
        <v>97</v>
      </c>
      <c r="G325" t="s">
        <v>108</v>
      </c>
    </row>
    <row r="326" spans="1:7">
      <c r="A326" s="10">
        <v>2021</v>
      </c>
      <c r="B326" s="10">
        <v>4</v>
      </c>
      <c r="C326" s="10" t="s">
        <v>29</v>
      </c>
      <c r="D326" s="10">
        <v>1305</v>
      </c>
      <c r="E326" s="10">
        <v>473416</v>
      </c>
      <c r="F326" t="s">
        <v>96</v>
      </c>
      <c r="G326" t="s">
        <v>106</v>
      </c>
    </row>
    <row r="327" spans="1:7">
      <c r="A327" s="10">
        <v>2021</v>
      </c>
      <c r="B327" s="10">
        <v>5</v>
      </c>
      <c r="C327" s="10" t="s">
        <v>29</v>
      </c>
      <c r="D327" s="10">
        <v>1422</v>
      </c>
      <c r="E327" s="10">
        <v>493421</v>
      </c>
      <c r="F327" t="s">
        <v>96</v>
      </c>
      <c r="G327" t="s">
        <v>106</v>
      </c>
    </row>
    <row r="328" spans="1:7">
      <c r="A328" s="10">
        <v>2021</v>
      </c>
      <c r="B328" s="10">
        <v>6</v>
      </c>
      <c r="C328" s="10" t="s">
        <v>29</v>
      </c>
      <c r="D328" s="10">
        <v>1560</v>
      </c>
      <c r="E328" s="10">
        <v>517044</v>
      </c>
      <c r="F328" t="s">
        <v>96</v>
      </c>
      <c r="G328" t="s">
        <v>106</v>
      </c>
    </row>
    <row r="329" spans="1:7">
      <c r="A329" s="10">
        <v>2021</v>
      </c>
      <c r="B329" s="10">
        <v>7</v>
      </c>
      <c r="C329" s="10" t="s">
        <v>29</v>
      </c>
      <c r="D329" s="10">
        <v>1605</v>
      </c>
      <c r="E329" s="10">
        <v>554435</v>
      </c>
      <c r="F329" t="s">
        <v>96</v>
      </c>
      <c r="G329" t="s">
        <v>106</v>
      </c>
    </row>
    <row r="330" spans="1:7">
      <c r="A330" s="10">
        <v>2021</v>
      </c>
      <c r="B330" s="10">
        <v>8</v>
      </c>
      <c r="C330" s="10" t="s">
        <v>29</v>
      </c>
      <c r="D330" s="10">
        <v>1661</v>
      </c>
      <c r="E330" s="10">
        <v>576388</v>
      </c>
      <c r="F330" t="s">
        <v>96</v>
      </c>
      <c r="G330" t="s">
        <v>106</v>
      </c>
    </row>
    <row r="331" spans="1:7">
      <c r="A331" s="10">
        <v>2021</v>
      </c>
      <c r="B331" s="10">
        <v>9</v>
      </c>
      <c r="C331" s="10" t="s">
        <v>29</v>
      </c>
      <c r="D331" s="10">
        <v>1728</v>
      </c>
      <c r="E331" s="10">
        <v>600000</v>
      </c>
      <c r="F331" t="s">
        <v>96</v>
      </c>
      <c r="G331" t="s">
        <v>106</v>
      </c>
    </row>
    <row r="332" spans="1:7">
      <c r="A332" s="10">
        <v>2021</v>
      </c>
      <c r="B332" s="10">
        <v>10</v>
      </c>
      <c r="C332" s="10" t="s">
        <v>29</v>
      </c>
      <c r="D332" s="10">
        <v>1814</v>
      </c>
      <c r="E332" s="10">
        <v>634615</v>
      </c>
      <c r="F332" t="s">
        <v>96</v>
      </c>
      <c r="G332" t="s">
        <v>106</v>
      </c>
    </row>
    <row r="333" spans="1:7">
      <c r="A333" s="10">
        <v>2021</v>
      </c>
      <c r="B333" s="10">
        <v>11</v>
      </c>
      <c r="C333" s="10" t="s">
        <v>29</v>
      </c>
      <c r="D333" s="10">
        <v>1856</v>
      </c>
      <c r="E333" s="10">
        <v>715000</v>
      </c>
      <c r="F333" t="s">
        <v>96</v>
      </c>
      <c r="G333" t="s">
        <v>106</v>
      </c>
    </row>
    <row r="334" spans="1:7">
      <c r="A334" s="10">
        <v>2021</v>
      </c>
      <c r="B334" s="10">
        <v>12</v>
      </c>
      <c r="C334" s="10" t="s">
        <v>29</v>
      </c>
      <c r="D334" s="10">
        <v>1942</v>
      </c>
      <c r="E334" s="10">
        <v>839582</v>
      </c>
      <c r="F334" t="s">
        <v>96</v>
      </c>
      <c r="G334" t="s">
        <v>106</v>
      </c>
    </row>
    <row r="335" spans="1:7">
      <c r="A335" s="10">
        <v>2022</v>
      </c>
      <c r="B335" s="10">
        <v>1</v>
      </c>
      <c r="C335" s="10" t="s">
        <v>29</v>
      </c>
      <c r="D335" s="10">
        <v>2080</v>
      </c>
      <c r="E335" s="10">
        <v>926250</v>
      </c>
      <c r="F335" t="s">
        <v>96</v>
      </c>
      <c r="G335" t="s">
        <v>106</v>
      </c>
    </row>
    <row r="336" spans="1:7">
      <c r="A336" s="10">
        <v>2022</v>
      </c>
      <c r="B336" s="10">
        <v>2</v>
      </c>
      <c r="C336" s="10" t="s">
        <v>29</v>
      </c>
      <c r="D336" s="10">
        <v>2140</v>
      </c>
      <c r="E336" s="10">
        <v>1000000</v>
      </c>
      <c r="F336" t="s">
        <v>96</v>
      </c>
      <c r="G336" t="s">
        <v>106</v>
      </c>
    </row>
    <row r="337" spans="1:7">
      <c r="A337" s="10">
        <v>2022</v>
      </c>
      <c r="B337" s="10">
        <v>3</v>
      </c>
      <c r="C337" s="10" t="s">
        <v>29</v>
      </c>
      <c r="D337" s="10">
        <v>2357</v>
      </c>
      <c r="E337" s="10">
        <v>1083332</v>
      </c>
      <c r="F337" t="s">
        <v>96</v>
      </c>
      <c r="G337" t="s">
        <v>106</v>
      </c>
    </row>
    <row r="338" spans="1:7">
      <c r="A338" s="10">
        <v>2022</v>
      </c>
      <c r="B338" s="10">
        <v>4</v>
      </c>
      <c r="C338" s="10" t="s">
        <v>29</v>
      </c>
      <c r="D338" s="10">
        <v>2875</v>
      </c>
      <c r="E338" s="10">
        <v>1231061</v>
      </c>
      <c r="F338" t="s">
        <v>96</v>
      </c>
      <c r="G338" t="s">
        <v>106</v>
      </c>
    </row>
    <row r="339" spans="1:7">
      <c r="A339" s="10">
        <v>2022</v>
      </c>
      <c r="B339" s="10">
        <v>5</v>
      </c>
      <c r="C339" s="10" t="s">
        <v>29</v>
      </c>
      <c r="D339" s="10">
        <v>3480</v>
      </c>
      <c r="E339" s="10">
        <v>1433079</v>
      </c>
      <c r="F339" t="s">
        <v>96</v>
      </c>
      <c r="G339" t="s">
        <v>106</v>
      </c>
    </row>
    <row r="340" spans="1:7">
      <c r="A340" s="10">
        <v>2022</v>
      </c>
      <c r="B340" s="10">
        <v>6</v>
      </c>
      <c r="C340" s="10" t="s">
        <v>29</v>
      </c>
      <c r="D340" s="10">
        <v>3832</v>
      </c>
      <c r="E340" s="10">
        <v>1522692</v>
      </c>
      <c r="F340" t="s">
        <v>96</v>
      </c>
      <c r="G340" t="s">
        <v>106</v>
      </c>
    </row>
    <row r="341" spans="1:7">
      <c r="A341" s="10">
        <v>2022</v>
      </c>
      <c r="B341" s="10">
        <v>7</v>
      </c>
      <c r="C341" s="10" t="s">
        <v>29</v>
      </c>
      <c r="D341" s="10">
        <v>3732</v>
      </c>
      <c r="E341" s="10">
        <v>1665765</v>
      </c>
      <c r="F341" t="s">
        <v>96</v>
      </c>
      <c r="G341" t="s">
        <v>106</v>
      </c>
    </row>
    <row r="342" spans="1:7">
      <c r="A342" s="10">
        <v>2022</v>
      </c>
      <c r="B342" s="10">
        <v>8</v>
      </c>
      <c r="C342" s="10" t="s">
        <v>29</v>
      </c>
      <c r="D342" s="10">
        <v>3885</v>
      </c>
      <c r="E342" s="10">
        <v>1645670</v>
      </c>
      <c r="F342" t="s">
        <v>96</v>
      </c>
      <c r="G342" t="s">
        <v>106</v>
      </c>
    </row>
    <row r="343" spans="1:7">
      <c r="A343" s="10">
        <v>2022</v>
      </c>
      <c r="B343" s="10">
        <v>9</v>
      </c>
      <c r="C343" s="10" t="s">
        <v>29</v>
      </c>
      <c r="D343" s="10">
        <v>4087</v>
      </c>
      <c r="E343" s="10">
        <v>1722500</v>
      </c>
      <c r="F343" t="s">
        <v>96</v>
      </c>
      <c r="G343" t="s">
        <v>106</v>
      </c>
    </row>
    <row r="344" spans="1:7">
      <c r="A344" s="10">
        <v>2022</v>
      </c>
      <c r="B344" s="10">
        <v>10</v>
      </c>
      <c r="C344" s="10" t="s">
        <v>29</v>
      </c>
      <c r="D344" s="10">
        <v>4192</v>
      </c>
      <c r="E344" s="10">
        <v>1758822</v>
      </c>
      <c r="F344" t="s">
        <v>96</v>
      </c>
      <c r="G344" t="s">
        <v>106</v>
      </c>
    </row>
    <row r="345" spans="1:7">
      <c r="A345" s="10">
        <v>2022</v>
      </c>
      <c r="B345" s="10">
        <v>11</v>
      </c>
      <c r="C345" s="10" t="s">
        <v>29</v>
      </c>
      <c r="D345" s="10">
        <v>4400</v>
      </c>
      <c r="E345" s="10">
        <v>1806272</v>
      </c>
      <c r="F345" t="s">
        <v>96</v>
      </c>
      <c r="G345" t="s">
        <v>106</v>
      </c>
    </row>
    <row r="346" spans="1:7">
      <c r="A346" s="10">
        <v>2022</v>
      </c>
      <c r="B346" s="10">
        <v>12</v>
      </c>
      <c r="C346" s="10" t="s">
        <v>29</v>
      </c>
      <c r="D346" s="10">
        <v>4696</v>
      </c>
      <c r="E346" s="10">
        <v>1906671</v>
      </c>
      <c r="F346" t="s">
        <v>96</v>
      </c>
      <c r="G346" t="s">
        <v>106</v>
      </c>
    </row>
    <row r="347" spans="1:7">
      <c r="A347" s="10">
        <v>2021</v>
      </c>
      <c r="B347" s="10">
        <v>4</v>
      </c>
      <c r="C347" s="10" t="s">
        <v>30</v>
      </c>
      <c r="D347" s="10">
        <v>880</v>
      </c>
      <c r="E347" s="10">
        <v>351107</v>
      </c>
      <c r="F347" t="s">
        <v>102</v>
      </c>
      <c r="G347" t="s">
        <v>120</v>
      </c>
    </row>
    <row r="348" spans="1:7">
      <c r="A348" s="10">
        <v>2021</v>
      </c>
      <c r="B348" s="10">
        <v>5</v>
      </c>
      <c r="C348" s="10" t="s">
        <v>30</v>
      </c>
      <c r="D348" s="10">
        <v>895</v>
      </c>
      <c r="E348" s="10">
        <v>369032</v>
      </c>
      <c r="F348" t="s">
        <v>102</v>
      </c>
      <c r="G348" t="s">
        <v>120</v>
      </c>
    </row>
    <row r="349" spans="1:7">
      <c r="A349" s="10">
        <v>2021</v>
      </c>
      <c r="B349" s="10">
        <v>6</v>
      </c>
      <c r="C349" s="10" t="s">
        <v>30</v>
      </c>
      <c r="D349" s="10">
        <v>984</v>
      </c>
      <c r="E349" s="10">
        <v>388390</v>
      </c>
      <c r="F349" t="s">
        <v>102</v>
      </c>
      <c r="G349" t="s">
        <v>120</v>
      </c>
    </row>
    <row r="350" spans="1:7">
      <c r="A350" s="10">
        <v>2021</v>
      </c>
      <c r="B350" s="10">
        <v>7</v>
      </c>
      <c r="C350" s="10" t="s">
        <v>30</v>
      </c>
      <c r="D350" s="10">
        <v>1003</v>
      </c>
      <c r="E350" s="10">
        <v>407585</v>
      </c>
      <c r="F350" t="s">
        <v>102</v>
      </c>
      <c r="G350" t="s">
        <v>120</v>
      </c>
    </row>
    <row r="351" spans="1:7">
      <c r="A351" s="10">
        <v>2021</v>
      </c>
      <c r="B351" s="10">
        <v>8</v>
      </c>
      <c r="C351" s="10" t="s">
        <v>30</v>
      </c>
      <c r="D351" s="10">
        <v>1070</v>
      </c>
      <c r="E351" s="10">
        <v>415684</v>
      </c>
      <c r="F351" t="s">
        <v>102</v>
      </c>
      <c r="G351" t="s">
        <v>120</v>
      </c>
    </row>
    <row r="352" spans="1:7">
      <c r="A352" s="10">
        <v>2021</v>
      </c>
      <c r="B352" s="10">
        <v>9</v>
      </c>
      <c r="C352" s="10" t="s">
        <v>30</v>
      </c>
      <c r="D352" s="10">
        <v>1251</v>
      </c>
      <c r="E352" s="10">
        <v>434210</v>
      </c>
      <c r="F352" t="s">
        <v>102</v>
      </c>
      <c r="G352" t="s">
        <v>120</v>
      </c>
    </row>
    <row r="353" spans="1:7">
      <c r="A353" s="10">
        <v>2021</v>
      </c>
      <c r="B353" s="10">
        <v>10</v>
      </c>
      <c r="C353" s="10" t="s">
        <v>30</v>
      </c>
      <c r="D353" s="10">
        <v>1322</v>
      </c>
      <c r="E353" s="10">
        <v>451289</v>
      </c>
      <c r="F353" t="s">
        <v>102</v>
      </c>
      <c r="G353" t="s">
        <v>120</v>
      </c>
    </row>
    <row r="354" spans="1:7">
      <c r="A354" s="10">
        <v>2021</v>
      </c>
      <c r="B354" s="10">
        <v>11</v>
      </c>
      <c r="C354" s="10" t="s">
        <v>30</v>
      </c>
      <c r="D354" s="10">
        <v>1410</v>
      </c>
      <c r="E354" s="10">
        <v>497619</v>
      </c>
      <c r="F354" t="s">
        <v>102</v>
      </c>
      <c r="G354" t="s">
        <v>120</v>
      </c>
    </row>
    <row r="355" spans="1:7">
      <c r="A355" s="10">
        <v>2021</v>
      </c>
      <c r="B355" s="10">
        <v>12</v>
      </c>
      <c r="C355" s="10" t="s">
        <v>30</v>
      </c>
      <c r="D355" s="10">
        <v>1429</v>
      </c>
      <c r="E355" s="10">
        <v>585833</v>
      </c>
      <c r="F355" t="s">
        <v>102</v>
      </c>
      <c r="G355" t="s">
        <v>120</v>
      </c>
    </row>
    <row r="356" spans="1:7">
      <c r="A356" s="10">
        <v>2022</v>
      </c>
      <c r="B356" s="10">
        <v>1</v>
      </c>
      <c r="C356" s="10" t="s">
        <v>30</v>
      </c>
      <c r="D356" s="10">
        <v>1550</v>
      </c>
      <c r="E356" s="10">
        <v>636608</v>
      </c>
      <c r="F356" t="s">
        <v>102</v>
      </c>
      <c r="G356" t="s">
        <v>120</v>
      </c>
    </row>
    <row r="357" spans="1:7">
      <c r="A357" s="10">
        <v>2022</v>
      </c>
      <c r="B357" s="10">
        <v>2</v>
      </c>
      <c r="C357" s="10" t="s">
        <v>30</v>
      </c>
      <c r="D357" s="10">
        <v>1641</v>
      </c>
      <c r="E357" s="10">
        <v>664506</v>
      </c>
      <c r="F357" t="s">
        <v>102</v>
      </c>
      <c r="G357" t="s">
        <v>120</v>
      </c>
    </row>
    <row r="358" spans="1:7">
      <c r="A358" s="10">
        <v>2022</v>
      </c>
      <c r="B358" s="10">
        <v>3</v>
      </c>
      <c r="C358" s="10" t="s">
        <v>30</v>
      </c>
      <c r="D358" s="10">
        <v>1880</v>
      </c>
      <c r="E358" s="10">
        <v>700000</v>
      </c>
      <c r="F358" t="s">
        <v>102</v>
      </c>
      <c r="G358" t="s">
        <v>120</v>
      </c>
    </row>
    <row r="359" spans="1:7">
      <c r="A359" s="10">
        <v>2022</v>
      </c>
      <c r="B359" s="10">
        <v>4</v>
      </c>
      <c r="C359" s="10" t="s">
        <v>30</v>
      </c>
      <c r="D359" s="10">
        <v>2134</v>
      </c>
      <c r="E359" s="10">
        <v>755806</v>
      </c>
      <c r="F359" t="s">
        <v>102</v>
      </c>
      <c r="G359" t="s">
        <v>120</v>
      </c>
    </row>
    <row r="360" spans="1:7">
      <c r="A360" s="10">
        <v>2022</v>
      </c>
      <c r="B360" s="10">
        <v>5</v>
      </c>
      <c r="C360" s="10" t="s">
        <v>30</v>
      </c>
      <c r="D360" s="10">
        <v>2337</v>
      </c>
      <c r="E360" s="10">
        <v>864285</v>
      </c>
      <c r="F360" t="s">
        <v>102</v>
      </c>
      <c r="G360" t="s">
        <v>120</v>
      </c>
    </row>
    <row r="361" spans="1:7">
      <c r="A361" s="10">
        <v>2022</v>
      </c>
      <c r="B361" s="10">
        <v>6</v>
      </c>
      <c r="C361" s="10" t="s">
        <v>30</v>
      </c>
      <c r="D361" s="10">
        <v>2636</v>
      </c>
      <c r="E361" s="10">
        <v>961998</v>
      </c>
      <c r="F361" t="s">
        <v>102</v>
      </c>
      <c r="G361" t="s">
        <v>120</v>
      </c>
    </row>
    <row r="362" spans="1:7">
      <c r="A362" s="10">
        <v>2022</v>
      </c>
      <c r="B362" s="10">
        <v>7</v>
      </c>
      <c r="C362" s="10" t="s">
        <v>30</v>
      </c>
      <c r="D362" s="10">
        <v>3154</v>
      </c>
      <c r="E362" s="10">
        <v>1057691</v>
      </c>
      <c r="F362" t="s">
        <v>102</v>
      </c>
      <c r="G362" t="s">
        <v>120</v>
      </c>
    </row>
    <row r="363" spans="1:7">
      <c r="A363" s="10">
        <v>2022</v>
      </c>
      <c r="B363" s="10">
        <v>8</v>
      </c>
      <c r="C363" s="10" t="s">
        <v>30</v>
      </c>
      <c r="D363" s="10">
        <v>3600</v>
      </c>
      <c r="E363" s="10">
        <v>1163075</v>
      </c>
      <c r="F363" t="s">
        <v>102</v>
      </c>
      <c r="G363" t="s">
        <v>120</v>
      </c>
    </row>
    <row r="364" spans="1:7">
      <c r="A364" s="10">
        <v>2022</v>
      </c>
      <c r="B364" s="10">
        <v>9</v>
      </c>
      <c r="C364" s="10" t="s">
        <v>30</v>
      </c>
      <c r="D364" s="10">
        <v>3916</v>
      </c>
      <c r="E364" s="10">
        <v>1169377</v>
      </c>
      <c r="F364" t="s">
        <v>102</v>
      </c>
      <c r="G364" t="s">
        <v>120</v>
      </c>
    </row>
    <row r="365" spans="1:7">
      <c r="A365" s="10">
        <v>2022</v>
      </c>
      <c r="B365" s="10">
        <v>10</v>
      </c>
      <c r="C365" s="10" t="s">
        <v>30</v>
      </c>
      <c r="D365" s="10">
        <v>3914</v>
      </c>
      <c r="E365" s="10">
        <v>1189996</v>
      </c>
      <c r="F365" t="s">
        <v>102</v>
      </c>
      <c r="G365" t="s">
        <v>120</v>
      </c>
    </row>
    <row r="366" spans="1:7">
      <c r="A366" s="10">
        <v>2022</v>
      </c>
      <c r="B366" s="10">
        <v>11</v>
      </c>
      <c r="C366" s="10" t="s">
        <v>30</v>
      </c>
      <c r="D366" s="10">
        <v>4177</v>
      </c>
      <c r="E366" s="10">
        <v>1272854</v>
      </c>
      <c r="F366" t="s">
        <v>102</v>
      </c>
      <c r="G366" t="s">
        <v>120</v>
      </c>
    </row>
    <row r="367" spans="1:7">
      <c r="A367" s="10">
        <v>2022</v>
      </c>
      <c r="B367" s="10">
        <v>12</v>
      </c>
      <c r="C367" s="10" t="s">
        <v>30</v>
      </c>
      <c r="D367" s="10">
        <v>4444</v>
      </c>
      <c r="E367" s="10">
        <v>1320000</v>
      </c>
      <c r="F367" t="s">
        <v>102</v>
      </c>
      <c r="G367" t="s">
        <v>120</v>
      </c>
    </row>
    <row r="368" spans="1:7">
      <c r="A368" s="10">
        <v>2021</v>
      </c>
      <c r="B368" s="10">
        <v>4</v>
      </c>
      <c r="C368" s="10" t="s">
        <v>31</v>
      </c>
      <c r="D368" s="10">
        <v>1428</v>
      </c>
      <c r="E368" s="10">
        <v>416992</v>
      </c>
      <c r="F368" t="s">
        <v>124</v>
      </c>
      <c r="G368" t="s">
        <v>127</v>
      </c>
    </row>
    <row r="369" spans="1:7">
      <c r="A369" s="10">
        <v>2021</v>
      </c>
      <c r="B369" s="10">
        <v>5</v>
      </c>
      <c r="C369" s="10" t="s">
        <v>31</v>
      </c>
      <c r="D369" s="10">
        <v>1382</v>
      </c>
      <c r="E369" s="10">
        <v>429333</v>
      </c>
      <c r="F369" t="s">
        <v>124</v>
      </c>
      <c r="G369" t="s">
        <v>127</v>
      </c>
    </row>
    <row r="370" spans="1:7">
      <c r="A370" s="10">
        <v>2021</v>
      </c>
      <c r="B370" s="10">
        <v>6</v>
      </c>
      <c r="C370" s="10" t="s">
        <v>31</v>
      </c>
      <c r="D370" s="10">
        <v>1597</v>
      </c>
      <c r="E370" s="10">
        <v>448000</v>
      </c>
      <c r="F370" t="s">
        <v>124</v>
      </c>
      <c r="G370" t="s">
        <v>127</v>
      </c>
    </row>
    <row r="371" spans="1:7">
      <c r="A371" s="10">
        <v>2021</v>
      </c>
      <c r="B371" s="10">
        <v>7</v>
      </c>
      <c r="C371" s="10" t="s">
        <v>31</v>
      </c>
      <c r="D371" s="10">
        <v>1612</v>
      </c>
      <c r="E371" s="10">
        <v>456806</v>
      </c>
      <c r="F371" t="s">
        <v>124</v>
      </c>
      <c r="G371" t="s">
        <v>127</v>
      </c>
    </row>
    <row r="372" spans="1:7">
      <c r="A372" s="10">
        <v>2021</v>
      </c>
      <c r="B372" s="10">
        <v>8</v>
      </c>
      <c r="C372" s="10" t="s">
        <v>31</v>
      </c>
      <c r="D372" s="10">
        <v>1655</v>
      </c>
      <c r="E372" s="10">
        <v>474483</v>
      </c>
      <c r="F372" t="s">
        <v>124</v>
      </c>
      <c r="G372" t="s">
        <v>127</v>
      </c>
    </row>
    <row r="373" spans="1:7">
      <c r="A373" s="10">
        <v>2021</v>
      </c>
      <c r="B373" s="10">
        <v>9</v>
      </c>
      <c r="C373" s="10" t="s">
        <v>31</v>
      </c>
      <c r="D373" s="10">
        <v>1624</v>
      </c>
      <c r="E373" s="10">
        <v>480000</v>
      </c>
      <c r="F373" t="s">
        <v>124</v>
      </c>
      <c r="G373" t="s">
        <v>127</v>
      </c>
    </row>
    <row r="374" spans="1:7">
      <c r="A374" s="10">
        <v>2021</v>
      </c>
      <c r="B374" s="10">
        <v>10</v>
      </c>
      <c r="C374" s="10" t="s">
        <v>31</v>
      </c>
      <c r="D374" s="10">
        <v>1838</v>
      </c>
      <c r="E374" s="10">
        <v>501576</v>
      </c>
      <c r="F374" t="s">
        <v>124</v>
      </c>
      <c r="G374" t="s">
        <v>127</v>
      </c>
    </row>
    <row r="375" spans="1:7">
      <c r="A375" s="10">
        <v>2021</v>
      </c>
      <c r="B375" s="10">
        <v>11</v>
      </c>
      <c r="C375" s="10" t="s">
        <v>31</v>
      </c>
      <c r="D375" s="10">
        <v>1810</v>
      </c>
      <c r="E375" s="10">
        <v>544000</v>
      </c>
      <c r="F375" t="s">
        <v>124</v>
      </c>
      <c r="G375" t="s">
        <v>127</v>
      </c>
    </row>
    <row r="376" spans="1:7">
      <c r="A376" s="10">
        <v>2021</v>
      </c>
      <c r="B376" s="10">
        <v>12</v>
      </c>
      <c r="C376" s="10" t="s">
        <v>31</v>
      </c>
      <c r="D376" s="10">
        <v>1827</v>
      </c>
      <c r="E376" s="10">
        <v>620800</v>
      </c>
      <c r="F376" t="s">
        <v>124</v>
      </c>
      <c r="G376" t="s">
        <v>127</v>
      </c>
    </row>
    <row r="377" spans="1:7">
      <c r="A377" s="10">
        <v>2022</v>
      </c>
      <c r="B377" s="10">
        <v>1</v>
      </c>
      <c r="C377" s="10" t="s">
        <v>31</v>
      </c>
      <c r="D377" s="10">
        <v>1889</v>
      </c>
      <c r="E377" s="10">
        <v>659697</v>
      </c>
      <c r="F377" t="s">
        <v>124</v>
      </c>
      <c r="G377" t="s">
        <v>127</v>
      </c>
    </row>
    <row r="378" spans="1:7">
      <c r="A378" s="10">
        <v>2022</v>
      </c>
      <c r="B378" s="10">
        <v>2</v>
      </c>
      <c r="C378" s="10" t="s">
        <v>31</v>
      </c>
      <c r="D378" s="10">
        <v>1852</v>
      </c>
      <c r="E378" s="10">
        <v>704000</v>
      </c>
      <c r="F378" t="s">
        <v>124</v>
      </c>
      <c r="G378" t="s">
        <v>127</v>
      </c>
    </row>
    <row r="379" spans="1:7">
      <c r="A379" s="10">
        <v>2022</v>
      </c>
      <c r="B379" s="10">
        <v>3</v>
      </c>
      <c r="C379" s="10" t="s">
        <v>31</v>
      </c>
      <c r="D379" s="10">
        <v>1926</v>
      </c>
      <c r="E379" s="10">
        <v>736520</v>
      </c>
      <c r="F379" t="s">
        <v>124</v>
      </c>
      <c r="G379" t="s">
        <v>127</v>
      </c>
    </row>
    <row r="380" spans="1:7">
      <c r="A380" s="10">
        <v>2022</v>
      </c>
      <c r="B380" s="10">
        <v>4</v>
      </c>
      <c r="C380" s="10" t="s">
        <v>31</v>
      </c>
      <c r="D380" s="10">
        <v>1980</v>
      </c>
      <c r="E380" s="10">
        <v>766915</v>
      </c>
      <c r="F380" t="s">
        <v>124</v>
      </c>
      <c r="G380" t="s">
        <v>127</v>
      </c>
    </row>
    <row r="381" spans="1:7">
      <c r="A381" s="10">
        <v>2022</v>
      </c>
      <c r="B381" s="10">
        <v>5</v>
      </c>
      <c r="C381" s="10" t="s">
        <v>31</v>
      </c>
      <c r="D381" s="10">
        <v>2101</v>
      </c>
      <c r="E381" s="10">
        <v>857777</v>
      </c>
      <c r="F381" t="s">
        <v>124</v>
      </c>
      <c r="G381" t="s">
        <v>127</v>
      </c>
    </row>
    <row r="382" spans="1:7">
      <c r="A382" s="10">
        <v>2022</v>
      </c>
      <c r="B382" s="10">
        <v>6</v>
      </c>
      <c r="C382" s="10" t="s">
        <v>31</v>
      </c>
      <c r="D382" s="10">
        <v>2290</v>
      </c>
      <c r="E382" s="10">
        <v>950302</v>
      </c>
      <c r="F382" t="s">
        <v>124</v>
      </c>
      <c r="G382" t="s">
        <v>127</v>
      </c>
    </row>
    <row r="383" spans="1:7">
      <c r="A383" s="10">
        <v>2022</v>
      </c>
      <c r="B383" s="10">
        <v>7</v>
      </c>
      <c r="C383" s="10" t="s">
        <v>31</v>
      </c>
      <c r="D383" s="10">
        <v>2513</v>
      </c>
      <c r="E383" s="10">
        <v>1020689</v>
      </c>
      <c r="F383" t="s">
        <v>124</v>
      </c>
      <c r="G383" t="s">
        <v>127</v>
      </c>
    </row>
    <row r="384" spans="1:7">
      <c r="A384" s="10">
        <v>2022</v>
      </c>
      <c r="B384" s="10">
        <v>8</v>
      </c>
      <c r="C384" s="10" t="s">
        <v>31</v>
      </c>
      <c r="D384" s="10">
        <v>2636</v>
      </c>
      <c r="E384" s="10">
        <v>1070107</v>
      </c>
      <c r="F384" t="s">
        <v>124</v>
      </c>
      <c r="G384" t="s">
        <v>127</v>
      </c>
    </row>
    <row r="385" spans="1:7">
      <c r="A385" s="10">
        <v>2022</v>
      </c>
      <c r="B385" s="10">
        <v>9</v>
      </c>
      <c r="C385" s="10" t="s">
        <v>31</v>
      </c>
      <c r="D385" s="10">
        <v>2736</v>
      </c>
      <c r="E385" s="10">
        <v>1129411</v>
      </c>
      <c r="F385" t="s">
        <v>124</v>
      </c>
      <c r="G385" t="s">
        <v>127</v>
      </c>
    </row>
    <row r="386" spans="1:7">
      <c r="A386" s="10">
        <v>2022</v>
      </c>
      <c r="B386" s="10">
        <v>10</v>
      </c>
      <c r="C386" s="10" t="s">
        <v>31</v>
      </c>
      <c r="D386" s="10">
        <v>2760</v>
      </c>
      <c r="E386" s="10">
        <v>1181539</v>
      </c>
      <c r="F386" t="s">
        <v>124</v>
      </c>
      <c r="G386" t="s">
        <v>127</v>
      </c>
    </row>
    <row r="387" spans="1:7">
      <c r="A387" s="10">
        <v>2022</v>
      </c>
      <c r="B387" s="10">
        <v>11</v>
      </c>
      <c r="C387" s="10" t="s">
        <v>31</v>
      </c>
      <c r="D387" s="10">
        <v>2954</v>
      </c>
      <c r="E387" s="10">
        <v>1250000</v>
      </c>
      <c r="F387" t="s">
        <v>124</v>
      </c>
      <c r="G387" t="s">
        <v>127</v>
      </c>
    </row>
    <row r="388" spans="1:7">
      <c r="A388" s="10">
        <v>2022</v>
      </c>
      <c r="B388" s="10">
        <v>12</v>
      </c>
      <c r="C388" s="10" t="s">
        <v>31</v>
      </c>
      <c r="D388" s="10">
        <v>3073</v>
      </c>
      <c r="E388" s="10">
        <v>1324569</v>
      </c>
      <c r="F388" t="s">
        <v>124</v>
      </c>
      <c r="G388" t="s">
        <v>127</v>
      </c>
    </row>
    <row r="389" spans="1:7">
      <c r="A389" s="10">
        <v>2021</v>
      </c>
      <c r="B389" s="10">
        <v>4</v>
      </c>
      <c r="C389" s="10" t="s">
        <v>32</v>
      </c>
      <c r="D389" s="10">
        <v>836</v>
      </c>
      <c r="E389" s="10">
        <v>312408</v>
      </c>
      <c r="F389" t="s">
        <v>128</v>
      </c>
      <c r="G389" t="s">
        <v>130</v>
      </c>
    </row>
    <row r="390" spans="1:7">
      <c r="A390" s="10">
        <v>2021</v>
      </c>
      <c r="B390" s="10">
        <v>5</v>
      </c>
      <c r="C390" s="10" t="s">
        <v>32</v>
      </c>
      <c r="D390" s="10">
        <v>841</v>
      </c>
      <c r="E390" s="10">
        <v>317568</v>
      </c>
      <c r="F390" t="s">
        <v>128</v>
      </c>
      <c r="G390" t="s">
        <v>130</v>
      </c>
    </row>
    <row r="391" spans="1:7">
      <c r="A391" s="10">
        <v>2021</v>
      </c>
      <c r="B391" s="10">
        <v>6</v>
      </c>
      <c r="C391" s="10" t="s">
        <v>32</v>
      </c>
      <c r="D391" s="10">
        <v>888</v>
      </c>
      <c r="E391" s="10">
        <v>342221</v>
      </c>
      <c r="F391" t="s">
        <v>128</v>
      </c>
      <c r="G391" t="s">
        <v>130</v>
      </c>
    </row>
    <row r="392" spans="1:7">
      <c r="A392" s="10">
        <v>2021</v>
      </c>
      <c r="B392" s="10">
        <v>7</v>
      </c>
      <c r="C392" s="10" t="s">
        <v>32</v>
      </c>
      <c r="D392" s="10">
        <v>899</v>
      </c>
      <c r="E392" s="10">
        <v>365418</v>
      </c>
      <c r="F392" t="s">
        <v>128</v>
      </c>
      <c r="G392" t="s">
        <v>130</v>
      </c>
    </row>
    <row r="393" spans="1:7">
      <c r="A393" s="10">
        <v>2021</v>
      </c>
      <c r="B393" s="10">
        <v>8</v>
      </c>
      <c r="C393" s="10" t="s">
        <v>32</v>
      </c>
      <c r="D393" s="10">
        <v>963</v>
      </c>
      <c r="E393" s="10">
        <v>362926</v>
      </c>
      <c r="F393" t="s">
        <v>128</v>
      </c>
      <c r="G393" t="s">
        <v>130</v>
      </c>
    </row>
    <row r="394" spans="1:7">
      <c r="A394" s="10">
        <v>2021</v>
      </c>
      <c r="B394" s="10">
        <v>9</v>
      </c>
      <c r="C394" s="10" t="s">
        <v>32</v>
      </c>
      <c r="D394" s="10">
        <v>1070</v>
      </c>
      <c r="E394" s="10">
        <v>375931</v>
      </c>
      <c r="F394" t="s">
        <v>128</v>
      </c>
      <c r="G394" t="s">
        <v>130</v>
      </c>
    </row>
    <row r="395" spans="1:7">
      <c r="A395" s="10">
        <v>2021</v>
      </c>
      <c r="B395" s="10">
        <v>10</v>
      </c>
      <c r="C395" s="10" t="s">
        <v>32</v>
      </c>
      <c r="D395" s="10">
        <v>1090</v>
      </c>
      <c r="E395" s="10">
        <v>380893</v>
      </c>
      <c r="F395" t="s">
        <v>128</v>
      </c>
      <c r="G395" t="s">
        <v>130</v>
      </c>
    </row>
    <row r="396" spans="1:7">
      <c r="A396" s="10">
        <v>2021</v>
      </c>
      <c r="B396" s="10">
        <v>11</v>
      </c>
      <c r="C396" s="10" t="s">
        <v>32</v>
      </c>
      <c r="D396" s="10">
        <v>1049</v>
      </c>
      <c r="E396" s="10">
        <v>399028</v>
      </c>
      <c r="F396" t="s">
        <v>128</v>
      </c>
      <c r="G396" t="s">
        <v>130</v>
      </c>
    </row>
    <row r="397" spans="1:7">
      <c r="A397" s="10">
        <v>2021</v>
      </c>
      <c r="B397" s="10">
        <v>12</v>
      </c>
      <c r="C397" s="10" t="s">
        <v>32</v>
      </c>
      <c r="D397" s="10">
        <v>1080</v>
      </c>
      <c r="E397" s="10">
        <v>461004</v>
      </c>
      <c r="F397" t="s">
        <v>128</v>
      </c>
      <c r="G397" t="s">
        <v>130</v>
      </c>
    </row>
    <row r="398" spans="1:7">
      <c r="A398" s="10">
        <v>2022</v>
      </c>
      <c r="B398" s="10">
        <v>1</v>
      </c>
      <c r="C398" s="10" t="s">
        <v>32</v>
      </c>
      <c r="D398" s="10">
        <v>1149</v>
      </c>
      <c r="E398" s="10">
        <v>458503</v>
      </c>
      <c r="F398" t="s">
        <v>128</v>
      </c>
      <c r="G398" t="s">
        <v>130</v>
      </c>
    </row>
    <row r="399" spans="1:7">
      <c r="A399" s="10">
        <v>2022</v>
      </c>
      <c r="B399" s="10">
        <v>2</v>
      </c>
      <c r="C399" s="10" t="s">
        <v>32</v>
      </c>
      <c r="D399" s="10">
        <v>1127</v>
      </c>
      <c r="E399" s="10">
        <v>472959</v>
      </c>
      <c r="F399" t="s">
        <v>128</v>
      </c>
      <c r="G399" t="s">
        <v>130</v>
      </c>
    </row>
    <row r="400" spans="1:7">
      <c r="A400" s="10">
        <v>2022</v>
      </c>
      <c r="B400" s="10">
        <v>3</v>
      </c>
      <c r="C400" s="10" t="s">
        <v>32</v>
      </c>
      <c r="D400" s="10">
        <v>1173</v>
      </c>
      <c r="E400" s="10">
        <v>546357</v>
      </c>
      <c r="F400" t="s">
        <v>128</v>
      </c>
      <c r="G400" t="s">
        <v>130</v>
      </c>
    </row>
    <row r="401" spans="1:7">
      <c r="A401" s="10">
        <v>2022</v>
      </c>
      <c r="B401" s="10">
        <v>4</v>
      </c>
      <c r="C401" s="10" t="s">
        <v>32</v>
      </c>
      <c r="D401" s="10">
        <v>1143</v>
      </c>
      <c r="E401" s="10">
        <v>570833</v>
      </c>
      <c r="F401" t="s">
        <v>128</v>
      </c>
      <c r="G401" t="s">
        <v>130</v>
      </c>
    </row>
    <row r="402" spans="1:7">
      <c r="A402" s="10">
        <v>2022</v>
      </c>
      <c r="B402" s="10">
        <v>5</v>
      </c>
      <c r="C402" s="10" t="s">
        <v>32</v>
      </c>
      <c r="D402" s="10">
        <v>1273</v>
      </c>
      <c r="E402" s="10">
        <v>652666</v>
      </c>
      <c r="F402" t="s">
        <v>128</v>
      </c>
      <c r="G402" t="s">
        <v>130</v>
      </c>
    </row>
    <row r="403" spans="1:7">
      <c r="A403" s="10">
        <v>2022</v>
      </c>
      <c r="B403" s="10">
        <v>6</v>
      </c>
      <c r="C403" s="10" t="s">
        <v>32</v>
      </c>
      <c r="D403" s="10">
        <v>1495</v>
      </c>
      <c r="E403" s="10">
        <v>720745</v>
      </c>
      <c r="F403" t="s">
        <v>128</v>
      </c>
      <c r="G403" t="s">
        <v>130</v>
      </c>
    </row>
    <row r="404" spans="1:7">
      <c r="A404" s="10">
        <v>2022</v>
      </c>
      <c r="B404" s="10">
        <v>7</v>
      </c>
      <c r="C404" s="10" t="s">
        <v>32</v>
      </c>
      <c r="D404" s="10">
        <v>1620</v>
      </c>
      <c r="E404" s="10">
        <v>773889</v>
      </c>
      <c r="F404" t="s">
        <v>128</v>
      </c>
      <c r="G404" t="s">
        <v>130</v>
      </c>
    </row>
    <row r="405" spans="1:7">
      <c r="A405" s="10">
        <v>2022</v>
      </c>
      <c r="B405" s="10">
        <v>8</v>
      </c>
      <c r="C405" s="10" t="s">
        <v>32</v>
      </c>
      <c r="D405" s="10">
        <v>1923</v>
      </c>
      <c r="E405" s="10">
        <v>821667</v>
      </c>
      <c r="F405" t="s">
        <v>128</v>
      </c>
      <c r="G405" t="s">
        <v>130</v>
      </c>
    </row>
    <row r="406" spans="1:7">
      <c r="A406" s="10">
        <v>2022</v>
      </c>
      <c r="B406" s="10">
        <v>9</v>
      </c>
      <c r="C406" s="10" t="s">
        <v>32</v>
      </c>
      <c r="D406" s="10">
        <v>2113</v>
      </c>
      <c r="E406" s="10">
        <v>793333</v>
      </c>
      <c r="F406" t="s">
        <v>128</v>
      </c>
      <c r="G406" t="s">
        <v>130</v>
      </c>
    </row>
    <row r="407" spans="1:7">
      <c r="A407" s="10">
        <v>2022</v>
      </c>
      <c r="B407" s="10">
        <v>10</v>
      </c>
      <c r="C407" s="10" t="s">
        <v>32</v>
      </c>
      <c r="D407" s="10">
        <v>2056</v>
      </c>
      <c r="E407" s="10">
        <v>875000</v>
      </c>
      <c r="F407" t="s">
        <v>128</v>
      </c>
      <c r="G407" t="s">
        <v>130</v>
      </c>
    </row>
    <row r="408" spans="1:7">
      <c r="A408" s="10">
        <v>2022</v>
      </c>
      <c r="B408" s="10">
        <v>11</v>
      </c>
      <c r="C408" s="10" t="s">
        <v>32</v>
      </c>
      <c r="D408" s="10">
        <v>2083</v>
      </c>
      <c r="E408" s="10">
        <v>900000</v>
      </c>
      <c r="F408" t="s">
        <v>128</v>
      </c>
      <c r="G408" t="s">
        <v>130</v>
      </c>
    </row>
    <row r="409" spans="1:7">
      <c r="A409" s="10">
        <v>2022</v>
      </c>
      <c r="B409" s="10">
        <v>12</v>
      </c>
      <c r="C409" s="10" t="s">
        <v>32</v>
      </c>
      <c r="D409" s="10">
        <v>2372</v>
      </c>
      <c r="E409" s="10">
        <v>913333</v>
      </c>
      <c r="F409" t="s">
        <v>128</v>
      </c>
      <c r="G409" t="s">
        <v>130</v>
      </c>
    </row>
    <row r="410" spans="1:7">
      <c r="A410" s="10">
        <v>2021</v>
      </c>
      <c r="B410" s="10">
        <v>4</v>
      </c>
      <c r="C410" s="10" t="s">
        <v>33</v>
      </c>
      <c r="D410" s="10">
        <v>863</v>
      </c>
      <c r="E410" s="10">
        <v>289245</v>
      </c>
      <c r="F410" t="s">
        <v>98</v>
      </c>
      <c r="G410" t="s">
        <v>111</v>
      </c>
    </row>
    <row r="411" spans="1:7">
      <c r="A411" s="10">
        <v>2021</v>
      </c>
      <c r="B411" s="10">
        <v>5</v>
      </c>
      <c r="C411" s="10" t="s">
        <v>33</v>
      </c>
      <c r="D411" s="10">
        <v>871</v>
      </c>
      <c r="E411" s="10">
        <v>295454</v>
      </c>
      <c r="F411" t="s">
        <v>98</v>
      </c>
      <c r="G411" t="s">
        <v>111</v>
      </c>
    </row>
    <row r="412" spans="1:7">
      <c r="A412" s="10">
        <v>2021</v>
      </c>
      <c r="B412" s="10">
        <v>6</v>
      </c>
      <c r="C412" s="10" t="s">
        <v>33</v>
      </c>
      <c r="D412" s="10">
        <v>920</v>
      </c>
      <c r="E412" s="10">
        <v>311316</v>
      </c>
      <c r="F412" t="s">
        <v>98</v>
      </c>
      <c r="G412" t="s">
        <v>111</v>
      </c>
    </row>
    <row r="413" spans="1:7">
      <c r="A413" s="10">
        <v>2021</v>
      </c>
      <c r="B413" s="10">
        <v>7</v>
      </c>
      <c r="C413" s="10" t="s">
        <v>33</v>
      </c>
      <c r="D413" s="10">
        <v>945</v>
      </c>
      <c r="E413" s="10">
        <v>325780</v>
      </c>
      <c r="F413" t="s">
        <v>98</v>
      </c>
      <c r="G413" t="s">
        <v>111</v>
      </c>
    </row>
    <row r="414" spans="1:7">
      <c r="A414" s="10">
        <v>2021</v>
      </c>
      <c r="B414" s="10">
        <v>8</v>
      </c>
      <c r="C414" s="10" t="s">
        <v>33</v>
      </c>
      <c r="D414" s="10">
        <v>1060</v>
      </c>
      <c r="E414" s="10">
        <v>329332</v>
      </c>
      <c r="F414" t="s">
        <v>98</v>
      </c>
      <c r="G414" t="s">
        <v>111</v>
      </c>
    </row>
    <row r="415" spans="1:7">
      <c r="A415" s="10">
        <v>2021</v>
      </c>
      <c r="B415" s="10">
        <v>9</v>
      </c>
      <c r="C415" s="10" t="s">
        <v>33</v>
      </c>
      <c r="D415" s="10">
        <v>1096</v>
      </c>
      <c r="E415" s="10">
        <v>333882</v>
      </c>
      <c r="F415" t="s">
        <v>98</v>
      </c>
      <c r="G415" t="s">
        <v>111</v>
      </c>
    </row>
    <row r="416" spans="1:7">
      <c r="A416" s="10">
        <v>2021</v>
      </c>
      <c r="B416" s="10">
        <v>10</v>
      </c>
      <c r="C416" s="10" t="s">
        <v>33</v>
      </c>
      <c r="D416" s="10">
        <v>1217</v>
      </c>
      <c r="E416" s="10">
        <v>344500</v>
      </c>
      <c r="F416" t="s">
        <v>98</v>
      </c>
      <c r="G416" t="s">
        <v>111</v>
      </c>
    </row>
    <row r="417" spans="1:7">
      <c r="A417" s="10">
        <v>2021</v>
      </c>
      <c r="B417" s="10">
        <v>11</v>
      </c>
      <c r="C417" s="10" t="s">
        <v>33</v>
      </c>
      <c r="D417" s="10">
        <v>1272</v>
      </c>
      <c r="E417" s="10">
        <v>365750</v>
      </c>
      <c r="F417" t="s">
        <v>98</v>
      </c>
      <c r="G417" t="s">
        <v>111</v>
      </c>
    </row>
    <row r="418" spans="1:7">
      <c r="A418" s="10">
        <v>2021</v>
      </c>
      <c r="B418" s="10">
        <v>12</v>
      </c>
      <c r="C418" s="10" t="s">
        <v>33</v>
      </c>
      <c r="D418" s="10">
        <v>1336</v>
      </c>
      <c r="E418" s="10">
        <v>416369</v>
      </c>
      <c r="F418" t="s">
        <v>98</v>
      </c>
      <c r="G418" t="s">
        <v>111</v>
      </c>
    </row>
    <row r="419" spans="1:7">
      <c r="A419" s="10">
        <v>2022</v>
      </c>
      <c r="B419" s="10">
        <v>1</v>
      </c>
      <c r="C419" s="10" t="s">
        <v>33</v>
      </c>
      <c r="D419" s="10">
        <v>1362</v>
      </c>
      <c r="E419" s="10">
        <v>466364</v>
      </c>
      <c r="F419" t="s">
        <v>98</v>
      </c>
      <c r="G419" t="s">
        <v>111</v>
      </c>
    </row>
    <row r="420" spans="1:7">
      <c r="A420" s="10">
        <v>2022</v>
      </c>
      <c r="B420" s="10">
        <v>2</v>
      </c>
      <c r="C420" s="10" t="s">
        <v>33</v>
      </c>
      <c r="D420" s="10">
        <v>1514</v>
      </c>
      <c r="E420" s="10">
        <v>496800</v>
      </c>
      <c r="F420" t="s">
        <v>98</v>
      </c>
      <c r="G420" t="s">
        <v>111</v>
      </c>
    </row>
    <row r="421" spans="1:7">
      <c r="A421" s="10">
        <v>2022</v>
      </c>
      <c r="B421" s="10">
        <v>3</v>
      </c>
      <c r="C421" s="10" t="s">
        <v>33</v>
      </c>
      <c r="D421" s="10">
        <v>1568</v>
      </c>
      <c r="E421" s="10">
        <v>531873</v>
      </c>
      <c r="F421" t="s">
        <v>98</v>
      </c>
      <c r="G421" t="s">
        <v>111</v>
      </c>
    </row>
    <row r="422" spans="1:7">
      <c r="A422" s="10">
        <v>2022</v>
      </c>
      <c r="B422" s="10">
        <v>4</v>
      </c>
      <c r="C422" s="10" t="s">
        <v>33</v>
      </c>
      <c r="D422" s="10">
        <v>1738</v>
      </c>
      <c r="E422" s="10">
        <v>550726</v>
      </c>
      <c r="F422" t="s">
        <v>98</v>
      </c>
      <c r="G422" t="s">
        <v>111</v>
      </c>
    </row>
    <row r="423" spans="1:7">
      <c r="A423" s="10">
        <v>2022</v>
      </c>
      <c r="B423" s="10">
        <v>5</v>
      </c>
      <c r="C423" s="10" t="s">
        <v>33</v>
      </c>
      <c r="D423" s="10">
        <v>1819</v>
      </c>
      <c r="E423" s="10">
        <v>603807</v>
      </c>
      <c r="F423" t="s">
        <v>98</v>
      </c>
      <c r="G423" t="s">
        <v>111</v>
      </c>
    </row>
    <row r="424" spans="1:7">
      <c r="A424" s="10">
        <v>2022</v>
      </c>
      <c r="B424" s="10">
        <v>6</v>
      </c>
      <c r="C424" s="10" t="s">
        <v>33</v>
      </c>
      <c r="D424" s="10">
        <v>2169</v>
      </c>
      <c r="E424" s="10">
        <v>667703</v>
      </c>
      <c r="F424" t="s">
        <v>98</v>
      </c>
      <c r="G424" t="s">
        <v>111</v>
      </c>
    </row>
    <row r="425" spans="1:7">
      <c r="A425" s="10">
        <v>2022</v>
      </c>
      <c r="B425" s="10">
        <v>7</v>
      </c>
      <c r="C425" s="10" t="s">
        <v>33</v>
      </c>
      <c r="D425" s="10">
        <v>2425</v>
      </c>
      <c r="E425" s="10">
        <v>788395</v>
      </c>
      <c r="F425" t="s">
        <v>98</v>
      </c>
      <c r="G425" t="s">
        <v>111</v>
      </c>
    </row>
    <row r="426" spans="1:7">
      <c r="A426" s="10">
        <v>2022</v>
      </c>
      <c r="B426" s="10">
        <v>8</v>
      </c>
      <c r="C426" s="10" t="s">
        <v>33</v>
      </c>
      <c r="D426" s="10">
        <v>2756</v>
      </c>
      <c r="E426" s="10">
        <v>849999</v>
      </c>
      <c r="F426" t="s">
        <v>98</v>
      </c>
      <c r="G426" t="s">
        <v>111</v>
      </c>
    </row>
    <row r="427" spans="1:7">
      <c r="A427" s="10">
        <v>2022</v>
      </c>
      <c r="B427" s="10">
        <v>9</v>
      </c>
      <c r="C427" s="10" t="s">
        <v>33</v>
      </c>
      <c r="D427" s="10">
        <v>2912</v>
      </c>
      <c r="E427" s="10">
        <v>871951</v>
      </c>
      <c r="F427" t="s">
        <v>98</v>
      </c>
      <c r="G427" t="s">
        <v>111</v>
      </c>
    </row>
    <row r="428" spans="1:7">
      <c r="A428" s="10">
        <v>2022</v>
      </c>
      <c r="B428" s="10">
        <v>10</v>
      </c>
      <c r="C428" s="10" t="s">
        <v>33</v>
      </c>
      <c r="D428" s="10">
        <v>3199</v>
      </c>
      <c r="E428" s="10">
        <v>910000</v>
      </c>
      <c r="F428" t="s">
        <v>98</v>
      </c>
      <c r="G428" t="s">
        <v>111</v>
      </c>
    </row>
    <row r="429" spans="1:7">
      <c r="A429" s="10">
        <v>2022</v>
      </c>
      <c r="B429" s="10">
        <v>11</v>
      </c>
      <c r="C429" s="10" t="s">
        <v>33</v>
      </c>
      <c r="D429" s="10">
        <v>3208</v>
      </c>
      <c r="E429" s="10">
        <v>939718</v>
      </c>
      <c r="F429" t="s">
        <v>98</v>
      </c>
      <c r="G429" t="s">
        <v>111</v>
      </c>
    </row>
    <row r="430" spans="1:7">
      <c r="A430" s="10">
        <v>2022</v>
      </c>
      <c r="B430" s="10">
        <v>12</v>
      </c>
      <c r="C430" s="10" t="s">
        <v>33</v>
      </c>
      <c r="D430" s="10">
        <v>3180</v>
      </c>
      <c r="E430" s="10">
        <v>1002666</v>
      </c>
      <c r="F430" t="s">
        <v>98</v>
      </c>
      <c r="G430" t="s">
        <v>111</v>
      </c>
    </row>
    <row r="431" spans="1:7">
      <c r="A431" s="10">
        <v>2021</v>
      </c>
      <c r="B431" s="10">
        <v>4</v>
      </c>
      <c r="C431" s="10" t="s">
        <v>34</v>
      </c>
      <c r="D431" s="10">
        <v>1000</v>
      </c>
      <c r="E431" s="10">
        <v>324358</v>
      </c>
      <c r="F431" t="s">
        <v>131</v>
      </c>
      <c r="G431" t="s">
        <v>132</v>
      </c>
    </row>
    <row r="432" spans="1:7">
      <c r="A432" s="10">
        <v>2021</v>
      </c>
      <c r="B432" s="10">
        <v>5</v>
      </c>
      <c r="C432" s="10" t="s">
        <v>34</v>
      </c>
      <c r="D432" s="10">
        <v>1167</v>
      </c>
      <c r="E432" s="10">
        <v>330750</v>
      </c>
      <c r="F432" t="s">
        <v>131</v>
      </c>
      <c r="G432" t="s">
        <v>132</v>
      </c>
    </row>
    <row r="433" spans="1:7">
      <c r="A433" s="10">
        <v>2021</v>
      </c>
      <c r="B433" s="10">
        <v>6</v>
      </c>
      <c r="C433" s="10" t="s">
        <v>34</v>
      </c>
      <c r="D433" s="10">
        <v>849</v>
      </c>
      <c r="E433" s="10">
        <v>342999</v>
      </c>
      <c r="F433" t="s">
        <v>131</v>
      </c>
      <c r="G433" t="s">
        <v>132</v>
      </c>
    </row>
    <row r="434" spans="1:7">
      <c r="A434" s="10">
        <v>2021</v>
      </c>
      <c r="B434" s="10">
        <v>7</v>
      </c>
      <c r="C434" s="10" t="s">
        <v>34</v>
      </c>
      <c r="D434" s="10">
        <v>1003</v>
      </c>
      <c r="E434" s="10">
        <v>356608</v>
      </c>
      <c r="F434" t="s">
        <v>131</v>
      </c>
      <c r="G434" t="s">
        <v>132</v>
      </c>
    </row>
    <row r="435" spans="1:7">
      <c r="A435" s="10">
        <v>2021</v>
      </c>
      <c r="B435" s="10">
        <v>8</v>
      </c>
      <c r="C435" s="10" t="s">
        <v>34</v>
      </c>
      <c r="D435" s="10">
        <v>995</v>
      </c>
      <c r="E435" s="10">
        <v>361424</v>
      </c>
      <c r="F435" t="s">
        <v>131</v>
      </c>
      <c r="G435" t="s">
        <v>132</v>
      </c>
    </row>
    <row r="436" spans="1:7">
      <c r="A436" s="10">
        <v>2021</v>
      </c>
      <c r="B436" s="10">
        <v>9</v>
      </c>
      <c r="C436" s="10" t="s">
        <v>34</v>
      </c>
      <c r="D436" s="10">
        <v>989</v>
      </c>
      <c r="E436" s="10">
        <v>365272</v>
      </c>
      <c r="F436" t="s">
        <v>131</v>
      </c>
      <c r="G436" t="s">
        <v>132</v>
      </c>
    </row>
    <row r="437" spans="1:7">
      <c r="A437" s="10">
        <v>2021</v>
      </c>
      <c r="B437" s="10">
        <v>10</v>
      </c>
      <c r="C437" s="10" t="s">
        <v>34</v>
      </c>
      <c r="D437" s="10">
        <v>1010</v>
      </c>
      <c r="E437" s="10">
        <v>378344</v>
      </c>
      <c r="F437" t="s">
        <v>131</v>
      </c>
      <c r="G437" t="s">
        <v>132</v>
      </c>
    </row>
    <row r="438" spans="1:7">
      <c r="A438" s="10">
        <v>2021</v>
      </c>
      <c r="B438" s="10">
        <v>11</v>
      </c>
      <c r="C438" s="10" t="s">
        <v>34</v>
      </c>
      <c r="D438" s="10">
        <v>1066</v>
      </c>
      <c r="E438" s="10">
        <v>409279</v>
      </c>
      <c r="F438" t="s">
        <v>131</v>
      </c>
      <c r="G438" t="s">
        <v>132</v>
      </c>
    </row>
    <row r="439" spans="1:7">
      <c r="A439" s="10">
        <v>2021</v>
      </c>
      <c r="B439" s="10">
        <v>12</v>
      </c>
      <c r="C439" s="10" t="s">
        <v>34</v>
      </c>
      <c r="D439" s="10">
        <v>1098</v>
      </c>
      <c r="E439" s="10">
        <v>446153</v>
      </c>
      <c r="F439" t="s">
        <v>131</v>
      </c>
      <c r="G439" t="s">
        <v>132</v>
      </c>
    </row>
    <row r="440" spans="1:7">
      <c r="A440" s="10">
        <v>2022</v>
      </c>
      <c r="B440" s="10">
        <v>1</v>
      </c>
      <c r="C440" s="10" t="s">
        <v>34</v>
      </c>
      <c r="D440" s="10">
        <v>1075</v>
      </c>
      <c r="E440" s="10">
        <v>501061</v>
      </c>
      <c r="F440" t="s">
        <v>131</v>
      </c>
      <c r="G440" t="s">
        <v>132</v>
      </c>
    </row>
    <row r="441" spans="1:7">
      <c r="A441" s="10">
        <v>2022</v>
      </c>
      <c r="B441" s="10">
        <v>2</v>
      </c>
      <c r="C441" s="10" t="s">
        <v>34</v>
      </c>
      <c r="D441" s="10">
        <v>1073</v>
      </c>
      <c r="E441" s="10">
        <v>525000</v>
      </c>
      <c r="F441" t="s">
        <v>131</v>
      </c>
      <c r="G441" t="s">
        <v>132</v>
      </c>
    </row>
    <row r="442" spans="1:7">
      <c r="A442" s="10">
        <v>2022</v>
      </c>
      <c r="B442" s="10">
        <v>3</v>
      </c>
      <c r="C442" s="10" t="s">
        <v>34</v>
      </c>
      <c r="D442" s="10">
        <v>1093</v>
      </c>
      <c r="E442" s="10">
        <v>580000</v>
      </c>
      <c r="F442" t="s">
        <v>131</v>
      </c>
      <c r="G442" t="s">
        <v>132</v>
      </c>
    </row>
    <row r="443" spans="1:7">
      <c r="A443" s="10">
        <v>2022</v>
      </c>
      <c r="B443" s="10">
        <v>4</v>
      </c>
      <c r="C443" s="10" t="s">
        <v>34</v>
      </c>
      <c r="D443" s="10">
        <v>1230</v>
      </c>
      <c r="E443" s="10">
        <v>607310</v>
      </c>
      <c r="F443" t="s">
        <v>131</v>
      </c>
      <c r="G443" t="s">
        <v>132</v>
      </c>
    </row>
    <row r="444" spans="1:7">
      <c r="A444" s="10">
        <v>2022</v>
      </c>
      <c r="B444" s="10">
        <v>5</v>
      </c>
      <c r="C444" s="10" t="s">
        <v>34</v>
      </c>
      <c r="D444" s="10">
        <v>1210</v>
      </c>
      <c r="E444" s="10">
        <v>659545</v>
      </c>
      <c r="F444" t="s">
        <v>131</v>
      </c>
      <c r="G444" t="s">
        <v>132</v>
      </c>
    </row>
    <row r="445" spans="1:7">
      <c r="A445" s="10">
        <v>2022</v>
      </c>
      <c r="B445" s="10">
        <v>6</v>
      </c>
      <c r="C445" s="10" t="s">
        <v>34</v>
      </c>
      <c r="D445" s="10">
        <v>1610</v>
      </c>
      <c r="E445" s="10">
        <v>740000</v>
      </c>
      <c r="F445" t="s">
        <v>131</v>
      </c>
      <c r="G445" t="s">
        <v>132</v>
      </c>
    </row>
    <row r="446" spans="1:7">
      <c r="A446" s="10">
        <v>2022</v>
      </c>
      <c r="B446" s="10">
        <v>7</v>
      </c>
      <c r="C446" s="10" t="s">
        <v>34</v>
      </c>
      <c r="D446" s="10">
        <v>1707</v>
      </c>
      <c r="E446" s="10">
        <v>783906</v>
      </c>
      <c r="F446" t="s">
        <v>131</v>
      </c>
      <c r="G446" t="s">
        <v>132</v>
      </c>
    </row>
    <row r="447" spans="1:7">
      <c r="A447" s="10">
        <v>2022</v>
      </c>
      <c r="B447" s="10">
        <v>8</v>
      </c>
      <c r="C447" s="10" t="s">
        <v>34</v>
      </c>
      <c r="D447" s="10">
        <v>1688</v>
      </c>
      <c r="E447" s="10">
        <v>839408</v>
      </c>
      <c r="F447" t="s">
        <v>131</v>
      </c>
      <c r="G447" t="s">
        <v>132</v>
      </c>
    </row>
    <row r="448" spans="1:7">
      <c r="A448" s="10">
        <v>2022</v>
      </c>
      <c r="B448" s="10">
        <v>9</v>
      </c>
      <c r="C448" s="10" t="s">
        <v>34</v>
      </c>
      <c r="D448" s="10">
        <v>1747</v>
      </c>
      <c r="E448" s="10">
        <v>867594</v>
      </c>
      <c r="F448" t="s">
        <v>131</v>
      </c>
      <c r="G448" t="s">
        <v>132</v>
      </c>
    </row>
    <row r="449" spans="1:7">
      <c r="A449" s="10">
        <v>2022</v>
      </c>
      <c r="B449" s="10">
        <v>10</v>
      </c>
      <c r="C449" s="10" t="s">
        <v>34</v>
      </c>
      <c r="D449" s="10">
        <v>1882</v>
      </c>
      <c r="E449" s="10">
        <v>889736</v>
      </c>
      <c r="F449" t="s">
        <v>131</v>
      </c>
      <c r="G449" t="s">
        <v>132</v>
      </c>
    </row>
    <row r="450" spans="1:7">
      <c r="A450" s="10">
        <v>2022</v>
      </c>
      <c r="B450" s="10">
        <v>11</v>
      </c>
      <c r="C450" s="10" t="s">
        <v>34</v>
      </c>
      <c r="D450" s="10">
        <v>1764</v>
      </c>
      <c r="E450" s="10">
        <v>916146</v>
      </c>
      <c r="F450" t="s">
        <v>131</v>
      </c>
      <c r="G450" t="s">
        <v>132</v>
      </c>
    </row>
    <row r="451" spans="1:7">
      <c r="A451" s="10">
        <v>2022</v>
      </c>
      <c r="B451" s="10">
        <v>12</v>
      </c>
      <c r="C451" s="10" t="s">
        <v>34</v>
      </c>
      <c r="D451" s="10">
        <v>2139</v>
      </c>
      <c r="E451" s="10">
        <v>931821</v>
      </c>
      <c r="F451" t="s">
        <v>131</v>
      </c>
      <c r="G451" t="s">
        <v>132</v>
      </c>
    </row>
    <row r="452" spans="1:7">
      <c r="A452" s="10">
        <v>2021</v>
      </c>
      <c r="B452" s="10">
        <v>4</v>
      </c>
      <c r="C452" s="10" t="s">
        <v>35</v>
      </c>
      <c r="D452" s="10">
        <v>1057</v>
      </c>
      <c r="E452" s="10">
        <v>308749</v>
      </c>
      <c r="F452" t="s">
        <v>131</v>
      </c>
      <c r="G452" t="s">
        <v>133</v>
      </c>
    </row>
    <row r="453" spans="1:7">
      <c r="A453" s="10">
        <v>2021</v>
      </c>
      <c r="B453" s="10">
        <v>5</v>
      </c>
      <c r="C453" s="10" t="s">
        <v>35</v>
      </c>
      <c r="D453" s="10">
        <v>1165</v>
      </c>
      <c r="E453" s="10">
        <v>310000</v>
      </c>
      <c r="F453" t="s">
        <v>131</v>
      </c>
      <c r="G453" t="s">
        <v>133</v>
      </c>
    </row>
    <row r="454" spans="1:7">
      <c r="A454" s="10">
        <v>2021</v>
      </c>
      <c r="B454" s="10">
        <v>6</v>
      </c>
      <c r="C454" s="10" t="s">
        <v>35</v>
      </c>
      <c r="D454" s="10">
        <v>1160</v>
      </c>
      <c r="E454" s="10">
        <v>317059</v>
      </c>
      <c r="F454" t="s">
        <v>131</v>
      </c>
      <c r="G454" t="s">
        <v>133</v>
      </c>
    </row>
    <row r="455" spans="1:7">
      <c r="A455" s="10">
        <v>2021</v>
      </c>
      <c r="B455" s="10">
        <v>7</v>
      </c>
      <c r="C455" s="10" t="s">
        <v>35</v>
      </c>
      <c r="D455" s="10">
        <v>1103</v>
      </c>
      <c r="E455" s="10">
        <v>319428</v>
      </c>
      <c r="F455" t="s">
        <v>131</v>
      </c>
      <c r="G455" t="s">
        <v>133</v>
      </c>
    </row>
    <row r="456" spans="1:7">
      <c r="A456" s="10">
        <v>2021</v>
      </c>
      <c r="B456" s="10">
        <v>8</v>
      </c>
      <c r="C456" s="10" t="s">
        <v>35</v>
      </c>
      <c r="D456" s="10">
        <v>1220</v>
      </c>
      <c r="E456" s="10">
        <v>328101</v>
      </c>
      <c r="F456" t="s">
        <v>131</v>
      </c>
      <c r="G456" t="s">
        <v>133</v>
      </c>
    </row>
    <row r="457" spans="1:7">
      <c r="A457" s="10">
        <v>2021</v>
      </c>
      <c r="B457" s="10">
        <v>9</v>
      </c>
      <c r="C457" s="10" t="s">
        <v>35</v>
      </c>
      <c r="D457" s="10">
        <v>1180</v>
      </c>
      <c r="E457" s="10">
        <v>336993</v>
      </c>
      <c r="F457" t="s">
        <v>131</v>
      </c>
      <c r="G457" t="s">
        <v>133</v>
      </c>
    </row>
    <row r="458" spans="1:7">
      <c r="A458" s="10">
        <v>2021</v>
      </c>
      <c r="B458" s="10">
        <v>10</v>
      </c>
      <c r="C458" s="10" t="s">
        <v>35</v>
      </c>
      <c r="D458" s="10">
        <v>1223</v>
      </c>
      <c r="E458" s="10">
        <v>332483</v>
      </c>
      <c r="F458" t="s">
        <v>131</v>
      </c>
      <c r="G458" t="s">
        <v>133</v>
      </c>
    </row>
    <row r="459" spans="1:7">
      <c r="A459" s="10">
        <v>2021</v>
      </c>
      <c r="B459" s="10">
        <v>11</v>
      </c>
      <c r="C459" s="10" t="s">
        <v>35</v>
      </c>
      <c r="D459" s="10">
        <v>1260</v>
      </c>
      <c r="E459" s="10">
        <v>364285</v>
      </c>
      <c r="F459" t="s">
        <v>131</v>
      </c>
      <c r="G459" t="s">
        <v>133</v>
      </c>
    </row>
    <row r="460" spans="1:7">
      <c r="A460" s="10">
        <v>2021</v>
      </c>
      <c r="B460" s="10">
        <v>12</v>
      </c>
      <c r="C460" s="10" t="s">
        <v>35</v>
      </c>
      <c r="D460" s="10">
        <v>1328</v>
      </c>
      <c r="E460" s="10">
        <v>407854</v>
      </c>
      <c r="F460" t="s">
        <v>131</v>
      </c>
      <c r="G460" t="s">
        <v>133</v>
      </c>
    </row>
    <row r="461" spans="1:7">
      <c r="A461" s="10">
        <v>2022</v>
      </c>
      <c r="B461" s="10">
        <v>1</v>
      </c>
      <c r="C461" s="10" t="s">
        <v>35</v>
      </c>
      <c r="D461" s="10">
        <v>1332</v>
      </c>
      <c r="E461" s="10">
        <v>433312</v>
      </c>
      <c r="F461" t="s">
        <v>131</v>
      </c>
      <c r="G461" t="s">
        <v>133</v>
      </c>
    </row>
    <row r="462" spans="1:7">
      <c r="A462" s="10">
        <v>2022</v>
      </c>
      <c r="B462" s="10">
        <v>2</v>
      </c>
      <c r="C462" s="10" t="s">
        <v>35</v>
      </c>
      <c r="D462" s="10">
        <v>1454</v>
      </c>
      <c r="E462" s="10">
        <v>467391</v>
      </c>
      <c r="F462" t="s">
        <v>131</v>
      </c>
      <c r="G462" t="s">
        <v>133</v>
      </c>
    </row>
    <row r="463" spans="1:7">
      <c r="A463" s="10">
        <v>2022</v>
      </c>
      <c r="B463" s="10">
        <v>3</v>
      </c>
      <c r="C463" s="10" t="s">
        <v>35</v>
      </c>
      <c r="D463" s="10">
        <v>1392</v>
      </c>
      <c r="E463" s="10">
        <v>503731</v>
      </c>
      <c r="F463" t="s">
        <v>131</v>
      </c>
      <c r="G463" t="s">
        <v>133</v>
      </c>
    </row>
    <row r="464" spans="1:7">
      <c r="A464" s="10">
        <v>2022</v>
      </c>
      <c r="B464" s="10">
        <v>4</v>
      </c>
      <c r="C464" s="10" t="s">
        <v>35</v>
      </c>
      <c r="D464" s="10">
        <v>1474</v>
      </c>
      <c r="E464" s="10">
        <v>548386</v>
      </c>
      <c r="F464" t="s">
        <v>131</v>
      </c>
      <c r="G464" t="s">
        <v>133</v>
      </c>
    </row>
    <row r="465" spans="1:7">
      <c r="A465" s="10">
        <v>2022</v>
      </c>
      <c r="B465" s="10">
        <v>5</v>
      </c>
      <c r="C465" s="10" t="s">
        <v>35</v>
      </c>
      <c r="D465" s="10">
        <v>1525</v>
      </c>
      <c r="E465" s="10">
        <v>624999</v>
      </c>
      <c r="F465" t="s">
        <v>131</v>
      </c>
      <c r="G465" t="s">
        <v>133</v>
      </c>
    </row>
    <row r="466" spans="1:7">
      <c r="A466" s="10">
        <v>2022</v>
      </c>
      <c r="B466" s="10">
        <v>6</v>
      </c>
      <c r="C466" s="10" t="s">
        <v>35</v>
      </c>
      <c r="D466" s="10">
        <v>1662</v>
      </c>
      <c r="E466" s="10">
        <v>687471</v>
      </c>
      <c r="F466" t="s">
        <v>131</v>
      </c>
      <c r="G466" t="s">
        <v>133</v>
      </c>
    </row>
    <row r="467" spans="1:7">
      <c r="A467" s="10">
        <v>2022</v>
      </c>
      <c r="B467" s="10">
        <v>7</v>
      </c>
      <c r="C467" s="10" t="s">
        <v>35</v>
      </c>
      <c r="D467" s="10">
        <v>1796</v>
      </c>
      <c r="E467" s="10">
        <v>720606</v>
      </c>
      <c r="F467" t="s">
        <v>131</v>
      </c>
      <c r="G467" t="s">
        <v>133</v>
      </c>
    </row>
    <row r="468" spans="1:7">
      <c r="A468" s="10">
        <v>2022</v>
      </c>
      <c r="B468" s="10">
        <v>8</v>
      </c>
      <c r="C468" s="10" t="s">
        <v>35</v>
      </c>
      <c r="D468" s="10">
        <v>1930</v>
      </c>
      <c r="E468" s="10">
        <v>772703</v>
      </c>
      <c r="F468" t="s">
        <v>131</v>
      </c>
      <c r="G468" t="s">
        <v>133</v>
      </c>
    </row>
    <row r="469" spans="1:7">
      <c r="A469" s="10">
        <v>2022</v>
      </c>
      <c r="B469" s="10">
        <v>9</v>
      </c>
      <c r="C469" s="10" t="s">
        <v>35</v>
      </c>
      <c r="D469" s="10">
        <v>1820</v>
      </c>
      <c r="E469" s="10">
        <v>764999</v>
      </c>
      <c r="F469" t="s">
        <v>131</v>
      </c>
      <c r="G469" t="s">
        <v>133</v>
      </c>
    </row>
    <row r="470" spans="1:7">
      <c r="A470" s="10">
        <v>2022</v>
      </c>
      <c r="B470" s="10">
        <v>10</v>
      </c>
      <c r="C470" s="10" t="s">
        <v>35</v>
      </c>
      <c r="D470" s="10">
        <v>1872</v>
      </c>
      <c r="E470" s="10">
        <v>821903</v>
      </c>
      <c r="F470" t="s">
        <v>131</v>
      </c>
      <c r="G470" t="s">
        <v>133</v>
      </c>
    </row>
    <row r="471" spans="1:7">
      <c r="A471" s="10">
        <v>2022</v>
      </c>
      <c r="B471" s="10">
        <v>11</v>
      </c>
      <c r="C471" s="10" t="s">
        <v>35</v>
      </c>
      <c r="D471" s="10">
        <v>2000</v>
      </c>
      <c r="E471" s="10">
        <v>833750</v>
      </c>
      <c r="F471" t="s">
        <v>131</v>
      </c>
      <c r="G471" t="s">
        <v>133</v>
      </c>
    </row>
    <row r="472" spans="1:7">
      <c r="A472" s="10">
        <v>2022</v>
      </c>
      <c r="B472" s="10">
        <v>12</v>
      </c>
      <c r="C472" s="10" t="s">
        <v>35</v>
      </c>
      <c r="D472" s="10">
        <v>2084</v>
      </c>
      <c r="E472" s="10">
        <v>858000</v>
      </c>
      <c r="F472" t="s">
        <v>131</v>
      </c>
      <c r="G472" t="s">
        <v>133</v>
      </c>
    </row>
    <row r="473" spans="1:7">
      <c r="A473" s="10">
        <v>2021</v>
      </c>
      <c r="B473" s="10">
        <v>4</v>
      </c>
      <c r="C473" s="10" t="s">
        <v>36</v>
      </c>
      <c r="D473" s="10">
        <v>979</v>
      </c>
      <c r="E473" s="10">
        <v>348214</v>
      </c>
      <c r="F473" t="s">
        <v>98</v>
      </c>
      <c r="G473" t="s">
        <v>112</v>
      </c>
    </row>
    <row r="474" spans="1:7">
      <c r="A474" s="10">
        <v>2021</v>
      </c>
      <c r="B474" s="10">
        <v>5</v>
      </c>
      <c r="C474" s="10" t="s">
        <v>36</v>
      </c>
      <c r="D474" s="10">
        <v>981</v>
      </c>
      <c r="E474" s="10">
        <v>370080</v>
      </c>
      <c r="F474" t="s">
        <v>98</v>
      </c>
      <c r="G474" t="s">
        <v>112</v>
      </c>
    </row>
    <row r="475" spans="1:7">
      <c r="A475" s="10">
        <v>2021</v>
      </c>
      <c r="B475" s="10">
        <v>6</v>
      </c>
      <c r="C475" s="10" t="s">
        <v>36</v>
      </c>
      <c r="D475" s="10">
        <v>1065</v>
      </c>
      <c r="E475" s="10">
        <v>370658</v>
      </c>
      <c r="F475" t="s">
        <v>98</v>
      </c>
      <c r="G475" t="s">
        <v>112</v>
      </c>
    </row>
    <row r="476" spans="1:7">
      <c r="A476" s="10">
        <v>2021</v>
      </c>
      <c r="B476" s="10">
        <v>7</v>
      </c>
      <c r="C476" s="10" t="s">
        <v>36</v>
      </c>
      <c r="D476" s="10">
        <v>1170</v>
      </c>
      <c r="E476" s="10">
        <v>396490</v>
      </c>
      <c r="F476" t="s">
        <v>98</v>
      </c>
      <c r="G476" t="s">
        <v>112</v>
      </c>
    </row>
    <row r="477" spans="1:7">
      <c r="A477" s="10">
        <v>2021</v>
      </c>
      <c r="B477" s="10">
        <v>8</v>
      </c>
      <c r="C477" s="10" t="s">
        <v>36</v>
      </c>
      <c r="D477" s="10">
        <v>1201</v>
      </c>
      <c r="E477" s="10">
        <v>415384</v>
      </c>
      <c r="F477" t="s">
        <v>98</v>
      </c>
      <c r="G477" t="s">
        <v>112</v>
      </c>
    </row>
    <row r="478" spans="1:7">
      <c r="A478" s="10">
        <v>2021</v>
      </c>
      <c r="B478" s="10">
        <v>9</v>
      </c>
      <c r="C478" s="10" t="s">
        <v>36</v>
      </c>
      <c r="D478" s="10">
        <v>1299</v>
      </c>
      <c r="E478" s="10">
        <v>427500</v>
      </c>
      <c r="F478" t="s">
        <v>98</v>
      </c>
      <c r="G478" t="s">
        <v>112</v>
      </c>
    </row>
    <row r="479" spans="1:7">
      <c r="A479" s="10">
        <v>2021</v>
      </c>
      <c r="B479" s="10">
        <v>10</v>
      </c>
      <c r="C479" s="10" t="s">
        <v>36</v>
      </c>
      <c r="D479" s="10">
        <v>1439</v>
      </c>
      <c r="E479" s="10">
        <v>447082</v>
      </c>
      <c r="F479" t="s">
        <v>98</v>
      </c>
      <c r="G479" t="s">
        <v>112</v>
      </c>
    </row>
    <row r="480" spans="1:7">
      <c r="A480" s="10">
        <v>2021</v>
      </c>
      <c r="B480" s="10">
        <v>11</v>
      </c>
      <c r="C480" s="10" t="s">
        <v>36</v>
      </c>
      <c r="D480" s="10">
        <v>1492</v>
      </c>
      <c r="E480" s="10">
        <v>512534</v>
      </c>
      <c r="F480" t="s">
        <v>98</v>
      </c>
      <c r="G480" t="s">
        <v>112</v>
      </c>
    </row>
    <row r="481" spans="1:7">
      <c r="A481" s="10">
        <v>2021</v>
      </c>
      <c r="B481" s="10">
        <v>12</v>
      </c>
      <c r="C481" s="10" t="s">
        <v>36</v>
      </c>
      <c r="D481" s="10">
        <v>1530</v>
      </c>
      <c r="E481" s="10">
        <v>607500</v>
      </c>
      <c r="F481" t="s">
        <v>98</v>
      </c>
      <c r="G481" t="s">
        <v>112</v>
      </c>
    </row>
    <row r="482" spans="1:7">
      <c r="A482" s="10">
        <v>2022</v>
      </c>
      <c r="B482" s="10">
        <v>1</v>
      </c>
      <c r="C482" s="10" t="s">
        <v>36</v>
      </c>
      <c r="D482" s="10">
        <v>1557</v>
      </c>
      <c r="E482" s="10">
        <v>666666</v>
      </c>
      <c r="F482" t="s">
        <v>98</v>
      </c>
      <c r="G482" t="s">
        <v>112</v>
      </c>
    </row>
    <row r="483" spans="1:7">
      <c r="A483" s="10">
        <v>2022</v>
      </c>
      <c r="B483" s="10">
        <v>2</v>
      </c>
      <c r="C483" s="10" t="s">
        <v>36</v>
      </c>
      <c r="D483" s="10">
        <v>1759</v>
      </c>
      <c r="E483" s="10">
        <v>679654</v>
      </c>
      <c r="F483" t="s">
        <v>98</v>
      </c>
      <c r="G483" t="s">
        <v>112</v>
      </c>
    </row>
    <row r="484" spans="1:7">
      <c r="A484" s="10">
        <v>2022</v>
      </c>
      <c r="B484" s="10">
        <v>3</v>
      </c>
      <c r="C484" s="10" t="s">
        <v>36</v>
      </c>
      <c r="D484" s="10">
        <v>1725</v>
      </c>
      <c r="E484" s="10">
        <v>735577</v>
      </c>
      <c r="F484" t="s">
        <v>98</v>
      </c>
      <c r="G484" t="s">
        <v>112</v>
      </c>
    </row>
    <row r="485" spans="1:7">
      <c r="A485" s="10">
        <v>2022</v>
      </c>
      <c r="B485" s="10">
        <v>4</v>
      </c>
      <c r="C485" s="10" t="s">
        <v>36</v>
      </c>
      <c r="D485" s="10">
        <v>1947</v>
      </c>
      <c r="E485" s="10">
        <v>844295</v>
      </c>
      <c r="F485" t="s">
        <v>98</v>
      </c>
      <c r="G485" t="s">
        <v>112</v>
      </c>
    </row>
    <row r="486" spans="1:7">
      <c r="A486" s="10">
        <v>2022</v>
      </c>
      <c r="B486" s="10">
        <v>5</v>
      </c>
      <c r="C486" s="10" t="s">
        <v>36</v>
      </c>
      <c r="D486" s="10">
        <v>2244</v>
      </c>
      <c r="E486" s="10">
        <v>881999</v>
      </c>
      <c r="F486" t="s">
        <v>98</v>
      </c>
      <c r="G486" t="s">
        <v>112</v>
      </c>
    </row>
    <row r="487" spans="1:7">
      <c r="A487" s="10">
        <v>2022</v>
      </c>
      <c r="B487" s="10">
        <v>6</v>
      </c>
      <c r="C487" s="10" t="s">
        <v>36</v>
      </c>
      <c r="D487" s="10">
        <v>2544</v>
      </c>
      <c r="E487" s="10">
        <v>950000</v>
      </c>
      <c r="F487" t="s">
        <v>98</v>
      </c>
      <c r="G487" t="s">
        <v>112</v>
      </c>
    </row>
    <row r="488" spans="1:7">
      <c r="A488" s="10">
        <v>2022</v>
      </c>
      <c r="B488" s="10">
        <v>7</v>
      </c>
      <c r="C488" s="10" t="s">
        <v>36</v>
      </c>
      <c r="D488" s="10">
        <v>2816</v>
      </c>
      <c r="E488" s="10">
        <v>1027174</v>
      </c>
      <c r="F488" t="s">
        <v>98</v>
      </c>
      <c r="G488" t="s">
        <v>112</v>
      </c>
    </row>
    <row r="489" spans="1:7">
      <c r="A489" s="10">
        <v>2022</v>
      </c>
      <c r="B489" s="10">
        <v>8</v>
      </c>
      <c r="C489" s="10" t="s">
        <v>36</v>
      </c>
      <c r="D489" s="10">
        <v>3340</v>
      </c>
      <c r="E489" s="10">
        <v>1087771</v>
      </c>
      <c r="F489" t="s">
        <v>98</v>
      </c>
      <c r="G489" t="s">
        <v>112</v>
      </c>
    </row>
    <row r="490" spans="1:7">
      <c r="A490" s="10">
        <v>2022</v>
      </c>
      <c r="B490" s="10">
        <v>9</v>
      </c>
      <c r="C490" s="10" t="s">
        <v>36</v>
      </c>
      <c r="D490" s="10">
        <v>3473</v>
      </c>
      <c r="E490" s="10">
        <v>1117029</v>
      </c>
      <c r="F490" t="s">
        <v>98</v>
      </c>
      <c r="G490" t="s">
        <v>112</v>
      </c>
    </row>
    <row r="491" spans="1:7">
      <c r="A491" s="10">
        <v>2022</v>
      </c>
      <c r="B491" s="10">
        <v>10</v>
      </c>
      <c r="C491" s="10" t="s">
        <v>36</v>
      </c>
      <c r="D491" s="10">
        <v>3347</v>
      </c>
      <c r="E491" s="10">
        <v>1191450</v>
      </c>
      <c r="F491" t="s">
        <v>98</v>
      </c>
      <c r="G491" t="s">
        <v>112</v>
      </c>
    </row>
    <row r="492" spans="1:7">
      <c r="A492" s="10">
        <v>2022</v>
      </c>
      <c r="B492" s="10">
        <v>11</v>
      </c>
      <c r="C492" s="10" t="s">
        <v>36</v>
      </c>
      <c r="D492" s="10">
        <v>3651</v>
      </c>
      <c r="E492" s="10">
        <v>1247096</v>
      </c>
      <c r="F492" t="s">
        <v>98</v>
      </c>
      <c r="G492" t="s">
        <v>112</v>
      </c>
    </row>
    <row r="493" spans="1:7">
      <c r="A493" s="10">
        <v>2022</v>
      </c>
      <c r="B493" s="10">
        <v>12</v>
      </c>
      <c r="C493" s="10" t="s">
        <v>36</v>
      </c>
      <c r="D493" s="10">
        <v>3850</v>
      </c>
      <c r="E493" s="10">
        <v>1350000</v>
      </c>
      <c r="F493" t="s">
        <v>98</v>
      </c>
      <c r="G493" t="s">
        <v>112</v>
      </c>
    </row>
    <row r="494" spans="1:7">
      <c r="A494" s="10">
        <v>2021</v>
      </c>
      <c r="B494" s="10">
        <v>4</v>
      </c>
      <c r="C494" s="10" t="s">
        <v>37</v>
      </c>
      <c r="D494" s="10">
        <v>1133</v>
      </c>
      <c r="E494" s="10">
        <v>360750</v>
      </c>
      <c r="F494" t="s">
        <v>100</v>
      </c>
      <c r="G494" t="s">
        <v>115</v>
      </c>
    </row>
    <row r="495" spans="1:7">
      <c r="A495" s="10">
        <v>2021</v>
      </c>
      <c r="B495" s="10">
        <v>5</v>
      </c>
      <c r="C495" s="10" t="s">
        <v>37</v>
      </c>
      <c r="D495" s="10">
        <v>1137</v>
      </c>
      <c r="E495" s="10">
        <v>366363</v>
      </c>
      <c r="F495" t="s">
        <v>100</v>
      </c>
      <c r="G495" t="s">
        <v>115</v>
      </c>
    </row>
    <row r="496" spans="1:7">
      <c r="A496" s="10">
        <v>2021</v>
      </c>
      <c r="B496" s="10">
        <v>6</v>
      </c>
      <c r="C496" s="10" t="s">
        <v>37</v>
      </c>
      <c r="D496" s="10">
        <v>1096</v>
      </c>
      <c r="E496" s="10">
        <v>375000</v>
      </c>
      <c r="F496" t="s">
        <v>100</v>
      </c>
      <c r="G496" t="s">
        <v>115</v>
      </c>
    </row>
    <row r="497" spans="1:7">
      <c r="A497" s="10">
        <v>2021</v>
      </c>
      <c r="B497" s="10">
        <v>7</v>
      </c>
      <c r="C497" s="10" t="s">
        <v>37</v>
      </c>
      <c r="D497" s="10">
        <v>1199</v>
      </c>
      <c r="E497" s="10">
        <v>390000</v>
      </c>
      <c r="F497" t="s">
        <v>100</v>
      </c>
      <c r="G497" t="s">
        <v>115</v>
      </c>
    </row>
    <row r="498" spans="1:7">
      <c r="A498" s="10">
        <v>2021</v>
      </c>
      <c r="B498" s="10">
        <v>8</v>
      </c>
      <c r="C498" s="10" t="s">
        <v>37</v>
      </c>
      <c r="D498" s="10">
        <v>1230</v>
      </c>
      <c r="E498" s="10">
        <v>391780</v>
      </c>
      <c r="F498" t="s">
        <v>100</v>
      </c>
      <c r="G498" t="s">
        <v>115</v>
      </c>
    </row>
    <row r="499" spans="1:7">
      <c r="A499" s="10">
        <v>2021</v>
      </c>
      <c r="B499" s="10">
        <v>9</v>
      </c>
      <c r="C499" s="10" t="s">
        <v>37</v>
      </c>
      <c r="D499" s="10">
        <v>1197</v>
      </c>
      <c r="E499" s="10">
        <v>424833</v>
      </c>
      <c r="F499" t="s">
        <v>100</v>
      </c>
      <c r="G499" t="s">
        <v>115</v>
      </c>
    </row>
    <row r="500" spans="1:7">
      <c r="A500" s="10">
        <v>2021</v>
      </c>
      <c r="B500" s="10">
        <v>10</v>
      </c>
      <c r="C500" s="10" t="s">
        <v>37</v>
      </c>
      <c r="D500" s="10">
        <v>1142</v>
      </c>
      <c r="E500" s="10">
        <v>446875</v>
      </c>
      <c r="F500" t="s">
        <v>100</v>
      </c>
      <c r="G500" t="s">
        <v>115</v>
      </c>
    </row>
    <row r="501" spans="1:7">
      <c r="A501" s="10">
        <v>2021</v>
      </c>
      <c r="B501" s="10">
        <v>11</v>
      </c>
      <c r="C501" s="10" t="s">
        <v>37</v>
      </c>
      <c r="D501" s="10">
        <v>1165</v>
      </c>
      <c r="E501" s="10">
        <v>482857</v>
      </c>
      <c r="F501" t="s">
        <v>100</v>
      </c>
      <c r="G501" t="s">
        <v>115</v>
      </c>
    </row>
    <row r="502" spans="1:7">
      <c r="A502" s="10">
        <v>2021</v>
      </c>
      <c r="B502" s="10">
        <v>12</v>
      </c>
      <c r="C502" s="10" t="s">
        <v>37</v>
      </c>
      <c r="D502" s="10">
        <v>1414</v>
      </c>
      <c r="E502" s="10">
        <v>556200</v>
      </c>
      <c r="F502" t="s">
        <v>100</v>
      </c>
      <c r="G502" t="s">
        <v>115</v>
      </c>
    </row>
    <row r="503" spans="1:7">
      <c r="A503" s="10">
        <v>2022</v>
      </c>
      <c r="B503" s="10">
        <v>1</v>
      </c>
      <c r="C503" s="10" t="s">
        <v>37</v>
      </c>
      <c r="D503" s="10">
        <v>1521</v>
      </c>
      <c r="E503" s="10">
        <v>648000</v>
      </c>
      <c r="F503" t="s">
        <v>100</v>
      </c>
      <c r="G503" t="s">
        <v>115</v>
      </c>
    </row>
    <row r="504" spans="1:7">
      <c r="A504" s="10">
        <v>2022</v>
      </c>
      <c r="B504" s="10">
        <v>2</v>
      </c>
      <c r="C504" s="10" t="s">
        <v>37</v>
      </c>
      <c r="D504" s="10">
        <v>1390</v>
      </c>
      <c r="E504" s="10">
        <v>649849</v>
      </c>
      <c r="F504" t="s">
        <v>100</v>
      </c>
      <c r="G504" t="s">
        <v>115</v>
      </c>
    </row>
    <row r="505" spans="1:7">
      <c r="A505" s="10">
        <v>2022</v>
      </c>
      <c r="B505" s="10">
        <v>3</v>
      </c>
      <c r="C505" s="10" t="s">
        <v>37</v>
      </c>
      <c r="D505" s="10">
        <v>1371</v>
      </c>
      <c r="E505" s="10">
        <v>679545</v>
      </c>
      <c r="F505" t="s">
        <v>100</v>
      </c>
      <c r="G505" t="s">
        <v>115</v>
      </c>
    </row>
    <row r="506" spans="1:7">
      <c r="A506" s="10">
        <v>2022</v>
      </c>
      <c r="B506" s="10">
        <v>4</v>
      </c>
      <c r="C506" s="10" t="s">
        <v>37</v>
      </c>
      <c r="D506" s="10">
        <v>1430</v>
      </c>
      <c r="E506" s="10">
        <v>783000</v>
      </c>
      <c r="F506" t="s">
        <v>100</v>
      </c>
      <c r="G506" t="s">
        <v>115</v>
      </c>
    </row>
    <row r="507" spans="1:7">
      <c r="A507" s="10">
        <v>2022</v>
      </c>
      <c r="B507" s="10">
        <v>5</v>
      </c>
      <c r="C507" s="10" t="s">
        <v>37</v>
      </c>
      <c r="D507" s="10">
        <v>1610</v>
      </c>
      <c r="E507" s="10">
        <v>845263</v>
      </c>
      <c r="F507" t="s">
        <v>100</v>
      </c>
      <c r="G507" t="s">
        <v>115</v>
      </c>
    </row>
    <row r="508" spans="1:7">
      <c r="A508" s="10">
        <v>2022</v>
      </c>
      <c r="B508" s="10">
        <v>6</v>
      </c>
      <c r="C508" s="10" t="s">
        <v>37</v>
      </c>
      <c r="D508" s="10">
        <v>2329</v>
      </c>
      <c r="E508" s="10">
        <v>981818</v>
      </c>
      <c r="F508" t="s">
        <v>100</v>
      </c>
      <c r="G508" t="s">
        <v>115</v>
      </c>
    </row>
    <row r="509" spans="1:7">
      <c r="A509" s="10">
        <v>2022</v>
      </c>
      <c r="B509" s="10">
        <v>7</v>
      </c>
      <c r="C509" s="10" t="s">
        <v>37</v>
      </c>
      <c r="D509" s="10">
        <v>2499</v>
      </c>
      <c r="E509" s="10">
        <v>1055454</v>
      </c>
      <c r="F509" t="s">
        <v>100</v>
      </c>
      <c r="G509" t="s">
        <v>115</v>
      </c>
    </row>
    <row r="510" spans="1:7">
      <c r="A510" s="10">
        <v>2022</v>
      </c>
      <c r="B510" s="10">
        <v>8</v>
      </c>
      <c r="C510" s="10" t="s">
        <v>37</v>
      </c>
      <c r="D510" s="10">
        <v>2975</v>
      </c>
      <c r="E510" s="10">
        <v>1113750</v>
      </c>
      <c r="F510" t="s">
        <v>100</v>
      </c>
      <c r="G510" t="s">
        <v>115</v>
      </c>
    </row>
    <row r="511" spans="1:7">
      <c r="A511" s="10">
        <v>2022</v>
      </c>
      <c r="B511" s="10">
        <v>9</v>
      </c>
      <c r="C511" s="10" t="s">
        <v>37</v>
      </c>
      <c r="D511" s="10">
        <v>2918</v>
      </c>
      <c r="E511" s="10">
        <v>1160655</v>
      </c>
      <c r="F511" t="s">
        <v>100</v>
      </c>
      <c r="G511" t="s">
        <v>115</v>
      </c>
    </row>
    <row r="512" spans="1:7">
      <c r="A512" s="10">
        <v>2022</v>
      </c>
      <c r="B512" s="10">
        <v>10</v>
      </c>
      <c r="C512" s="10" t="s">
        <v>37</v>
      </c>
      <c r="D512" s="10">
        <v>3026</v>
      </c>
      <c r="E512" s="10">
        <v>1237500</v>
      </c>
      <c r="F512" t="s">
        <v>100</v>
      </c>
      <c r="G512" t="s">
        <v>115</v>
      </c>
    </row>
    <row r="513" spans="1:7">
      <c r="A513" s="10">
        <v>2022</v>
      </c>
      <c r="B513" s="10">
        <v>11</v>
      </c>
      <c r="C513" s="10" t="s">
        <v>37</v>
      </c>
      <c r="D513" s="10">
        <v>3106</v>
      </c>
      <c r="E513" s="10">
        <v>1301786</v>
      </c>
      <c r="F513" t="s">
        <v>100</v>
      </c>
      <c r="G513" t="s">
        <v>115</v>
      </c>
    </row>
    <row r="514" spans="1:7">
      <c r="A514" s="10">
        <v>2022</v>
      </c>
      <c r="B514" s="10">
        <v>12</v>
      </c>
      <c r="C514" s="10" t="s">
        <v>37</v>
      </c>
      <c r="D514" s="10">
        <v>3037</v>
      </c>
      <c r="E514" s="10">
        <v>1365214</v>
      </c>
      <c r="F514" t="s">
        <v>100</v>
      </c>
      <c r="G514" t="s">
        <v>115</v>
      </c>
    </row>
    <row r="515" spans="1:7">
      <c r="A515" s="10">
        <v>2021</v>
      </c>
      <c r="B515" s="10">
        <v>4</v>
      </c>
      <c r="C515" s="10" t="s">
        <v>38</v>
      </c>
      <c r="D515" s="10">
        <v>1438</v>
      </c>
      <c r="E515" s="10">
        <v>413307</v>
      </c>
      <c r="F515" t="s">
        <v>98</v>
      </c>
      <c r="G515" t="s">
        <v>111</v>
      </c>
    </row>
    <row r="516" spans="1:7">
      <c r="A516" s="10">
        <v>2021</v>
      </c>
      <c r="B516" s="10">
        <v>5</v>
      </c>
      <c r="C516" s="10" t="s">
        <v>38</v>
      </c>
      <c r="D516" s="10">
        <v>1506</v>
      </c>
      <c r="E516" s="10">
        <v>423044</v>
      </c>
      <c r="F516" t="s">
        <v>98</v>
      </c>
      <c r="G516" t="s">
        <v>111</v>
      </c>
    </row>
    <row r="517" spans="1:7">
      <c r="A517" s="10">
        <v>2021</v>
      </c>
      <c r="B517" s="10">
        <v>6</v>
      </c>
      <c r="C517" s="10" t="s">
        <v>38</v>
      </c>
      <c r="D517" s="10">
        <v>1526</v>
      </c>
      <c r="E517" s="10">
        <v>435703</v>
      </c>
      <c r="F517" t="s">
        <v>98</v>
      </c>
      <c r="G517" t="s">
        <v>111</v>
      </c>
    </row>
    <row r="518" spans="1:7">
      <c r="A518" s="10">
        <v>2021</v>
      </c>
      <c r="B518" s="10">
        <v>7</v>
      </c>
      <c r="C518" s="10" t="s">
        <v>38</v>
      </c>
      <c r="D518" s="10">
        <v>1637</v>
      </c>
      <c r="E518" s="10">
        <v>456206</v>
      </c>
      <c r="F518" t="s">
        <v>98</v>
      </c>
      <c r="G518" t="s">
        <v>111</v>
      </c>
    </row>
    <row r="519" spans="1:7">
      <c r="A519" s="10">
        <v>2021</v>
      </c>
      <c r="B519" s="10">
        <v>8</v>
      </c>
      <c r="C519" s="10" t="s">
        <v>38</v>
      </c>
      <c r="D519" s="10">
        <v>1792</v>
      </c>
      <c r="E519" s="10">
        <v>472500</v>
      </c>
      <c r="F519" t="s">
        <v>98</v>
      </c>
      <c r="G519" t="s">
        <v>111</v>
      </c>
    </row>
    <row r="520" spans="1:7">
      <c r="A520" s="10">
        <v>2021</v>
      </c>
      <c r="B520" s="10">
        <v>9</v>
      </c>
      <c r="C520" s="10" t="s">
        <v>38</v>
      </c>
      <c r="D520" s="10">
        <v>1963</v>
      </c>
      <c r="E520" s="10">
        <v>487174</v>
      </c>
      <c r="F520" t="s">
        <v>98</v>
      </c>
      <c r="G520" t="s">
        <v>111</v>
      </c>
    </row>
    <row r="521" spans="1:7">
      <c r="A521" s="10">
        <v>2021</v>
      </c>
      <c r="B521" s="10">
        <v>10</v>
      </c>
      <c r="C521" s="10" t="s">
        <v>38</v>
      </c>
      <c r="D521" s="10">
        <v>2114</v>
      </c>
      <c r="E521" s="10">
        <v>513000</v>
      </c>
      <c r="F521" t="s">
        <v>98</v>
      </c>
      <c r="G521" t="s">
        <v>111</v>
      </c>
    </row>
    <row r="522" spans="1:7">
      <c r="A522" s="10">
        <v>2021</v>
      </c>
      <c r="B522" s="10">
        <v>11</v>
      </c>
      <c r="C522" s="10" t="s">
        <v>38</v>
      </c>
      <c r="D522" s="10">
        <v>2217</v>
      </c>
      <c r="E522" s="10">
        <v>563143</v>
      </c>
      <c r="F522" t="s">
        <v>98</v>
      </c>
      <c r="G522" t="s">
        <v>111</v>
      </c>
    </row>
    <row r="523" spans="1:7">
      <c r="A523" s="10">
        <v>2021</v>
      </c>
      <c r="B523" s="10">
        <v>12</v>
      </c>
      <c r="C523" s="10" t="s">
        <v>38</v>
      </c>
      <c r="D523" s="10">
        <v>2296</v>
      </c>
      <c r="E523" s="10">
        <v>695000</v>
      </c>
      <c r="F523" t="s">
        <v>98</v>
      </c>
      <c r="G523" t="s">
        <v>111</v>
      </c>
    </row>
    <row r="524" spans="1:7">
      <c r="A524" s="10">
        <v>2022</v>
      </c>
      <c r="B524" s="10">
        <v>1</v>
      </c>
      <c r="C524" s="10" t="s">
        <v>38</v>
      </c>
      <c r="D524" s="10">
        <v>2383</v>
      </c>
      <c r="E524" s="10">
        <v>777778</v>
      </c>
      <c r="F524" t="s">
        <v>98</v>
      </c>
      <c r="G524" t="s">
        <v>111</v>
      </c>
    </row>
    <row r="525" spans="1:7">
      <c r="A525" s="10">
        <v>2022</v>
      </c>
      <c r="B525" s="10">
        <v>2</v>
      </c>
      <c r="C525" s="10" t="s">
        <v>38</v>
      </c>
      <c r="D525" s="10">
        <v>2579</v>
      </c>
      <c r="E525" s="10">
        <v>832433</v>
      </c>
      <c r="F525" t="s">
        <v>98</v>
      </c>
      <c r="G525" t="s">
        <v>111</v>
      </c>
    </row>
    <row r="526" spans="1:7">
      <c r="A526" s="10">
        <v>2022</v>
      </c>
      <c r="B526" s="10">
        <v>3</v>
      </c>
      <c r="C526" s="10" t="s">
        <v>38</v>
      </c>
      <c r="D526" s="10">
        <v>2750</v>
      </c>
      <c r="E526" s="10">
        <v>904615</v>
      </c>
      <c r="F526" t="s">
        <v>98</v>
      </c>
      <c r="G526" t="s">
        <v>111</v>
      </c>
    </row>
    <row r="527" spans="1:7">
      <c r="A527" s="10">
        <v>2022</v>
      </c>
      <c r="B527" s="10">
        <v>4</v>
      </c>
      <c r="C527" s="10" t="s">
        <v>38</v>
      </c>
      <c r="D527" s="10">
        <v>2957</v>
      </c>
      <c r="E527" s="10">
        <v>1006250</v>
      </c>
      <c r="F527" t="s">
        <v>98</v>
      </c>
      <c r="G527" t="s">
        <v>111</v>
      </c>
    </row>
    <row r="528" spans="1:7">
      <c r="A528" s="10">
        <v>2022</v>
      </c>
      <c r="B528" s="10">
        <v>5</v>
      </c>
      <c r="C528" s="10" t="s">
        <v>38</v>
      </c>
      <c r="D528" s="10">
        <v>3354</v>
      </c>
      <c r="E528" s="10">
        <v>1140741</v>
      </c>
      <c r="F528" t="s">
        <v>98</v>
      </c>
      <c r="G528" t="s">
        <v>111</v>
      </c>
    </row>
    <row r="529" spans="1:7">
      <c r="A529" s="10">
        <v>2022</v>
      </c>
      <c r="B529" s="10">
        <v>6</v>
      </c>
      <c r="C529" s="10" t="s">
        <v>38</v>
      </c>
      <c r="D529" s="10">
        <v>3977</v>
      </c>
      <c r="E529" s="10">
        <v>1254166</v>
      </c>
      <c r="F529" t="s">
        <v>98</v>
      </c>
      <c r="G529" t="s">
        <v>111</v>
      </c>
    </row>
    <row r="530" spans="1:7">
      <c r="A530" s="10">
        <v>2022</v>
      </c>
      <c r="B530" s="10">
        <v>7</v>
      </c>
      <c r="C530" s="10" t="s">
        <v>38</v>
      </c>
      <c r="D530" s="10">
        <v>4545</v>
      </c>
      <c r="E530" s="10">
        <v>1351723</v>
      </c>
      <c r="F530" t="s">
        <v>98</v>
      </c>
      <c r="G530" t="s">
        <v>111</v>
      </c>
    </row>
    <row r="531" spans="1:7">
      <c r="A531" s="10">
        <v>2022</v>
      </c>
      <c r="B531" s="10">
        <v>8</v>
      </c>
      <c r="C531" s="10" t="s">
        <v>38</v>
      </c>
      <c r="D531" s="10">
        <v>5062</v>
      </c>
      <c r="E531" s="10">
        <v>1428000</v>
      </c>
      <c r="F531" t="s">
        <v>98</v>
      </c>
      <c r="G531" t="s">
        <v>111</v>
      </c>
    </row>
    <row r="532" spans="1:7">
      <c r="A532" s="10">
        <v>2022</v>
      </c>
      <c r="B532" s="10">
        <v>9</v>
      </c>
      <c r="C532" s="10" t="s">
        <v>38</v>
      </c>
      <c r="D532" s="10">
        <v>5400</v>
      </c>
      <c r="E532" s="10">
        <v>1490006</v>
      </c>
      <c r="F532" t="s">
        <v>98</v>
      </c>
      <c r="G532" t="s">
        <v>111</v>
      </c>
    </row>
    <row r="533" spans="1:7">
      <c r="A533" s="10">
        <v>2022</v>
      </c>
      <c r="B533" s="10">
        <v>10</v>
      </c>
      <c r="C533" s="10" t="s">
        <v>38</v>
      </c>
      <c r="D533" s="10">
        <v>5688</v>
      </c>
      <c r="E533" s="10">
        <v>1540000</v>
      </c>
      <c r="F533" t="s">
        <v>98</v>
      </c>
      <c r="G533" t="s">
        <v>111</v>
      </c>
    </row>
    <row r="534" spans="1:7">
      <c r="A534" s="10">
        <v>2022</v>
      </c>
      <c r="B534" s="10">
        <v>11</v>
      </c>
      <c r="C534" s="10" t="s">
        <v>38</v>
      </c>
      <c r="D534" s="10">
        <v>6035</v>
      </c>
      <c r="E534" s="10">
        <v>1622726</v>
      </c>
      <c r="F534" t="s">
        <v>98</v>
      </c>
      <c r="G534" t="s">
        <v>111</v>
      </c>
    </row>
    <row r="535" spans="1:7">
      <c r="A535" s="10">
        <v>2022</v>
      </c>
      <c r="B535" s="10">
        <v>12</v>
      </c>
      <c r="C535" s="10" t="s">
        <v>38</v>
      </c>
      <c r="D535" s="10">
        <v>6350</v>
      </c>
      <c r="E535" s="10">
        <v>1729406</v>
      </c>
      <c r="F535" t="s">
        <v>98</v>
      </c>
      <c r="G535" t="s">
        <v>111</v>
      </c>
    </row>
    <row r="536" spans="1:7">
      <c r="A536" s="10">
        <v>2021</v>
      </c>
      <c r="B536" s="10">
        <v>4</v>
      </c>
      <c r="C536" s="10" t="s">
        <v>39</v>
      </c>
      <c r="D536" s="10">
        <v>1200</v>
      </c>
      <c r="E536" s="10">
        <v>438462</v>
      </c>
      <c r="F536" t="s">
        <v>96</v>
      </c>
      <c r="G536" t="s">
        <v>106</v>
      </c>
    </row>
    <row r="537" spans="1:7">
      <c r="A537" s="10">
        <v>2021</v>
      </c>
      <c r="B537" s="10">
        <v>5</v>
      </c>
      <c r="C537" s="10" t="s">
        <v>39</v>
      </c>
      <c r="D537" s="10">
        <v>1275</v>
      </c>
      <c r="E537" s="10">
        <v>452000</v>
      </c>
      <c r="F537" t="s">
        <v>96</v>
      </c>
      <c r="G537" t="s">
        <v>106</v>
      </c>
    </row>
    <row r="538" spans="1:7">
      <c r="A538" s="10">
        <v>2021</v>
      </c>
      <c r="B538" s="10">
        <v>6</v>
      </c>
      <c r="C538" s="10" t="s">
        <v>39</v>
      </c>
      <c r="D538" s="10">
        <v>1320</v>
      </c>
      <c r="E538" s="10">
        <v>464841</v>
      </c>
      <c r="F538" t="s">
        <v>96</v>
      </c>
      <c r="G538" t="s">
        <v>106</v>
      </c>
    </row>
    <row r="539" spans="1:7">
      <c r="A539" s="10">
        <v>2021</v>
      </c>
      <c r="B539" s="10">
        <v>7</v>
      </c>
      <c r="C539" s="10" t="s">
        <v>39</v>
      </c>
      <c r="D539" s="10">
        <v>1445</v>
      </c>
      <c r="E539" s="10">
        <v>483186</v>
      </c>
      <c r="F539" t="s">
        <v>96</v>
      </c>
      <c r="G539" t="s">
        <v>106</v>
      </c>
    </row>
    <row r="540" spans="1:7">
      <c r="A540" s="10">
        <v>2021</v>
      </c>
      <c r="B540" s="10">
        <v>8</v>
      </c>
      <c r="C540" s="10" t="s">
        <v>39</v>
      </c>
      <c r="D540" s="10">
        <v>1516</v>
      </c>
      <c r="E540" s="10">
        <v>504000</v>
      </c>
      <c r="F540" t="s">
        <v>96</v>
      </c>
      <c r="G540" t="s">
        <v>106</v>
      </c>
    </row>
    <row r="541" spans="1:7">
      <c r="A541" s="10">
        <v>2021</v>
      </c>
      <c r="B541" s="10">
        <v>9</v>
      </c>
      <c r="C541" s="10" t="s">
        <v>39</v>
      </c>
      <c r="D541" s="10">
        <v>1748</v>
      </c>
      <c r="E541" s="10">
        <v>523636</v>
      </c>
      <c r="F541" t="s">
        <v>96</v>
      </c>
      <c r="G541" t="s">
        <v>106</v>
      </c>
    </row>
    <row r="542" spans="1:7">
      <c r="A542" s="10">
        <v>2021</v>
      </c>
      <c r="B542" s="10">
        <v>10</v>
      </c>
      <c r="C542" s="10" t="s">
        <v>39</v>
      </c>
      <c r="D542" s="10">
        <v>2020</v>
      </c>
      <c r="E542" s="10">
        <v>560000</v>
      </c>
      <c r="F542" t="s">
        <v>96</v>
      </c>
      <c r="G542" t="s">
        <v>106</v>
      </c>
    </row>
    <row r="543" spans="1:7">
      <c r="A543" s="10">
        <v>2021</v>
      </c>
      <c r="B543" s="10">
        <v>11</v>
      </c>
      <c r="C543" s="10" t="s">
        <v>39</v>
      </c>
      <c r="D543" s="10">
        <v>2178</v>
      </c>
      <c r="E543" s="10">
        <v>650000</v>
      </c>
      <c r="F543" t="s">
        <v>96</v>
      </c>
      <c r="G543" t="s">
        <v>106</v>
      </c>
    </row>
    <row r="544" spans="1:7">
      <c r="A544" s="10">
        <v>2021</v>
      </c>
      <c r="B544" s="10">
        <v>12</v>
      </c>
      <c r="C544" s="10" t="s">
        <v>39</v>
      </c>
      <c r="D544" s="10">
        <v>2197</v>
      </c>
      <c r="E544" s="10">
        <v>802666</v>
      </c>
      <c r="F544" t="s">
        <v>96</v>
      </c>
      <c r="G544" t="s">
        <v>106</v>
      </c>
    </row>
    <row r="545" spans="1:7">
      <c r="A545" s="10">
        <v>2022</v>
      </c>
      <c r="B545" s="10">
        <v>1</v>
      </c>
      <c r="C545" s="10" t="s">
        <v>39</v>
      </c>
      <c r="D545" s="10">
        <v>2318</v>
      </c>
      <c r="E545" s="10">
        <v>896000</v>
      </c>
      <c r="F545" t="s">
        <v>96</v>
      </c>
      <c r="G545" t="s">
        <v>106</v>
      </c>
    </row>
    <row r="546" spans="1:7">
      <c r="A546" s="10">
        <v>2022</v>
      </c>
      <c r="B546" s="10">
        <v>2</v>
      </c>
      <c r="C546" s="10" t="s">
        <v>39</v>
      </c>
      <c r="D546" s="10">
        <v>2421</v>
      </c>
      <c r="E546" s="10">
        <v>931818</v>
      </c>
      <c r="F546" t="s">
        <v>96</v>
      </c>
      <c r="G546" t="s">
        <v>106</v>
      </c>
    </row>
    <row r="547" spans="1:7">
      <c r="A547" s="10">
        <v>2022</v>
      </c>
      <c r="B547" s="10">
        <v>3</v>
      </c>
      <c r="C547" s="10" t="s">
        <v>39</v>
      </c>
      <c r="D547" s="10">
        <v>2667</v>
      </c>
      <c r="E547" s="10">
        <v>1005681</v>
      </c>
      <c r="F547" t="s">
        <v>96</v>
      </c>
      <c r="G547" t="s">
        <v>106</v>
      </c>
    </row>
    <row r="548" spans="1:7">
      <c r="A548" s="10">
        <v>2022</v>
      </c>
      <c r="B548" s="10">
        <v>4</v>
      </c>
      <c r="C548" s="10" t="s">
        <v>39</v>
      </c>
      <c r="D548" s="10">
        <v>3004</v>
      </c>
      <c r="E548" s="10">
        <v>1156316</v>
      </c>
      <c r="F548" t="s">
        <v>96</v>
      </c>
      <c r="G548" t="s">
        <v>106</v>
      </c>
    </row>
    <row r="549" spans="1:7">
      <c r="A549" s="10">
        <v>2022</v>
      </c>
      <c r="B549" s="10">
        <v>5</v>
      </c>
      <c r="C549" s="10" t="s">
        <v>39</v>
      </c>
      <c r="D549" s="10">
        <v>3856</v>
      </c>
      <c r="E549" s="10">
        <v>1300000</v>
      </c>
      <c r="F549" t="s">
        <v>96</v>
      </c>
      <c r="G549" t="s">
        <v>106</v>
      </c>
    </row>
    <row r="550" spans="1:7">
      <c r="A550" s="10">
        <v>2022</v>
      </c>
      <c r="B550" s="10">
        <v>6</v>
      </c>
      <c r="C550" s="10" t="s">
        <v>39</v>
      </c>
      <c r="D550" s="10">
        <v>3900</v>
      </c>
      <c r="E550" s="10">
        <v>1448577</v>
      </c>
      <c r="F550" t="s">
        <v>96</v>
      </c>
      <c r="G550" t="s">
        <v>106</v>
      </c>
    </row>
    <row r="551" spans="1:7">
      <c r="A551" s="10">
        <v>2022</v>
      </c>
      <c r="B551" s="10">
        <v>7</v>
      </c>
      <c r="C551" s="10" t="s">
        <v>39</v>
      </c>
      <c r="D551" s="10">
        <v>4118</v>
      </c>
      <c r="E551" s="10">
        <v>1566608</v>
      </c>
      <c r="F551" t="s">
        <v>96</v>
      </c>
      <c r="G551" t="s">
        <v>106</v>
      </c>
    </row>
    <row r="552" spans="1:7">
      <c r="A552" s="10">
        <v>2022</v>
      </c>
      <c r="B552" s="10">
        <v>8</v>
      </c>
      <c r="C552" s="10" t="s">
        <v>39</v>
      </c>
      <c r="D552" s="10">
        <v>4537</v>
      </c>
      <c r="E552" s="10">
        <v>1625000</v>
      </c>
      <c r="F552" t="s">
        <v>96</v>
      </c>
      <c r="G552" t="s">
        <v>106</v>
      </c>
    </row>
    <row r="553" spans="1:7">
      <c r="A553" s="10">
        <v>2022</v>
      </c>
      <c r="B553" s="10">
        <v>9</v>
      </c>
      <c r="C553" s="10" t="s">
        <v>39</v>
      </c>
      <c r="D553" s="10">
        <v>4900</v>
      </c>
      <c r="E553" s="10">
        <v>1736112</v>
      </c>
      <c r="F553" t="s">
        <v>96</v>
      </c>
      <c r="G553" t="s">
        <v>106</v>
      </c>
    </row>
    <row r="554" spans="1:7">
      <c r="A554" s="10">
        <v>2022</v>
      </c>
      <c r="B554" s="10">
        <v>10</v>
      </c>
      <c r="C554" s="10" t="s">
        <v>39</v>
      </c>
      <c r="D554" s="10">
        <v>4950</v>
      </c>
      <c r="E554" s="10">
        <v>1750065</v>
      </c>
      <c r="F554" t="s">
        <v>96</v>
      </c>
      <c r="G554" t="s">
        <v>106</v>
      </c>
    </row>
    <row r="555" spans="1:7">
      <c r="A555" s="10">
        <v>2022</v>
      </c>
      <c r="B555" s="10">
        <v>11</v>
      </c>
      <c r="C555" s="10" t="s">
        <v>39</v>
      </c>
      <c r="D555" s="10">
        <v>5185</v>
      </c>
      <c r="E555" s="10">
        <v>1863637</v>
      </c>
      <c r="F555" t="s">
        <v>96</v>
      </c>
      <c r="G555" t="s">
        <v>106</v>
      </c>
    </row>
    <row r="556" spans="1:7">
      <c r="A556" s="10">
        <v>2022</v>
      </c>
      <c r="B556" s="10">
        <v>12</v>
      </c>
      <c r="C556" s="10" t="s">
        <v>39</v>
      </c>
      <c r="D556" s="10">
        <v>5400</v>
      </c>
      <c r="E556" s="10">
        <v>1890000</v>
      </c>
      <c r="F556" t="s">
        <v>96</v>
      </c>
      <c r="G556" t="s">
        <v>106</v>
      </c>
    </row>
    <row r="557" spans="1:7">
      <c r="A557" s="10">
        <v>2021</v>
      </c>
      <c r="B557" s="10">
        <v>4</v>
      </c>
      <c r="C557" s="10" t="s">
        <v>40</v>
      </c>
      <c r="D557" s="10">
        <v>818</v>
      </c>
      <c r="E557" s="10">
        <v>317200</v>
      </c>
      <c r="F557" t="s">
        <v>102</v>
      </c>
      <c r="G557" t="s">
        <v>121</v>
      </c>
    </row>
    <row r="558" spans="1:7">
      <c r="A558" s="10">
        <v>2021</v>
      </c>
      <c r="B558" s="10">
        <v>5</v>
      </c>
      <c r="C558" s="10" t="s">
        <v>40</v>
      </c>
      <c r="D558" s="10">
        <v>833</v>
      </c>
      <c r="E558" s="10">
        <v>332091</v>
      </c>
      <c r="F558" t="s">
        <v>102</v>
      </c>
      <c r="G558" t="s">
        <v>121</v>
      </c>
    </row>
    <row r="559" spans="1:7">
      <c r="A559" s="10">
        <v>2021</v>
      </c>
      <c r="B559" s="10">
        <v>6</v>
      </c>
      <c r="C559" s="10" t="s">
        <v>40</v>
      </c>
      <c r="D559" s="10">
        <v>864</v>
      </c>
      <c r="E559" s="10">
        <v>352523</v>
      </c>
      <c r="F559" t="s">
        <v>102</v>
      </c>
      <c r="G559" t="s">
        <v>121</v>
      </c>
    </row>
    <row r="560" spans="1:7">
      <c r="A560" s="10">
        <v>2021</v>
      </c>
      <c r="B560" s="10">
        <v>7</v>
      </c>
      <c r="C560" s="10" t="s">
        <v>40</v>
      </c>
      <c r="D560" s="10">
        <v>896</v>
      </c>
      <c r="E560" s="10">
        <v>377219</v>
      </c>
      <c r="F560" t="s">
        <v>102</v>
      </c>
      <c r="G560" t="s">
        <v>121</v>
      </c>
    </row>
    <row r="561" spans="1:7">
      <c r="A561" s="10">
        <v>2021</v>
      </c>
      <c r="B561" s="10">
        <v>8</v>
      </c>
      <c r="C561" s="10" t="s">
        <v>40</v>
      </c>
      <c r="D561" s="10">
        <v>1060</v>
      </c>
      <c r="E561" s="10">
        <v>365538</v>
      </c>
      <c r="F561" t="s">
        <v>102</v>
      </c>
      <c r="G561" t="s">
        <v>121</v>
      </c>
    </row>
    <row r="562" spans="1:7">
      <c r="A562" s="10">
        <v>2021</v>
      </c>
      <c r="B562" s="10">
        <v>9</v>
      </c>
      <c r="C562" s="10" t="s">
        <v>40</v>
      </c>
      <c r="D562" s="10">
        <v>1235</v>
      </c>
      <c r="E562" s="10">
        <v>377900</v>
      </c>
      <c r="F562" t="s">
        <v>102</v>
      </c>
      <c r="G562" t="s">
        <v>121</v>
      </c>
    </row>
    <row r="563" spans="1:7">
      <c r="A563" s="10">
        <v>2021</v>
      </c>
      <c r="B563" s="10">
        <v>10</v>
      </c>
      <c r="C563" s="10" t="s">
        <v>40</v>
      </c>
      <c r="D563" s="10">
        <v>1407</v>
      </c>
      <c r="E563" s="10">
        <v>425000</v>
      </c>
      <c r="F563" t="s">
        <v>102</v>
      </c>
      <c r="G563" t="s">
        <v>121</v>
      </c>
    </row>
    <row r="564" spans="1:7">
      <c r="A564" s="10">
        <v>2021</v>
      </c>
      <c r="B564" s="10">
        <v>11</v>
      </c>
      <c r="C564" s="10" t="s">
        <v>40</v>
      </c>
      <c r="D564" s="10">
        <v>1432</v>
      </c>
      <c r="E564" s="10">
        <v>483276</v>
      </c>
      <c r="F564" t="s">
        <v>102</v>
      </c>
      <c r="G564" t="s">
        <v>121</v>
      </c>
    </row>
    <row r="565" spans="1:7">
      <c r="A565" s="10">
        <v>2021</v>
      </c>
      <c r="B565" s="10">
        <v>12</v>
      </c>
      <c r="C565" s="10" t="s">
        <v>40</v>
      </c>
      <c r="D565" s="10">
        <v>1407</v>
      </c>
      <c r="E565" s="10">
        <v>534654</v>
      </c>
      <c r="F565" t="s">
        <v>102</v>
      </c>
      <c r="G565" t="s">
        <v>121</v>
      </c>
    </row>
    <row r="566" spans="1:7">
      <c r="A566" s="10">
        <v>2022</v>
      </c>
      <c r="B566" s="10">
        <v>1</v>
      </c>
      <c r="C566" s="10" t="s">
        <v>40</v>
      </c>
      <c r="D566" s="10">
        <v>1477</v>
      </c>
      <c r="E566" s="10">
        <v>553722</v>
      </c>
      <c r="F566" t="s">
        <v>102</v>
      </c>
      <c r="G566" t="s">
        <v>121</v>
      </c>
    </row>
    <row r="567" spans="1:7">
      <c r="A567" s="10">
        <v>2022</v>
      </c>
      <c r="B567" s="10">
        <v>2</v>
      </c>
      <c r="C567" s="10" t="s">
        <v>40</v>
      </c>
      <c r="D567" s="10">
        <v>1534</v>
      </c>
      <c r="E567" s="10">
        <v>588225</v>
      </c>
      <c r="F567" t="s">
        <v>102</v>
      </c>
      <c r="G567" t="s">
        <v>121</v>
      </c>
    </row>
    <row r="568" spans="1:7">
      <c r="A568" s="10">
        <v>2022</v>
      </c>
      <c r="B568" s="10">
        <v>3</v>
      </c>
      <c r="C568" s="10" t="s">
        <v>40</v>
      </c>
      <c r="D568" s="10">
        <v>1649</v>
      </c>
      <c r="E568" s="10">
        <v>663974</v>
      </c>
      <c r="F568" t="s">
        <v>102</v>
      </c>
      <c r="G568" t="s">
        <v>121</v>
      </c>
    </row>
    <row r="569" spans="1:7">
      <c r="A569" s="10">
        <v>2022</v>
      </c>
      <c r="B569" s="10">
        <v>4</v>
      </c>
      <c r="C569" s="10" t="s">
        <v>40</v>
      </c>
      <c r="D569" s="10">
        <v>1657</v>
      </c>
      <c r="E569" s="10">
        <v>697500</v>
      </c>
      <c r="F569" t="s">
        <v>102</v>
      </c>
      <c r="G569" t="s">
        <v>121</v>
      </c>
    </row>
    <row r="570" spans="1:7">
      <c r="A570" s="10">
        <v>2022</v>
      </c>
      <c r="B570" s="10">
        <v>5</v>
      </c>
      <c r="C570" s="10" t="s">
        <v>40</v>
      </c>
      <c r="D570" s="10">
        <v>1733</v>
      </c>
      <c r="E570" s="10">
        <v>736999</v>
      </c>
      <c r="F570" t="s">
        <v>102</v>
      </c>
      <c r="G570" t="s">
        <v>121</v>
      </c>
    </row>
    <row r="571" spans="1:7">
      <c r="A571" s="10">
        <v>2022</v>
      </c>
      <c r="B571" s="10">
        <v>6</v>
      </c>
      <c r="C571" s="10" t="s">
        <v>40</v>
      </c>
      <c r="D571" s="10">
        <v>2296</v>
      </c>
      <c r="E571" s="10">
        <v>758767</v>
      </c>
      <c r="F571" t="s">
        <v>102</v>
      </c>
      <c r="G571" t="s">
        <v>121</v>
      </c>
    </row>
    <row r="572" spans="1:7">
      <c r="A572" s="10">
        <v>2022</v>
      </c>
      <c r="B572" s="10">
        <v>7</v>
      </c>
      <c r="C572" s="10" t="s">
        <v>40</v>
      </c>
      <c r="D572" s="10">
        <v>2834</v>
      </c>
      <c r="E572" s="10">
        <v>870544</v>
      </c>
      <c r="F572" t="s">
        <v>102</v>
      </c>
      <c r="G572" t="s">
        <v>121</v>
      </c>
    </row>
    <row r="573" spans="1:7">
      <c r="A573" s="10">
        <v>2022</v>
      </c>
      <c r="B573" s="10">
        <v>8</v>
      </c>
      <c r="C573" s="10" t="s">
        <v>40</v>
      </c>
      <c r="D573" s="10">
        <v>3226</v>
      </c>
      <c r="E573" s="10">
        <v>945000</v>
      </c>
      <c r="F573" t="s">
        <v>102</v>
      </c>
      <c r="G573" t="s">
        <v>121</v>
      </c>
    </row>
    <row r="574" spans="1:7">
      <c r="A574" s="10">
        <v>2022</v>
      </c>
      <c r="B574" s="10">
        <v>9</v>
      </c>
      <c r="C574" s="10" t="s">
        <v>40</v>
      </c>
      <c r="D574" s="10">
        <v>3600</v>
      </c>
      <c r="E574" s="10">
        <v>1060713</v>
      </c>
      <c r="F574" t="s">
        <v>102</v>
      </c>
      <c r="G574" t="s">
        <v>121</v>
      </c>
    </row>
    <row r="575" spans="1:7">
      <c r="A575" s="10">
        <v>2022</v>
      </c>
      <c r="B575" s="10">
        <v>10</v>
      </c>
      <c r="C575" s="10" t="s">
        <v>40</v>
      </c>
      <c r="D575" s="10">
        <v>3842</v>
      </c>
      <c r="E575" s="10">
        <v>1058571</v>
      </c>
      <c r="F575" t="s">
        <v>102</v>
      </c>
      <c r="G575" t="s">
        <v>121</v>
      </c>
    </row>
    <row r="576" spans="1:7">
      <c r="A576" s="10">
        <v>2022</v>
      </c>
      <c r="B576" s="10">
        <v>11</v>
      </c>
      <c r="C576" s="10" t="s">
        <v>40</v>
      </c>
      <c r="D576" s="10">
        <v>4099</v>
      </c>
      <c r="E576" s="10">
        <v>1114285</v>
      </c>
      <c r="F576" t="s">
        <v>102</v>
      </c>
      <c r="G576" t="s">
        <v>121</v>
      </c>
    </row>
    <row r="577" spans="1:7">
      <c r="A577" s="10">
        <v>2022</v>
      </c>
      <c r="B577" s="10">
        <v>12</v>
      </c>
      <c r="C577" s="10" t="s">
        <v>40</v>
      </c>
      <c r="D577" s="10">
        <v>4536</v>
      </c>
      <c r="E577" s="10">
        <v>1869555</v>
      </c>
      <c r="F577" t="s">
        <v>102</v>
      </c>
      <c r="G577" t="s">
        <v>121</v>
      </c>
    </row>
    <row r="578" spans="1:7">
      <c r="A578" s="10">
        <v>2021</v>
      </c>
      <c r="B578" s="10">
        <v>4</v>
      </c>
      <c r="C578" s="10" t="s">
        <v>41</v>
      </c>
      <c r="D578" s="10">
        <v>916</v>
      </c>
      <c r="E578" s="10">
        <v>320143</v>
      </c>
      <c r="F578" t="s">
        <v>102</v>
      </c>
      <c r="G578" t="s">
        <v>122</v>
      </c>
    </row>
    <row r="579" spans="1:7">
      <c r="A579" s="10">
        <v>2021</v>
      </c>
      <c r="B579" s="10">
        <v>5</v>
      </c>
      <c r="C579" s="10" t="s">
        <v>41</v>
      </c>
      <c r="D579" s="10">
        <v>975</v>
      </c>
      <c r="E579" s="10">
        <v>328178</v>
      </c>
      <c r="F579" t="s">
        <v>102</v>
      </c>
      <c r="G579" t="s">
        <v>122</v>
      </c>
    </row>
    <row r="580" spans="1:7">
      <c r="A580" s="10">
        <v>2021</v>
      </c>
      <c r="B580" s="10">
        <v>6</v>
      </c>
      <c r="C580" s="10" t="s">
        <v>41</v>
      </c>
      <c r="D580" s="10">
        <v>999</v>
      </c>
      <c r="E580" s="10">
        <v>337500</v>
      </c>
      <c r="F580" t="s">
        <v>102</v>
      </c>
      <c r="G580" t="s">
        <v>122</v>
      </c>
    </row>
    <row r="581" spans="1:7">
      <c r="A581" s="10">
        <v>2021</v>
      </c>
      <c r="B581" s="10">
        <v>7</v>
      </c>
      <c r="C581" s="10" t="s">
        <v>41</v>
      </c>
      <c r="D581" s="10">
        <v>1035</v>
      </c>
      <c r="E581" s="10">
        <v>351000</v>
      </c>
      <c r="F581" t="s">
        <v>102</v>
      </c>
      <c r="G581" t="s">
        <v>122</v>
      </c>
    </row>
    <row r="582" spans="1:7">
      <c r="A582" s="10">
        <v>2021</v>
      </c>
      <c r="B582" s="10">
        <v>8</v>
      </c>
      <c r="C582" s="10" t="s">
        <v>41</v>
      </c>
      <c r="D582" s="10">
        <v>1114</v>
      </c>
      <c r="E582" s="10">
        <v>366429</v>
      </c>
      <c r="F582" t="s">
        <v>102</v>
      </c>
      <c r="G582" t="s">
        <v>122</v>
      </c>
    </row>
    <row r="583" spans="1:7">
      <c r="A583" s="10">
        <v>2021</v>
      </c>
      <c r="B583" s="10">
        <v>9</v>
      </c>
      <c r="C583" s="10" t="s">
        <v>41</v>
      </c>
      <c r="D583" s="10">
        <v>1209</v>
      </c>
      <c r="E583" s="10">
        <v>374217</v>
      </c>
      <c r="F583" t="s">
        <v>102</v>
      </c>
      <c r="G583" t="s">
        <v>122</v>
      </c>
    </row>
    <row r="584" spans="1:7">
      <c r="A584" s="10">
        <v>2021</v>
      </c>
      <c r="B584" s="10">
        <v>10</v>
      </c>
      <c r="C584" s="10" t="s">
        <v>41</v>
      </c>
      <c r="D584" s="10">
        <v>1198</v>
      </c>
      <c r="E584" s="10">
        <v>386047</v>
      </c>
      <c r="F584" t="s">
        <v>102</v>
      </c>
      <c r="G584" t="s">
        <v>122</v>
      </c>
    </row>
    <row r="585" spans="1:7">
      <c r="A585" s="10">
        <v>2021</v>
      </c>
      <c r="B585" s="10">
        <v>11</v>
      </c>
      <c r="C585" s="10" t="s">
        <v>41</v>
      </c>
      <c r="D585" s="10">
        <v>1222</v>
      </c>
      <c r="E585" s="10">
        <v>417756</v>
      </c>
      <c r="F585" t="s">
        <v>102</v>
      </c>
      <c r="G585" t="s">
        <v>122</v>
      </c>
    </row>
    <row r="586" spans="1:7">
      <c r="A586" s="10">
        <v>2021</v>
      </c>
      <c r="B586" s="10">
        <v>12</v>
      </c>
      <c r="C586" s="10" t="s">
        <v>41</v>
      </c>
      <c r="D586" s="10">
        <v>1269</v>
      </c>
      <c r="E586" s="10">
        <v>477320</v>
      </c>
      <c r="F586" t="s">
        <v>102</v>
      </c>
      <c r="G586" t="s">
        <v>122</v>
      </c>
    </row>
    <row r="587" spans="1:7">
      <c r="A587" s="10">
        <v>2022</v>
      </c>
      <c r="B587" s="10">
        <v>1</v>
      </c>
      <c r="C587" s="10" t="s">
        <v>41</v>
      </c>
      <c r="D587" s="10">
        <v>1302</v>
      </c>
      <c r="E587" s="10">
        <v>506250</v>
      </c>
      <c r="F587" t="s">
        <v>102</v>
      </c>
      <c r="G587" t="s">
        <v>122</v>
      </c>
    </row>
    <row r="588" spans="1:7">
      <c r="A588" s="10">
        <v>2022</v>
      </c>
      <c r="B588" s="10">
        <v>2</v>
      </c>
      <c r="C588" s="10" t="s">
        <v>41</v>
      </c>
      <c r="D588" s="10">
        <v>1404</v>
      </c>
      <c r="E588" s="10">
        <v>540000</v>
      </c>
      <c r="F588" t="s">
        <v>102</v>
      </c>
      <c r="G588" t="s">
        <v>122</v>
      </c>
    </row>
    <row r="589" spans="1:7">
      <c r="A589" s="10">
        <v>2022</v>
      </c>
      <c r="B589" s="10">
        <v>3</v>
      </c>
      <c r="C589" s="10" t="s">
        <v>41</v>
      </c>
      <c r="D589" s="10">
        <v>1414</v>
      </c>
      <c r="E589" s="10">
        <v>571153</v>
      </c>
      <c r="F589" t="s">
        <v>102</v>
      </c>
      <c r="G589" t="s">
        <v>122</v>
      </c>
    </row>
    <row r="590" spans="1:7">
      <c r="A590" s="10">
        <v>2022</v>
      </c>
      <c r="B590" s="10">
        <v>4</v>
      </c>
      <c r="C590" s="10" t="s">
        <v>41</v>
      </c>
      <c r="D590" s="10">
        <v>1469</v>
      </c>
      <c r="E590" s="10">
        <v>653333</v>
      </c>
      <c r="F590" t="s">
        <v>102</v>
      </c>
      <c r="G590" t="s">
        <v>122</v>
      </c>
    </row>
    <row r="591" spans="1:7">
      <c r="A591" s="10">
        <v>2022</v>
      </c>
      <c r="B591" s="10">
        <v>5</v>
      </c>
      <c r="C591" s="10" t="s">
        <v>41</v>
      </c>
      <c r="D591" s="10">
        <v>1564</v>
      </c>
      <c r="E591" s="10">
        <v>750454</v>
      </c>
      <c r="F591" t="s">
        <v>102</v>
      </c>
      <c r="G591" t="s">
        <v>122</v>
      </c>
    </row>
    <row r="592" spans="1:7">
      <c r="A592" s="10">
        <v>2022</v>
      </c>
      <c r="B592" s="10">
        <v>6</v>
      </c>
      <c r="C592" s="10" t="s">
        <v>41</v>
      </c>
      <c r="D592" s="10">
        <v>1843</v>
      </c>
      <c r="E592" s="10">
        <v>787667</v>
      </c>
      <c r="F592" t="s">
        <v>102</v>
      </c>
      <c r="G592" t="s">
        <v>122</v>
      </c>
    </row>
    <row r="593" spans="1:7">
      <c r="A593" s="10">
        <v>2022</v>
      </c>
      <c r="B593" s="10">
        <v>7</v>
      </c>
      <c r="C593" s="10" t="s">
        <v>41</v>
      </c>
      <c r="D593" s="10">
        <v>2183</v>
      </c>
      <c r="E593" s="10">
        <v>861539</v>
      </c>
      <c r="F593" t="s">
        <v>102</v>
      </c>
      <c r="G593" t="s">
        <v>122</v>
      </c>
    </row>
    <row r="594" spans="1:7">
      <c r="A594" s="10">
        <v>2022</v>
      </c>
      <c r="B594" s="10">
        <v>8</v>
      </c>
      <c r="C594" s="10" t="s">
        <v>41</v>
      </c>
      <c r="D594" s="10">
        <v>2345</v>
      </c>
      <c r="E594" s="10">
        <v>910000</v>
      </c>
      <c r="F594" t="s">
        <v>102</v>
      </c>
      <c r="G594" t="s">
        <v>122</v>
      </c>
    </row>
    <row r="595" spans="1:7">
      <c r="A595" s="10">
        <v>2022</v>
      </c>
      <c r="B595" s="10">
        <v>9</v>
      </c>
      <c r="C595" s="10" t="s">
        <v>41</v>
      </c>
      <c r="D595" s="10">
        <v>2580</v>
      </c>
      <c r="E595" s="10">
        <v>933333</v>
      </c>
      <c r="F595" t="s">
        <v>102</v>
      </c>
      <c r="G595" t="s">
        <v>122</v>
      </c>
    </row>
    <row r="596" spans="1:7">
      <c r="A596" s="10">
        <v>2022</v>
      </c>
      <c r="B596" s="10">
        <v>10</v>
      </c>
      <c r="C596" s="10" t="s">
        <v>41</v>
      </c>
      <c r="D596" s="10">
        <v>2648</v>
      </c>
      <c r="E596" s="10">
        <v>935000</v>
      </c>
      <c r="F596" t="s">
        <v>102</v>
      </c>
      <c r="G596" t="s">
        <v>122</v>
      </c>
    </row>
    <row r="597" spans="1:7">
      <c r="A597" s="10">
        <v>2022</v>
      </c>
      <c r="B597" s="10">
        <v>11</v>
      </c>
      <c r="C597" s="10" t="s">
        <v>41</v>
      </c>
      <c r="D597" s="10">
        <v>2721</v>
      </c>
      <c r="E597" s="10">
        <v>1032971</v>
      </c>
      <c r="F597" t="s">
        <v>102</v>
      </c>
      <c r="G597" t="s">
        <v>122</v>
      </c>
    </row>
    <row r="598" spans="1:7">
      <c r="A598" s="10">
        <v>2022</v>
      </c>
      <c r="B598" s="10">
        <v>12</v>
      </c>
      <c r="C598" s="10" t="s">
        <v>41</v>
      </c>
      <c r="D598" s="10">
        <v>2902</v>
      </c>
      <c r="E598" s="10">
        <v>1073333</v>
      </c>
      <c r="F598" t="s">
        <v>102</v>
      </c>
      <c r="G598" t="s">
        <v>122</v>
      </c>
    </row>
    <row r="599" spans="1:7">
      <c r="A599" s="10">
        <v>2021</v>
      </c>
      <c r="B599" s="10">
        <v>4</v>
      </c>
      <c r="C599" s="10" t="s">
        <v>42</v>
      </c>
      <c r="D599" s="10">
        <v>1225</v>
      </c>
      <c r="E599" s="10">
        <v>457957</v>
      </c>
      <c r="F599" t="s">
        <v>97</v>
      </c>
      <c r="G599" t="s">
        <v>108</v>
      </c>
    </row>
    <row r="600" spans="1:7">
      <c r="A600" s="10">
        <v>2021</v>
      </c>
      <c r="B600" s="10">
        <v>5</v>
      </c>
      <c r="C600" s="10" t="s">
        <v>42</v>
      </c>
      <c r="D600" s="10">
        <v>1330</v>
      </c>
      <c r="E600" s="10">
        <v>464000</v>
      </c>
      <c r="F600" t="s">
        <v>97</v>
      </c>
      <c r="G600" t="s">
        <v>108</v>
      </c>
    </row>
    <row r="601" spans="1:7">
      <c r="A601" s="10">
        <v>2021</v>
      </c>
      <c r="B601" s="10">
        <v>6</v>
      </c>
      <c r="C601" s="10" t="s">
        <v>42</v>
      </c>
      <c r="D601" s="10">
        <v>1386</v>
      </c>
      <c r="E601" s="10">
        <v>480744</v>
      </c>
      <c r="F601" t="s">
        <v>97</v>
      </c>
      <c r="G601" t="s">
        <v>108</v>
      </c>
    </row>
    <row r="602" spans="1:7">
      <c r="A602" s="10">
        <v>2021</v>
      </c>
      <c r="B602" s="10">
        <v>7</v>
      </c>
      <c r="C602" s="10" t="s">
        <v>42</v>
      </c>
      <c r="D602" s="10">
        <v>1395</v>
      </c>
      <c r="E602" s="10">
        <v>520833</v>
      </c>
      <c r="F602" t="s">
        <v>97</v>
      </c>
      <c r="G602" t="s">
        <v>108</v>
      </c>
    </row>
    <row r="603" spans="1:7">
      <c r="A603" s="10">
        <v>2021</v>
      </c>
      <c r="B603" s="10">
        <v>8</v>
      </c>
      <c r="C603" s="10" t="s">
        <v>42</v>
      </c>
      <c r="D603" s="10">
        <v>1493</v>
      </c>
      <c r="E603" s="10">
        <v>540000</v>
      </c>
      <c r="F603" t="s">
        <v>97</v>
      </c>
      <c r="G603" t="s">
        <v>108</v>
      </c>
    </row>
    <row r="604" spans="1:7">
      <c r="A604" s="10">
        <v>2021</v>
      </c>
      <c r="B604" s="10">
        <v>9</v>
      </c>
      <c r="C604" s="10" t="s">
        <v>42</v>
      </c>
      <c r="D604" s="10">
        <v>1485</v>
      </c>
      <c r="E604" s="10">
        <v>541666</v>
      </c>
      <c r="F604" t="s">
        <v>97</v>
      </c>
      <c r="G604" t="s">
        <v>108</v>
      </c>
    </row>
    <row r="605" spans="1:7">
      <c r="A605" s="10">
        <v>2021</v>
      </c>
      <c r="B605" s="10">
        <v>10</v>
      </c>
      <c r="C605" s="10" t="s">
        <v>42</v>
      </c>
      <c r="D605" s="10">
        <v>1458</v>
      </c>
      <c r="E605" s="10">
        <v>570000</v>
      </c>
      <c r="F605" t="s">
        <v>97</v>
      </c>
      <c r="G605" t="s">
        <v>108</v>
      </c>
    </row>
    <row r="606" spans="1:7">
      <c r="A606" s="10">
        <v>2021</v>
      </c>
      <c r="B606" s="10">
        <v>11</v>
      </c>
      <c r="C606" s="10" t="s">
        <v>42</v>
      </c>
      <c r="D606" s="10">
        <v>1559</v>
      </c>
      <c r="E606" s="10">
        <v>620689</v>
      </c>
      <c r="F606" t="s">
        <v>97</v>
      </c>
      <c r="G606" t="s">
        <v>108</v>
      </c>
    </row>
    <row r="607" spans="1:7">
      <c r="A607" s="10">
        <v>2021</v>
      </c>
      <c r="B607" s="10">
        <v>12</v>
      </c>
      <c r="C607" s="10" t="s">
        <v>42</v>
      </c>
      <c r="D607" s="10">
        <v>1740</v>
      </c>
      <c r="E607" s="10">
        <v>748929</v>
      </c>
      <c r="F607" t="s">
        <v>97</v>
      </c>
      <c r="G607" t="s">
        <v>108</v>
      </c>
    </row>
    <row r="608" spans="1:7">
      <c r="A608" s="10">
        <v>2022</v>
      </c>
      <c r="B608" s="10">
        <v>1</v>
      </c>
      <c r="C608" s="10" t="s">
        <v>42</v>
      </c>
      <c r="D608" s="10">
        <v>1800</v>
      </c>
      <c r="E608" s="10">
        <v>799999</v>
      </c>
      <c r="F608" t="s">
        <v>97</v>
      </c>
      <c r="G608" t="s">
        <v>108</v>
      </c>
    </row>
    <row r="609" spans="1:7">
      <c r="A609" s="10">
        <v>2022</v>
      </c>
      <c r="B609" s="10">
        <v>2</v>
      </c>
      <c r="C609" s="10" t="s">
        <v>42</v>
      </c>
      <c r="D609" s="10">
        <v>1837</v>
      </c>
      <c r="E609" s="10">
        <v>866666</v>
      </c>
      <c r="F609" t="s">
        <v>97</v>
      </c>
      <c r="G609" t="s">
        <v>108</v>
      </c>
    </row>
    <row r="610" spans="1:7">
      <c r="A610" s="10">
        <v>2022</v>
      </c>
      <c r="B610" s="10">
        <v>3</v>
      </c>
      <c r="C610" s="10" t="s">
        <v>42</v>
      </c>
      <c r="D610" s="10">
        <v>1987</v>
      </c>
      <c r="E610" s="10">
        <v>929893</v>
      </c>
      <c r="F610" t="s">
        <v>97</v>
      </c>
      <c r="G610" t="s">
        <v>108</v>
      </c>
    </row>
    <row r="611" spans="1:7">
      <c r="A611" s="10">
        <v>2022</v>
      </c>
      <c r="B611" s="10">
        <v>4</v>
      </c>
      <c r="C611" s="10" t="s">
        <v>42</v>
      </c>
      <c r="D611" s="10">
        <v>2207</v>
      </c>
      <c r="E611" s="10">
        <v>1012500</v>
      </c>
      <c r="F611" t="s">
        <v>97</v>
      </c>
      <c r="G611" t="s">
        <v>108</v>
      </c>
    </row>
    <row r="612" spans="1:7">
      <c r="A612" s="10">
        <v>2022</v>
      </c>
      <c r="B612" s="10">
        <v>5</v>
      </c>
      <c r="C612" s="10" t="s">
        <v>42</v>
      </c>
      <c r="D612" s="10">
        <v>2475</v>
      </c>
      <c r="E612" s="10">
        <v>1172608</v>
      </c>
      <c r="F612" t="s">
        <v>97</v>
      </c>
      <c r="G612" t="s">
        <v>108</v>
      </c>
    </row>
    <row r="613" spans="1:7">
      <c r="A613" s="10">
        <v>2022</v>
      </c>
      <c r="B613" s="10">
        <v>6</v>
      </c>
      <c r="C613" s="10" t="s">
        <v>42</v>
      </c>
      <c r="D613" s="10">
        <v>2677</v>
      </c>
      <c r="E613" s="10">
        <v>1168056</v>
      </c>
      <c r="F613" t="s">
        <v>97</v>
      </c>
      <c r="G613" t="s">
        <v>108</v>
      </c>
    </row>
    <row r="614" spans="1:7">
      <c r="A614" s="10">
        <v>2022</v>
      </c>
      <c r="B614" s="10">
        <v>7</v>
      </c>
      <c r="C614" s="10" t="s">
        <v>42</v>
      </c>
      <c r="D614" s="10">
        <v>3054</v>
      </c>
      <c r="E614" s="10">
        <v>1268750</v>
      </c>
      <c r="F614" t="s">
        <v>97</v>
      </c>
      <c r="G614" t="s">
        <v>108</v>
      </c>
    </row>
    <row r="615" spans="1:7">
      <c r="A615" s="10">
        <v>2022</v>
      </c>
      <c r="B615" s="10">
        <v>8</v>
      </c>
      <c r="C615" s="10" t="s">
        <v>42</v>
      </c>
      <c r="D615" s="10">
        <v>3321</v>
      </c>
      <c r="E615" s="10">
        <v>1305000</v>
      </c>
      <c r="F615" t="s">
        <v>97</v>
      </c>
      <c r="G615" t="s">
        <v>108</v>
      </c>
    </row>
    <row r="616" spans="1:7">
      <c r="A616" s="10">
        <v>2022</v>
      </c>
      <c r="B616" s="10">
        <v>9</v>
      </c>
      <c r="C616" s="10" t="s">
        <v>42</v>
      </c>
      <c r="D616" s="10">
        <v>3692</v>
      </c>
      <c r="E616" s="10">
        <v>1397272</v>
      </c>
      <c r="F616" t="s">
        <v>97</v>
      </c>
      <c r="G616" t="s">
        <v>108</v>
      </c>
    </row>
    <row r="617" spans="1:7">
      <c r="A617" s="10">
        <v>2022</v>
      </c>
      <c r="B617" s="10">
        <v>10</v>
      </c>
      <c r="C617" s="10" t="s">
        <v>42</v>
      </c>
      <c r="D617" s="10">
        <v>3691</v>
      </c>
      <c r="E617" s="10">
        <v>1450000</v>
      </c>
      <c r="F617" t="s">
        <v>97</v>
      </c>
      <c r="G617" t="s">
        <v>108</v>
      </c>
    </row>
    <row r="618" spans="1:7">
      <c r="A618" s="10">
        <v>2022</v>
      </c>
      <c r="B618" s="10">
        <v>11</v>
      </c>
      <c r="C618" s="10" t="s">
        <v>42</v>
      </c>
      <c r="D618" s="10">
        <v>4120</v>
      </c>
      <c r="E618" s="10">
        <v>1545700</v>
      </c>
      <c r="F618" t="s">
        <v>97</v>
      </c>
      <c r="G618" t="s">
        <v>108</v>
      </c>
    </row>
    <row r="619" spans="1:7">
      <c r="A619" s="10">
        <v>2022</v>
      </c>
      <c r="B619" s="10">
        <v>12</v>
      </c>
      <c r="C619" s="10" t="s">
        <v>42</v>
      </c>
      <c r="D619" s="10">
        <v>4734</v>
      </c>
      <c r="E619" s="10">
        <v>1663237</v>
      </c>
      <c r="F619" t="s">
        <v>97</v>
      </c>
      <c r="G619" t="s">
        <v>108</v>
      </c>
    </row>
    <row r="620" spans="1:7">
      <c r="A620" s="10">
        <v>2021</v>
      </c>
      <c r="B620" s="10">
        <v>4</v>
      </c>
      <c r="C620" s="10" t="s">
        <v>43</v>
      </c>
      <c r="D620" s="10">
        <v>1595</v>
      </c>
      <c r="E620" s="10">
        <v>394166</v>
      </c>
      <c r="F620" t="s">
        <v>124</v>
      </c>
      <c r="G620" t="s">
        <v>126</v>
      </c>
    </row>
    <row r="621" spans="1:7">
      <c r="A621" s="10">
        <v>2021</v>
      </c>
      <c r="B621" s="10">
        <v>5</v>
      </c>
      <c r="C621" s="10" t="s">
        <v>43</v>
      </c>
      <c r="D621" s="10">
        <v>1725</v>
      </c>
      <c r="E621" s="10">
        <v>401499</v>
      </c>
      <c r="F621" t="s">
        <v>124</v>
      </c>
      <c r="G621" t="s">
        <v>126</v>
      </c>
    </row>
    <row r="622" spans="1:7">
      <c r="A622" s="10">
        <v>2021</v>
      </c>
      <c r="B622" s="10">
        <v>6</v>
      </c>
      <c r="C622" s="10" t="s">
        <v>43</v>
      </c>
      <c r="D622" s="10">
        <v>1929</v>
      </c>
      <c r="E622" s="10">
        <v>421901</v>
      </c>
      <c r="F622" t="s">
        <v>124</v>
      </c>
      <c r="G622" t="s">
        <v>126</v>
      </c>
    </row>
    <row r="623" spans="1:7">
      <c r="A623" s="10">
        <v>2021</v>
      </c>
      <c r="B623" s="10">
        <v>7</v>
      </c>
      <c r="C623" s="10" t="s">
        <v>43</v>
      </c>
      <c r="D623" s="10">
        <v>2014</v>
      </c>
      <c r="E623" s="10">
        <v>445722</v>
      </c>
      <c r="F623" t="s">
        <v>124</v>
      </c>
      <c r="G623" t="s">
        <v>126</v>
      </c>
    </row>
    <row r="624" spans="1:7">
      <c r="A624" s="10">
        <v>2021</v>
      </c>
      <c r="B624" s="10">
        <v>8</v>
      </c>
      <c r="C624" s="10" t="s">
        <v>43</v>
      </c>
      <c r="D624" s="10">
        <v>2153</v>
      </c>
      <c r="E624" s="10">
        <v>467499</v>
      </c>
      <c r="F624" t="s">
        <v>124</v>
      </c>
      <c r="G624" t="s">
        <v>126</v>
      </c>
    </row>
    <row r="625" spans="1:7">
      <c r="A625" s="10">
        <v>2021</v>
      </c>
      <c r="B625" s="10">
        <v>9</v>
      </c>
      <c r="C625" s="10" t="s">
        <v>43</v>
      </c>
      <c r="D625" s="10">
        <v>2368</v>
      </c>
      <c r="E625" s="10">
        <v>519555</v>
      </c>
      <c r="F625" t="s">
        <v>124</v>
      </c>
      <c r="G625" t="s">
        <v>126</v>
      </c>
    </row>
    <row r="626" spans="1:7">
      <c r="A626" s="10">
        <v>2021</v>
      </c>
      <c r="B626" s="10">
        <v>10</v>
      </c>
      <c r="C626" s="10" t="s">
        <v>43</v>
      </c>
      <c r="D626" s="10">
        <v>2363</v>
      </c>
      <c r="E626" s="10">
        <v>574926</v>
      </c>
      <c r="F626" t="s">
        <v>124</v>
      </c>
      <c r="G626" t="s">
        <v>126</v>
      </c>
    </row>
    <row r="627" spans="1:7">
      <c r="A627" s="10">
        <v>2021</v>
      </c>
      <c r="B627" s="10">
        <v>11</v>
      </c>
      <c r="C627" s="10" t="s">
        <v>43</v>
      </c>
      <c r="D627" s="10">
        <v>2441</v>
      </c>
      <c r="E627" s="10">
        <v>614999</v>
      </c>
      <c r="F627" t="s">
        <v>124</v>
      </c>
      <c r="G627" t="s">
        <v>126</v>
      </c>
    </row>
    <row r="628" spans="1:7">
      <c r="A628" s="10">
        <v>2021</v>
      </c>
      <c r="B628" s="10">
        <v>12</v>
      </c>
      <c r="C628" s="10" t="s">
        <v>43</v>
      </c>
      <c r="D628" s="10">
        <v>2467</v>
      </c>
      <c r="E628" s="10">
        <v>768900</v>
      </c>
      <c r="F628" t="s">
        <v>124</v>
      </c>
      <c r="G628" t="s">
        <v>126</v>
      </c>
    </row>
    <row r="629" spans="1:7">
      <c r="A629" s="10">
        <v>2022</v>
      </c>
      <c r="B629" s="10">
        <v>1</v>
      </c>
      <c r="C629" s="10" t="s">
        <v>43</v>
      </c>
      <c r="D629" s="10">
        <v>2494</v>
      </c>
      <c r="E629" s="10">
        <v>825000</v>
      </c>
      <c r="F629" t="s">
        <v>124</v>
      </c>
      <c r="G629" t="s">
        <v>126</v>
      </c>
    </row>
    <row r="630" spans="1:7">
      <c r="A630" s="10">
        <v>2022</v>
      </c>
      <c r="B630" s="10">
        <v>2</v>
      </c>
      <c r="C630" s="10" t="s">
        <v>43</v>
      </c>
      <c r="D630" s="10">
        <v>2567</v>
      </c>
      <c r="E630" s="10">
        <v>866250</v>
      </c>
      <c r="F630" t="s">
        <v>124</v>
      </c>
      <c r="G630" t="s">
        <v>126</v>
      </c>
    </row>
    <row r="631" spans="1:7">
      <c r="A631" s="10">
        <v>2022</v>
      </c>
      <c r="B631" s="10">
        <v>3</v>
      </c>
      <c r="C631" s="10" t="s">
        <v>43</v>
      </c>
      <c r="D631" s="10">
        <v>2677</v>
      </c>
      <c r="E631" s="10">
        <v>920000</v>
      </c>
      <c r="F631" t="s">
        <v>124</v>
      </c>
      <c r="G631" t="s">
        <v>126</v>
      </c>
    </row>
    <row r="632" spans="1:7">
      <c r="A632" s="10">
        <v>2022</v>
      </c>
      <c r="B632" s="10">
        <v>4</v>
      </c>
      <c r="C632" s="10" t="s">
        <v>43</v>
      </c>
      <c r="D632" s="10">
        <v>2760</v>
      </c>
      <c r="E632" s="10">
        <v>974999</v>
      </c>
      <c r="F632" t="s">
        <v>124</v>
      </c>
      <c r="G632" t="s">
        <v>126</v>
      </c>
    </row>
    <row r="633" spans="1:7">
      <c r="A633" s="10">
        <v>2022</v>
      </c>
      <c r="B633" s="10">
        <v>5</v>
      </c>
      <c r="C633" s="10" t="s">
        <v>43</v>
      </c>
      <c r="D633" s="10">
        <v>2976</v>
      </c>
      <c r="E633" s="10">
        <v>1093125</v>
      </c>
      <c r="F633" t="s">
        <v>124</v>
      </c>
      <c r="G633" t="s">
        <v>126</v>
      </c>
    </row>
    <row r="634" spans="1:7">
      <c r="A634" s="10">
        <v>2022</v>
      </c>
      <c r="B634" s="10">
        <v>6</v>
      </c>
      <c r="C634" s="10" t="s">
        <v>43</v>
      </c>
      <c r="D634" s="10">
        <v>3429</v>
      </c>
      <c r="E634" s="10">
        <v>1199135</v>
      </c>
      <c r="F634" t="s">
        <v>124</v>
      </c>
      <c r="G634" t="s">
        <v>126</v>
      </c>
    </row>
    <row r="635" spans="1:7">
      <c r="A635" s="10">
        <v>2022</v>
      </c>
      <c r="B635" s="10">
        <v>7</v>
      </c>
      <c r="C635" s="10" t="s">
        <v>43</v>
      </c>
      <c r="D635" s="10">
        <v>3845</v>
      </c>
      <c r="E635" s="10">
        <v>1277420</v>
      </c>
      <c r="F635" t="s">
        <v>124</v>
      </c>
      <c r="G635" t="s">
        <v>126</v>
      </c>
    </row>
    <row r="636" spans="1:7">
      <c r="A636" s="10">
        <v>2022</v>
      </c>
      <c r="B636" s="10">
        <v>8</v>
      </c>
      <c r="C636" s="10" t="s">
        <v>43</v>
      </c>
      <c r="D636" s="10">
        <v>4113</v>
      </c>
      <c r="E636" s="10">
        <v>1332691</v>
      </c>
      <c r="F636" t="s">
        <v>124</v>
      </c>
      <c r="G636" t="s">
        <v>126</v>
      </c>
    </row>
    <row r="637" spans="1:7">
      <c r="A637" s="10">
        <v>2022</v>
      </c>
      <c r="B637" s="10">
        <v>9</v>
      </c>
      <c r="C637" s="10" t="s">
        <v>43</v>
      </c>
      <c r="D637" s="10">
        <v>4300</v>
      </c>
      <c r="E637" s="10">
        <v>1341936</v>
      </c>
      <c r="F637" t="s">
        <v>124</v>
      </c>
      <c r="G637" t="s">
        <v>126</v>
      </c>
    </row>
    <row r="638" spans="1:7">
      <c r="A638" s="10">
        <v>2022</v>
      </c>
      <c r="B638" s="10">
        <v>10</v>
      </c>
      <c r="C638" s="10" t="s">
        <v>43</v>
      </c>
      <c r="D638" s="10">
        <v>4598</v>
      </c>
      <c r="E638" s="10">
        <v>1417500</v>
      </c>
      <c r="F638" t="s">
        <v>124</v>
      </c>
      <c r="G638" t="s">
        <v>126</v>
      </c>
    </row>
    <row r="639" spans="1:7">
      <c r="A639" s="10">
        <v>2022</v>
      </c>
      <c r="B639" s="10">
        <v>11</v>
      </c>
      <c r="C639" s="10" t="s">
        <v>43</v>
      </c>
      <c r="D639" s="10">
        <v>4590</v>
      </c>
      <c r="E639" s="10">
        <v>1411764</v>
      </c>
      <c r="F639" t="s">
        <v>124</v>
      </c>
      <c r="G639" t="s">
        <v>126</v>
      </c>
    </row>
    <row r="640" spans="1:7">
      <c r="A640" s="10">
        <v>2022</v>
      </c>
      <c r="B640" s="10">
        <v>12</v>
      </c>
      <c r="C640" s="10" t="s">
        <v>43</v>
      </c>
      <c r="D640" s="10">
        <v>4530</v>
      </c>
      <c r="E640" s="10">
        <v>1424000</v>
      </c>
      <c r="F640" t="s">
        <v>124</v>
      </c>
      <c r="G640" t="s">
        <v>126</v>
      </c>
    </row>
    <row r="641" spans="1:7">
      <c r="A641" s="10">
        <v>2021</v>
      </c>
      <c r="B641" s="10">
        <v>4</v>
      </c>
      <c r="C641" s="10" t="s">
        <v>44</v>
      </c>
      <c r="D641" s="10">
        <v>970</v>
      </c>
      <c r="E641" s="10">
        <v>297600</v>
      </c>
      <c r="F641" t="s">
        <v>98</v>
      </c>
      <c r="G641" t="s">
        <v>112</v>
      </c>
    </row>
    <row r="642" spans="1:7">
      <c r="A642" s="10">
        <v>2021</v>
      </c>
      <c r="B642" s="10">
        <v>5</v>
      </c>
      <c r="C642" s="10" t="s">
        <v>44</v>
      </c>
      <c r="D642" s="10">
        <v>978</v>
      </c>
      <c r="E642" s="10">
        <v>304487</v>
      </c>
      <c r="F642" t="s">
        <v>98</v>
      </c>
      <c r="G642" t="s">
        <v>112</v>
      </c>
    </row>
    <row r="643" spans="1:7">
      <c r="A643" s="10">
        <v>2021</v>
      </c>
      <c r="B643" s="10">
        <v>6</v>
      </c>
      <c r="C643" s="10" t="s">
        <v>44</v>
      </c>
      <c r="D643" s="10">
        <v>1017</v>
      </c>
      <c r="E643" s="10">
        <v>318396</v>
      </c>
      <c r="F643" t="s">
        <v>98</v>
      </c>
      <c r="G643" t="s">
        <v>112</v>
      </c>
    </row>
    <row r="644" spans="1:7">
      <c r="A644" s="10">
        <v>2021</v>
      </c>
      <c r="B644" s="10">
        <v>7</v>
      </c>
      <c r="C644" s="10" t="s">
        <v>44</v>
      </c>
      <c r="D644" s="10">
        <v>1019</v>
      </c>
      <c r="E644" s="10">
        <v>333333</v>
      </c>
      <c r="F644" t="s">
        <v>98</v>
      </c>
      <c r="G644" t="s">
        <v>112</v>
      </c>
    </row>
    <row r="645" spans="1:7">
      <c r="A645" s="10">
        <v>2021</v>
      </c>
      <c r="B645" s="10">
        <v>8</v>
      </c>
      <c r="C645" s="10" t="s">
        <v>44</v>
      </c>
      <c r="D645" s="10">
        <v>1100</v>
      </c>
      <c r="E645" s="10">
        <v>345745</v>
      </c>
      <c r="F645" t="s">
        <v>98</v>
      </c>
      <c r="G645" t="s">
        <v>112</v>
      </c>
    </row>
    <row r="646" spans="1:7">
      <c r="A646" s="10">
        <v>2021</v>
      </c>
      <c r="B646" s="10">
        <v>9</v>
      </c>
      <c r="C646" s="10" t="s">
        <v>44</v>
      </c>
      <c r="D646" s="10">
        <v>1137</v>
      </c>
      <c r="E646" s="10">
        <v>356717</v>
      </c>
      <c r="F646" t="s">
        <v>98</v>
      </c>
      <c r="G646" t="s">
        <v>112</v>
      </c>
    </row>
    <row r="647" spans="1:7">
      <c r="A647" s="10">
        <v>2021</v>
      </c>
      <c r="B647" s="10">
        <v>10</v>
      </c>
      <c r="C647" s="10" t="s">
        <v>44</v>
      </c>
      <c r="D647" s="10">
        <v>1260</v>
      </c>
      <c r="E647" s="10">
        <v>384615</v>
      </c>
      <c r="F647" t="s">
        <v>98</v>
      </c>
      <c r="G647" t="s">
        <v>112</v>
      </c>
    </row>
    <row r="648" spans="1:7">
      <c r="A648" s="10">
        <v>2021</v>
      </c>
      <c r="B648" s="10">
        <v>11</v>
      </c>
      <c r="C648" s="10" t="s">
        <v>44</v>
      </c>
      <c r="D648" s="10">
        <v>1386</v>
      </c>
      <c r="E648" s="10">
        <v>416666</v>
      </c>
      <c r="F648" t="s">
        <v>98</v>
      </c>
      <c r="G648" t="s">
        <v>112</v>
      </c>
    </row>
    <row r="649" spans="1:7">
      <c r="A649" s="10">
        <v>2021</v>
      </c>
      <c r="B649" s="10">
        <v>12</v>
      </c>
      <c r="C649" s="10" t="s">
        <v>44</v>
      </c>
      <c r="D649" s="10">
        <v>1458</v>
      </c>
      <c r="E649" s="10">
        <v>508000</v>
      </c>
      <c r="F649" t="s">
        <v>98</v>
      </c>
      <c r="G649" t="s">
        <v>112</v>
      </c>
    </row>
    <row r="650" spans="1:7">
      <c r="A650" s="10">
        <v>2022</v>
      </c>
      <c r="B650" s="10">
        <v>1</v>
      </c>
      <c r="C650" s="10" t="s">
        <v>44</v>
      </c>
      <c r="D650" s="10">
        <v>1500</v>
      </c>
      <c r="E650" s="10">
        <v>537600</v>
      </c>
      <c r="F650" t="s">
        <v>98</v>
      </c>
      <c r="G650" t="s">
        <v>112</v>
      </c>
    </row>
    <row r="651" spans="1:7">
      <c r="A651" s="10">
        <v>2022</v>
      </c>
      <c r="B651" s="10">
        <v>2</v>
      </c>
      <c r="C651" s="10" t="s">
        <v>44</v>
      </c>
      <c r="D651" s="10">
        <v>1640</v>
      </c>
      <c r="E651" s="10">
        <v>554807</v>
      </c>
      <c r="F651" t="s">
        <v>98</v>
      </c>
      <c r="G651" t="s">
        <v>112</v>
      </c>
    </row>
    <row r="652" spans="1:7">
      <c r="A652" s="10">
        <v>2022</v>
      </c>
      <c r="B652" s="10">
        <v>3</v>
      </c>
      <c r="C652" s="10" t="s">
        <v>44</v>
      </c>
      <c r="D652" s="10">
        <v>1684</v>
      </c>
      <c r="E652" s="10">
        <v>601723</v>
      </c>
      <c r="F652" t="s">
        <v>98</v>
      </c>
      <c r="G652" t="s">
        <v>112</v>
      </c>
    </row>
    <row r="653" spans="1:7">
      <c r="A653" s="10">
        <v>2022</v>
      </c>
      <c r="B653" s="10">
        <v>4</v>
      </c>
      <c r="C653" s="10" t="s">
        <v>44</v>
      </c>
      <c r="D653" s="10">
        <v>1980</v>
      </c>
      <c r="E653" s="10">
        <v>666666</v>
      </c>
      <c r="F653" t="s">
        <v>98</v>
      </c>
      <c r="G653" t="s">
        <v>112</v>
      </c>
    </row>
    <row r="654" spans="1:7">
      <c r="A654" s="10">
        <v>2022</v>
      </c>
      <c r="B654" s="10">
        <v>5</v>
      </c>
      <c r="C654" s="10" t="s">
        <v>44</v>
      </c>
      <c r="D654" s="10">
        <v>2271</v>
      </c>
      <c r="E654" s="10">
        <v>754310</v>
      </c>
      <c r="F654" t="s">
        <v>98</v>
      </c>
      <c r="G654" t="s">
        <v>112</v>
      </c>
    </row>
    <row r="655" spans="1:7">
      <c r="A655" s="10">
        <v>2022</v>
      </c>
      <c r="B655" s="10">
        <v>6</v>
      </c>
      <c r="C655" s="10" t="s">
        <v>44</v>
      </c>
      <c r="D655" s="10">
        <v>2375</v>
      </c>
      <c r="E655" s="10">
        <v>866461</v>
      </c>
      <c r="F655" t="s">
        <v>98</v>
      </c>
      <c r="G655" t="s">
        <v>112</v>
      </c>
    </row>
    <row r="656" spans="1:7">
      <c r="A656" s="10">
        <v>2022</v>
      </c>
      <c r="B656" s="10">
        <v>7</v>
      </c>
      <c r="C656" s="10" t="s">
        <v>44</v>
      </c>
      <c r="D656" s="10">
        <v>2695</v>
      </c>
      <c r="E656" s="10">
        <v>931332</v>
      </c>
      <c r="F656" t="s">
        <v>98</v>
      </c>
      <c r="G656" t="s">
        <v>112</v>
      </c>
    </row>
    <row r="657" spans="1:7">
      <c r="A657" s="10">
        <v>2022</v>
      </c>
      <c r="B657" s="10">
        <v>8</v>
      </c>
      <c r="C657" s="10" t="s">
        <v>44</v>
      </c>
      <c r="D657" s="10">
        <v>2949</v>
      </c>
      <c r="E657" s="10">
        <v>976166</v>
      </c>
      <c r="F657" t="s">
        <v>98</v>
      </c>
      <c r="G657" t="s">
        <v>112</v>
      </c>
    </row>
    <row r="658" spans="1:7">
      <c r="A658" s="10">
        <v>2022</v>
      </c>
      <c r="B658" s="10">
        <v>9</v>
      </c>
      <c r="C658" s="10" t="s">
        <v>44</v>
      </c>
      <c r="D658" s="10">
        <v>3237</v>
      </c>
      <c r="E658" s="10">
        <v>1026551</v>
      </c>
      <c r="F658" t="s">
        <v>98</v>
      </c>
      <c r="G658" t="s">
        <v>112</v>
      </c>
    </row>
    <row r="659" spans="1:7">
      <c r="A659" s="10">
        <v>2022</v>
      </c>
      <c r="B659" s="10">
        <v>10</v>
      </c>
      <c r="C659" s="10" t="s">
        <v>44</v>
      </c>
      <c r="D659" s="10">
        <v>3532</v>
      </c>
      <c r="E659" s="10">
        <v>1097143</v>
      </c>
      <c r="F659" t="s">
        <v>98</v>
      </c>
      <c r="G659" t="s">
        <v>112</v>
      </c>
    </row>
    <row r="660" spans="1:7">
      <c r="A660" s="10">
        <v>2022</v>
      </c>
      <c r="B660" s="10">
        <v>11</v>
      </c>
      <c r="C660" s="10" t="s">
        <v>44</v>
      </c>
      <c r="D660" s="10">
        <v>3599</v>
      </c>
      <c r="E660" s="10">
        <v>1165469</v>
      </c>
      <c r="F660" t="s">
        <v>98</v>
      </c>
      <c r="G660" t="s">
        <v>112</v>
      </c>
    </row>
    <row r="661" spans="1:7">
      <c r="A661" s="10">
        <v>2022</v>
      </c>
      <c r="B661" s="10">
        <v>12</v>
      </c>
      <c r="C661" s="10" t="s">
        <v>44</v>
      </c>
      <c r="D661" s="10">
        <v>3825</v>
      </c>
      <c r="E661" s="10">
        <v>1236249</v>
      </c>
      <c r="F661" t="s">
        <v>98</v>
      </c>
      <c r="G661" t="s">
        <v>112</v>
      </c>
    </row>
    <row r="662" spans="1:7">
      <c r="A662" s="10">
        <v>2021</v>
      </c>
      <c r="B662" s="10">
        <v>4</v>
      </c>
      <c r="C662" s="10" t="s">
        <v>45</v>
      </c>
      <c r="D662" s="10">
        <v>1311</v>
      </c>
      <c r="E662" s="10">
        <v>382857</v>
      </c>
      <c r="F662" t="s">
        <v>96</v>
      </c>
      <c r="G662" t="s">
        <v>105</v>
      </c>
    </row>
    <row r="663" spans="1:7">
      <c r="A663" s="10">
        <v>2021</v>
      </c>
      <c r="B663" s="10">
        <v>5</v>
      </c>
      <c r="C663" s="10" t="s">
        <v>45</v>
      </c>
      <c r="D663" s="10">
        <v>1353</v>
      </c>
      <c r="E663" s="10">
        <v>389400</v>
      </c>
      <c r="F663" t="s">
        <v>96</v>
      </c>
      <c r="G663" t="s">
        <v>105</v>
      </c>
    </row>
    <row r="664" spans="1:7">
      <c r="A664" s="10">
        <v>2021</v>
      </c>
      <c r="B664" s="10">
        <v>6</v>
      </c>
      <c r="C664" s="10" t="s">
        <v>45</v>
      </c>
      <c r="D664" s="10">
        <v>1421</v>
      </c>
      <c r="E664" s="10">
        <v>389999</v>
      </c>
      <c r="F664" t="s">
        <v>96</v>
      </c>
      <c r="G664" t="s">
        <v>105</v>
      </c>
    </row>
    <row r="665" spans="1:7">
      <c r="A665" s="10">
        <v>2021</v>
      </c>
      <c r="B665" s="10">
        <v>7</v>
      </c>
      <c r="C665" s="10" t="s">
        <v>45</v>
      </c>
      <c r="D665" s="10">
        <v>1472</v>
      </c>
      <c r="E665" s="10">
        <v>418864</v>
      </c>
      <c r="F665" t="s">
        <v>96</v>
      </c>
      <c r="G665" t="s">
        <v>105</v>
      </c>
    </row>
    <row r="666" spans="1:7">
      <c r="A666" s="10">
        <v>2021</v>
      </c>
      <c r="B666" s="10">
        <v>8</v>
      </c>
      <c r="C666" s="10" t="s">
        <v>45</v>
      </c>
      <c r="D666" s="10">
        <v>1530</v>
      </c>
      <c r="E666" s="10">
        <v>417285</v>
      </c>
      <c r="F666" t="s">
        <v>96</v>
      </c>
      <c r="G666" t="s">
        <v>105</v>
      </c>
    </row>
    <row r="667" spans="1:7">
      <c r="A667" s="10">
        <v>2021</v>
      </c>
      <c r="B667" s="10">
        <v>9</v>
      </c>
      <c r="C667" s="10" t="s">
        <v>45</v>
      </c>
      <c r="D667" s="10">
        <v>1616</v>
      </c>
      <c r="E667" s="10">
        <v>445161</v>
      </c>
      <c r="F667" t="s">
        <v>96</v>
      </c>
      <c r="G667" t="s">
        <v>105</v>
      </c>
    </row>
    <row r="668" spans="1:7">
      <c r="A668" s="10">
        <v>2021</v>
      </c>
      <c r="B668" s="10">
        <v>10</v>
      </c>
      <c r="C668" s="10" t="s">
        <v>45</v>
      </c>
      <c r="D668" s="10">
        <v>1645</v>
      </c>
      <c r="E668" s="10">
        <v>461079</v>
      </c>
      <c r="F668" t="s">
        <v>96</v>
      </c>
      <c r="G668" t="s">
        <v>105</v>
      </c>
    </row>
    <row r="669" spans="1:7">
      <c r="A669" s="10">
        <v>2021</v>
      </c>
      <c r="B669" s="10">
        <v>11</v>
      </c>
      <c r="C669" s="10" t="s">
        <v>45</v>
      </c>
      <c r="D669" s="10">
        <v>1592</v>
      </c>
      <c r="E669" s="10">
        <v>480000</v>
      </c>
      <c r="F669" t="s">
        <v>96</v>
      </c>
      <c r="G669" t="s">
        <v>105</v>
      </c>
    </row>
    <row r="670" spans="1:7">
      <c r="A670" s="10">
        <v>2021</v>
      </c>
      <c r="B670" s="10">
        <v>12</v>
      </c>
      <c r="C670" s="10" t="s">
        <v>45</v>
      </c>
      <c r="D670" s="10">
        <v>1679</v>
      </c>
      <c r="E670" s="10">
        <v>549085</v>
      </c>
      <c r="F670" t="s">
        <v>96</v>
      </c>
      <c r="G670" t="s">
        <v>105</v>
      </c>
    </row>
    <row r="671" spans="1:7">
      <c r="A671" s="10">
        <v>2022</v>
      </c>
      <c r="B671" s="10">
        <v>1</v>
      </c>
      <c r="C671" s="10" t="s">
        <v>45</v>
      </c>
      <c r="D671" s="10">
        <v>1746</v>
      </c>
      <c r="E671" s="10">
        <v>575000</v>
      </c>
      <c r="F671" t="s">
        <v>96</v>
      </c>
      <c r="G671" t="s">
        <v>105</v>
      </c>
    </row>
    <row r="672" spans="1:7">
      <c r="A672" s="10">
        <v>2022</v>
      </c>
      <c r="B672" s="10">
        <v>2</v>
      </c>
      <c r="C672" s="10" t="s">
        <v>45</v>
      </c>
      <c r="D672" s="10">
        <v>1865</v>
      </c>
      <c r="E672" s="10">
        <v>636739</v>
      </c>
      <c r="F672" t="s">
        <v>96</v>
      </c>
      <c r="G672" t="s">
        <v>105</v>
      </c>
    </row>
    <row r="673" spans="1:7">
      <c r="A673" s="10">
        <v>2022</v>
      </c>
      <c r="B673" s="10">
        <v>3</v>
      </c>
      <c r="C673" s="10" t="s">
        <v>45</v>
      </c>
      <c r="D673" s="10">
        <v>2050</v>
      </c>
      <c r="E673" s="10">
        <v>699999</v>
      </c>
      <c r="F673" t="s">
        <v>96</v>
      </c>
      <c r="G673" t="s">
        <v>105</v>
      </c>
    </row>
    <row r="674" spans="1:7">
      <c r="A674" s="10">
        <v>2022</v>
      </c>
      <c r="B674" s="10">
        <v>4</v>
      </c>
      <c r="C674" s="10" t="s">
        <v>45</v>
      </c>
      <c r="D674" s="10">
        <v>2286</v>
      </c>
      <c r="E674" s="10">
        <v>775625</v>
      </c>
      <c r="F674" t="s">
        <v>96</v>
      </c>
      <c r="G674" t="s">
        <v>105</v>
      </c>
    </row>
    <row r="675" spans="1:7">
      <c r="A675" s="10">
        <v>2022</v>
      </c>
      <c r="B675" s="10">
        <v>5</v>
      </c>
      <c r="C675" s="10" t="s">
        <v>45</v>
      </c>
      <c r="D675" s="10">
        <v>2425</v>
      </c>
      <c r="E675" s="10">
        <v>862500</v>
      </c>
      <c r="F675" t="s">
        <v>96</v>
      </c>
      <c r="G675" t="s">
        <v>105</v>
      </c>
    </row>
    <row r="676" spans="1:7">
      <c r="A676" s="10">
        <v>2022</v>
      </c>
      <c r="B676" s="10">
        <v>6</v>
      </c>
      <c r="C676" s="10" t="s">
        <v>45</v>
      </c>
      <c r="D676" s="10">
        <v>2685</v>
      </c>
      <c r="E676" s="10">
        <v>979636</v>
      </c>
      <c r="F676" t="s">
        <v>96</v>
      </c>
      <c r="G676" t="s">
        <v>105</v>
      </c>
    </row>
    <row r="677" spans="1:7">
      <c r="A677" s="10">
        <v>2022</v>
      </c>
      <c r="B677" s="10">
        <v>7</v>
      </c>
      <c r="C677" s="10" t="s">
        <v>45</v>
      </c>
      <c r="D677" s="10">
        <v>2617</v>
      </c>
      <c r="E677" s="10">
        <v>1105263</v>
      </c>
      <c r="F677" t="s">
        <v>96</v>
      </c>
      <c r="G677" t="s">
        <v>105</v>
      </c>
    </row>
    <row r="678" spans="1:7">
      <c r="A678" s="10">
        <v>2022</v>
      </c>
      <c r="B678" s="10">
        <v>8</v>
      </c>
      <c r="C678" s="10" t="s">
        <v>45</v>
      </c>
      <c r="D678" s="10">
        <v>3525</v>
      </c>
      <c r="E678" s="10">
        <v>1200000</v>
      </c>
      <c r="F678" t="s">
        <v>96</v>
      </c>
      <c r="G678" t="s">
        <v>105</v>
      </c>
    </row>
    <row r="679" spans="1:7">
      <c r="A679" s="10">
        <v>2022</v>
      </c>
      <c r="B679" s="10">
        <v>9</v>
      </c>
      <c r="C679" s="10" t="s">
        <v>45</v>
      </c>
      <c r="D679" s="10">
        <v>4235</v>
      </c>
      <c r="E679" s="10">
        <v>1250004</v>
      </c>
      <c r="F679" t="s">
        <v>96</v>
      </c>
      <c r="G679" t="s">
        <v>105</v>
      </c>
    </row>
    <row r="680" spans="1:7">
      <c r="A680" s="10">
        <v>2022</v>
      </c>
      <c r="B680" s="10">
        <v>10</v>
      </c>
      <c r="C680" s="10" t="s">
        <v>45</v>
      </c>
      <c r="D680" s="10">
        <v>4404</v>
      </c>
      <c r="E680" s="10">
        <v>1320552</v>
      </c>
      <c r="F680" t="s">
        <v>96</v>
      </c>
      <c r="G680" t="s">
        <v>105</v>
      </c>
    </row>
    <row r="681" spans="1:7">
      <c r="A681" s="10">
        <v>2022</v>
      </c>
      <c r="B681" s="10">
        <v>11</v>
      </c>
      <c r="C681" s="10" t="s">
        <v>45</v>
      </c>
      <c r="D681" s="10">
        <v>4505</v>
      </c>
      <c r="E681" s="10">
        <v>1384620</v>
      </c>
      <c r="F681" t="s">
        <v>96</v>
      </c>
      <c r="G681" t="s">
        <v>105</v>
      </c>
    </row>
    <row r="682" spans="1:7">
      <c r="A682" s="10">
        <v>2022</v>
      </c>
      <c r="B682" s="10">
        <v>12</v>
      </c>
      <c r="C682" s="10" t="s">
        <v>45</v>
      </c>
      <c r="D682" s="10">
        <v>4803</v>
      </c>
      <c r="E682" s="10">
        <v>1471272</v>
      </c>
      <c r="F682" t="s">
        <v>96</v>
      </c>
      <c r="G682" t="s">
        <v>105</v>
      </c>
    </row>
    <row r="683" spans="1:7">
      <c r="A683" s="10">
        <v>2021</v>
      </c>
      <c r="B683" s="10">
        <v>4</v>
      </c>
      <c r="C683" s="10" t="s">
        <v>46</v>
      </c>
      <c r="D683" s="10">
        <v>1304</v>
      </c>
      <c r="E683" s="10">
        <v>376200</v>
      </c>
      <c r="F683" t="s">
        <v>131</v>
      </c>
      <c r="G683" t="s">
        <v>132</v>
      </c>
    </row>
    <row r="684" spans="1:7">
      <c r="A684" s="10">
        <v>2021</v>
      </c>
      <c r="B684" s="10">
        <v>5</v>
      </c>
      <c r="C684" s="10" t="s">
        <v>46</v>
      </c>
      <c r="D684" s="10">
        <v>1395</v>
      </c>
      <c r="E684" s="10">
        <v>386155</v>
      </c>
      <c r="F684" t="s">
        <v>131</v>
      </c>
      <c r="G684" t="s">
        <v>132</v>
      </c>
    </row>
    <row r="685" spans="1:7">
      <c r="A685" s="10">
        <v>2021</v>
      </c>
      <c r="B685" s="10">
        <v>6</v>
      </c>
      <c r="C685" s="10" t="s">
        <v>46</v>
      </c>
      <c r="D685" s="10">
        <v>1368</v>
      </c>
      <c r="E685" s="10">
        <v>393429</v>
      </c>
      <c r="F685" t="s">
        <v>131</v>
      </c>
      <c r="G685" t="s">
        <v>132</v>
      </c>
    </row>
    <row r="686" spans="1:7">
      <c r="A686" s="10">
        <v>2021</v>
      </c>
      <c r="B686" s="10">
        <v>7</v>
      </c>
      <c r="C686" s="10" t="s">
        <v>46</v>
      </c>
      <c r="D686" s="10">
        <v>1347</v>
      </c>
      <c r="E686" s="10">
        <v>398621</v>
      </c>
      <c r="F686" t="s">
        <v>131</v>
      </c>
      <c r="G686" t="s">
        <v>132</v>
      </c>
    </row>
    <row r="687" spans="1:7">
      <c r="A687" s="10">
        <v>2021</v>
      </c>
      <c r="B687" s="10">
        <v>8</v>
      </c>
      <c r="C687" s="10" t="s">
        <v>46</v>
      </c>
      <c r="D687" s="10">
        <v>1383</v>
      </c>
      <c r="E687" s="10">
        <v>409773</v>
      </c>
      <c r="F687" t="s">
        <v>131</v>
      </c>
      <c r="G687" t="s">
        <v>132</v>
      </c>
    </row>
    <row r="688" spans="1:7">
      <c r="A688" s="10">
        <v>2021</v>
      </c>
      <c r="B688" s="10">
        <v>9</v>
      </c>
      <c r="C688" s="10" t="s">
        <v>46</v>
      </c>
      <c r="D688" s="10">
        <v>1405</v>
      </c>
      <c r="E688" s="10">
        <v>422424</v>
      </c>
      <c r="F688" t="s">
        <v>131</v>
      </c>
      <c r="G688" t="s">
        <v>132</v>
      </c>
    </row>
    <row r="689" spans="1:7">
      <c r="A689" s="10">
        <v>2021</v>
      </c>
      <c r="B689" s="10">
        <v>10</v>
      </c>
      <c r="C689" s="10" t="s">
        <v>46</v>
      </c>
      <c r="D689" s="10">
        <v>1354</v>
      </c>
      <c r="E689" s="10">
        <v>433279</v>
      </c>
      <c r="F689" t="s">
        <v>131</v>
      </c>
      <c r="G689" t="s">
        <v>132</v>
      </c>
    </row>
    <row r="690" spans="1:7">
      <c r="A690" s="10">
        <v>2021</v>
      </c>
      <c r="B690" s="10">
        <v>11</v>
      </c>
      <c r="C690" s="10" t="s">
        <v>46</v>
      </c>
      <c r="D690" s="10">
        <v>1345</v>
      </c>
      <c r="E690" s="10">
        <v>454807</v>
      </c>
      <c r="F690" t="s">
        <v>131</v>
      </c>
      <c r="G690" t="s">
        <v>132</v>
      </c>
    </row>
    <row r="691" spans="1:7">
      <c r="A691" s="10">
        <v>2021</v>
      </c>
      <c r="B691" s="10">
        <v>12</v>
      </c>
      <c r="C691" s="10" t="s">
        <v>46</v>
      </c>
      <c r="D691" s="10">
        <v>1324</v>
      </c>
      <c r="E691" s="10">
        <v>519316</v>
      </c>
      <c r="F691" t="s">
        <v>131</v>
      </c>
      <c r="G691" t="s">
        <v>132</v>
      </c>
    </row>
    <row r="692" spans="1:7">
      <c r="A692" s="10">
        <v>2022</v>
      </c>
      <c r="B692" s="10">
        <v>1</v>
      </c>
      <c r="C692" s="10" t="s">
        <v>46</v>
      </c>
      <c r="D692" s="10">
        <v>1275</v>
      </c>
      <c r="E692" s="10">
        <v>566666</v>
      </c>
      <c r="F692" t="s">
        <v>131</v>
      </c>
      <c r="G692" t="s">
        <v>132</v>
      </c>
    </row>
    <row r="693" spans="1:7">
      <c r="A693" s="10">
        <v>2022</v>
      </c>
      <c r="B693" s="10">
        <v>2</v>
      </c>
      <c r="C693" s="10" t="s">
        <v>46</v>
      </c>
      <c r="D693" s="10">
        <v>1291</v>
      </c>
      <c r="E693" s="10">
        <v>572557</v>
      </c>
      <c r="F693" t="s">
        <v>131</v>
      </c>
      <c r="G693" t="s">
        <v>132</v>
      </c>
    </row>
    <row r="694" spans="1:7">
      <c r="A694" s="10">
        <v>2022</v>
      </c>
      <c r="B694" s="10">
        <v>3</v>
      </c>
      <c r="C694" s="10" t="s">
        <v>46</v>
      </c>
      <c r="D694" s="10">
        <v>1314</v>
      </c>
      <c r="E694" s="10">
        <v>616102</v>
      </c>
      <c r="F694" t="s">
        <v>131</v>
      </c>
      <c r="G694" t="s">
        <v>132</v>
      </c>
    </row>
    <row r="695" spans="1:7">
      <c r="A695" s="10">
        <v>2022</v>
      </c>
      <c r="B695" s="10">
        <v>4</v>
      </c>
      <c r="C695" s="10" t="s">
        <v>46</v>
      </c>
      <c r="D695" s="10">
        <v>1323</v>
      </c>
      <c r="E695" s="10">
        <v>659394</v>
      </c>
      <c r="F695" t="s">
        <v>131</v>
      </c>
      <c r="G695" t="s">
        <v>132</v>
      </c>
    </row>
    <row r="696" spans="1:7">
      <c r="A696" s="10">
        <v>2022</v>
      </c>
      <c r="B696" s="10">
        <v>5</v>
      </c>
      <c r="C696" s="10" t="s">
        <v>46</v>
      </c>
      <c r="D696" s="10">
        <v>1317</v>
      </c>
      <c r="E696" s="10">
        <v>719150</v>
      </c>
      <c r="F696" t="s">
        <v>131</v>
      </c>
      <c r="G696" t="s">
        <v>132</v>
      </c>
    </row>
    <row r="697" spans="1:7">
      <c r="A697" s="10">
        <v>2022</v>
      </c>
      <c r="B697" s="10">
        <v>6</v>
      </c>
      <c r="C697" s="10" t="s">
        <v>46</v>
      </c>
      <c r="D697" s="10">
        <v>1391</v>
      </c>
      <c r="E697" s="10">
        <v>789286</v>
      </c>
      <c r="F697" t="s">
        <v>131</v>
      </c>
      <c r="G697" t="s">
        <v>132</v>
      </c>
    </row>
    <row r="698" spans="1:7">
      <c r="A698" s="10">
        <v>2022</v>
      </c>
      <c r="B698" s="10">
        <v>7</v>
      </c>
      <c r="C698" s="10" t="s">
        <v>46</v>
      </c>
      <c r="D698" s="10">
        <v>1460</v>
      </c>
      <c r="E698" s="10">
        <v>850000</v>
      </c>
      <c r="F698" t="s">
        <v>131</v>
      </c>
      <c r="G698" t="s">
        <v>132</v>
      </c>
    </row>
    <row r="699" spans="1:7">
      <c r="A699" s="10">
        <v>2022</v>
      </c>
      <c r="B699" s="10">
        <v>8</v>
      </c>
      <c r="C699" s="10" t="s">
        <v>46</v>
      </c>
      <c r="D699" s="10">
        <v>1509</v>
      </c>
      <c r="E699" s="10">
        <v>897222</v>
      </c>
      <c r="F699" t="s">
        <v>131</v>
      </c>
      <c r="G699" t="s">
        <v>132</v>
      </c>
    </row>
    <row r="700" spans="1:7">
      <c r="A700" s="10">
        <v>2022</v>
      </c>
      <c r="B700" s="10">
        <v>9</v>
      </c>
      <c r="C700" s="10" t="s">
        <v>46</v>
      </c>
      <c r="D700" s="10">
        <v>1585</v>
      </c>
      <c r="E700" s="10">
        <v>927273</v>
      </c>
      <c r="F700" t="s">
        <v>131</v>
      </c>
      <c r="G700" t="s">
        <v>132</v>
      </c>
    </row>
    <row r="701" spans="1:7">
      <c r="A701" s="10">
        <v>2022</v>
      </c>
      <c r="B701" s="10">
        <v>10</v>
      </c>
      <c r="C701" s="10" t="s">
        <v>46</v>
      </c>
      <c r="D701" s="10">
        <v>1754</v>
      </c>
      <c r="E701" s="10">
        <v>971429</v>
      </c>
      <c r="F701" t="s">
        <v>131</v>
      </c>
      <c r="G701" t="s">
        <v>132</v>
      </c>
    </row>
    <row r="702" spans="1:7">
      <c r="A702" s="10">
        <v>2022</v>
      </c>
      <c r="B702" s="10">
        <v>11</v>
      </c>
      <c r="C702" s="10" t="s">
        <v>46</v>
      </c>
      <c r="D702" s="10">
        <v>1937</v>
      </c>
      <c r="E702" s="10">
        <v>1020000</v>
      </c>
      <c r="F702" t="s">
        <v>131</v>
      </c>
      <c r="G702" t="s">
        <v>132</v>
      </c>
    </row>
    <row r="703" spans="1:7">
      <c r="A703" s="10">
        <v>2022</v>
      </c>
      <c r="B703" s="10">
        <v>12</v>
      </c>
      <c r="C703" s="10" t="s">
        <v>46</v>
      </c>
      <c r="D703" s="10">
        <v>2106</v>
      </c>
      <c r="E703" s="10">
        <v>1081024</v>
      </c>
      <c r="F703" t="s">
        <v>131</v>
      </c>
      <c r="G703" t="s">
        <v>132</v>
      </c>
    </row>
    <row r="704" spans="1:7">
      <c r="A704" s="10">
        <v>2021</v>
      </c>
      <c r="B704" s="10">
        <v>4</v>
      </c>
      <c r="C704" s="10" t="s">
        <v>47</v>
      </c>
      <c r="D704" s="10">
        <v>1125</v>
      </c>
      <c r="E704" s="10">
        <v>392712</v>
      </c>
      <c r="F704" t="s">
        <v>128</v>
      </c>
      <c r="G704" t="s">
        <v>130</v>
      </c>
    </row>
    <row r="705" spans="1:7">
      <c r="A705" s="10">
        <v>2021</v>
      </c>
      <c r="B705" s="10">
        <v>5</v>
      </c>
      <c r="C705" s="10" t="s">
        <v>47</v>
      </c>
      <c r="D705" s="10">
        <v>1109</v>
      </c>
      <c r="E705" s="10">
        <v>380384</v>
      </c>
      <c r="F705" t="s">
        <v>128</v>
      </c>
      <c r="G705" t="s">
        <v>130</v>
      </c>
    </row>
    <row r="706" spans="1:7">
      <c r="A706" s="10">
        <v>2021</v>
      </c>
      <c r="B706" s="10">
        <v>6</v>
      </c>
      <c r="C706" s="10" t="s">
        <v>47</v>
      </c>
      <c r="D706" s="10">
        <v>1224</v>
      </c>
      <c r="E706" s="10">
        <v>412221</v>
      </c>
      <c r="F706" t="s">
        <v>128</v>
      </c>
      <c r="G706" t="s">
        <v>130</v>
      </c>
    </row>
    <row r="707" spans="1:7">
      <c r="A707" s="10">
        <v>2021</v>
      </c>
      <c r="B707" s="10">
        <v>7</v>
      </c>
      <c r="C707" s="10" t="s">
        <v>47</v>
      </c>
      <c r="D707" s="10">
        <v>1313</v>
      </c>
      <c r="E707" s="10">
        <v>423070</v>
      </c>
      <c r="F707" t="s">
        <v>128</v>
      </c>
      <c r="G707" t="s">
        <v>130</v>
      </c>
    </row>
    <row r="708" spans="1:7">
      <c r="A708" s="10">
        <v>2021</v>
      </c>
      <c r="B708" s="10">
        <v>8</v>
      </c>
      <c r="C708" s="10" t="s">
        <v>47</v>
      </c>
      <c r="D708" s="10">
        <v>1377</v>
      </c>
      <c r="E708" s="10">
        <v>417000</v>
      </c>
      <c r="F708" t="s">
        <v>128</v>
      </c>
      <c r="G708" t="s">
        <v>130</v>
      </c>
    </row>
    <row r="709" spans="1:7">
      <c r="A709" s="10">
        <v>2021</v>
      </c>
      <c r="B709" s="10">
        <v>9</v>
      </c>
      <c r="C709" s="10" t="s">
        <v>47</v>
      </c>
      <c r="D709" s="10">
        <v>1371</v>
      </c>
      <c r="E709" s="10">
        <v>434000</v>
      </c>
      <c r="F709" t="s">
        <v>128</v>
      </c>
      <c r="G709" t="s">
        <v>130</v>
      </c>
    </row>
    <row r="710" spans="1:7">
      <c r="A710" s="10">
        <v>2021</v>
      </c>
      <c r="B710" s="10">
        <v>10</v>
      </c>
      <c r="C710" s="10" t="s">
        <v>47</v>
      </c>
      <c r="D710" s="10">
        <v>1435</v>
      </c>
      <c r="E710" s="10">
        <v>451315</v>
      </c>
      <c r="F710" t="s">
        <v>128</v>
      </c>
      <c r="G710" t="s">
        <v>130</v>
      </c>
    </row>
    <row r="711" spans="1:7">
      <c r="A711" s="10">
        <v>2021</v>
      </c>
      <c r="B711" s="10">
        <v>11</v>
      </c>
      <c r="C711" s="10" t="s">
        <v>47</v>
      </c>
      <c r="D711" s="10">
        <v>1449</v>
      </c>
      <c r="E711" s="10">
        <v>477930</v>
      </c>
      <c r="F711" t="s">
        <v>128</v>
      </c>
      <c r="G711" t="s">
        <v>130</v>
      </c>
    </row>
    <row r="712" spans="1:7">
      <c r="A712" s="10">
        <v>2021</v>
      </c>
      <c r="B712" s="10">
        <v>12</v>
      </c>
      <c r="C712" s="10" t="s">
        <v>47</v>
      </c>
      <c r="D712" s="10">
        <v>1459</v>
      </c>
      <c r="E712" s="10">
        <v>539509</v>
      </c>
      <c r="F712" t="s">
        <v>128</v>
      </c>
      <c r="G712" t="s">
        <v>130</v>
      </c>
    </row>
    <row r="713" spans="1:7">
      <c r="A713" s="10">
        <v>2022</v>
      </c>
      <c r="B713" s="10">
        <v>1</v>
      </c>
      <c r="C713" s="10" t="s">
        <v>47</v>
      </c>
      <c r="D713" s="10">
        <v>1466</v>
      </c>
      <c r="E713" s="10">
        <v>583333</v>
      </c>
      <c r="F713" t="s">
        <v>128</v>
      </c>
      <c r="G713" t="s">
        <v>130</v>
      </c>
    </row>
    <row r="714" spans="1:7">
      <c r="A714" s="10">
        <v>2022</v>
      </c>
      <c r="B714" s="10">
        <v>2</v>
      </c>
      <c r="C714" s="10" t="s">
        <v>47</v>
      </c>
      <c r="D714" s="10">
        <v>1542</v>
      </c>
      <c r="E714" s="10">
        <v>612500</v>
      </c>
      <c r="F714" t="s">
        <v>128</v>
      </c>
      <c r="G714" t="s">
        <v>130</v>
      </c>
    </row>
    <row r="715" spans="1:7">
      <c r="A715" s="10">
        <v>2022</v>
      </c>
      <c r="B715" s="10">
        <v>3</v>
      </c>
      <c r="C715" s="10" t="s">
        <v>47</v>
      </c>
      <c r="D715" s="10">
        <v>1630</v>
      </c>
      <c r="E715" s="10">
        <v>653543</v>
      </c>
      <c r="F715" t="s">
        <v>128</v>
      </c>
      <c r="G715" t="s">
        <v>130</v>
      </c>
    </row>
    <row r="716" spans="1:7">
      <c r="A716" s="10">
        <v>2022</v>
      </c>
      <c r="B716" s="10">
        <v>4</v>
      </c>
      <c r="C716" s="10" t="s">
        <v>47</v>
      </c>
      <c r="D716" s="10">
        <v>1709</v>
      </c>
      <c r="E716" s="10">
        <v>709667</v>
      </c>
      <c r="F716" t="s">
        <v>128</v>
      </c>
      <c r="G716" t="s">
        <v>130</v>
      </c>
    </row>
    <row r="717" spans="1:7">
      <c r="A717" s="10">
        <v>2022</v>
      </c>
      <c r="B717" s="10">
        <v>5</v>
      </c>
      <c r="C717" s="10" t="s">
        <v>47</v>
      </c>
      <c r="D717" s="10">
        <v>1822</v>
      </c>
      <c r="E717" s="10">
        <v>799817</v>
      </c>
      <c r="F717" t="s">
        <v>128</v>
      </c>
      <c r="G717" t="s">
        <v>130</v>
      </c>
    </row>
    <row r="718" spans="1:7">
      <c r="A718" s="10">
        <v>2022</v>
      </c>
      <c r="B718" s="10">
        <v>6</v>
      </c>
      <c r="C718" s="10" t="s">
        <v>47</v>
      </c>
      <c r="D718" s="10">
        <v>2184</v>
      </c>
      <c r="E718" s="10">
        <v>844827</v>
      </c>
      <c r="F718" t="s">
        <v>128</v>
      </c>
      <c r="G718" t="s">
        <v>130</v>
      </c>
    </row>
    <row r="719" spans="1:7">
      <c r="A719" s="10">
        <v>2022</v>
      </c>
      <c r="B719" s="10">
        <v>7</v>
      </c>
      <c r="C719" s="10" t="s">
        <v>47</v>
      </c>
      <c r="D719" s="10">
        <v>2656</v>
      </c>
      <c r="E719" s="10">
        <v>904493</v>
      </c>
      <c r="F719" t="s">
        <v>128</v>
      </c>
      <c r="G719" t="s">
        <v>130</v>
      </c>
    </row>
    <row r="720" spans="1:7">
      <c r="A720" s="10">
        <v>2022</v>
      </c>
      <c r="B720" s="10">
        <v>8</v>
      </c>
      <c r="C720" s="10" t="s">
        <v>47</v>
      </c>
      <c r="D720" s="10">
        <v>2898</v>
      </c>
      <c r="E720" s="10">
        <v>957895</v>
      </c>
      <c r="F720" t="s">
        <v>128</v>
      </c>
      <c r="G720" t="s">
        <v>130</v>
      </c>
    </row>
    <row r="721" spans="1:7">
      <c r="A721" s="10">
        <v>2022</v>
      </c>
      <c r="B721" s="10">
        <v>9</v>
      </c>
      <c r="C721" s="10" t="s">
        <v>47</v>
      </c>
      <c r="D721" s="10">
        <v>2985</v>
      </c>
      <c r="E721" s="10">
        <v>991666</v>
      </c>
      <c r="F721" t="s">
        <v>128</v>
      </c>
      <c r="G721" t="s">
        <v>130</v>
      </c>
    </row>
    <row r="722" spans="1:7">
      <c r="A722" s="10">
        <v>2022</v>
      </c>
      <c r="B722" s="10">
        <v>10</v>
      </c>
      <c r="C722" s="10" t="s">
        <v>47</v>
      </c>
      <c r="D722" s="10">
        <v>2876</v>
      </c>
      <c r="E722" s="10">
        <v>1053763</v>
      </c>
      <c r="F722" t="s">
        <v>128</v>
      </c>
      <c r="G722" t="s">
        <v>130</v>
      </c>
    </row>
    <row r="723" spans="1:7">
      <c r="A723" s="10">
        <v>2022</v>
      </c>
      <c r="B723" s="10">
        <v>11</v>
      </c>
      <c r="C723" s="10" t="s">
        <v>47</v>
      </c>
      <c r="D723" s="10">
        <v>3021</v>
      </c>
      <c r="E723" s="10">
        <v>1045454</v>
      </c>
      <c r="F723" t="s">
        <v>128</v>
      </c>
      <c r="G723" t="s">
        <v>130</v>
      </c>
    </row>
    <row r="724" spans="1:7">
      <c r="A724" s="10">
        <v>2022</v>
      </c>
      <c r="B724" s="10">
        <v>12</v>
      </c>
      <c r="C724" s="10" t="s">
        <v>47</v>
      </c>
      <c r="D724" s="10">
        <v>3007</v>
      </c>
      <c r="E724" s="10">
        <v>1117883</v>
      </c>
      <c r="F724" t="s">
        <v>128</v>
      </c>
      <c r="G724" t="s">
        <v>130</v>
      </c>
    </row>
    <row r="725" spans="1:7">
      <c r="A725" s="10">
        <v>2021</v>
      </c>
      <c r="B725" s="10">
        <v>4</v>
      </c>
      <c r="C725" s="10" t="s">
        <v>48</v>
      </c>
      <c r="D725" s="10">
        <v>929</v>
      </c>
      <c r="E725" s="10">
        <v>289000</v>
      </c>
      <c r="F725" t="s">
        <v>128</v>
      </c>
      <c r="G725" t="s">
        <v>130</v>
      </c>
    </row>
    <row r="726" spans="1:7">
      <c r="A726" s="10">
        <v>2021</v>
      </c>
      <c r="B726" s="10">
        <v>5</v>
      </c>
      <c r="C726" s="10" t="s">
        <v>48</v>
      </c>
      <c r="D726" s="10">
        <v>973</v>
      </c>
      <c r="E726" s="10">
        <v>293713</v>
      </c>
      <c r="F726" t="s">
        <v>128</v>
      </c>
      <c r="G726" t="s">
        <v>130</v>
      </c>
    </row>
    <row r="727" spans="1:7">
      <c r="A727" s="10">
        <v>2021</v>
      </c>
      <c r="B727" s="10">
        <v>6</v>
      </c>
      <c r="C727" s="10" t="s">
        <v>48</v>
      </c>
      <c r="D727" s="10">
        <v>995</v>
      </c>
      <c r="E727" s="10">
        <v>319657</v>
      </c>
      <c r="F727" t="s">
        <v>128</v>
      </c>
      <c r="G727" t="s">
        <v>130</v>
      </c>
    </row>
    <row r="728" spans="1:7">
      <c r="A728" s="10">
        <v>2021</v>
      </c>
      <c r="B728" s="10">
        <v>7</v>
      </c>
      <c r="C728" s="10" t="s">
        <v>48</v>
      </c>
      <c r="D728" s="10">
        <v>1050</v>
      </c>
      <c r="E728" s="10">
        <v>325351</v>
      </c>
      <c r="F728" t="s">
        <v>128</v>
      </c>
      <c r="G728" t="s">
        <v>130</v>
      </c>
    </row>
    <row r="729" spans="1:7">
      <c r="A729" s="10">
        <v>2021</v>
      </c>
      <c r="B729" s="10">
        <v>8</v>
      </c>
      <c r="C729" s="10" t="s">
        <v>48</v>
      </c>
      <c r="D729" s="10">
        <v>1204</v>
      </c>
      <c r="E729" s="10">
        <v>336911</v>
      </c>
      <c r="F729" t="s">
        <v>128</v>
      </c>
      <c r="G729" t="s">
        <v>130</v>
      </c>
    </row>
    <row r="730" spans="1:7">
      <c r="A730" s="10">
        <v>2021</v>
      </c>
      <c r="B730" s="10">
        <v>9</v>
      </c>
      <c r="C730" s="10" t="s">
        <v>48</v>
      </c>
      <c r="D730" s="10">
        <v>1242</v>
      </c>
      <c r="E730" s="10">
        <v>355781</v>
      </c>
      <c r="F730" t="s">
        <v>128</v>
      </c>
      <c r="G730" t="s">
        <v>130</v>
      </c>
    </row>
    <row r="731" spans="1:7">
      <c r="A731" s="10">
        <v>2021</v>
      </c>
      <c r="B731" s="10">
        <v>10</v>
      </c>
      <c r="C731" s="10" t="s">
        <v>48</v>
      </c>
      <c r="D731" s="10">
        <v>1312</v>
      </c>
      <c r="E731" s="10">
        <v>380768</v>
      </c>
      <c r="F731" t="s">
        <v>128</v>
      </c>
      <c r="G731" t="s">
        <v>130</v>
      </c>
    </row>
    <row r="732" spans="1:7">
      <c r="A732" s="10">
        <v>2021</v>
      </c>
      <c r="B732" s="10">
        <v>11</v>
      </c>
      <c r="C732" s="10" t="s">
        <v>48</v>
      </c>
      <c r="D732" s="10">
        <v>1339</v>
      </c>
      <c r="E732" s="10">
        <v>423065</v>
      </c>
      <c r="F732" t="s">
        <v>128</v>
      </c>
      <c r="G732" t="s">
        <v>130</v>
      </c>
    </row>
    <row r="733" spans="1:7">
      <c r="A733" s="10">
        <v>2021</v>
      </c>
      <c r="B733" s="10">
        <v>12</v>
      </c>
      <c r="C733" s="10" t="s">
        <v>48</v>
      </c>
      <c r="D733" s="10">
        <v>1398</v>
      </c>
      <c r="E733" s="10">
        <v>460000</v>
      </c>
      <c r="F733" t="s">
        <v>128</v>
      </c>
      <c r="G733" t="s">
        <v>130</v>
      </c>
    </row>
    <row r="734" spans="1:7">
      <c r="A734" s="10">
        <v>2022</v>
      </c>
      <c r="B734" s="10">
        <v>1</v>
      </c>
      <c r="C734" s="10" t="s">
        <v>48</v>
      </c>
      <c r="D734" s="10">
        <v>1423</v>
      </c>
      <c r="E734" s="10">
        <v>504581</v>
      </c>
      <c r="F734" t="s">
        <v>128</v>
      </c>
      <c r="G734" t="s">
        <v>130</v>
      </c>
    </row>
    <row r="735" spans="1:7">
      <c r="A735" s="10">
        <v>2022</v>
      </c>
      <c r="B735" s="10">
        <v>2</v>
      </c>
      <c r="C735" s="10" t="s">
        <v>48</v>
      </c>
      <c r="D735" s="10">
        <v>1510</v>
      </c>
      <c r="E735" s="10">
        <v>515625</v>
      </c>
      <c r="F735" t="s">
        <v>128</v>
      </c>
      <c r="G735" t="s">
        <v>130</v>
      </c>
    </row>
    <row r="736" spans="1:7">
      <c r="A736" s="10">
        <v>2022</v>
      </c>
      <c r="B736" s="10">
        <v>3</v>
      </c>
      <c r="C736" s="10" t="s">
        <v>48</v>
      </c>
      <c r="D736" s="10">
        <v>1547</v>
      </c>
      <c r="E736" s="10">
        <v>564400</v>
      </c>
      <c r="F736" t="s">
        <v>128</v>
      </c>
      <c r="G736" t="s">
        <v>130</v>
      </c>
    </row>
    <row r="737" spans="1:7">
      <c r="A737" s="10">
        <v>2022</v>
      </c>
      <c r="B737" s="10">
        <v>4</v>
      </c>
      <c r="C737" s="10" t="s">
        <v>48</v>
      </c>
      <c r="D737" s="10">
        <v>1603</v>
      </c>
      <c r="E737" s="10">
        <v>597163</v>
      </c>
      <c r="F737" t="s">
        <v>128</v>
      </c>
      <c r="G737" t="s">
        <v>130</v>
      </c>
    </row>
    <row r="738" spans="1:7">
      <c r="A738" s="10">
        <v>2022</v>
      </c>
      <c r="B738" s="10">
        <v>5</v>
      </c>
      <c r="C738" s="10" t="s">
        <v>48</v>
      </c>
      <c r="D738" s="10">
        <v>1747</v>
      </c>
      <c r="E738" s="10">
        <v>677026</v>
      </c>
      <c r="F738" t="s">
        <v>128</v>
      </c>
      <c r="G738" t="s">
        <v>130</v>
      </c>
    </row>
    <row r="739" spans="1:7">
      <c r="A739" s="10">
        <v>2022</v>
      </c>
      <c r="B739" s="10">
        <v>6</v>
      </c>
      <c r="C739" s="10" t="s">
        <v>48</v>
      </c>
      <c r="D739" s="10">
        <v>2085</v>
      </c>
      <c r="E739" s="10">
        <v>742500</v>
      </c>
      <c r="F739" t="s">
        <v>128</v>
      </c>
      <c r="G739" t="s">
        <v>130</v>
      </c>
    </row>
    <row r="740" spans="1:7">
      <c r="A740" s="10">
        <v>2022</v>
      </c>
      <c r="B740" s="10">
        <v>7</v>
      </c>
      <c r="C740" s="10" t="s">
        <v>48</v>
      </c>
      <c r="D740" s="10">
        <v>2422</v>
      </c>
      <c r="E740" s="10">
        <v>808500</v>
      </c>
      <c r="F740" t="s">
        <v>128</v>
      </c>
      <c r="G740" t="s">
        <v>130</v>
      </c>
    </row>
    <row r="741" spans="1:7">
      <c r="A741" s="10">
        <v>2022</v>
      </c>
      <c r="B741" s="10">
        <v>8</v>
      </c>
      <c r="C741" s="10" t="s">
        <v>48</v>
      </c>
      <c r="D741" s="10">
        <v>2750</v>
      </c>
      <c r="E741" s="10">
        <v>830238</v>
      </c>
      <c r="F741" t="s">
        <v>128</v>
      </c>
      <c r="G741" t="s">
        <v>130</v>
      </c>
    </row>
    <row r="742" spans="1:7">
      <c r="A742" s="10">
        <v>2022</v>
      </c>
      <c r="B742" s="10">
        <v>9</v>
      </c>
      <c r="C742" s="10" t="s">
        <v>48</v>
      </c>
      <c r="D742" s="10">
        <v>2943</v>
      </c>
      <c r="E742" s="10">
        <v>874500</v>
      </c>
      <c r="F742" t="s">
        <v>128</v>
      </c>
      <c r="G742" t="s">
        <v>130</v>
      </c>
    </row>
    <row r="743" spans="1:7">
      <c r="A743" s="10">
        <v>2022</v>
      </c>
      <c r="B743" s="10">
        <v>10</v>
      </c>
      <c r="C743" s="10" t="s">
        <v>48</v>
      </c>
      <c r="D743" s="10">
        <v>3040</v>
      </c>
      <c r="E743" s="10">
        <v>917812</v>
      </c>
      <c r="F743" t="s">
        <v>128</v>
      </c>
      <c r="G743" t="s">
        <v>130</v>
      </c>
    </row>
    <row r="744" spans="1:7">
      <c r="A744" s="10">
        <v>2022</v>
      </c>
      <c r="B744" s="10">
        <v>11</v>
      </c>
      <c r="C744" s="10" t="s">
        <v>48</v>
      </c>
      <c r="D744" s="10">
        <v>2988</v>
      </c>
      <c r="E744" s="10">
        <v>937894</v>
      </c>
      <c r="F744" t="s">
        <v>128</v>
      </c>
      <c r="G744" t="s">
        <v>130</v>
      </c>
    </row>
    <row r="745" spans="1:7">
      <c r="A745" s="10">
        <v>2022</v>
      </c>
      <c r="B745" s="10">
        <v>12</v>
      </c>
      <c r="C745" s="10" t="s">
        <v>48</v>
      </c>
      <c r="D745" s="10">
        <v>3058</v>
      </c>
      <c r="E745" s="10">
        <v>959999</v>
      </c>
      <c r="F745" t="s">
        <v>128</v>
      </c>
      <c r="G745" t="s">
        <v>130</v>
      </c>
    </row>
    <row r="746" spans="1:7">
      <c r="A746" s="10">
        <v>2021</v>
      </c>
      <c r="B746" s="10">
        <v>4</v>
      </c>
      <c r="C746" s="10" t="s">
        <v>49</v>
      </c>
      <c r="D746" s="10">
        <v>1050</v>
      </c>
      <c r="E746" s="10">
        <v>358800</v>
      </c>
      <c r="F746" t="s">
        <v>98</v>
      </c>
      <c r="G746" t="s">
        <v>111</v>
      </c>
    </row>
    <row r="747" spans="1:7">
      <c r="A747" s="10">
        <v>2021</v>
      </c>
      <c r="B747" s="10">
        <v>5</v>
      </c>
      <c r="C747" s="10" t="s">
        <v>49</v>
      </c>
      <c r="D747" s="10">
        <v>1043</v>
      </c>
      <c r="E747" s="10">
        <v>365000</v>
      </c>
      <c r="F747" t="s">
        <v>98</v>
      </c>
      <c r="G747" t="s">
        <v>111</v>
      </c>
    </row>
    <row r="748" spans="1:7">
      <c r="A748" s="10">
        <v>2021</v>
      </c>
      <c r="B748" s="10">
        <v>6</v>
      </c>
      <c r="C748" s="10" t="s">
        <v>49</v>
      </c>
      <c r="D748" s="10">
        <v>1106</v>
      </c>
      <c r="E748" s="10">
        <v>384300</v>
      </c>
      <c r="F748" t="s">
        <v>98</v>
      </c>
      <c r="G748" t="s">
        <v>111</v>
      </c>
    </row>
    <row r="749" spans="1:7">
      <c r="A749" s="10">
        <v>2021</v>
      </c>
      <c r="B749" s="10">
        <v>7</v>
      </c>
      <c r="C749" s="10" t="s">
        <v>49</v>
      </c>
      <c r="D749" s="10">
        <v>1148</v>
      </c>
      <c r="E749" s="10">
        <v>407608</v>
      </c>
      <c r="F749" t="s">
        <v>98</v>
      </c>
      <c r="G749" t="s">
        <v>111</v>
      </c>
    </row>
    <row r="750" spans="1:7">
      <c r="A750" s="10">
        <v>2021</v>
      </c>
      <c r="B750" s="10">
        <v>8</v>
      </c>
      <c r="C750" s="10" t="s">
        <v>49</v>
      </c>
      <c r="D750" s="10">
        <v>1236</v>
      </c>
      <c r="E750" s="10">
        <v>418455</v>
      </c>
      <c r="F750" t="s">
        <v>98</v>
      </c>
      <c r="G750" t="s">
        <v>111</v>
      </c>
    </row>
    <row r="751" spans="1:7">
      <c r="A751" s="10">
        <v>2021</v>
      </c>
      <c r="B751" s="10">
        <v>9</v>
      </c>
      <c r="C751" s="10" t="s">
        <v>49</v>
      </c>
      <c r="D751" s="10">
        <v>1430</v>
      </c>
      <c r="E751" s="10">
        <v>432692</v>
      </c>
      <c r="F751" t="s">
        <v>98</v>
      </c>
      <c r="G751" t="s">
        <v>111</v>
      </c>
    </row>
    <row r="752" spans="1:7">
      <c r="A752" s="10">
        <v>2021</v>
      </c>
      <c r="B752" s="10">
        <v>10</v>
      </c>
      <c r="C752" s="10" t="s">
        <v>49</v>
      </c>
      <c r="D752" s="10">
        <v>1611</v>
      </c>
      <c r="E752" s="10">
        <v>458956</v>
      </c>
      <c r="F752" t="s">
        <v>98</v>
      </c>
      <c r="G752" t="s">
        <v>111</v>
      </c>
    </row>
    <row r="753" spans="1:7">
      <c r="A753" s="10">
        <v>2021</v>
      </c>
      <c r="B753" s="10">
        <v>11</v>
      </c>
      <c r="C753" s="10" t="s">
        <v>49</v>
      </c>
      <c r="D753" s="10">
        <v>1654</v>
      </c>
      <c r="E753" s="10">
        <v>495612</v>
      </c>
      <c r="F753" t="s">
        <v>98</v>
      </c>
      <c r="G753" t="s">
        <v>111</v>
      </c>
    </row>
    <row r="754" spans="1:7">
      <c r="A754" s="10">
        <v>2021</v>
      </c>
      <c r="B754" s="10">
        <v>12</v>
      </c>
      <c r="C754" s="10" t="s">
        <v>49</v>
      </c>
      <c r="D754" s="10">
        <v>1747</v>
      </c>
      <c r="E754" s="10">
        <v>606667</v>
      </c>
      <c r="F754" t="s">
        <v>98</v>
      </c>
      <c r="G754" t="s">
        <v>111</v>
      </c>
    </row>
    <row r="755" spans="1:7">
      <c r="A755" s="10">
        <v>2022</v>
      </c>
      <c r="B755" s="10">
        <v>1</v>
      </c>
      <c r="C755" s="10" t="s">
        <v>49</v>
      </c>
      <c r="D755" s="10">
        <v>1771</v>
      </c>
      <c r="E755" s="10">
        <v>650000</v>
      </c>
      <c r="F755" t="s">
        <v>98</v>
      </c>
      <c r="G755" t="s">
        <v>111</v>
      </c>
    </row>
    <row r="756" spans="1:7">
      <c r="A756" s="10">
        <v>2022</v>
      </c>
      <c r="B756" s="10">
        <v>2</v>
      </c>
      <c r="C756" s="10" t="s">
        <v>49</v>
      </c>
      <c r="D756" s="10">
        <v>1865</v>
      </c>
      <c r="E756" s="10">
        <v>688235</v>
      </c>
      <c r="F756" t="s">
        <v>98</v>
      </c>
      <c r="G756" t="s">
        <v>111</v>
      </c>
    </row>
    <row r="757" spans="1:7">
      <c r="A757" s="10">
        <v>2022</v>
      </c>
      <c r="B757" s="10">
        <v>3</v>
      </c>
      <c r="C757" s="10" t="s">
        <v>49</v>
      </c>
      <c r="D757" s="10">
        <v>2007</v>
      </c>
      <c r="E757" s="10">
        <v>741000</v>
      </c>
      <c r="F757" t="s">
        <v>98</v>
      </c>
      <c r="G757" t="s">
        <v>111</v>
      </c>
    </row>
    <row r="758" spans="1:7">
      <c r="A758" s="10">
        <v>2022</v>
      </c>
      <c r="B758" s="10">
        <v>4</v>
      </c>
      <c r="C758" s="10" t="s">
        <v>49</v>
      </c>
      <c r="D758" s="10">
        <v>2258</v>
      </c>
      <c r="E758" s="10">
        <v>800000</v>
      </c>
      <c r="F758" t="s">
        <v>98</v>
      </c>
      <c r="G758" t="s">
        <v>111</v>
      </c>
    </row>
    <row r="759" spans="1:7">
      <c r="A759" s="10">
        <v>2022</v>
      </c>
      <c r="B759" s="10">
        <v>5</v>
      </c>
      <c r="C759" s="10" t="s">
        <v>49</v>
      </c>
      <c r="D759" s="10">
        <v>2638</v>
      </c>
      <c r="E759" s="10">
        <v>891220</v>
      </c>
      <c r="F759" t="s">
        <v>98</v>
      </c>
      <c r="G759" t="s">
        <v>111</v>
      </c>
    </row>
    <row r="760" spans="1:7">
      <c r="A760" s="10">
        <v>2022</v>
      </c>
      <c r="B760" s="10">
        <v>6</v>
      </c>
      <c r="C760" s="10" t="s">
        <v>49</v>
      </c>
      <c r="D760" s="10">
        <v>3055</v>
      </c>
      <c r="E760" s="10">
        <v>948148</v>
      </c>
      <c r="F760" t="s">
        <v>98</v>
      </c>
      <c r="G760" t="s">
        <v>111</v>
      </c>
    </row>
    <row r="761" spans="1:7">
      <c r="A761" s="10">
        <v>2022</v>
      </c>
      <c r="B761" s="10">
        <v>7</v>
      </c>
      <c r="C761" s="10" t="s">
        <v>49</v>
      </c>
      <c r="D761" s="10">
        <v>3556</v>
      </c>
      <c r="E761" s="10">
        <v>1059259</v>
      </c>
      <c r="F761" t="s">
        <v>98</v>
      </c>
      <c r="G761" t="s">
        <v>111</v>
      </c>
    </row>
    <row r="762" spans="1:7">
      <c r="A762" s="10">
        <v>2022</v>
      </c>
      <c r="B762" s="10">
        <v>8</v>
      </c>
      <c r="C762" s="10" t="s">
        <v>49</v>
      </c>
      <c r="D762" s="10">
        <v>3968</v>
      </c>
      <c r="E762" s="10">
        <v>1108823</v>
      </c>
      <c r="F762" t="s">
        <v>98</v>
      </c>
      <c r="G762" t="s">
        <v>111</v>
      </c>
    </row>
    <row r="763" spans="1:7">
      <c r="A763" s="10">
        <v>2022</v>
      </c>
      <c r="B763" s="10">
        <v>9</v>
      </c>
      <c r="C763" s="10" t="s">
        <v>49</v>
      </c>
      <c r="D763" s="10">
        <v>4157</v>
      </c>
      <c r="E763" s="10">
        <v>1165736</v>
      </c>
      <c r="F763" t="s">
        <v>98</v>
      </c>
      <c r="G763" t="s">
        <v>111</v>
      </c>
    </row>
    <row r="764" spans="1:7">
      <c r="A764" s="10">
        <v>2022</v>
      </c>
      <c r="B764" s="10">
        <v>10</v>
      </c>
      <c r="C764" s="10" t="s">
        <v>49</v>
      </c>
      <c r="D764" s="10">
        <v>4051</v>
      </c>
      <c r="E764" s="10">
        <v>1228423</v>
      </c>
      <c r="F764" t="s">
        <v>98</v>
      </c>
      <c r="G764" t="s">
        <v>111</v>
      </c>
    </row>
    <row r="765" spans="1:7">
      <c r="A765" s="10">
        <v>2022</v>
      </c>
      <c r="B765" s="10">
        <v>11</v>
      </c>
      <c r="C765" s="10" t="s">
        <v>49</v>
      </c>
      <c r="D765" s="10">
        <v>4088</v>
      </c>
      <c r="E765" s="10">
        <v>1300000</v>
      </c>
      <c r="F765" t="s">
        <v>98</v>
      </c>
      <c r="G765" t="s">
        <v>111</v>
      </c>
    </row>
    <row r="766" spans="1:7">
      <c r="A766" s="10">
        <v>2022</v>
      </c>
      <c r="B766" s="10">
        <v>12</v>
      </c>
      <c r="C766" s="10" t="s">
        <v>49</v>
      </c>
      <c r="D766" s="10">
        <v>4116</v>
      </c>
      <c r="E766" s="10">
        <v>1365000</v>
      </c>
      <c r="F766" t="s">
        <v>98</v>
      </c>
      <c r="G766" t="s">
        <v>111</v>
      </c>
    </row>
    <row r="767" spans="1:7">
      <c r="A767" s="10">
        <v>2021</v>
      </c>
      <c r="B767" s="10">
        <v>4</v>
      </c>
      <c r="C767" s="10" t="s">
        <v>50</v>
      </c>
      <c r="D767" s="10">
        <v>2050</v>
      </c>
      <c r="E767" s="10">
        <v>531143</v>
      </c>
      <c r="F767" t="s">
        <v>124</v>
      </c>
      <c r="G767" t="s">
        <v>125</v>
      </c>
    </row>
    <row r="768" spans="1:7">
      <c r="A768" s="10">
        <v>2021</v>
      </c>
      <c r="B768" s="10">
        <v>5</v>
      </c>
      <c r="C768" s="10" t="s">
        <v>50</v>
      </c>
      <c r="D768" s="10">
        <v>2142</v>
      </c>
      <c r="E768" s="10">
        <v>547499</v>
      </c>
      <c r="F768" t="s">
        <v>124</v>
      </c>
      <c r="G768" t="s">
        <v>125</v>
      </c>
    </row>
    <row r="769" spans="1:7">
      <c r="A769" s="10">
        <v>2021</v>
      </c>
      <c r="B769" s="10">
        <v>6</v>
      </c>
      <c r="C769" s="10" t="s">
        <v>50</v>
      </c>
      <c r="D769" s="10">
        <v>2100</v>
      </c>
      <c r="E769" s="10">
        <v>595000</v>
      </c>
      <c r="F769" t="s">
        <v>124</v>
      </c>
      <c r="G769" t="s">
        <v>125</v>
      </c>
    </row>
    <row r="770" spans="1:7">
      <c r="A770" s="10">
        <v>2021</v>
      </c>
      <c r="B770" s="10">
        <v>7</v>
      </c>
      <c r="C770" s="10" t="s">
        <v>50</v>
      </c>
      <c r="D770" s="10">
        <v>2275</v>
      </c>
      <c r="E770" s="10">
        <v>616856</v>
      </c>
      <c r="F770" t="s">
        <v>124</v>
      </c>
      <c r="G770" t="s">
        <v>125</v>
      </c>
    </row>
    <row r="771" spans="1:7">
      <c r="A771" s="10">
        <v>2021</v>
      </c>
      <c r="B771" s="10">
        <v>8</v>
      </c>
      <c r="C771" s="10" t="s">
        <v>50</v>
      </c>
      <c r="D771" s="10">
        <v>2221</v>
      </c>
      <c r="E771" s="10">
        <v>642222</v>
      </c>
      <c r="F771" t="s">
        <v>124</v>
      </c>
      <c r="G771" t="s">
        <v>125</v>
      </c>
    </row>
    <row r="772" spans="1:7">
      <c r="A772" s="10">
        <v>2021</v>
      </c>
      <c r="B772" s="10">
        <v>9</v>
      </c>
      <c r="C772" s="10" t="s">
        <v>50</v>
      </c>
      <c r="D772" s="10">
        <v>2433</v>
      </c>
      <c r="E772" s="10">
        <v>663000</v>
      </c>
      <c r="F772" t="s">
        <v>124</v>
      </c>
      <c r="G772" t="s">
        <v>125</v>
      </c>
    </row>
    <row r="773" spans="1:7">
      <c r="A773" s="10">
        <v>2021</v>
      </c>
      <c r="B773" s="10">
        <v>10</v>
      </c>
      <c r="C773" s="10" t="s">
        <v>50</v>
      </c>
      <c r="D773" s="10">
        <v>2521</v>
      </c>
      <c r="E773" s="10">
        <v>706841</v>
      </c>
      <c r="F773" t="s">
        <v>124</v>
      </c>
      <c r="G773" t="s">
        <v>125</v>
      </c>
    </row>
    <row r="774" spans="1:7">
      <c r="A774" s="10">
        <v>2021</v>
      </c>
      <c r="B774" s="10">
        <v>11</v>
      </c>
      <c r="C774" s="10" t="s">
        <v>50</v>
      </c>
      <c r="D774" s="10">
        <v>2605</v>
      </c>
      <c r="E774" s="10">
        <v>774445</v>
      </c>
      <c r="F774" t="s">
        <v>124</v>
      </c>
      <c r="G774" t="s">
        <v>125</v>
      </c>
    </row>
    <row r="775" spans="1:7">
      <c r="A775" s="10">
        <v>2021</v>
      </c>
      <c r="B775" s="10">
        <v>12</v>
      </c>
      <c r="C775" s="10" t="s">
        <v>50</v>
      </c>
      <c r="D775" s="10">
        <v>2700</v>
      </c>
      <c r="E775" s="10">
        <v>935000</v>
      </c>
      <c r="F775" t="s">
        <v>124</v>
      </c>
      <c r="G775" t="s">
        <v>125</v>
      </c>
    </row>
    <row r="776" spans="1:7">
      <c r="A776" s="10">
        <v>2022</v>
      </c>
      <c r="B776" s="10">
        <v>1</v>
      </c>
      <c r="C776" s="10" t="s">
        <v>50</v>
      </c>
      <c r="D776" s="10">
        <v>2838</v>
      </c>
      <c r="E776" s="10">
        <v>982352</v>
      </c>
      <c r="F776" t="s">
        <v>124</v>
      </c>
      <c r="G776" t="s">
        <v>125</v>
      </c>
    </row>
    <row r="777" spans="1:7">
      <c r="A777" s="10">
        <v>2022</v>
      </c>
      <c r="B777" s="10">
        <v>2</v>
      </c>
      <c r="C777" s="10" t="s">
        <v>50</v>
      </c>
      <c r="D777" s="10">
        <v>3075</v>
      </c>
      <c r="E777" s="10">
        <v>1009800</v>
      </c>
      <c r="F777" t="s">
        <v>124</v>
      </c>
      <c r="G777" t="s">
        <v>125</v>
      </c>
    </row>
    <row r="778" spans="1:7">
      <c r="A778" s="10">
        <v>2022</v>
      </c>
      <c r="B778" s="10">
        <v>3</v>
      </c>
      <c r="C778" s="10" t="s">
        <v>50</v>
      </c>
      <c r="D778" s="10">
        <v>3286</v>
      </c>
      <c r="E778" s="10">
        <v>1081033</v>
      </c>
      <c r="F778" t="s">
        <v>124</v>
      </c>
      <c r="G778" t="s">
        <v>125</v>
      </c>
    </row>
    <row r="779" spans="1:7">
      <c r="A779" s="10">
        <v>2022</v>
      </c>
      <c r="B779" s="10">
        <v>4</v>
      </c>
      <c r="C779" s="10" t="s">
        <v>50</v>
      </c>
      <c r="D779" s="10">
        <v>3450</v>
      </c>
      <c r="E779" s="10">
        <v>1162174</v>
      </c>
      <c r="F779" t="s">
        <v>124</v>
      </c>
      <c r="G779" t="s">
        <v>125</v>
      </c>
    </row>
    <row r="780" spans="1:7">
      <c r="A780" s="10">
        <v>2022</v>
      </c>
      <c r="B780" s="10">
        <v>5</v>
      </c>
      <c r="C780" s="10" t="s">
        <v>50</v>
      </c>
      <c r="D780" s="10">
        <v>3808</v>
      </c>
      <c r="E780" s="10">
        <v>1278750</v>
      </c>
      <c r="F780" t="s">
        <v>124</v>
      </c>
      <c r="G780" t="s">
        <v>125</v>
      </c>
    </row>
    <row r="781" spans="1:7">
      <c r="A781" s="10">
        <v>2022</v>
      </c>
      <c r="B781" s="10">
        <v>6</v>
      </c>
      <c r="C781" s="10" t="s">
        <v>50</v>
      </c>
      <c r="D781" s="10">
        <v>4042</v>
      </c>
      <c r="E781" s="10">
        <v>1341539</v>
      </c>
      <c r="F781" t="s">
        <v>124</v>
      </c>
      <c r="G781" t="s">
        <v>125</v>
      </c>
    </row>
    <row r="782" spans="1:7">
      <c r="A782" s="10">
        <v>2022</v>
      </c>
      <c r="B782" s="10">
        <v>7</v>
      </c>
      <c r="C782" s="10" t="s">
        <v>50</v>
      </c>
      <c r="D782" s="10">
        <v>4399</v>
      </c>
      <c r="E782" s="10">
        <v>1417142</v>
      </c>
      <c r="F782" t="s">
        <v>124</v>
      </c>
      <c r="G782" t="s">
        <v>125</v>
      </c>
    </row>
    <row r="783" spans="1:7">
      <c r="A783" s="10">
        <v>2022</v>
      </c>
      <c r="B783" s="10">
        <v>8</v>
      </c>
      <c r="C783" s="10" t="s">
        <v>50</v>
      </c>
      <c r="D783" s="10">
        <v>4900</v>
      </c>
      <c r="E783" s="10">
        <v>1463384</v>
      </c>
      <c r="F783" t="s">
        <v>124</v>
      </c>
      <c r="G783" t="s">
        <v>125</v>
      </c>
    </row>
    <row r="784" spans="1:7">
      <c r="A784" s="10">
        <v>2022</v>
      </c>
      <c r="B784" s="10">
        <v>9</v>
      </c>
      <c r="C784" s="10" t="s">
        <v>50</v>
      </c>
      <c r="D784" s="10">
        <v>5067</v>
      </c>
      <c r="E784" s="10">
        <v>1481481</v>
      </c>
      <c r="F784" t="s">
        <v>124</v>
      </c>
      <c r="G784" t="s">
        <v>125</v>
      </c>
    </row>
    <row r="785" spans="1:7">
      <c r="A785" s="10">
        <v>2022</v>
      </c>
      <c r="B785" s="10">
        <v>10</v>
      </c>
      <c r="C785" s="10" t="s">
        <v>50</v>
      </c>
      <c r="D785" s="10">
        <v>5235</v>
      </c>
      <c r="E785" s="10">
        <v>1513332</v>
      </c>
      <c r="F785" t="s">
        <v>124</v>
      </c>
      <c r="G785" t="s">
        <v>125</v>
      </c>
    </row>
    <row r="786" spans="1:7">
      <c r="A786" s="10">
        <v>2022</v>
      </c>
      <c r="B786" s="10">
        <v>11</v>
      </c>
      <c r="C786" s="10" t="s">
        <v>50</v>
      </c>
      <c r="D786" s="10">
        <v>5437</v>
      </c>
      <c r="E786" s="10">
        <v>1550000</v>
      </c>
      <c r="F786" t="s">
        <v>124</v>
      </c>
      <c r="G786" t="s">
        <v>125</v>
      </c>
    </row>
    <row r="787" spans="1:7">
      <c r="A787" s="10">
        <v>2022</v>
      </c>
      <c r="B787" s="10">
        <v>12</v>
      </c>
      <c r="C787" s="10" t="s">
        <v>50</v>
      </c>
      <c r="D787" s="10">
        <v>5396</v>
      </c>
      <c r="E787" s="10">
        <v>1600000</v>
      </c>
      <c r="F787" t="s">
        <v>124</v>
      </c>
      <c r="G787" t="s">
        <v>125</v>
      </c>
    </row>
    <row r="788" spans="1:7">
      <c r="A788" s="10">
        <v>2021</v>
      </c>
      <c r="B788" s="10">
        <v>4</v>
      </c>
      <c r="C788" s="10" t="s">
        <v>51</v>
      </c>
      <c r="D788" s="10">
        <v>1215</v>
      </c>
      <c r="E788" s="10">
        <v>362500</v>
      </c>
      <c r="F788" t="s">
        <v>103</v>
      </c>
      <c r="G788" t="s">
        <v>123</v>
      </c>
    </row>
    <row r="789" spans="1:7">
      <c r="A789" s="10">
        <v>2021</v>
      </c>
      <c r="B789" s="10">
        <v>5</v>
      </c>
      <c r="C789" s="10" t="s">
        <v>51</v>
      </c>
      <c r="D789" s="10">
        <v>1250</v>
      </c>
      <c r="E789" s="10">
        <v>369999</v>
      </c>
      <c r="F789" t="s">
        <v>103</v>
      </c>
      <c r="G789" t="s">
        <v>123</v>
      </c>
    </row>
    <row r="790" spans="1:7">
      <c r="A790" s="10">
        <v>2021</v>
      </c>
      <c r="B790" s="10">
        <v>6</v>
      </c>
      <c r="C790" s="10" t="s">
        <v>51</v>
      </c>
      <c r="D790" s="10">
        <v>1260</v>
      </c>
      <c r="E790" s="10">
        <v>377546</v>
      </c>
      <c r="F790" t="s">
        <v>103</v>
      </c>
      <c r="G790" t="s">
        <v>123</v>
      </c>
    </row>
    <row r="791" spans="1:7">
      <c r="A791" s="10">
        <v>2021</v>
      </c>
      <c r="B791" s="10">
        <v>7</v>
      </c>
      <c r="C791" s="10" t="s">
        <v>51</v>
      </c>
      <c r="D791" s="10">
        <v>1250</v>
      </c>
      <c r="E791" s="10">
        <v>394021</v>
      </c>
      <c r="F791" t="s">
        <v>103</v>
      </c>
      <c r="G791" t="s">
        <v>123</v>
      </c>
    </row>
    <row r="792" spans="1:7">
      <c r="A792" s="10">
        <v>2021</v>
      </c>
      <c r="B792" s="10">
        <v>8</v>
      </c>
      <c r="C792" s="10" t="s">
        <v>51</v>
      </c>
      <c r="D792" s="10">
        <v>1331</v>
      </c>
      <c r="E792" s="10">
        <v>404242</v>
      </c>
      <c r="F792" t="s">
        <v>103</v>
      </c>
      <c r="G792" t="s">
        <v>123</v>
      </c>
    </row>
    <row r="793" spans="1:7">
      <c r="A793" s="10">
        <v>2021</v>
      </c>
      <c r="B793" s="10">
        <v>9</v>
      </c>
      <c r="C793" s="10" t="s">
        <v>51</v>
      </c>
      <c r="D793" s="10">
        <v>1353</v>
      </c>
      <c r="E793" s="10">
        <v>416934</v>
      </c>
      <c r="F793" t="s">
        <v>103</v>
      </c>
      <c r="G793" t="s">
        <v>123</v>
      </c>
    </row>
    <row r="794" spans="1:7">
      <c r="A794" s="10">
        <v>2021</v>
      </c>
      <c r="B794" s="10">
        <v>10</v>
      </c>
      <c r="C794" s="10" t="s">
        <v>51</v>
      </c>
      <c r="D794" s="10">
        <v>1397</v>
      </c>
      <c r="E794" s="10">
        <v>414400</v>
      </c>
      <c r="F794" t="s">
        <v>103</v>
      </c>
      <c r="G794" t="s">
        <v>123</v>
      </c>
    </row>
    <row r="795" spans="1:7">
      <c r="A795" s="10">
        <v>2021</v>
      </c>
      <c r="B795" s="10">
        <v>11</v>
      </c>
      <c r="C795" s="10" t="s">
        <v>51</v>
      </c>
      <c r="D795" s="10">
        <v>1379</v>
      </c>
      <c r="E795" s="10">
        <v>444949</v>
      </c>
      <c r="F795" t="s">
        <v>103</v>
      </c>
      <c r="G795" t="s">
        <v>123</v>
      </c>
    </row>
    <row r="796" spans="1:7">
      <c r="A796" s="10">
        <v>2021</v>
      </c>
      <c r="B796" s="10">
        <v>12</v>
      </c>
      <c r="C796" s="10" t="s">
        <v>51</v>
      </c>
      <c r="D796" s="10">
        <v>1470</v>
      </c>
      <c r="E796" s="10">
        <v>523610</v>
      </c>
      <c r="F796" t="s">
        <v>103</v>
      </c>
      <c r="G796" t="s">
        <v>123</v>
      </c>
    </row>
    <row r="797" spans="1:7">
      <c r="A797" s="10">
        <v>2022</v>
      </c>
      <c r="B797" s="10">
        <v>1</v>
      </c>
      <c r="C797" s="10" t="s">
        <v>51</v>
      </c>
      <c r="D797" s="10">
        <v>1563</v>
      </c>
      <c r="E797" s="10">
        <v>570705</v>
      </c>
      <c r="F797" t="s">
        <v>103</v>
      </c>
      <c r="G797" t="s">
        <v>123</v>
      </c>
    </row>
    <row r="798" spans="1:7">
      <c r="A798" s="10">
        <v>2022</v>
      </c>
      <c r="B798" s="10">
        <v>2</v>
      </c>
      <c r="C798" s="10" t="s">
        <v>51</v>
      </c>
      <c r="D798" s="10">
        <v>1576</v>
      </c>
      <c r="E798" s="10">
        <v>587586</v>
      </c>
      <c r="F798" t="s">
        <v>103</v>
      </c>
      <c r="G798" t="s">
        <v>123</v>
      </c>
    </row>
    <row r="799" spans="1:7">
      <c r="A799" s="10">
        <v>2022</v>
      </c>
      <c r="B799" s="10">
        <v>3</v>
      </c>
      <c r="C799" s="10" t="s">
        <v>51</v>
      </c>
      <c r="D799" s="10">
        <v>1729</v>
      </c>
      <c r="E799" s="10">
        <v>663541</v>
      </c>
      <c r="F799" t="s">
        <v>103</v>
      </c>
      <c r="G799" t="s">
        <v>123</v>
      </c>
    </row>
    <row r="800" spans="1:7">
      <c r="A800" s="10">
        <v>2022</v>
      </c>
      <c r="B800" s="10">
        <v>4</v>
      </c>
      <c r="C800" s="10" t="s">
        <v>51</v>
      </c>
      <c r="D800" s="10">
        <v>1779</v>
      </c>
      <c r="E800" s="10">
        <v>734149</v>
      </c>
      <c r="F800" t="s">
        <v>103</v>
      </c>
      <c r="G800" t="s">
        <v>123</v>
      </c>
    </row>
    <row r="801" spans="1:7">
      <c r="A801" s="10">
        <v>2022</v>
      </c>
      <c r="B801" s="10">
        <v>5</v>
      </c>
      <c r="C801" s="10" t="s">
        <v>51</v>
      </c>
      <c r="D801" s="10">
        <v>1999</v>
      </c>
      <c r="E801" s="10">
        <v>810574</v>
      </c>
      <c r="F801" t="s">
        <v>103</v>
      </c>
      <c r="G801" t="s">
        <v>123</v>
      </c>
    </row>
    <row r="802" spans="1:7">
      <c r="A802" s="10">
        <v>2022</v>
      </c>
      <c r="B802" s="10">
        <v>6</v>
      </c>
      <c r="C802" s="10" t="s">
        <v>51</v>
      </c>
      <c r="D802" s="10">
        <v>2033</v>
      </c>
      <c r="E802" s="10">
        <v>900000</v>
      </c>
      <c r="F802" t="s">
        <v>103</v>
      </c>
      <c r="G802" t="s">
        <v>123</v>
      </c>
    </row>
    <row r="803" spans="1:7">
      <c r="A803" s="10">
        <v>2022</v>
      </c>
      <c r="B803" s="10">
        <v>7</v>
      </c>
      <c r="C803" s="10" t="s">
        <v>51</v>
      </c>
      <c r="D803" s="10">
        <v>2287</v>
      </c>
      <c r="E803" s="10">
        <v>1013653</v>
      </c>
      <c r="F803" t="s">
        <v>103</v>
      </c>
      <c r="G803" t="s">
        <v>123</v>
      </c>
    </row>
    <row r="804" spans="1:7">
      <c r="A804" s="10">
        <v>2022</v>
      </c>
      <c r="B804" s="10">
        <v>8</v>
      </c>
      <c r="C804" s="10" t="s">
        <v>51</v>
      </c>
      <c r="D804" s="10">
        <v>2500</v>
      </c>
      <c r="E804" s="10">
        <v>1062000</v>
      </c>
      <c r="F804" t="s">
        <v>103</v>
      </c>
      <c r="G804" t="s">
        <v>123</v>
      </c>
    </row>
    <row r="805" spans="1:7">
      <c r="A805" s="10">
        <v>2022</v>
      </c>
      <c r="B805" s="10">
        <v>9</v>
      </c>
      <c r="C805" s="10" t="s">
        <v>51</v>
      </c>
      <c r="D805" s="10">
        <v>2888</v>
      </c>
      <c r="E805" s="10">
        <v>1064922</v>
      </c>
      <c r="F805" t="s">
        <v>103</v>
      </c>
      <c r="G805" t="s">
        <v>123</v>
      </c>
    </row>
    <row r="806" spans="1:7">
      <c r="A806" s="10">
        <v>2022</v>
      </c>
      <c r="B806" s="10">
        <v>10</v>
      </c>
      <c r="C806" s="10" t="s">
        <v>51</v>
      </c>
      <c r="D806" s="10">
        <v>3164</v>
      </c>
      <c r="E806" s="10">
        <v>1116500</v>
      </c>
      <c r="F806" t="s">
        <v>103</v>
      </c>
      <c r="G806" t="s">
        <v>123</v>
      </c>
    </row>
    <row r="807" spans="1:7">
      <c r="A807" s="10">
        <v>2022</v>
      </c>
      <c r="B807" s="10">
        <v>11</v>
      </c>
      <c r="C807" s="10" t="s">
        <v>51</v>
      </c>
      <c r="D807" s="10">
        <v>3148</v>
      </c>
      <c r="E807" s="10">
        <v>1147917</v>
      </c>
      <c r="F807" t="s">
        <v>103</v>
      </c>
      <c r="G807" t="s">
        <v>123</v>
      </c>
    </row>
    <row r="808" spans="1:7">
      <c r="A808" s="10">
        <v>2022</v>
      </c>
      <c r="B808" s="10">
        <v>12</v>
      </c>
      <c r="C808" s="10" t="s">
        <v>51</v>
      </c>
      <c r="D808" s="10">
        <v>3286</v>
      </c>
      <c r="E808" s="10">
        <v>1250311</v>
      </c>
      <c r="F808" t="s">
        <v>103</v>
      </c>
      <c r="G808" t="s">
        <v>123</v>
      </c>
    </row>
    <row r="809" spans="1:7">
      <c r="A809" s="10">
        <v>2021</v>
      </c>
      <c r="B809" s="10">
        <v>4</v>
      </c>
      <c r="C809" s="10" t="s">
        <v>52</v>
      </c>
      <c r="D809" s="10">
        <v>899</v>
      </c>
      <c r="E809" s="10">
        <v>276086</v>
      </c>
      <c r="F809" t="s">
        <v>103</v>
      </c>
      <c r="G809" t="s">
        <v>123</v>
      </c>
    </row>
    <row r="810" spans="1:7">
      <c r="A810" s="10">
        <v>2021</v>
      </c>
      <c r="B810" s="10">
        <v>5</v>
      </c>
      <c r="C810" s="10" t="s">
        <v>52</v>
      </c>
      <c r="D810" s="10">
        <v>876</v>
      </c>
      <c r="E810" s="10">
        <v>287641</v>
      </c>
      <c r="F810" t="s">
        <v>103</v>
      </c>
      <c r="G810" t="s">
        <v>123</v>
      </c>
    </row>
    <row r="811" spans="1:7">
      <c r="A811" s="10">
        <v>2021</v>
      </c>
      <c r="B811" s="10">
        <v>6</v>
      </c>
      <c r="C811" s="10" t="s">
        <v>52</v>
      </c>
      <c r="D811" s="10">
        <v>876</v>
      </c>
      <c r="E811" s="10">
        <v>315204</v>
      </c>
      <c r="F811" t="s">
        <v>103</v>
      </c>
      <c r="G811" t="s">
        <v>123</v>
      </c>
    </row>
    <row r="812" spans="1:7">
      <c r="A812" s="10">
        <v>2021</v>
      </c>
      <c r="B812" s="10">
        <v>7</v>
      </c>
      <c r="C812" s="10" t="s">
        <v>52</v>
      </c>
      <c r="D812" s="10">
        <v>880</v>
      </c>
      <c r="E812" s="10">
        <v>320789</v>
      </c>
      <c r="F812" t="s">
        <v>103</v>
      </c>
      <c r="G812" t="s">
        <v>123</v>
      </c>
    </row>
    <row r="813" spans="1:7">
      <c r="A813" s="10">
        <v>2021</v>
      </c>
      <c r="B813" s="10">
        <v>8</v>
      </c>
      <c r="C813" s="10" t="s">
        <v>52</v>
      </c>
      <c r="D813" s="10">
        <v>963</v>
      </c>
      <c r="E813" s="10">
        <v>347143</v>
      </c>
      <c r="F813" t="s">
        <v>103</v>
      </c>
      <c r="G813" t="s">
        <v>123</v>
      </c>
    </row>
    <row r="814" spans="1:7">
      <c r="A814" s="10">
        <v>2021</v>
      </c>
      <c r="B814" s="10">
        <v>9</v>
      </c>
      <c r="C814" s="10" t="s">
        <v>52</v>
      </c>
      <c r="D814" s="10">
        <v>1110</v>
      </c>
      <c r="E814" s="10">
        <v>335844</v>
      </c>
      <c r="F814" t="s">
        <v>103</v>
      </c>
      <c r="G814" t="s">
        <v>123</v>
      </c>
    </row>
    <row r="815" spans="1:7">
      <c r="A815" s="10">
        <v>2021</v>
      </c>
      <c r="B815" s="10">
        <v>10</v>
      </c>
      <c r="C815" s="10" t="s">
        <v>52</v>
      </c>
      <c r="D815" s="10">
        <v>1072</v>
      </c>
      <c r="E815" s="10">
        <v>339616</v>
      </c>
      <c r="F815" t="s">
        <v>103</v>
      </c>
      <c r="G815" t="s">
        <v>123</v>
      </c>
    </row>
    <row r="816" spans="1:7">
      <c r="A816" s="10">
        <v>2021</v>
      </c>
      <c r="B816" s="10">
        <v>11</v>
      </c>
      <c r="C816" s="10" t="s">
        <v>52</v>
      </c>
      <c r="D816" s="10">
        <v>1198</v>
      </c>
      <c r="E816" s="10">
        <v>373500</v>
      </c>
      <c r="F816" t="s">
        <v>103</v>
      </c>
      <c r="G816" t="s">
        <v>123</v>
      </c>
    </row>
    <row r="817" spans="1:7">
      <c r="A817" s="10">
        <v>2021</v>
      </c>
      <c r="B817" s="10">
        <v>12</v>
      </c>
      <c r="C817" s="10" t="s">
        <v>52</v>
      </c>
      <c r="D817" s="10">
        <v>1088</v>
      </c>
      <c r="E817" s="10">
        <v>427500</v>
      </c>
      <c r="F817" t="s">
        <v>103</v>
      </c>
      <c r="G817" t="s">
        <v>123</v>
      </c>
    </row>
    <row r="818" spans="1:7">
      <c r="A818" s="10">
        <v>2022</v>
      </c>
      <c r="B818" s="10">
        <v>1</v>
      </c>
      <c r="C818" s="10" t="s">
        <v>52</v>
      </c>
      <c r="D818" s="10">
        <v>1065</v>
      </c>
      <c r="E818" s="10">
        <v>456858</v>
      </c>
      <c r="F818" t="s">
        <v>103</v>
      </c>
      <c r="G818" t="s">
        <v>123</v>
      </c>
    </row>
    <row r="819" spans="1:7">
      <c r="A819" s="10">
        <v>2022</v>
      </c>
      <c r="B819" s="10">
        <v>2</v>
      </c>
      <c r="C819" s="10" t="s">
        <v>52</v>
      </c>
      <c r="D819" s="10">
        <v>1071</v>
      </c>
      <c r="E819" s="10">
        <v>500976</v>
      </c>
      <c r="F819" t="s">
        <v>103</v>
      </c>
      <c r="G819" t="s">
        <v>123</v>
      </c>
    </row>
    <row r="820" spans="1:7">
      <c r="A820" s="10">
        <v>2022</v>
      </c>
      <c r="B820" s="10">
        <v>3</v>
      </c>
      <c r="C820" s="10" t="s">
        <v>52</v>
      </c>
      <c r="D820" s="10">
        <v>1230</v>
      </c>
      <c r="E820" s="10">
        <v>508846</v>
      </c>
      <c r="F820" t="s">
        <v>103</v>
      </c>
      <c r="G820" t="s">
        <v>123</v>
      </c>
    </row>
    <row r="821" spans="1:7">
      <c r="A821" s="10">
        <v>2022</v>
      </c>
      <c r="B821" s="10">
        <v>4</v>
      </c>
      <c r="C821" s="10" t="s">
        <v>52</v>
      </c>
      <c r="D821" s="10">
        <v>1139</v>
      </c>
      <c r="E821" s="10">
        <v>564827</v>
      </c>
      <c r="F821" t="s">
        <v>103</v>
      </c>
      <c r="G821" t="s">
        <v>123</v>
      </c>
    </row>
    <row r="822" spans="1:7">
      <c r="A822" s="10">
        <v>2022</v>
      </c>
      <c r="B822" s="10">
        <v>5</v>
      </c>
      <c r="C822" s="10" t="s">
        <v>52</v>
      </c>
      <c r="D822" s="10">
        <v>1419</v>
      </c>
      <c r="E822" s="10">
        <v>653333</v>
      </c>
      <c r="F822" t="s">
        <v>103</v>
      </c>
      <c r="G822" t="s">
        <v>123</v>
      </c>
    </row>
    <row r="823" spans="1:7">
      <c r="A823" s="10">
        <v>2022</v>
      </c>
      <c r="B823" s="10">
        <v>6</v>
      </c>
      <c r="C823" s="10" t="s">
        <v>52</v>
      </c>
      <c r="D823" s="10">
        <v>1798</v>
      </c>
      <c r="E823" s="10">
        <v>758578</v>
      </c>
      <c r="F823" t="s">
        <v>103</v>
      </c>
      <c r="G823" t="s">
        <v>123</v>
      </c>
    </row>
    <row r="824" spans="1:7">
      <c r="A824" s="10">
        <v>2022</v>
      </c>
      <c r="B824" s="10">
        <v>7</v>
      </c>
      <c r="C824" s="10" t="s">
        <v>52</v>
      </c>
      <c r="D824" s="10">
        <v>2082</v>
      </c>
      <c r="E824" s="10">
        <v>833637</v>
      </c>
      <c r="F824" t="s">
        <v>103</v>
      </c>
      <c r="G824" t="s">
        <v>123</v>
      </c>
    </row>
    <row r="825" spans="1:7">
      <c r="A825" s="10">
        <v>2022</v>
      </c>
      <c r="B825" s="10">
        <v>8</v>
      </c>
      <c r="C825" s="10" t="s">
        <v>52</v>
      </c>
      <c r="D825" s="10">
        <v>2128</v>
      </c>
      <c r="E825" s="10">
        <v>864705</v>
      </c>
      <c r="F825" t="s">
        <v>103</v>
      </c>
      <c r="G825" t="s">
        <v>123</v>
      </c>
    </row>
    <row r="826" spans="1:7">
      <c r="A826" s="10">
        <v>2022</v>
      </c>
      <c r="B826" s="10">
        <v>9</v>
      </c>
      <c r="C826" s="10" t="s">
        <v>52</v>
      </c>
      <c r="D826" s="10">
        <v>2254</v>
      </c>
      <c r="E826" s="10">
        <v>886666</v>
      </c>
      <c r="F826" t="s">
        <v>103</v>
      </c>
      <c r="G826" t="s">
        <v>123</v>
      </c>
    </row>
    <row r="827" spans="1:7">
      <c r="A827" s="10">
        <v>2022</v>
      </c>
      <c r="B827" s="10">
        <v>10</v>
      </c>
      <c r="C827" s="10" t="s">
        <v>52</v>
      </c>
      <c r="D827" s="10">
        <v>2333</v>
      </c>
      <c r="E827" s="10">
        <v>850000</v>
      </c>
      <c r="F827" t="s">
        <v>103</v>
      </c>
      <c r="G827" t="s">
        <v>123</v>
      </c>
    </row>
    <row r="828" spans="1:7">
      <c r="A828" s="10">
        <v>2022</v>
      </c>
      <c r="B828" s="10">
        <v>11</v>
      </c>
      <c r="C828" s="10" t="s">
        <v>52</v>
      </c>
      <c r="D828" s="10">
        <v>2327</v>
      </c>
      <c r="E828" s="10">
        <v>892174</v>
      </c>
      <c r="F828" t="s">
        <v>103</v>
      </c>
      <c r="G828" t="s">
        <v>123</v>
      </c>
    </row>
    <row r="829" spans="1:7">
      <c r="A829" s="10">
        <v>2022</v>
      </c>
      <c r="B829" s="10">
        <v>12</v>
      </c>
      <c r="C829" s="10" t="s">
        <v>52</v>
      </c>
      <c r="D829" s="10">
        <v>2606</v>
      </c>
      <c r="E829" s="10">
        <v>924999</v>
      </c>
      <c r="F829" t="s">
        <v>103</v>
      </c>
      <c r="G829" t="s">
        <v>123</v>
      </c>
    </row>
    <row r="830" spans="1:7">
      <c r="A830" s="10">
        <v>2021</v>
      </c>
      <c r="B830" s="10">
        <v>4</v>
      </c>
      <c r="C830" s="10" t="s">
        <v>53</v>
      </c>
      <c r="D830" s="10">
        <v>1166</v>
      </c>
      <c r="E830" s="10">
        <v>350000</v>
      </c>
      <c r="F830" t="s">
        <v>100</v>
      </c>
      <c r="G830" t="s">
        <v>117</v>
      </c>
    </row>
    <row r="831" spans="1:7">
      <c r="A831" s="10">
        <v>2021</v>
      </c>
      <c r="B831" s="10">
        <v>5</v>
      </c>
      <c r="C831" s="10" t="s">
        <v>53</v>
      </c>
      <c r="D831" s="10">
        <v>1156</v>
      </c>
      <c r="E831" s="10">
        <v>362267</v>
      </c>
      <c r="F831" t="s">
        <v>100</v>
      </c>
      <c r="G831" t="s">
        <v>117</v>
      </c>
    </row>
    <row r="832" spans="1:7">
      <c r="A832" s="10">
        <v>2021</v>
      </c>
      <c r="B832" s="10">
        <v>6</v>
      </c>
      <c r="C832" s="10" t="s">
        <v>53</v>
      </c>
      <c r="D832" s="10">
        <v>1183</v>
      </c>
      <c r="E832" s="10">
        <v>373700</v>
      </c>
      <c r="F832" t="s">
        <v>100</v>
      </c>
      <c r="G832" t="s">
        <v>117</v>
      </c>
    </row>
    <row r="833" spans="1:7">
      <c r="A833" s="10">
        <v>2021</v>
      </c>
      <c r="B833" s="10">
        <v>7</v>
      </c>
      <c r="C833" s="10" t="s">
        <v>53</v>
      </c>
      <c r="D833" s="10">
        <v>1220</v>
      </c>
      <c r="E833" s="10">
        <v>387692</v>
      </c>
      <c r="F833" t="s">
        <v>100</v>
      </c>
      <c r="G833" t="s">
        <v>117</v>
      </c>
    </row>
    <row r="834" spans="1:7">
      <c r="A834" s="10">
        <v>2021</v>
      </c>
      <c r="B834" s="10">
        <v>8</v>
      </c>
      <c r="C834" s="10" t="s">
        <v>53</v>
      </c>
      <c r="D834" s="10">
        <v>1275</v>
      </c>
      <c r="E834" s="10">
        <v>400000</v>
      </c>
      <c r="F834" t="s">
        <v>100</v>
      </c>
      <c r="G834" t="s">
        <v>117</v>
      </c>
    </row>
    <row r="835" spans="1:7">
      <c r="A835" s="10">
        <v>2021</v>
      </c>
      <c r="B835" s="10">
        <v>9</v>
      </c>
      <c r="C835" s="10" t="s">
        <v>53</v>
      </c>
      <c r="D835" s="10">
        <v>1367</v>
      </c>
      <c r="E835" s="10">
        <v>413793</v>
      </c>
      <c r="F835" t="s">
        <v>100</v>
      </c>
      <c r="G835" t="s">
        <v>117</v>
      </c>
    </row>
    <row r="836" spans="1:7">
      <c r="A836" s="10">
        <v>2021</v>
      </c>
      <c r="B836" s="10">
        <v>10</v>
      </c>
      <c r="C836" s="10" t="s">
        <v>53</v>
      </c>
      <c r="D836" s="10">
        <v>1438</v>
      </c>
      <c r="E836" s="10">
        <v>428571</v>
      </c>
      <c r="F836" t="s">
        <v>100</v>
      </c>
      <c r="G836" t="s">
        <v>117</v>
      </c>
    </row>
    <row r="837" spans="1:7">
      <c r="A837" s="10">
        <v>2021</v>
      </c>
      <c r="B837" s="10">
        <v>11</v>
      </c>
      <c r="C837" s="10" t="s">
        <v>53</v>
      </c>
      <c r="D837" s="10">
        <v>1563</v>
      </c>
      <c r="E837" s="10">
        <v>465920</v>
      </c>
      <c r="F837" t="s">
        <v>100</v>
      </c>
      <c r="G837" t="s">
        <v>117</v>
      </c>
    </row>
    <row r="838" spans="1:7">
      <c r="A838" s="10">
        <v>2021</v>
      </c>
      <c r="B838" s="10">
        <v>12</v>
      </c>
      <c r="C838" s="10" t="s">
        <v>53</v>
      </c>
      <c r="D838" s="10">
        <v>1620</v>
      </c>
      <c r="E838" s="10">
        <v>545881</v>
      </c>
      <c r="F838" t="s">
        <v>100</v>
      </c>
      <c r="G838" t="s">
        <v>117</v>
      </c>
    </row>
    <row r="839" spans="1:7">
      <c r="A839" s="10">
        <v>2022</v>
      </c>
      <c r="B839" s="10">
        <v>1</v>
      </c>
      <c r="C839" s="10" t="s">
        <v>53</v>
      </c>
      <c r="D839" s="10">
        <v>1637</v>
      </c>
      <c r="E839" s="10">
        <v>598710</v>
      </c>
      <c r="F839" t="s">
        <v>100</v>
      </c>
      <c r="G839" t="s">
        <v>117</v>
      </c>
    </row>
    <row r="840" spans="1:7">
      <c r="A840" s="10">
        <v>2022</v>
      </c>
      <c r="B840" s="10">
        <v>2</v>
      </c>
      <c r="C840" s="10" t="s">
        <v>53</v>
      </c>
      <c r="D840" s="10">
        <v>1719</v>
      </c>
      <c r="E840" s="10">
        <v>624257</v>
      </c>
      <c r="F840" t="s">
        <v>100</v>
      </c>
      <c r="G840" t="s">
        <v>117</v>
      </c>
    </row>
    <row r="841" spans="1:7">
      <c r="A841" s="10">
        <v>2022</v>
      </c>
      <c r="B841" s="10">
        <v>3</v>
      </c>
      <c r="C841" s="10" t="s">
        <v>53</v>
      </c>
      <c r="D841" s="10">
        <v>1876</v>
      </c>
      <c r="E841" s="10">
        <v>674286</v>
      </c>
      <c r="F841" t="s">
        <v>100</v>
      </c>
      <c r="G841" t="s">
        <v>117</v>
      </c>
    </row>
    <row r="842" spans="1:7">
      <c r="A842" s="10">
        <v>2022</v>
      </c>
      <c r="B842" s="10">
        <v>4</v>
      </c>
      <c r="C842" s="10" t="s">
        <v>53</v>
      </c>
      <c r="D842" s="10">
        <v>2035</v>
      </c>
      <c r="E842" s="10">
        <v>747451</v>
      </c>
      <c r="F842" t="s">
        <v>100</v>
      </c>
      <c r="G842" t="s">
        <v>117</v>
      </c>
    </row>
    <row r="843" spans="1:7">
      <c r="A843" s="10">
        <v>2022</v>
      </c>
      <c r="B843" s="10">
        <v>5</v>
      </c>
      <c r="C843" s="10" t="s">
        <v>53</v>
      </c>
      <c r="D843" s="10">
        <v>2382</v>
      </c>
      <c r="E843" s="10">
        <v>844444</v>
      </c>
      <c r="F843" t="s">
        <v>100</v>
      </c>
      <c r="G843" t="s">
        <v>117</v>
      </c>
    </row>
    <row r="844" spans="1:7">
      <c r="A844" s="10">
        <v>2022</v>
      </c>
      <c r="B844" s="10">
        <v>6</v>
      </c>
      <c r="C844" s="10" t="s">
        <v>53</v>
      </c>
      <c r="D844" s="10">
        <v>2683</v>
      </c>
      <c r="E844" s="10">
        <v>921212</v>
      </c>
      <c r="F844" t="s">
        <v>100</v>
      </c>
      <c r="G844" t="s">
        <v>117</v>
      </c>
    </row>
    <row r="845" spans="1:7">
      <c r="A845" s="10">
        <v>2022</v>
      </c>
      <c r="B845" s="10">
        <v>7</v>
      </c>
      <c r="C845" s="10" t="s">
        <v>53</v>
      </c>
      <c r="D845" s="10">
        <v>2946</v>
      </c>
      <c r="E845" s="10">
        <v>983417</v>
      </c>
      <c r="F845" t="s">
        <v>100</v>
      </c>
      <c r="G845" t="s">
        <v>117</v>
      </c>
    </row>
    <row r="846" spans="1:7">
      <c r="A846" s="10">
        <v>2022</v>
      </c>
      <c r="B846" s="10">
        <v>8</v>
      </c>
      <c r="C846" s="10" t="s">
        <v>53</v>
      </c>
      <c r="D846" s="10">
        <v>3125</v>
      </c>
      <c r="E846" s="10">
        <v>1051428</v>
      </c>
      <c r="F846" t="s">
        <v>100</v>
      </c>
      <c r="G846" t="s">
        <v>117</v>
      </c>
    </row>
    <row r="847" spans="1:7">
      <c r="A847" s="10">
        <v>2022</v>
      </c>
      <c r="B847" s="10">
        <v>9</v>
      </c>
      <c r="C847" s="10" t="s">
        <v>53</v>
      </c>
      <c r="D847" s="10">
        <v>3250</v>
      </c>
      <c r="E847" s="10">
        <v>1096296</v>
      </c>
      <c r="F847" t="s">
        <v>100</v>
      </c>
      <c r="G847" t="s">
        <v>117</v>
      </c>
    </row>
    <row r="848" spans="1:7">
      <c r="A848" s="10">
        <v>2022</v>
      </c>
      <c r="B848" s="10">
        <v>10</v>
      </c>
      <c r="C848" s="10" t="s">
        <v>53</v>
      </c>
      <c r="D848" s="10">
        <v>3476</v>
      </c>
      <c r="E848" s="10">
        <v>1150000</v>
      </c>
      <c r="F848" t="s">
        <v>100</v>
      </c>
      <c r="G848" t="s">
        <v>117</v>
      </c>
    </row>
    <row r="849" spans="1:7">
      <c r="A849" s="10">
        <v>2022</v>
      </c>
      <c r="B849" s="10">
        <v>11</v>
      </c>
      <c r="C849" s="10" t="s">
        <v>53</v>
      </c>
      <c r="D849" s="10">
        <v>3560</v>
      </c>
      <c r="E849" s="10">
        <v>1210361</v>
      </c>
      <c r="F849" t="s">
        <v>100</v>
      </c>
      <c r="G849" t="s">
        <v>117</v>
      </c>
    </row>
    <row r="850" spans="1:7">
      <c r="A850" s="10">
        <v>2022</v>
      </c>
      <c r="B850" s="10">
        <v>12</v>
      </c>
      <c r="C850" s="10" t="s">
        <v>53</v>
      </c>
      <c r="D850" s="10">
        <v>3846</v>
      </c>
      <c r="E850" s="10">
        <v>1290323</v>
      </c>
      <c r="F850" t="s">
        <v>100</v>
      </c>
      <c r="G850" t="s">
        <v>117</v>
      </c>
    </row>
    <row r="851" spans="1:7">
      <c r="A851" s="10">
        <v>2021</v>
      </c>
      <c r="B851" s="10">
        <v>4</v>
      </c>
      <c r="C851" s="10" t="s">
        <v>54</v>
      </c>
      <c r="D851" s="10">
        <v>1134</v>
      </c>
      <c r="E851" s="10">
        <v>345298</v>
      </c>
      <c r="F851" t="s">
        <v>128</v>
      </c>
      <c r="G851" t="s">
        <v>129</v>
      </c>
    </row>
    <row r="852" spans="1:7">
      <c r="A852" s="10">
        <v>2021</v>
      </c>
      <c r="B852" s="10">
        <v>5</v>
      </c>
      <c r="C852" s="10" t="s">
        <v>54</v>
      </c>
      <c r="D852" s="10">
        <v>1190</v>
      </c>
      <c r="E852" s="10">
        <v>336206</v>
      </c>
      <c r="F852" t="s">
        <v>128</v>
      </c>
      <c r="G852" t="s">
        <v>129</v>
      </c>
    </row>
    <row r="853" spans="1:7">
      <c r="A853" s="10">
        <v>2021</v>
      </c>
      <c r="B853" s="10">
        <v>6</v>
      </c>
      <c r="C853" s="10" t="s">
        <v>54</v>
      </c>
      <c r="D853" s="10">
        <v>1244</v>
      </c>
      <c r="E853" s="10">
        <v>351730</v>
      </c>
      <c r="F853" t="s">
        <v>128</v>
      </c>
      <c r="G853" t="s">
        <v>129</v>
      </c>
    </row>
    <row r="854" spans="1:7">
      <c r="A854" s="10">
        <v>2021</v>
      </c>
      <c r="B854" s="10">
        <v>7</v>
      </c>
      <c r="C854" s="10" t="s">
        <v>54</v>
      </c>
      <c r="D854" s="10">
        <v>1265</v>
      </c>
      <c r="E854" s="10">
        <v>358851</v>
      </c>
      <c r="F854" t="s">
        <v>128</v>
      </c>
      <c r="G854" t="s">
        <v>129</v>
      </c>
    </row>
    <row r="855" spans="1:7">
      <c r="A855" s="10">
        <v>2021</v>
      </c>
      <c r="B855" s="10">
        <v>8</v>
      </c>
      <c r="C855" s="10" t="s">
        <v>54</v>
      </c>
      <c r="D855" s="10">
        <v>1220</v>
      </c>
      <c r="E855" s="10">
        <v>362068</v>
      </c>
      <c r="F855" t="s">
        <v>128</v>
      </c>
      <c r="G855" t="s">
        <v>129</v>
      </c>
    </row>
    <row r="856" spans="1:7">
      <c r="A856" s="10">
        <v>2021</v>
      </c>
      <c r="B856" s="10">
        <v>9</v>
      </c>
      <c r="C856" s="10" t="s">
        <v>54</v>
      </c>
      <c r="D856" s="10">
        <v>1280</v>
      </c>
      <c r="E856" s="10">
        <v>374038</v>
      </c>
      <c r="F856" t="s">
        <v>128</v>
      </c>
      <c r="G856" t="s">
        <v>129</v>
      </c>
    </row>
    <row r="857" spans="1:7">
      <c r="A857" s="10">
        <v>2021</v>
      </c>
      <c r="B857" s="10">
        <v>10</v>
      </c>
      <c r="C857" s="10" t="s">
        <v>54</v>
      </c>
      <c r="D857" s="10">
        <v>1393</v>
      </c>
      <c r="E857" s="10">
        <v>400862</v>
      </c>
      <c r="F857" t="s">
        <v>128</v>
      </c>
      <c r="G857" t="s">
        <v>129</v>
      </c>
    </row>
    <row r="858" spans="1:7">
      <c r="A858" s="10">
        <v>2021</v>
      </c>
      <c r="B858" s="10">
        <v>11</v>
      </c>
      <c r="C858" s="10" t="s">
        <v>54</v>
      </c>
      <c r="D858" s="10">
        <v>1330</v>
      </c>
      <c r="E858" s="10">
        <v>413035</v>
      </c>
      <c r="F858" t="s">
        <v>128</v>
      </c>
      <c r="G858" t="s">
        <v>129</v>
      </c>
    </row>
    <row r="859" spans="1:7">
      <c r="A859" s="10">
        <v>2021</v>
      </c>
      <c r="B859" s="10">
        <v>12</v>
      </c>
      <c r="C859" s="10" t="s">
        <v>54</v>
      </c>
      <c r="D859" s="10">
        <v>1455</v>
      </c>
      <c r="E859" s="10">
        <v>476568</v>
      </c>
      <c r="F859" t="s">
        <v>128</v>
      </c>
      <c r="G859" t="s">
        <v>129</v>
      </c>
    </row>
    <row r="860" spans="1:7">
      <c r="A860" s="10">
        <v>2022</v>
      </c>
      <c r="B860" s="10">
        <v>1</v>
      </c>
      <c r="C860" s="10" t="s">
        <v>54</v>
      </c>
      <c r="D860" s="10">
        <v>1469</v>
      </c>
      <c r="E860" s="10">
        <v>504047</v>
      </c>
      <c r="F860" t="s">
        <v>128</v>
      </c>
      <c r="G860" t="s">
        <v>129</v>
      </c>
    </row>
    <row r="861" spans="1:7">
      <c r="A861" s="10">
        <v>2022</v>
      </c>
      <c r="B861" s="10">
        <v>2</v>
      </c>
      <c r="C861" s="10" t="s">
        <v>54</v>
      </c>
      <c r="D861" s="10">
        <v>1556</v>
      </c>
      <c r="E861" s="10">
        <v>558856</v>
      </c>
      <c r="F861" t="s">
        <v>128</v>
      </c>
      <c r="G861" t="s">
        <v>129</v>
      </c>
    </row>
    <row r="862" spans="1:7">
      <c r="A862" s="10">
        <v>2022</v>
      </c>
      <c r="B862" s="10">
        <v>3</v>
      </c>
      <c r="C862" s="10" t="s">
        <v>54</v>
      </c>
      <c r="D862" s="10">
        <v>1509</v>
      </c>
      <c r="E862" s="10">
        <v>594681</v>
      </c>
      <c r="F862" t="s">
        <v>128</v>
      </c>
      <c r="G862" t="s">
        <v>129</v>
      </c>
    </row>
    <row r="863" spans="1:7">
      <c r="A863" s="10">
        <v>2022</v>
      </c>
      <c r="B863" s="10">
        <v>4</v>
      </c>
      <c r="C863" s="10" t="s">
        <v>54</v>
      </c>
      <c r="D863" s="10">
        <v>1729</v>
      </c>
      <c r="E863" s="10">
        <v>664582</v>
      </c>
      <c r="F863" t="s">
        <v>128</v>
      </c>
      <c r="G863" t="s">
        <v>129</v>
      </c>
    </row>
    <row r="864" spans="1:7">
      <c r="A864" s="10">
        <v>2022</v>
      </c>
      <c r="B864" s="10">
        <v>5</v>
      </c>
      <c r="C864" s="10" t="s">
        <v>54</v>
      </c>
      <c r="D864" s="10">
        <v>1908</v>
      </c>
      <c r="E864" s="10">
        <v>767647</v>
      </c>
      <c r="F864" t="s">
        <v>128</v>
      </c>
      <c r="G864" t="s">
        <v>129</v>
      </c>
    </row>
    <row r="865" spans="1:7">
      <c r="A865" s="10">
        <v>2022</v>
      </c>
      <c r="B865" s="10">
        <v>6</v>
      </c>
      <c r="C865" s="10" t="s">
        <v>54</v>
      </c>
      <c r="D865" s="10">
        <v>1936</v>
      </c>
      <c r="E865" s="10">
        <v>853105</v>
      </c>
      <c r="F865" t="s">
        <v>128</v>
      </c>
      <c r="G865" t="s">
        <v>129</v>
      </c>
    </row>
    <row r="866" spans="1:7">
      <c r="A866" s="10">
        <v>2022</v>
      </c>
      <c r="B866" s="10">
        <v>7</v>
      </c>
      <c r="C866" s="10" t="s">
        <v>54</v>
      </c>
      <c r="D866" s="10">
        <v>2310</v>
      </c>
      <c r="E866" s="10">
        <v>875177</v>
      </c>
      <c r="F866" t="s">
        <v>128</v>
      </c>
      <c r="G866" t="s">
        <v>129</v>
      </c>
    </row>
    <row r="867" spans="1:7">
      <c r="A867" s="10">
        <v>2022</v>
      </c>
      <c r="B867" s="10">
        <v>8</v>
      </c>
      <c r="C867" s="10" t="s">
        <v>54</v>
      </c>
      <c r="D867" s="10">
        <v>2363</v>
      </c>
      <c r="E867" s="10">
        <v>929265</v>
      </c>
      <c r="F867" t="s">
        <v>128</v>
      </c>
      <c r="G867" t="s">
        <v>129</v>
      </c>
    </row>
    <row r="868" spans="1:7">
      <c r="A868" s="10">
        <v>2022</v>
      </c>
      <c r="B868" s="10">
        <v>9</v>
      </c>
      <c r="C868" s="10" t="s">
        <v>54</v>
      </c>
      <c r="D868" s="10">
        <v>2420</v>
      </c>
      <c r="E868" s="10">
        <v>986842</v>
      </c>
      <c r="F868" t="s">
        <v>128</v>
      </c>
      <c r="G868" t="s">
        <v>129</v>
      </c>
    </row>
    <row r="869" spans="1:7">
      <c r="A869" s="10">
        <v>2022</v>
      </c>
      <c r="B869" s="10">
        <v>10</v>
      </c>
      <c r="C869" s="10" t="s">
        <v>54</v>
      </c>
      <c r="D869" s="10">
        <v>2476</v>
      </c>
      <c r="E869" s="10">
        <v>1000000</v>
      </c>
      <c r="F869" t="s">
        <v>128</v>
      </c>
      <c r="G869" t="s">
        <v>129</v>
      </c>
    </row>
    <row r="870" spans="1:7">
      <c r="A870" s="10">
        <v>2022</v>
      </c>
      <c r="B870" s="10">
        <v>11</v>
      </c>
      <c r="C870" s="10" t="s">
        <v>54</v>
      </c>
      <c r="D870" s="10">
        <v>2620</v>
      </c>
      <c r="E870" s="10">
        <v>1050000</v>
      </c>
      <c r="F870" t="s">
        <v>128</v>
      </c>
      <c r="G870" t="s">
        <v>129</v>
      </c>
    </row>
    <row r="871" spans="1:7">
      <c r="A871" s="10">
        <v>2022</v>
      </c>
      <c r="B871" s="10">
        <v>12</v>
      </c>
      <c r="C871" s="10" t="s">
        <v>54</v>
      </c>
      <c r="D871" s="10">
        <v>2822</v>
      </c>
      <c r="E871" s="10">
        <v>1024999</v>
      </c>
      <c r="F871" t="s">
        <v>128</v>
      </c>
      <c r="G871" t="s">
        <v>129</v>
      </c>
    </row>
    <row r="872" spans="1:7">
      <c r="A872" s="10">
        <v>2021</v>
      </c>
      <c r="B872" s="10">
        <v>4</v>
      </c>
      <c r="C872" s="10" t="s">
        <v>55</v>
      </c>
      <c r="D872" s="10">
        <v>1159</v>
      </c>
      <c r="E872" s="10">
        <v>452940</v>
      </c>
      <c r="F872" t="s">
        <v>100</v>
      </c>
      <c r="G872" t="s">
        <v>115</v>
      </c>
    </row>
    <row r="873" spans="1:7">
      <c r="A873" s="10">
        <v>2021</v>
      </c>
      <c r="B873" s="10">
        <v>5</v>
      </c>
      <c r="C873" s="10" t="s">
        <v>55</v>
      </c>
      <c r="D873" s="10">
        <v>1176</v>
      </c>
      <c r="E873" s="10">
        <v>462000</v>
      </c>
      <c r="F873" t="s">
        <v>100</v>
      </c>
      <c r="G873" t="s">
        <v>115</v>
      </c>
    </row>
    <row r="874" spans="1:7">
      <c r="A874" s="10">
        <v>2021</v>
      </c>
      <c r="B874" s="10">
        <v>6</v>
      </c>
      <c r="C874" s="10" t="s">
        <v>55</v>
      </c>
      <c r="D874" s="10">
        <v>1192</v>
      </c>
      <c r="E874" s="10">
        <v>477101</v>
      </c>
      <c r="F874" t="s">
        <v>100</v>
      </c>
      <c r="G874" t="s">
        <v>115</v>
      </c>
    </row>
    <row r="875" spans="1:7">
      <c r="A875" s="10">
        <v>2021</v>
      </c>
      <c r="B875" s="10">
        <v>7</v>
      </c>
      <c r="C875" s="10" t="s">
        <v>55</v>
      </c>
      <c r="D875" s="10">
        <v>1245</v>
      </c>
      <c r="E875" s="10">
        <v>490000</v>
      </c>
      <c r="F875" t="s">
        <v>100</v>
      </c>
      <c r="G875" t="s">
        <v>115</v>
      </c>
    </row>
    <row r="876" spans="1:7">
      <c r="A876" s="10">
        <v>2021</v>
      </c>
      <c r="B876" s="10">
        <v>8</v>
      </c>
      <c r="C876" s="10" t="s">
        <v>55</v>
      </c>
      <c r="D876" s="10">
        <v>1294</v>
      </c>
      <c r="E876" s="10">
        <v>513333</v>
      </c>
      <c r="F876" t="s">
        <v>100</v>
      </c>
      <c r="G876" t="s">
        <v>115</v>
      </c>
    </row>
    <row r="877" spans="1:7">
      <c r="A877" s="10">
        <v>2021</v>
      </c>
      <c r="B877" s="10">
        <v>9</v>
      </c>
      <c r="C877" s="10" t="s">
        <v>55</v>
      </c>
      <c r="D877" s="10">
        <v>1266</v>
      </c>
      <c r="E877" s="10">
        <v>523250</v>
      </c>
      <c r="F877" t="s">
        <v>100</v>
      </c>
      <c r="G877" t="s">
        <v>115</v>
      </c>
    </row>
    <row r="878" spans="1:7">
      <c r="A878" s="10">
        <v>2021</v>
      </c>
      <c r="B878" s="10">
        <v>10</v>
      </c>
      <c r="C878" s="10" t="s">
        <v>55</v>
      </c>
      <c r="D878" s="10">
        <v>1320</v>
      </c>
      <c r="E878" s="10">
        <v>546000</v>
      </c>
      <c r="F878" t="s">
        <v>100</v>
      </c>
      <c r="G878" t="s">
        <v>115</v>
      </c>
    </row>
    <row r="879" spans="1:7">
      <c r="A879" s="10">
        <v>2021</v>
      </c>
      <c r="B879" s="10">
        <v>11</v>
      </c>
      <c r="C879" s="10" t="s">
        <v>55</v>
      </c>
      <c r="D879" s="10">
        <v>1417</v>
      </c>
      <c r="E879" s="10">
        <v>591960</v>
      </c>
      <c r="F879" t="s">
        <v>100</v>
      </c>
      <c r="G879" t="s">
        <v>115</v>
      </c>
    </row>
    <row r="880" spans="1:7">
      <c r="A880" s="10">
        <v>2021</v>
      </c>
      <c r="B880" s="10">
        <v>12</v>
      </c>
      <c r="C880" s="10" t="s">
        <v>55</v>
      </c>
      <c r="D880" s="10">
        <v>1487</v>
      </c>
      <c r="E880" s="10">
        <v>652071</v>
      </c>
      <c r="F880" t="s">
        <v>100</v>
      </c>
      <c r="G880" t="s">
        <v>115</v>
      </c>
    </row>
    <row r="881" spans="1:7">
      <c r="A881" s="10">
        <v>2022</v>
      </c>
      <c r="B881" s="10">
        <v>1</v>
      </c>
      <c r="C881" s="10" t="s">
        <v>55</v>
      </c>
      <c r="D881" s="10">
        <v>1549</v>
      </c>
      <c r="E881" s="10">
        <v>729696</v>
      </c>
      <c r="F881" t="s">
        <v>100</v>
      </c>
      <c r="G881" t="s">
        <v>115</v>
      </c>
    </row>
    <row r="882" spans="1:7">
      <c r="A882" s="10">
        <v>2022</v>
      </c>
      <c r="B882" s="10">
        <v>2</v>
      </c>
      <c r="C882" s="10" t="s">
        <v>55</v>
      </c>
      <c r="D882" s="10">
        <v>1550</v>
      </c>
      <c r="E882" s="10">
        <v>764485</v>
      </c>
      <c r="F882" t="s">
        <v>100</v>
      </c>
      <c r="G882" t="s">
        <v>115</v>
      </c>
    </row>
    <row r="883" spans="1:7">
      <c r="A883" s="10">
        <v>2022</v>
      </c>
      <c r="B883" s="10">
        <v>3</v>
      </c>
      <c r="C883" s="10" t="s">
        <v>55</v>
      </c>
      <c r="D883" s="10">
        <v>1609</v>
      </c>
      <c r="E883" s="10">
        <v>802174</v>
      </c>
      <c r="F883" t="s">
        <v>100</v>
      </c>
      <c r="G883" t="s">
        <v>115</v>
      </c>
    </row>
    <row r="884" spans="1:7">
      <c r="A884" s="10">
        <v>2022</v>
      </c>
      <c r="B884" s="10">
        <v>4</v>
      </c>
      <c r="C884" s="10" t="s">
        <v>55</v>
      </c>
      <c r="D884" s="10">
        <v>1706</v>
      </c>
      <c r="E884" s="10">
        <v>856730</v>
      </c>
      <c r="F884" t="s">
        <v>100</v>
      </c>
      <c r="G884" t="s">
        <v>115</v>
      </c>
    </row>
    <row r="885" spans="1:7">
      <c r="A885" s="10">
        <v>2022</v>
      </c>
      <c r="B885" s="10">
        <v>5</v>
      </c>
      <c r="C885" s="10" t="s">
        <v>55</v>
      </c>
      <c r="D885" s="10">
        <v>1991</v>
      </c>
      <c r="E885" s="10">
        <v>1018182</v>
      </c>
      <c r="F885" t="s">
        <v>100</v>
      </c>
      <c r="G885" t="s">
        <v>115</v>
      </c>
    </row>
    <row r="886" spans="1:7">
      <c r="A886" s="10">
        <v>2022</v>
      </c>
      <c r="B886" s="10">
        <v>6</v>
      </c>
      <c r="C886" s="10" t="s">
        <v>55</v>
      </c>
      <c r="D886" s="10">
        <v>2424</v>
      </c>
      <c r="E886" s="10">
        <v>1144796</v>
      </c>
      <c r="F886" t="s">
        <v>100</v>
      </c>
      <c r="G886" t="s">
        <v>115</v>
      </c>
    </row>
    <row r="887" spans="1:7">
      <c r="A887" s="10">
        <v>2022</v>
      </c>
      <c r="B887" s="10">
        <v>7</v>
      </c>
      <c r="C887" s="10" t="s">
        <v>55</v>
      </c>
      <c r="D887" s="10">
        <v>2729</v>
      </c>
      <c r="E887" s="10">
        <v>1232000</v>
      </c>
      <c r="F887" t="s">
        <v>100</v>
      </c>
      <c r="G887" t="s">
        <v>115</v>
      </c>
    </row>
    <row r="888" spans="1:7">
      <c r="A888" s="10">
        <v>2022</v>
      </c>
      <c r="B888" s="10">
        <v>8</v>
      </c>
      <c r="C888" s="10" t="s">
        <v>55</v>
      </c>
      <c r="D888" s="10">
        <v>2962</v>
      </c>
      <c r="E888" s="10">
        <v>1311851</v>
      </c>
      <c r="F888" t="s">
        <v>100</v>
      </c>
      <c r="G888" t="s">
        <v>115</v>
      </c>
    </row>
    <row r="889" spans="1:7">
      <c r="A889" s="10">
        <v>2022</v>
      </c>
      <c r="B889" s="10">
        <v>9</v>
      </c>
      <c r="C889" s="10" t="s">
        <v>55</v>
      </c>
      <c r="D889" s="10">
        <v>3276</v>
      </c>
      <c r="E889" s="10">
        <v>1352528</v>
      </c>
      <c r="F889" t="s">
        <v>100</v>
      </c>
      <c r="G889" t="s">
        <v>115</v>
      </c>
    </row>
    <row r="890" spans="1:7">
      <c r="A890" s="10">
        <v>2022</v>
      </c>
      <c r="B890" s="10">
        <v>10</v>
      </c>
      <c r="C890" s="10" t="s">
        <v>55</v>
      </c>
      <c r="D890" s="10">
        <v>3454</v>
      </c>
      <c r="E890" s="10">
        <v>1409198</v>
      </c>
      <c r="F890" t="s">
        <v>100</v>
      </c>
      <c r="G890" t="s">
        <v>115</v>
      </c>
    </row>
    <row r="891" spans="1:7">
      <c r="A891" s="10">
        <v>2022</v>
      </c>
      <c r="B891" s="10">
        <v>11</v>
      </c>
      <c r="C891" s="10" t="s">
        <v>55</v>
      </c>
      <c r="D891" s="10">
        <v>3636</v>
      </c>
      <c r="E891" s="10">
        <v>1466318</v>
      </c>
      <c r="F891" t="s">
        <v>100</v>
      </c>
      <c r="G891" t="s">
        <v>115</v>
      </c>
    </row>
    <row r="892" spans="1:7">
      <c r="A892" s="10">
        <v>2022</v>
      </c>
      <c r="B892" s="10">
        <v>12</v>
      </c>
      <c r="C892" s="10" t="s">
        <v>55</v>
      </c>
      <c r="D892" s="10">
        <v>4005</v>
      </c>
      <c r="E892" s="10">
        <v>1583806</v>
      </c>
      <c r="F892" t="s">
        <v>100</v>
      </c>
      <c r="G892" t="s">
        <v>115</v>
      </c>
    </row>
    <row r="893" spans="1:7">
      <c r="A893" s="10">
        <v>2021</v>
      </c>
      <c r="B893" s="10">
        <v>4</v>
      </c>
      <c r="C893" s="10" t="s">
        <v>56</v>
      </c>
      <c r="D893" s="10">
        <v>1281</v>
      </c>
      <c r="E893" s="10">
        <v>387878</v>
      </c>
      <c r="F893" t="s">
        <v>100</v>
      </c>
      <c r="G893" t="s">
        <v>117</v>
      </c>
    </row>
    <row r="894" spans="1:7">
      <c r="A894" s="10">
        <v>2021</v>
      </c>
      <c r="B894" s="10">
        <v>5</v>
      </c>
      <c r="C894" s="10" t="s">
        <v>56</v>
      </c>
      <c r="D894" s="10">
        <v>1399</v>
      </c>
      <c r="E894" s="10">
        <v>402424</v>
      </c>
      <c r="F894" t="s">
        <v>100</v>
      </c>
      <c r="G894" t="s">
        <v>117</v>
      </c>
    </row>
    <row r="895" spans="1:7">
      <c r="A895" s="10">
        <v>2021</v>
      </c>
      <c r="B895" s="10">
        <v>6</v>
      </c>
      <c r="C895" s="10" t="s">
        <v>56</v>
      </c>
      <c r="D895" s="10">
        <v>1427</v>
      </c>
      <c r="E895" s="10">
        <v>419310</v>
      </c>
      <c r="F895" t="s">
        <v>100</v>
      </c>
      <c r="G895" t="s">
        <v>117</v>
      </c>
    </row>
    <row r="896" spans="1:7">
      <c r="A896" s="10">
        <v>2021</v>
      </c>
      <c r="B896" s="10">
        <v>7</v>
      </c>
      <c r="C896" s="10" t="s">
        <v>56</v>
      </c>
      <c r="D896" s="10">
        <v>1527</v>
      </c>
      <c r="E896" s="10">
        <v>436363</v>
      </c>
      <c r="F896" t="s">
        <v>100</v>
      </c>
      <c r="G896" t="s">
        <v>117</v>
      </c>
    </row>
    <row r="897" spans="1:7">
      <c r="A897" s="10">
        <v>2021</v>
      </c>
      <c r="B897" s="10">
        <v>8</v>
      </c>
      <c r="C897" s="10" t="s">
        <v>56</v>
      </c>
      <c r="D897" s="10">
        <v>1533</v>
      </c>
      <c r="E897" s="10">
        <v>449523</v>
      </c>
      <c r="F897" t="s">
        <v>100</v>
      </c>
      <c r="G897" t="s">
        <v>117</v>
      </c>
    </row>
    <row r="898" spans="1:7">
      <c r="A898" s="10">
        <v>2021</v>
      </c>
      <c r="B898" s="10">
        <v>9</v>
      </c>
      <c r="C898" s="10" t="s">
        <v>56</v>
      </c>
      <c r="D898" s="10">
        <v>1586</v>
      </c>
      <c r="E898" s="10">
        <v>470857</v>
      </c>
      <c r="F898" t="s">
        <v>100</v>
      </c>
      <c r="G898" t="s">
        <v>117</v>
      </c>
    </row>
    <row r="899" spans="1:7">
      <c r="A899" s="10">
        <v>2021</v>
      </c>
      <c r="B899" s="10">
        <v>10</v>
      </c>
      <c r="C899" s="10" t="s">
        <v>56</v>
      </c>
      <c r="D899" s="10">
        <v>1639</v>
      </c>
      <c r="E899" s="10">
        <v>492470</v>
      </c>
      <c r="F899" t="s">
        <v>100</v>
      </c>
      <c r="G899" t="s">
        <v>117</v>
      </c>
    </row>
    <row r="900" spans="1:7">
      <c r="A900" s="10">
        <v>2021</v>
      </c>
      <c r="B900" s="10">
        <v>11</v>
      </c>
      <c r="C900" s="10" t="s">
        <v>56</v>
      </c>
      <c r="D900" s="10">
        <v>1691</v>
      </c>
      <c r="E900" s="10">
        <v>551588</v>
      </c>
      <c r="F900" t="s">
        <v>100</v>
      </c>
      <c r="G900" t="s">
        <v>117</v>
      </c>
    </row>
    <row r="901" spans="1:7">
      <c r="A901" s="10">
        <v>2021</v>
      </c>
      <c r="B901" s="10">
        <v>12</v>
      </c>
      <c r="C901" s="10" t="s">
        <v>56</v>
      </c>
      <c r="D901" s="10">
        <v>1712</v>
      </c>
      <c r="E901" s="10">
        <v>634614</v>
      </c>
      <c r="F901" t="s">
        <v>100</v>
      </c>
      <c r="G901" t="s">
        <v>117</v>
      </c>
    </row>
    <row r="902" spans="1:7">
      <c r="A902" s="10">
        <v>2022</v>
      </c>
      <c r="B902" s="10">
        <v>1</v>
      </c>
      <c r="C902" s="10" t="s">
        <v>56</v>
      </c>
      <c r="D902" s="10">
        <v>1767</v>
      </c>
      <c r="E902" s="10">
        <v>693000</v>
      </c>
      <c r="F902" t="s">
        <v>100</v>
      </c>
      <c r="G902" t="s">
        <v>117</v>
      </c>
    </row>
    <row r="903" spans="1:7">
      <c r="A903" s="10">
        <v>2022</v>
      </c>
      <c r="B903" s="10">
        <v>2</v>
      </c>
      <c r="C903" s="10" t="s">
        <v>56</v>
      </c>
      <c r="D903" s="10">
        <v>1826</v>
      </c>
      <c r="E903" s="10">
        <v>695222</v>
      </c>
      <c r="F903" t="s">
        <v>100</v>
      </c>
      <c r="G903" t="s">
        <v>117</v>
      </c>
    </row>
    <row r="904" spans="1:7">
      <c r="A904" s="10">
        <v>2022</v>
      </c>
      <c r="B904" s="10">
        <v>3</v>
      </c>
      <c r="C904" s="10" t="s">
        <v>56</v>
      </c>
      <c r="D904" s="10">
        <v>1973</v>
      </c>
      <c r="E904" s="10">
        <v>769627</v>
      </c>
      <c r="F904" t="s">
        <v>100</v>
      </c>
      <c r="G904" t="s">
        <v>117</v>
      </c>
    </row>
    <row r="905" spans="1:7">
      <c r="A905" s="10">
        <v>2022</v>
      </c>
      <c r="B905" s="10">
        <v>4</v>
      </c>
      <c r="C905" s="10" t="s">
        <v>56</v>
      </c>
      <c r="D905" s="10">
        <v>2104</v>
      </c>
      <c r="E905" s="10">
        <v>843636</v>
      </c>
      <c r="F905" t="s">
        <v>100</v>
      </c>
      <c r="G905" t="s">
        <v>117</v>
      </c>
    </row>
    <row r="906" spans="1:7">
      <c r="A906" s="10">
        <v>2022</v>
      </c>
      <c r="B906" s="10">
        <v>5</v>
      </c>
      <c r="C906" s="10" t="s">
        <v>56</v>
      </c>
      <c r="D906" s="10">
        <v>2418</v>
      </c>
      <c r="E906" s="10">
        <v>937142</v>
      </c>
      <c r="F906" t="s">
        <v>100</v>
      </c>
      <c r="G906" t="s">
        <v>117</v>
      </c>
    </row>
    <row r="907" spans="1:7">
      <c r="A907" s="10">
        <v>2022</v>
      </c>
      <c r="B907" s="10">
        <v>6</v>
      </c>
      <c r="C907" s="10" t="s">
        <v>56</v>
      </c>
      <c r="D907" s="10">
        <v>2647</v>
      </c>
      <c r="E907" s="10">
        <v>990968</v>
      </c>
      <c r="F907" t="s">
        <v>100</v>
      </c>
      <c r="G907" t="s">
        <v>117</v>
      </c>
    </row>
    <row r="908" spans="1:7">
      <c r="A908" s="10">
        <v>2022</v>
      </c>
      <c r="B908" s="10">
        <v>7</v>
      </c>
      <c r="C908" s="10" t="s">
        <v>56</v>
      </c>
      <c r="D908" s="10">
        <v>2774</v>
      </c>
      <c r="E908" s="10">
        <v>1054814</v>
      </c>
      <c r="F908" t="s">
        <v>100</v>
      </c>
      <c r="G908" t="s">
        <v>117</v>
      </c>
    </row>
    <row r="909" spans="1:7">
      <c r="A909" s="10">
        <v>2022</v>
      </c>
      <c r="B909" s="10">
        <v>8</v>
      </c>
      <c r="C909" s="10" t="s">
        <v>56</v>
      </c>
      <c r="D909" s="10">
        <v>3060</v>
      </c>
      <c r="E909" s="10">
        <v>1097142</v>
      </c>
      <c r="F909" t="s">
        <v>100</v>
      </c>
      <c r="G909" t="s">
        <v>117</v>
      </c>
    </row>
    <row r="910" spans="1:7">
      <c r="A910" s="10">
        <v>2022</v>
      </c>
      <c r="B910" s="10">
        <v>9</v>
      </c>
      <c r="C910" s="10" t="s">
        <v>56</v>
      </c>
      <c r="D910" s="10">
        <v>3325</v>
      </c>
      <c r="E910" s="10">
        <v>1140868</v>
      </c>
      <c r="F910" t="s">
        <v>100</v>
      </c>
      <c r="G910" t="s">
        <v>117</v>
      </c>
    </row>
    <row r="911" spans="1:7">
      <c r="A911" s="10">
        <v>2022</v>
      </c>
      <c r="B911" s="10">
        <v>10</v>
      </c>
      <c r="C911" s="10" t="s">
        <v>56</v>
      </c>
      <c r="D911" s="10">
        <v>3241</v>
      </c>
      <c r="E911" s="10">
        <v>1187096</v>
      </c>
      <c r="F911" t="s">
        <v>100</v>
      </c>
      <c r="G911" t="s">
        <v>117</v>
      </c>
    </row>
    <row r="912" spans="1:7">
      <c r="A912" s="10">
        <v>2022</v>
      </c>
      <c r="B912" s="10">
        <v>11</v>
      </c>
      <c r="C912" s="10" t="s">
        <v>56</v>
      </c>
      <c r="D912" s="10">
        <v>3261</v>
      </c>
      <c r="E912" s="10">
        <v>1233244</v>
      </c>
      <c r="F912" t="s">
        <v>100</v>
      </c>
      <c r="G912" t="s">
        <v>117</v>
      </c>
    </row>
    <row r="913" spans="1:7">
      <c r="A913" s="10">
        <v>2022</v>
      </c>
      <c r="B913" s="10">
        <v>12</v>
      </c>
      <c r="C913" s="10" t="s">
        <v>56</v>
      </c>
      <c r="D913" s="10">
        <v>3350</v>
      </c>
      <c r="E913" s="10">
        <v>1275000</v>
      </c>
      <c r="F913" t="s">
        <v>100</v>
      </c>
      <c r="G913" t="s">
        <v>117</v>
      </c>
    </row>
    <row r="914" spans="1:7">
      <c r="A914" s="10">
        <v>2021</v>
      </c>
      <c r="B914" s="10">
        <v>4</v>
      </c>
      <c r="C914" s="10" t="s">
        <v>57</v>
      </c>
      <c r="D914" s="10">
        <v>828</v>
      </c>
      <c r="E914" s="10">
        <v>288888</v>
      </c>
      <c r="F914" t="s">
        <v>102</v>
      </c>
      <c r="G914" t="s">
        <v>120</v>
      </c>
    </row>
    <row r="915" spans="1:7">
      <c r="A915" s="10">
        <v>2021</v>
      </c>
      <c r="B915" s="10">
        <v>5</v>
      </c>
      <c r="C915" s="10" t="s">
        <v>57</v>
      </c>
      <c r="D915" s="10">
        <v>840</v>
      </c>
      <c r="E915" s="10">
        <v>302545</v>
      </c>
      <c r="F915" t="s">
        <v>102</v>
      </c>
      <c r="G915" t="s">
        <v>120</v>
      </c>
    </row>
    <row r="916" spans="1:7">
      <c r="A916" s="10">
        <v>2021</v>
      </c>
      <c r="B916" s="10">
        <v>6</v>
      </c>
      <c r="C916" s="10" t="s">
        <v>57</v>
      </c>
      <c r="D916" s="10">
        <v>848</v>
      </c>
      <c r="E916" s="10">
        <v>304347</v>
      </c>
      <c r="F916" t="s">
        <v>102</v>
      </c>
      <c r="G916" t="s">
        <v>120</v>
      </c>
    </row>
    <row r="917" spans="1:7">
      <c r="A917" s="10">
        <v>2021</v>
      </c>
      <c r="B917" s="10">
        <v>7</v>
      </c>
      <c r="C917" s="10" t="s">
        <v>57</v>
      </c>
      <c r="D917" s="10">
        <v>920</v>
      </c>
      <c r="E917" s="10">
        <v>310000</v>
      </c>
      <c r="F917" t="s">
        <v>102</v>
      </c>
      <c r="G917" t="s">
        <v>120</v>
      </c>
    </row>
    <row r="918" spans="1:7">
      <c r="A918" s="10">
        <v>2021</v>
      </c>
      <c r="B918" s="10">
        <v>8</v>
      </c>
      <c r="C918" s="10" t="s">
        <v>57</v>
      </c>
      <c r="D918" s="10">
        <v>966</v>
      </c>
      <c r="E918" s="10">
        <v>324610</v>
      </c>
      <c r="F918" t="s">
        <v>102</v>
      </c>
      <c r="G918" t="s">
        <v>120</v>
      </c>
    </row>
    <row r="919" spans="1:7">
      <c r="A919" s="10">
        <v>2021</v>
      </c>
      <c r="B919" s="10">
        <v>9</v>
      </c>
      <c r="C919" s="10" t="s">
        <v>57</v>
      </c>
      <c r="D919" s="10">
        <v>1002</v>
      </c>
      <c r="E919" s="10">
        <v>329545</v>
      </c>
      <c r="F919" t="s">
        <v>102</v>
      </c>
      <c r="G919" t="s">
        <v>120</v>
      </c>
    </row>
    <row r="920" spans="1:7">
      <c r="A920" s="10">
        <v>2021</v>
      </c>
      <c r="B920" s="10">
        <v>10</v>
      </c>
      <c r="C920" s="10" t="s">
        <v>57</v>
      </c>
      <c r="D920" s="10">
        <v>1036</v>
      </c>
      <c r="E920" s="10">
        <v>347222</v>
      </c>
      <c r="F920" t="s">
        <v>102</v>
      </c>
      <c r="G920" t="s">
        <v>120</v>
      </c>
    </row>
    <row r="921" spans="1:7">
      <c r="A921" s="10">
        <v>2021</v>
      </c>
      <c r="B921" s="10">
        <v>11</v>
      </c>
      <c r="C921" s="10" t="s">
        <v>57</v>
      </c>
      <c r="D921" s="10">
        <v>1058</v>
      </c>
      <c r="E921" s="10">
        <v>382130</v>
      </c>
      <c r="F921" t="s">
        <v>102</v>
      </c>
      <c r="G921" t="s">
        <v>120</v>
      </c>
    </row>
    <row r="922" spans="1:7">
      <c r="A922" s="10">
        <v>2021</v>
      </c>
      <c r="B922" s="10">
        <v>12</v>
      </c>
      <c r="C922" s="10" t="s">
        <v>57</v>
      </c>
      <c r="D922" s="10">
        <v>1109</v>
      </c>
      <c r="E922" s="10">
        <v>443732</v>
      </c>
      <c r="F922" t="s">
        <v>102</v>
      </c>
      <c r="G922" t="s">
        <v>120</v>
      </c>
    </row>
    <row r="923" spans="1:7">
      <c r="A923" s="10">
        <v>2022</v>
      </c>
      <c r="B923" s="10">
        <v>1</v>
      </c>
      <c r="C923" s="10" t="s">
        <v>57</v>
      </c>
      <c r="D923" s="10">
        <v>1259</v>
      </c>
      <c r="E923" s="10">
        <v>475000</v>
      </c>
      <c r="F923" t="s">
        <v>102</v>
      </c>
      <c r="G923" t="s">
        <v>120</v>
      </c>
    </row>
    <row r="924" spans="1:7">
      <c r="A924" s="10">
        <v>2022</v>
      </c>
      <c r="B924" s="10">
        <v>2</v>
      </c>
      <c r="C924" s="10" t="s">
        <v>57</v>
      </c>
      <c r="D924" s="10">
        <v>1400</v>
      </c>
      <c r="E924" s="10">
        <v>505555</v>
      </c>
      <c r="F924" t="s">
        <v>102</v>
      </c>
      <c r="G924" t="s">
        <v>120</v>
      </c>
    </row>
    <row r="925" spans="1:7">
      <c r="A925" s="10">
        <v>2022</v>
      </c>
      <c r="B925" s="10">
        <v>3</v>
      </c>
      <c r="C925" s="10" t="s">
        <v>57</v>
      </c>
      <c r="D925" s="10">
        <v>1487</v>
      </c>
      <c r="E925" s="10">
        <v>546364</v>
      </c>
      <c r="F925" t="s">
        <v>102</v>
      </c>
      <c r="G925" t="s">
        <v>120</v>
      </c>
    </row>
    <row r="926" spans="1:7">
      <c r="A926" s="10">
        <v>2022</v>
      </c>
      <c r="B926" s="10">
        <v>4</v>
      </c>
      <c r="C926" s="10" t="s">
        <v>57</v>
      </c>
      <c r="D926" s="10">
        <v>1633</v>
      </c>
      <c r="E926" s="10">
        <v>616296</v>
      </c>
      <c r="F926" t="s">
        <v>102</v>
      </c>
      <c r="G926" t="s">
        <v>120</v>
      </c>
    </row>
    <row r="927" spans="1:7">
      <c r="A927" s="10">
        <v>2022</v>
      </c>
      <c r="B927" s="10">
        <v>5</v>
      </c>
      <c r="C927" s="10" t="s">
        <v>57</v>
      </c>
      <c r="D927" s="10">
        <v>1721</v>
      </c>
      <c r="E927" s="10">
        <v>713278</v>
      </c>
      <c r="F927" t="s">
        <v>102</v>
      </c>
      <c r="G927" t="s">
        <v>120</v>
      </c>
    </row>
    <row r="928" spans="1:7">
      <c r="A928" s="10">
        <v>2022</v>
      </c>
      <c r="B928" s="10">
        <v>6</v>
      </c>
      <c r="C928" s="10" t="s">
        <v>57</v>
      </c>
      <c r="D928" s="10">
        <v>2068</v>
      </c>
      <c r="E928" s="10">
        <v>812500</v>
      </c>
      <c r="F928" t="s">
        <v>102</v>
      </c>
      <c r="G928" t="s">
        <v>120</v>
      </c>
    </row>
    <row r="929" spans="1:7">
      <c r="A929" s="10">
        <v>2022</v>
      </c>
      <c r="B929" s="10">
        <v>7</v>
      </c>
      <c r="C929" s="10" t="s">
        <v>57</v>
      </c>
      <c r="D929" s="10">
        <v>2376</v>
      </c>
      <c r="E929" s="10">
        <v>868214</v>
      </c>
      <c r="F929" t="s">
        <v>102</v>
      </c>
      <c r="G929" t="s">
        <v>120</v>
      </c>
    </row>
    <row r="930" spans="1:7">
      <c r="A930" s="10">
        <v>2022</v>
      </c>
      <c r="B930" s="10">
        <v>8</v>
      </c>
      <c r="C930" s="10" t="s">
        <v>57</v>
      </c>
      <c r="D930" s="10">
        <v>2712</v>
      </c>
      <c r="E930" s="10">
        <v>943101</v>
      </c>
      <c r="F930" t="s">
        <v>102</v>
      </c>
      <c r="G930" t="s">
        <v>120</v>
      </c>
    </row>
    <row r="931" spans="1:7">
      <c r="A931" s="10">
        <v>2022</v>
      </c>
      <c r="B931" s="10">
        <v>9</v>
      </c>
      <c r="C931" s="10" t="s">
        <v>57</v>
      </c>
      <c r="D931" s="10">
        <v>3095</v>
      </c>
      <c r="E931" s="10">
        <v>989131</v>
      </c>
      <c r="F931" t="s">
        <v>102</v>
      </c>
      <c r="G931" t="s">
        <v>120</v>
      </c>
    </row>
    <row r="932" spans="1:7">
      <c r="A932" s="10">
        <v>2022</v>
      </c>
      <c r="B932" s="10">
        <v>10</v>
      </c>
      <c r="C932" s="10" t="s">
        <v>57</v>
      </c>
      <c r="D932" s="10">
        <v>3062</v>
      </c>
      <c r="E932" s="10">
        <v>1049999</v>
      </c>
      <c r="F932" t="s">
        <v>102</v>
      </c>
      <c r="G932" t="s">
        <v>120</v>
      </c>
    </row>
    <row r="933" spans="1:7">
      <c r="A933" s="10">
        <v>2022</v>
      </c>
      <c r="B933" s="10">
        <v>11</v>
      </c>
      <c r="C933" s="10" t="s">
        <v>57</v>
      </c>
      <c r="D933" s="10">
        <v>3062</v>
      </c>
      <c r="E933" s="10">
        <v>1147500</v>
      </c>
      <c r="F933" t="s">
        <v>102</v>
      </c>
      <c r="G933" t="s">
        <v>120</v>
      </c>
    </row>
    <row r="934" spans="1:7">
      <c r="A934" s="10">
        <v>2022</v>
      </c>
      <c r="B934" s="10">
        <v>12</v>
      </c>
      <c r="C934" s="10" t="s">
        <v>57</v>
      </c>
      <c r="D934" s="10">
        <v>3354</v>
      </c>
      <c r="E934" s="10">
        <v>1227272</v>
      </c>
      <c r="F934" t="s">
        <v>102</v>
      </c>
      <c r="G934" t="s">
        <v>120</v>
      </c>
    </row>
    <row r="935" spans="1:7">
      <c r="A935" s="10">
        <v>2021</v>
      </c>
      <c r="B935" s="10">
        <v>4</v>
      </c>
      <c r="C935" s="10" t="s">
        <v>58</v>
      </c>
      <c r="D935" s="10">
        <v>996</v>
      </c>
      <c r="E935" s="10">
        <v>349207</v>
      </c>
      <c r="F935" t="s">
        <v>99</v>
      </c>
      <c r="G935" t="s">
        <v>114</v>
      </c>
    </row>
    <row r="936" spans="1:7">
      <c r="A936" s="10">
        <v>2021</v>
      </c>
      <c r="B936" s="10">
        <v>5</v>
      </c>
      <c r="C936" s="10" t="s">
        <v>58</v>
      </c>
      <c r="D936" s="10">
        <v>1017</v>
      </c>
      <c r="E936" s="10">
        <v>352832</v>
      </c>
      <c r="F936" t="s">
        <v>99</v>
      </c>
      <c r="G936" t="s">
        <v>114</v>
      </c>
    </row>
    <row r="937" spans="1:7">
      <c r="A937" s="10">
        <v>2021</v>
      </c>
      <c r="B937" s="10">
        <v>6</v>
      </c>
      <c r="C937" s="10" t="s">
        <v>58</v>
      </c>
      <c r="D937" s="10">
        <v>1055</v>
      </c>
      <c r="E937" s="10">
        <v>385130</v>
      </c>
      <c r="F937" t="s">
        <v>99</v>
      </c>
      <c r="G937" t="s">
        <v>114</v>
      </c>
    </row>
    <row r="938" spans="1:7">
      <c r="A938" s="10">
        <v>2021</v>
      </c>
      <c r="B938" s="10">
        <v>7</v>
      </c>
      <c r="C938" s="10" t="s">
        <v>58</v>
      </c>
      <c r="D938" s="10">
        <v>1116</v>
      </c>
      <c r="E938" s="10">
        <v>405555</v>
      </c>
      <c r="F938" t="s">
        <v>99</v>
      </c>
      <c r="G938" t="s">
        <v>114</v>
      </c>
    </row>
    <row r="939" spans="1:7">
      <c r="A939" s="10">
        <v>2021</v>
      </c>
      <c r="B939" s="10">
        <v>8</v>
      </c>
      <c r="C939" s="10" t="s">
        <v>58</v>
      </c>
      <c r="D939" s="10">
        <v>1044</v>
      </c>
      <c r="E939" s="10">
        <v>395674</v>
      </c>
      <c r="F939" t="s">
        <v>99</v>
      </c>
      <c r="G939" t="s">
        <v>114</v>
      </c>
    </row>
    <row r="940" spans="1:7">
      <c r="A940" s="10">
        <v>2021</v>
      </c>
      <c r="B940" s="10">
        <v>9</v>
      </c>
      <c r="C940" s="10" t="s">
        <v>58</v>
      </c>
      <c r="D940" s="10">
        <v>1265</v>
      </c>
      <c r="E940" s="10">
        <v>420967</v>
      </c>
      <c r="F940" t="s">
        <v>99</v>
      </c>
      <c r="G940" t="s">
        <v>114</v>
      </c>
    </row>
    <row r="941" spans="1:7">
      <c r="A941" s="10">
        <v>2021</v>
      </c>
      <c r="B941" s="10">
        <v>10</v>
      </c>
      <c r="C941" s="10" t="s">
        <v>58</v>
      </c>
      <c r="D941" s="10">
        <v>1311</v>
      </c>
      <c r="E941" s="10">
        <v>458334</v>
      </c>
      <c r="F941" t="s">
        <v>99</v>
      </c>
      <c r="G941" t="s">
        <v>114</v>
      </c>
    </row>
    <row r="942" spans="1:7">
      <c r="A942" s="10">
        <v>2021</v>
      </c>
      <c r="B942" s="10">
        <v>11</v>
      </c>
      <c r="C942" s="10" t="s">
        <v>58</v>
      </c>
      <c r="D942" s="10">
        <v>1400</v>
      </c>
      <c r="E942" s="10">
        <v>496875</v>
      </c>
      <c r="F942" t="s">
        <v>99</v>
      </c>
      <c r="G942" t="s">
        <v>114</v>
      </c>
    </row>
    <row r="943" spans="1:7">
      <c r="A943" s="10">
        <v>2021</v>
      </c>
      <c r="B943" s="10">
        <v>12</v>
      </c>
      <c r="C943" s="10" t="s">
        <v>58</v>
      </c>
      <c r="D943" s="10">
        <v>1317</v>
      </c>
      <c r="E943" s="10">
        <v>619225</v>
      </c>
      <c r="F943" t="s">
        <v>99</v>
      </c>
      <c r="G943" t="s">
        <v>114</v>
      </c>
    </row>
    <row r="944" spans="1:7">
      <c r="A944" s="10">
        <v>2022</v>
      </c>
      <c r="B944" s="10">
        <v>1</v>
      </c>
      <c r="C944" s="10" t="s">
        <v>58</v>
      </c>
      <c r="D944" s="10">
        <v>1459</v>
      </c>
      <c r="E944" s="10">
        <v>665208</v>
      </c>
      <c r="F944" t="s">
        <v>99</v>
      </c>
      <c r="G944" t="s">
        <v>114</v>
      </c>
    </row>
    <row r="945" spans="1:7">
      <c r="A945" s="10">
        <v>2022</v>
      </c>
      <c r="B945" s="10">
        <v>2</v>
      </c>
      <c r="C945" s="10" t="s">
        <v>58</v>
      </c>
      <c r="D945" s="10">
        <v>1828</v>
      </c>
      <c r="E945" s="10">
        <v>716875</v>
      </c>
      <c r="F945" t="s">
        <v>99</v>
      </c>
      <c r="G945" t="s">
        <v>114</v>
      </c>
    </row>
    <row r="946" spans="1:7">
      <c r="A946" s="10">
        <v>2022</v>
      </c>
      <c r="B946" s="10">
        <v>3</v>
      </c>
      <c r="C946" s="10" t="s">
        <v>58</v>
      </c>
      <c r="D946" s="10">
        <v>2061</v>
      </c>
      <c r="E946" s="10">
        <v>730264</v>
      </c>
      <c r="F946" t="s">
        <v>99</v>
      </c>
      <c r="G946" t="s">
        <v>114</v>
      </c>
    </row>
    <row r="947" spans="1:7">
      <c r="A947" s="10">
        <v>2022</v>
      </c>
      <c r="B947" s="10">
        <v>4</v>
      </c>
      <c r="C947" s="10" t="s">
        <v>58</v>
      </c>
      <c r="D947" s="10">
        <v>2284</v>
      </c>
      <c r="E947" s="10">
        <v>823332</v>
      </c>
      <c r="F947" t="s">
        <v>99</v>
      </c>
      <c r="G947" t="s">
        <v>114</v>
      </c>
    </row>
    <row r="948" spans="1:7">
      <c r="A948" s="10">
        <v>2022</v>
      </c>
      <c r="B948" s="10">
        <v>5</v>
      </c>
      <c r="C948" s="10" t="s">
        <v>58</v>
      </c>
      <c r="D948" s="10">
        <v>2026</v>
      </c>
      <c r="E948" s="10">
        <v>914286</v>
      </c>
      <c r="F948" t="s">
        <v>99</v>
      </c>
      <c r="G948" t="s">
        <v>114</v>
      </c>
    </row>
    <row r="949" spans="1:7">
      <c r="A949" s="10">
        <v>2022</v>
      </c>
      <c r="B949" s="10">
        <v>6</v>
      </c>
      <c r="C949" s="10" t="s">
        <v>58</v>
      </c>
      <c r="D949" s="10">
        <v>2099</v>
      </c>
      <c r="E949" s="10">
        <v>992000</v>
      </c>
      <c r="F949" t="s">
        <v>99</v>
      </c>
      <c r="G949" t="s">
        <v>114</v>
      </c>
    </row>
    <row r="950" spans="1:7">
      <c r="A950" s="10">
        <v>2022</v>
      </c>
      <c r="B950" s="10">
        <v>7</v>
      </c>
      <c r="C950" s="10" t="s">
        <v>58</v>
      </c>
      <c r="D950" s="10">
        <v>2425</v>
      </c>
      <c r="E950" s="10">
        <v>1106492</v>
      </c>
      <c r="F950" t="s">
        <v>99</v>
      </c>
      <c r="G950" t="s">
        <v>114</v>
      </c>
    </row>
    <row r="951" spans="1:7">
      <c r="A951" s="10">
        <v>2022</v>
      </c>
      <c r="B951" s="10">
        <v>8</v>
      </c>
      <c r="C951" s="10" t="s">
        <v>58</v>
      </c>
      <c r="D951" s="10">
        <v>2910</v>
      </c>
      <c r="E951" s="10">
        <v>1118421</v>
      </c>
      <c r="F951" t="s">
        <v>99</v>
      </c>
      <c r="G951" t="s">
        <v>114</v>
      </c>
    </row>
    <row r="952" spans="1:7">
      <c r="A952" s="10">
        <v>2022</v>
      </c>
      <c r="B952" s="10">
        <v>9</v>
      </c>
      <c r="C952" s="10" t="s">
        <v>58</v>
      </c>
      <c r="D952" s="10">
        <v>2982</v>
      </c>
      <c r="E952" s="10">
        <v>1116369</v>
      </c>
      <c r="F952" t="s">
        <v>99</v>
      </c>
      <c r="G952" t="s">
        <v>114</v>
      </c>
    </row>
    <row r="953" spans="1:7">
      <c r="A953" s="10">
        <v>2022</v>
      </c>
      <c r="B953" s="10">
        <v>10</v>
      </c>
      <c r="C953" s="10" t="s">
        <v>58</v>
      </c>
      <c r="D953" s="10">
        <v>2710</v>
      </c>
      <c r="E953" s="10">
        <v>1222222</v>
      </c>
      <c r="F953" t="s">
        <v>99</v>
      </c>
      <c r="G953" t="s">
        <v>114</v>
      </c>
    </row>
    <row r="954" spans="1:7">
      <c r="A954" s="10">
        <v>2022</v>
      </c>
      <c r="B954" s="10">
        <v>11</v>
      </c>
      <c r="C954" s="10" t="s">
        <v>58</v>
      </c>
      <c r="D954" s="10">
        <v>2818</v>
      </c>
      <c r="E954" s="10">
        <v>1228135</v>
      </c>
      <c r="F954" t="s">
        <v>99</v>
      </c>
      <c r="G954" t="s">
        <v>114</v>
      </c>
    </row>
    <row r="955" spans="1:7">
      <c r="A955" s="10">
        <v>2022</v>
      </c>
      <c r="B955" s="10">
        <v>12</v>
      </c>
      <c r="C955" s="10" t="s">
        <v>58</v>
      </c>
      <c r="D955" s="10">
        <v>2763</v>
      </c>
      <c r="E955" s="10">
        <v>1296714</v>
      </c>
      <c r="F955" t="s">
        <v>99</v>
      </c>
      <c r="G955" t="s">
        <v>114</v>
      </c>
    </row>
    <row r="956" spans="1:7">
      <c r="A956" s="10">
        <v>2021</v>
      </c>
      <c r="B956" s="10">
        <v>4</v>
      </c>
      <c r="C956" s="10" t="s">
        <v>59</v>
      </c>
      <c r="D956" s="10">
        <v>1072</v>
      </c>
      <c r="E956" s="10">
        <v>294000</v>
      </c>
      <c r="F956" t="s">
        <v>128</v>
      </c>
      <c r="G956" t="s">
        <v>129</v>
      </c>
    </row>
    <row r="957" spans="1:7">
      <c r="A957" s="10">
        <v>2021</v>
      </c>
      <c r="B957" s="10">
        <v>5</v>
      </c>
      <c r="C957" s="10" t="s">
        <v>59</v>
      </c>
      <c r="D957" s="10">
        <v>1054</v>
      </c>
      <c r="E957" s="10">
        <v>305156</v>
      </c>
      <c r="F957" t="s">
        <v>128</v>
      </c>
      <c r="G957" t="s">
        <v>129</v>
      </c>
    </row>
    <row r="958" spans="1:7">
      <c r="A958" s="10">
        <v>2021</v>
      </c>
      <c r="B958" s="10">
        <v>6</v>
      </c>
      <c r="C958" s="10" t="s">
        <v>59</v>
      </c>
      <c r="D958" s="10">
        <v>1173</v>
      </c>
      <c r="E958" s="10">
        <v>294231</v>
      </c>
      <c r="F958" t="s">
        <v>128</v>
      </c>
      <c r="G958" t="s">
        <v>129</v>
      </c>
    </row>
    <row r="959" spans="1:7">
      <c r="A959" s="10">
        <v>2021</v>
      </c>
      <c r="B959" s="10">
        <v>7</v>
      </c>
      <c r="C959" s="10" t="s">
        <v>59</v>
      </c>
      <c r="D959" s="10">
        <v>1180</v>
      </c>
      <c r="E959" s="10">
        <v>304557</v>
      </c>
      <c r="F959" t="s">
        <v>128</v>
      </c>
      <c r="G959" t="s">
        <v>129</v>
      </c>
    </row>
    <row r="960" spans="1:7">
      <c r="A960" s="10">
        <v>2021</v>
      </c>
      <c r="B960" s="10">
        <v>8</v>
      </c>
      <c r="C960" s="10" t="s">
        <v>59</v>
      </c>
      <c r="D960" s="10">
        <v>1087</v>
      </c>
      <c r="E960" s="10">
        <v>324308</v>
      </c>
      <c r="F960" t="s">
        <v>128</v>
      </c>
      <c r="G960" t="s">
        <v>129</v>
      </c>
    </row>
    <row r="961" spans="1:7">
      <c r="A961" s="10">
        <v>2021</v>
      </c>
      <c r="B961" s="10">
        <v>9</v>
      </c>
      <c r="C961" s="10" t="s">
        <v>59</v>
      </c>
      <c r="D961" s="10">
        <v>1128</v>
      </c>
      <c r="E961" s="10">
        <v>329863</v>
      </c>
      <c r="F961" t="s">
        <v>128</v>
      </c>
      <c r="G961" t="s">
        <v>129</v>
      </c>
    </row>
    <row r="962" spans="1:7">
      <c r="A962" s="10">
        <v>2021</v>
      </c>
      <c r="B962" s="10">
        <v>10</v>
      </c>
      <c r="C962" s="10" t="s">
        <v>59</v>
      </c>
      <c r="D962" s="10">
        <v>1122</v>
      </c>
      <c r="E962" s="10">
        <v>335937</v>
      </c>
      <c r="F962" t="s">
        <v>128</v>
      </c>
      <c r="G962" t="s">
        <v>129</v>
      </c>
    </row>
    <row r="963" spans="1:7">
      <c r="A963" s="10">
        <v>2021</v>
      </c>
      <c r="B963" s="10">
        <v>11</v>
      </c>
      <c r="C963" s="10" t="s">
        <v>59</v>
      </c>
      <c r="D963" s="10">
        <v>1034</v>
      </c>
      <c r="E963" s="10">
        <v>366598</v>
      </c>
      <c r="F963" t="s">
        <v>128</v>
      </c>
      <c r="G963" t="s">
        <v>129</v>
      </c>
    </row>
    <row r="964" spans="1:7">
      <c r="A964" s="10">
        <v>2021</v>
      </c>
      <c r="B964" s="10">
        <v>12</v>
      </c>
      <c r="C964" s="10" t="s">
        <v>59</v>
      </c>
      <c r="D964" s="10">
        <v>1174</v>
      </c>
      <c r="E964" s="10">
        <v>384285</v>
      </c>
      <c r="F964" t="s">
        <v>128</v>
      </c>
      <c r="G964" t="s">
        <v>129</v>
      </c>
    </row>
    <row r="965" spans="1:7">
      <c r="A965" s="10">
        <v>2022</v>
      </c>
      <c r="B965" s="10">
        <v>1</v>
      </c>
      <c r="C965" s="10" t="s">
        <v>59</v>
      </c>
      <c r="D965" s="10">
        <v>1280</v>
      </c>
      <c r="E965" s="10">
        <v>407569</v>
      </c>
      <c r="F965" t="s">
        <v>128</v>
      </c>
      <c r="G965" t="s">
        <v>129</v>
      </c>
    </row>
    <row r="966" spans="1:7">
      <c r="A966" s="10">
        <v>2022</v>
      </c>
      <c r="B966" s="10">
        <v>2</v>
      </c>
      <c r="C966" s="10" t="s">
        <v>59</v>
      </c>
      <c r="D966" s="10">
        <v>1192</v>
      </c>
      <c r="E966" s="10">
        <v>413250</v>
      </c>
      <c r="F966" t="s">
        <v>128</v>
      </c>
      <c r="G966" t="s">
        <v>129</v>
      </c>
    </row>
    <row r="967" spans="1:7">
      <c r="A967" s="10">
        <v>2022</v>
      </c>
      <c r="B967" s="10">
        <v>3</v>
      </c>
      <c r="C967" s="10" t="s">
        <v>59</v>
      </c>
      <c r="D967" s="10">
        <v>1502</v>
      </c>
      <c r="E967" s="10">
        <v>458484</v>
      </c>
      <c r="F967" t="s">
        <v>128</v>
      </c>
      <c r="G967" t="s">
        <v>129</v>
      </c>
    </row>
    <row r="968" spans="1:7">
      <c r="A968" s="10">
        <v>2022</v>
      </c>
      <c r="B968" s="10">
        <v>4</v>
      </c>
      <c r="C968" s="10" t="s">
        <v>59</v>
      </c>
      <c r="D968" s="10">
        <v>1410</v>
      </c>
      <c r="E968" s="10">
        <v>538180</v>
      </c>
      <c r="F968" t="s">
        <v>128</v>
      </c>
      <c r="G968" t="s">
        <v>129</v>
      </c>
    </row>
    <row r="969" spans="1:7">
      <c r="A969" s="10">
        <v>2022</v>
      </c>
      <c r="B969" s="10">
        <v>5</v>
      </c>
      <c r="C969" s="10" t="s">
        <v>59</v>
      </c>
      <c r="D969" s="10">
        <v>1590</v>
      </c>
      <c r="E969" s="10">
        <v>587544</v>
      </c>
      <c r="F969" t="s">
        <v>128</v>
      </c>
      <c r="G969" t="s">
        <v>129</v>
      </c>
    </row>
    <row r="970" spans="1:7">
      <c r="A970" s="10">
        <v>2022</v>
      </c>
      <c r="B970" s="10">
        <v>6</v>
      </c>
      <c r="C970" s="10" t="s">
        <v>59</v>
      </c>
      <c r="D970" s="10">
        <v>1892</v>
      </c>
      <c r="E970" s="10">
        <v>650999</v>
      </c>
      <c r="F970" t="s">
        <v>128</v>
      </c>
      <c r="G970" t="s">
        <v>129</v>
      </c>
    </row>
    <row r="971" spans="1:7">
      <c r="A971" s="10">
        <v>2022</v>
      </c>
      <c r="B971" s="10">
        <v>7</v>
      </c>
      <c r="C971" s="10" t="s">
        <v>59</v>
      </c>
      <c r="D971" s="10">
        <v>2143</v>
      </c>
      <c r="E971" s="10">
        <v>716382</v>
      </c>
      <c r="F971" t="s">
        <v>128</v>
      </c>
      <c r="G971" t="s">
        <v>129</v>
      </c>
    </row>
    <row r="972" spans="1:7">
      <c r="A972" s="10">
        <v>2022</v>
      </c>
      <c r="B972" s="10">
        <v>8</v>
      </c>
      <c r="C972" s="10" t="s">
        <v>59</v>
      </c>
      <c r="D972" s="10">
        <v>1980</v>
      </c>
      <c r="E972" s="10">
        <v>748846</v>
      </c>
      <c r="F972" t="s">
        <v>128</v>
      </c>
      <c r="G972" t="s">
        <v>129</v>
      </c>
    </row>
    <row r="973" spans="1:7">
      <c r="A973" s="10">
        <v>2022</v>
      </c>
      <c r="B973" s="10">
        <v>9</v>
      </c>
      <c r="C973" s="10" t="s">
        <v>59</v>
      </c>
      <c r="D973" s="10">
        <v>1904</v>
      </c>
      <c r="E973" s="10">
        <v>766719</v>
      </c>
      <c r="F973" t="s">
        <v>128</v>
      </c>
      <c r="G973" t="s">
        <v>129</v>
      </c>
    </row>
    <row r="974" spans="1:7">
      <c r="A974" s="10">
        <v>2022</v>
      </c>
      <c r="B974" s="10">
        <v>10</v>
      </c>
      <c r="C974" s="10" t="s">
        <v>59</v>
      </c>
      <c r="D974" s="10">
        <v>1968</v>
      </c>
      <c r="E974" s="10">
        <v>803571</v>
      </c>
      <c r="F974" t="s">
        <v>128</v>
      </c>
      <c r="G974" t="s">
        <v>129</v>
      </c>
    </row>
    <row r="975" spans="1:7">
      <c r="A975" s="10">
        <v>2022</v>
      </c>
      <c r="B975" s="10">
        <v>11</v>
      </c>
      <c r="C975" s="10" t="s">
        <v>59</v>
      </c>
      <c r="D975" s="10">
        <v>1998</v>
      </c>
      <c r="E975" s="10">
        <v>852121</v>
      </c>
      <c r="F975" t="s">
        <v>128</v>
      </c>
      <c r="G975" t="s">
        <v>129</v>
      </c>
    </row>
    <row r="976" spans="1:7">
      <c r="A976" s="10">
        <v>2022</v>
      </c>
      <c r="B976" s="10">
        <v>12</v>
      </c>
      <c r="C976" s="10" t="s">
        <v>59</v>
      </c>
      <c r="D976" s="10">
        <v>2220</v>
      </c>
      <c r="E976" s="10">
        <v>897499</v>
      </c>
      <c r="F976" t="s">
        <v>128</v>
      </c>
      <c r="G976" t="s">
        <v>129</v>
      </c>
    </row>
    <row r="977" spans="1:7">
      <c r="A977" s="10">
        <v>2021</v>
      </c>
      <c r="B977" s="10">
        <v>4</v>
      </c>
      <c r="C977" s="10" t="s">
        <v>60</v>
      </c>
      <c r="D977" s="10">
        <v>865</v>
      </c>
      <c r="E977" s="10">
        <v>312249</v>
      </c>
      <c r="F977" t="s">
        <v>102</v>
      </c>
      <c r="G977" t="s">
        <v>121</v>
      </c>
    </row>
    <row r="978" spans="1:7">
      <c r="A978" s="10">
        <v>2021</v>
      </c>
      <c r="B978" s="10">
        <v>5</v>
      </c>
      <c r="C978" s="10" t="s">
        <v>60</v>
      </c>
      <c r="D978" s="10">
        <v>902</v>
      </c>
      <c r="E978" s="10">
        <v>321230</v>
      </c>
      <c r="F978" t="s">
        <v>102</v>
      </c>
      <c r="G978" t="s">
        <v>121</v>
      </c>
    </row>
    <row r="979" spans="1:7">
      <c r="A979" s="10">
        <v>2021</v>
      </c>
      <c r="B979" s="10">
        <v>6</v>
      </c>
      <c r="C979" s="10" t="s">
        <v>60</v>
      </c>
      <c r="D979" s="10">
        <v>904</v>
      </c>
      <c r="E979" s="10">
        <v>327999</v>
      </c>
      <c r="F979" t="s">
        <v>102</v>
      </c>
      <c r="G979" t="s">
        <v>121</v>
      </c>
    </row>
    <row r="980" spans="1:7">
      <c r="A980" s="10">
        <v>2021</v>
      </c>
      <c r="B980" s="10">
        <v>7</v>
      </c>
      <c r="C980" s="10" t="s">
        <v>60</v>
      </c>
      <c r="D980" s="10">
        <v>960</v>
      </c>
      <c r="E980" s="10">
        <v>334736</v>
      </c>
      <c r="F980" t="s">
        <v>102</v>
      </c>
      <c r="G980" t="s">
        <v>121</v>
      </c>
    </row>
    <row r="981" spans="1:7">
      <c r="A981" s="10">
        <v>2021</v>
      </c>
      <c r="B981" s="10">
        <v>8</v>
      </c>
      <c r="C981" s="10" t="s">
        <v>60</v>
      </c>
      <c r="D981" s="10">
        <v>989</v>
      </c>
      <c r="E981" s="10">
        <v>346666</v>
      </c>
      <c r="F981" t="s">
        <v>102</v>
      </c>
      <c r="G981" t="s">
        <v>121</v>
      </c>
    </row>
    <row r="982" spans="1:7">
      <c r="A982" s="10">
        <v>2021</v>
      </c>
      <c r="B982" s="10">
        <v>9</v>
      </c>
      <c r="C982" s="10" t="s">
        <v>60</v>
      </c>
      <c r="D982" s="10">
        <v>1067</v>
      </c>
      <c r="E982" s="10">
        <v>358736</v>
      </c>
      <c r="F982" t="s">
        <v>102</v>
      </c>
      <c r="G982" t="s">
        <v>121</v>
      </c>
    </row>
    <row r="983" spans="1:7">
      <c r="A983" s="10">
        <v>2021</v>
      </c>
      <c r="B983" s="10">
        <v>10</v>
      </c>
      <c r="C983" s="10" t="s">
        <v>60</v>
      </c>
      <c r="D983" s="10">
        <v>979</v>
      </c>
      <c r="E983" s="10">
        <v>372000</v>
      </c>
      <c r="F983" t="s">
        <v>102</v>
      </c>
      <c r="G983" t="s">
        <v>121</v>
      </c>
    </row>
    <row r="984" spans="1:7">
      <c r="A984" s="10">
        <v>2021</v>
      </c>
      <c r="B984" s="10">
        <v>11</v>
      </c>
      <c r="C984" s="10" t="s">
        <v>60</v>
      </c>
      <c r="D984" s="10">
        <v>1022</v>
      </c>
      <c r="E984" s="10">
        <v>405259</v>
      </c>
      <c r="F984" t="s">
        <v>102</v>
      </c>
      <c r="G984" t="s">
        <v>121</v>
      </c>
    </row>
    <row r="985" spans="1:7">
      <c r="A985" s="10">
        <v>2021</v>
      </c>
      <c r="B985" s="10">
        <v>12</v>
      </c>
      <c r="C985" s="10" t="s">
        <v>60</v>
      </c>
      <c r="D985" s="10">
        <v>1090</v>
      </c>
      <c r="E985" s="10">
        <v>481250</v>
      </c>
      <c r="F985" t="s">
        <v>102</v>
      </c>
      <c r="G985" t="s">
        <v>121</v>
      </c>
    </row>
    <row r="986" spans="1:7">
      <c r="A986" s="10">
        <v>2022</v>
      </c>
      <c r="B986" s="10">
        <v>1</v>
      </c>
      <c r="C986" s="10" t="s">
        <v>60</v>
      </c>
      <c r="D986" s="10">
        <v>1151</v>
      </c>
      <c r="E986" s="10">
        <v>494118</v>
      </c>
      <c r="F986" t="s">
        <v>102</v>
      </c>
      <c r="G986" t="s">
        <v>121</v>
      </c>
    </row>
    <row r="987" spans="1:7">
      <c r="A987" s="10">
        <v>2022</v>
      </c>
      <c r="B987" s="10">
        <v>2</v>
      </c>
      <c r="C987" s="10" t="s">
        <v>60</v>
      </c>
      <c r="D987" s="10">
        <v>1219</v>
      </c>
      <c r="E987" s="10">
        <v>534000</v>
      </c>
      <c r="F987" t="s">
        <v>102</v>
      </c>
      <c r="G987" t="s">
        <v>121</v>
      </c>
    </row>
    <row r="988" spans="1:7">
      <c r="A988" s="10">
        <v>2022</v>
      </c>
      <c r="B988" s="10">
        <v>3</v>
      </c>
      <c r="C988" s="10" t="s">
        <v>60</v>
      </c>
      <c r="D988" s="10">
        <v>1248</v>
      </c>
      <c r="E988" s="10">
        <v>605000</v>
      </c>
      <c r="F988" t="s">
        <v>102</v>
      </c>
      <c r="G988" t="s">
        <v>121</v>
      </c>
    </row>
    <row r="989" spans="1:7">
      <c r="A989" s="10">
        <v>2022</v>
      </c>
      <c r="B989" s="10">
        <v>4</v>
      </c>
      <c r="C989" s="10" t="s">
        <v>60</v>
      </c>
      <c r="D989" s="10">
        <v>1416</v>
      </c>
      <c r="E989" s="10">
        <v>671013</v>
      </c>
      <c r="F989" t="s">
        <v>102</v>
      </c>
      <c r="G989" t="s">
        <v>121</v>
      </c>
    </row>
    <row r="990" spans="1:7">
      <c r="A990" s="10">
        <v>2022</v>
      </c>
      <c r="B990" s="10">
        <v>5</v>
      </c>
      <c r="C990" s="10" t="s">
        <v>60</v>
      </c>
      <c r="D990" s="10">
        <v>1498</v>
      </c>
      <c r="E990" s="10">
        <v>730050</v>
      </c>
      <c r="F990" t="s">
        <v>102</v>
      </c>
      <c r="G990" t="s">
        <v>121</v>
      </c>
    </row>
    <row r="991" spans="1:7">
      <c r="A991" s="10">
        <v>2022</v>
      </c>
      <c r="B991" s="10">
        <v>6</v>
      </c>
      <c r="C991" s="10" t="s">
        <v>60</v>
      </c>
      <c r="D991" s="10">
        <v>1861</v>
      </c>
      <c r="E991" s="10">
        <v>777391</v>
      </c>
      <c r="F991" t="s">
        <v>102</v>
      </c>
      <c r="G991" t="s">
        <v>121</v>
      </c>
    </row>
    <row r="992" spans="1:7">
      <c r="A992" s="10">
        <v>2022</v>
      </c>
      <c r="B992" s="10">
        <v>7</v>
      </c>
      <c r="C992" s="10" t="s">
        <v>60</v>
      </c>
      <c r="D992" s="10">
        <v>2073</v>
      </c>
      <c r="E992" s="10">
        <v>867251</v>
      </c>
      <c r="F992" t="s">
        <v>102</v>
      </c>
      <c r="G992" t="s">
        <v>121</v>
      </c>
    </row>
    <row r="993" spans="1:7">
      <c r="A993" s="10">
        <v>2022</v>
      </c>
      <c r="B993" s="10">
        <v>8</v>
      </c>
      <c r="C993" s="10" t="s">
        <v>60</v>
      </c>
      <c r="D993" s="10">
        <v>2177</v>
      </c>
      <c r="E993" s="10">
        <v>925000</v>
      </c>
      <c r="F993" t="s">
        <v>102</v>
      </c>
      <c r="G993" t="s">
        <v>121</v>
      </c>
    </row>
    <row r="994" spans="1:7">
      <c r="A994" s="10">
        <v>2022</v>
      </c>
      <c r="B994" s="10">
        <v>9</v>
      </c>
      <c r="C994" s="10" t="s">
        <v>60</v>
      </c>
      <c r="D994" s="10">
        <v>2444</v>
      </c>
      <c r="E994" s="10">
        <v>978713</v>
      </c>
      <c r="F994" t="s">
        <v>102</v>
      </c>
      <c r="G994" t="s">
        <v>121</v>
      </c>
    </row>
    <row r="995" spans="1:7">
      <c r="A995" s="10">
        <v>2022</v>
      </c>
      <c r="B995" s="10">
        <v>10</v>
      </c>
      <c r="C995" s="10" t="s">
        <v>60</v>
      </c>
      <c r="D995" s="10">
        <v>2737</v>
      </c>
      <c r="E995" s="10">
        <v>987692</v>
      </c>
      <c r="F995" t="s">
        <v>102</v>
      </c>
      <c r="G995" t="s">
        <v>121</v>
      </c>
    </row>
    <row r="996" spans="1:7">
      <c r="A996" s="10">
        <v>2022</v>
      </c>
      <c r="B996" s="10">
        <v>11</v>
      </c>
      <c r="C996" s="10" t="s">
        <v>60</v>
      </c>
      <c r="D996" s="10">
        <v>2802</v>
      </c>
      <c r="E996" s="10">
        <v>1073600</v>
      </c>
      <c r="F996" t="s">
        <v>102</v>
      </c>
      <c r="G996" t="s">
        <v>121</v>
      </c>
    </row>
    <row r="997" spans="1:7">
      <c r="A997" s="10">
        <v>2022</v>
      </c>
      <c r="B997" s="10">
        <v>12</v>
      </c>
      <c r="C997" s="10" t="s">
        <v>60</v>
      </c>
      <c r="D997" s="10">
        <v>2944</v>
      </c>
      <c r="E997" s="10">
        <v>1170110</v>
      </c>
      <c r="F997" t="s">
        <v>102</v>
      </c>
      <c r="G997" t="s">
        <v>121</v>
      </c>
    </row>
    <row r="998" spans="1:7">
      <c r="A998" s="10">
        <v>2021</v>
      </c>
      <c r="B998" s="10">
        <v>5</v>
      </c>
      <c r="C998" s="10" t="s">
        <v>61</v>
      </c>
      <c r="D998" s="10">
        <v>1100</v>
      </c>
      <c r="E998" s="10">
        <v>376200</v>
      </c>
      <c r="F998" t="s">
        <v>101</v>
      </c>
      <c r="G998" t="s">
        <v>119</v>
      </c>
    </row>
    <row r="999" spans="1:7">
      <c r="A999" s="10">
        <v>2021</v>
      </c>
      <c r="B999" s="10">
        <v>6</v>
      </c>
      <c r="C999" s="10" t="s">
        <v>61</v>
      </c>
      <c r="D999" s="10">
        <v>1130</v>
      </c>
      <c r="E999" s="10">
        <v>386294</v>
      </c>
      <c r="F999" t="s">
        <v>101</v>
      </c>
      <c r="G999" t="s">
        <v>119</v>
      </c>
    </row>
    <row r="1000" spans="1:7">
      <c r="A1000" s="10">
        <v>2021</v>
      </c>
      <c r="B1000" s="10">
        <v>7</v>
      </c>
      <c r="C1000" s="10" t="s">
        <v>61</v>
      </c>
      <c r="D1000" s="10">
        <v>1245</v>
      </c>
      <c r="E1000" s="10">
        <v>401499</v>
      </c>
      <c r="F1000" t="s">
        <v>101</v>
      </c>
      <c r="G1000" t="s">
        <v>119</v>
      </c>
    </row>
    <row r="1001" spans="1:7">
      <c r="A1001" s="10">
        <v>2021</v>
      </c>
      <c r="B1001" s="10">
        <v>8</v>
      </c>
      <c r="C1001" s="10" t="s">
        <v>61</v>
      </c>
      <c r="D1001" s="10">
        <v>1461</v>
      </c>
      <c r="E1001" s="10">
        <v>415161</v>
      </c>
      <c r="F1001" t="s">
        <v>101</v>
      </c>
      <c r="G1001" t="s">
        <v>119</v>
      </c>
    </row>
    <row r="1002" spans="1:7">
      <c r="A1002" s="10">
        <v>2021</v>
      </c>
      <c r="B1002" s="10">
        <v>9</v>
      </c>
      <c r="C1002" s="10" t="s">
        <v>61</v>
      </c>
      <c r="D1002" s="10">
        <v>1460</v>
      </c>
      <c r="E1002" s="10">
        <v>433714</v>
      </c>
      <c r="F1002" t="s">
        <v>101</v>
      </c>
      <c r="G1002" t="s">
        <v>119</v>
      </c>
    </row>
    <row r="1003" spans="1:7">
      <c r="A1003" s="10">
        <v>2021</v>
      </c>
      <c r="B1003" s="10">
        <v>10</v>
      </c>
      <c r="C1003" s="10" t="s">
        <v>61</v>
      </c>
      <c r="D1003" s="10">
        <v>1596</v>
      </c>
      <c r="E1003" s="10">
        <v>455000</v>
      </c>
      <c r="F1003" t="s">
        <v>101</v>
      </c>
      <c r="G1003" t="s">
        <v>119</v>
      </c>
    </row>
    <row r="1004" spans="1:7">
      <c r="A1004" s="10">
        <v>2021</v>
      </c>
      <c r="B1004" s="10">
        <v>11</v>
      </c>
      <c r="C1004" s="10" t="s">
        <v>61</v>
      </c>
      <c r="D1004" s="10">
        <v>1551</v>
      </c>
      <c r="E1004" s="10">
        <v>523600</v>
      </c>
      <c r="F1004" t="s">
        <v>101</v>
      </c>
      <c r="G1004" t="s">
        <v>119</v>
      </c>
    </row>
    <row r="1005" spans="1:7">
      <c r="A1005" s="10">
        <v>2021</v>
      </c>
      <c r="B1005" s="10">
        <v>12</v>
      </c>
      <c r="C1005" s="10" t="s">
        <v>61</v>
      </c>
      <c r="D1005" s="10">
        <v>1625</v>
      </c>
      <c r="E1005" s="10">
        <v>636364</v>
      </c>
      <c r="F1005" t="s">
        <v>101</v>
      </c>
      <c r="G1005" t="s">
        <v>119</v>
      </c>
    </row>
    <row r="1006" spans="1:7">
      <c r="A1006" s="10">
        <v>2022</v>
      </c>
      <c r="B1006" s="10">
        <v>1</v>
      </c>
      <c r="C1006" s="10" t="s">
        <v>61</v>
      </c>
      <c r="D1006" s="10">
        <v>1703</v>
      </c>
      <c r="E1006" s="10">
        <v>690625</v>
      </c>
      <c r="F1006" t="s">
        <v>101</v>
      </c>
      <c r="G1006" t="s">
        <v>119</v>
      </c>
    </row>
    <row r="1007" spans="1:7">
      <c r="A1007" s="10">
        <v>2022</v>
      </c>
      <c r="B1007" s="10">
        <v>2</v>
      </c>
      <c r="C1007" s="10" t="s">
        <v>61</v>
      </c>
      <c r="D1007" s="10">
        <v>1740</v>
      </c>
      <c r="E1007" s="10">
        <v>705600</v>
      </c>
      <c r="F1007" t="s">
        <v>101</v>
      </c>
      <c r="G1007" t="s">
        <v>119</v>
      </c>
    </row>
    <row r="1008" spans="1:7">
      <c r="A1008" s="10">
        <v>2022</v>
      </c>
      <c r="B1008" s="10">
        <v>3</v>
      </c>
      <c r="C1008" s="10" t="s">
        <v>61</v>
      </c>
      <c r="D1008" s="10">
        <v>2016</v>
      </c>
      <c r="E1008" s="10">
        <v>766645</v>
      </c>
      <c r="F1008" t="s">
        <v>101</v>
      </c>
      <c r="G1008" t="s">
        <v>119</v>
      </c>
    </row>
    <row r="1009" spans="1:7">
      <c r="A1009" s="10">
        <v>2022</v>
      </c>
      <c r="B1009" s="10">
        <v>4</v>
      </c>
      <c r="C1009" s="10" t="s">
        <v>61</v>
      </c>
      <c r="D1009" s="10">
        <v>2136</v>
      </c>
      <c r="E1009" s="10">
        <v>823845</v>
      </c>
      <c r="F1009" t="s">
        <v>101</v>
      </c>
      <c r="G1009" t="s">
        <v>119</v>
      </c>
    </row>
    <row r="1010" spans="1:7">
      <c r="A1010" s="10">
        <v>2022</v>
      </c>
      <c r="B1010" s="10">
        <v>5</v>
      </c>
      <c r="C1010" s="10" t="s">
        <v>61</v>
      </c>
      <c r="D1010" s="10">
        <v>2598</v>
      </c>
      <c r="E1010" s="10">
        <v>905068</v>
      </c>
      <c r="F1010" t="s">
        <v>101</v>
      </c>
      <c r="G1010" t="s">
        <v>119</v>
      </c>
    </row>
    <row r="1011" spans="1:7">
      <c r="A1011" s="10">
        <v>2022</v>
      </c>
      <c r="B1011" s="10">
        <v>6</v>
      </c>
      <c r="C1011" s="10" t="s">
        <v>61</v>
      </c>
      <c r="D1011" s="10">
        <v>2984</v>
      </c>
      <c r="E1011" s="10">
        <v>978718</v>
      </c>
      <c r="F1011" t="s">
        <v>101</v>
      </c>
      <c r="G1011" t="s">
        <v>119</v>
      </c>
    </row>
    <row r="1012" spans="1:7">
      <c r="A1012" s="10">
        <v>2022</v>
      </c>
      <c r="B1012" s="10">
        <v>7</v>
      </c>
      <c r="C1012" s="10" t="s">
        <v>61</v>
      </c>
      <c r="D1012" s="10">
        <v>3476</v>
      </c>
      <c r="E1012" s="10">
        <v>1054000</v>
      </c>
      <c r="F1012" t="s">
        <v>101</v>
      </c>
      <c r="G1012" t="s">
        <v>119</v>
      </c>
    </row>
    <row r="1013" spans="1:7">
      <c r="A1013" s="10">
        <v>2022</v>
      </c>
      <c r="B1013" s="10">
        <v>8</v>
      </c>
      <c r="C1013" s="10" t="s">
        <v>61</v>
      </c>
      <c r="D1013" s="10">
        <v>3684</v>
      </c>
      <c r="E1013" s="10">
        <v>1115625</v>
      </c>
      <c r="F1013" t="s">
        <v>101</v>
      </c>
      <c r="G1013" t="s">
        <v>119</v>
      </c>
    </row>
    <row r="1014" spans="1:7">
      <c r="A1014" s="10">
        <v>2022</v>
      </c>
      <c r="B1014" s="10">
        <v>9</v>
      </c>
      <c r="C1014" s="10" t="s">
        <v>61</v>
      </c>
      <c r="D1014" s="10">
        <v>3762</v>
      </c>
      <c r="E1014" s="10">
        <v>1102200</v>
      </c>
      <c r="F1014" t="s">
        <v>101</v>
      </c>
      <c r="G1014" t="s">
        <v>119</v>
      </c>
    </row>
    <row r="1015" spans="1:7">
      <c r="A1015" s="10">
        <v>2022</v>
      </c>
      <c r="B1015" s="10">
        <v>10</v>
      </c>
      <c r="C1015" s="10" t="s">
        <v>61</v>
      </c>
      <c r="D1015" s="10">
        <v>3672</v>
      </c>
      <c r="E1015" s="10">
        <v>1148858</v>
      </c>
      <c r="F1015" t="s">
        <v>101</v>
      </c>
      <c r="G1015" t="s">
        <v>119</v>
      </c>
    </row>
    <row r="1016" spans="1:7">
      <c r="A1016" s="10">
        <v>2022</v>
      </c>
      <c r="B1016" s="10">
        <v>11</v>
      </c>
      <c r="C1016" s="10" t="s">
        <v>61</v>
      </c>
      <c r="D1016" s="10">
        <v>3716</v>
      </c>
      <c r="E1016" s="10">
        <v>1178571</v>
      </c>
      <c r="F1016" t="s">
        <v>101</v>
      </c>
      <c r="G1016" t="s">
        <v>119</v>
      </c>
    </row>
    <row r="1017" spans="1:7">
      <c r="A1017" s="10">
        <v>2022</v>
      </c>
      <c r="B1017" s="10">
        <v>12</v>
      </c>
      <c r="C1017" s="10" t="s">
        <v>61</v>
      </c>
      <c r="D1017" s="10">
        <v>3672</v>
      </c>
      <c r="E1017" s="10">
        <v>1225714</v>
      </c>
      <c r="F1017" t="s">
        <v>101</v>
      </c>
      <c r="G1017" t="s">
        <v>119</v>
      </c>
    </row>
    <row r="1018" spans="1:7">
      <c r="A1018" s="10">
        <v>2021</v>
      </c>
      <c r="B1018" s="10">
        <v>5</v>
      </c>
      <c r="C1018" s="10" t="s">
        <v>62</v>
      </c>
      <c r="D1018" s="10">
        <v>850</v>
      </c>
      <c r="E1018" s="10">
        <v>264999</v>
      </c>
      <c r="F1018" t="s">
        <v>101</v>
      </c>
      <c r="G1018" t="s">
        <v>118</v>
      </c>
    </row>
    <row r="1019" spans="1:7">
      <c r="A1019" s="10">
        <v>2021</v>
      </c>
      <c r="B1019" s="10">
        <v>6</v>
      </c>
      <c r="C1019" s="10" t="s">
        <v>62</v>
      </c>
      <c r="D1019" s="10">
        <v>855</v>
      </c>
      <c r="E1019" s="10">
        <v>274499</v>
      </c>
      <c r="F1019" t="s">
        <v>101</v>
      </c>
      <c r="G1019" t="s">
        <v>118</v>
      </c>
    </row>
    <row r="1020" spans="1:7">
      <c r="A1020" s="10">
        <v>2021</v>
      </c>
      <c r="B1020" s="10">
        <v>7</v>
      </c>
      <c r="C1020" s="10" t="s">
        <v>62</v>
      </c>
      <c r="D1020" s="10">
        <v>870</v>
      </c>
      <c r="E1020" s="10">
        <v>275510</v>
      </c>
      <c r="F1020" t="s">
        <v>101</v>
      </c>
      <c r="G1020" t="s">
        <v>118</v>
      </c>
    </row>
    <row r="1021" spans="1:7">
      <c r="A1021" s="10">
        <v>2021</v>
      </c>
      <c r="B1021" s="10">
        <v>8</v>
      </c>
      <c r="C1021" s="10" t="s">
        <v>62</v>
      </c>
      <c r="D1021" s="10">
        <v>928</v>
      </c>
      <c r="E1021" s="10">
        <v>279643</v>
      </c>
      <c r="F1021" t="s">
        <v>101</v>
      </c>
      <c r="G1021" t="s">
        <v>118</v>
      </c>
    </row>
    <row r="1022" spans="1:7">
      <c r="A1022" s="10">
        <v>2021</v>
      </c>
      <c r="B1022" s="10">
        <v>9</v>
      </c>
      <c r="C1022" s="10" t="s">
        <v>62</v>
      </c>
      <c r="D1022" s="10">
        <v>1030</v>
      </c>
      <c r="E1022" s="10">
        <v>286393</v>
      </c>
      <c r="F1022" t="s">
        <v>101</v>
      </c>
      <c r="G1022" t="s">
        <v>118</v>
      </c>
    </row>
    <row r="1023" spans="1:7">
      <c r="A1023" s="10">
        <v>2021</v>
      </c>
      <c r="B1023" s="10">
        <v>10</v>
      </c>
      <c r="C1023" s="10" t="s">
        <v>62</v>
      </c>
      <c r="D1023" s="10">
        <v>1013</v>
      </c>
      <c r="E1023" s="10">
        <v>300051</v>
      </c>
      <c r="F1023" t="s">
        <v>101</v>
      </c>
      <c r="G1023" t="s">
        <v>118</v>
      </c>
    </row>
    <row r="1024" spans="1:7">
      <c r="A1024" s="10">
        <v>2021</v>
      </c>
      <c r="B1024" s="10">
        <v>11</v>
      </c>
      <c r="C1024" s="10" t="s">
        <v>62</v>
      </c>
      <c r="D1024" s="10">
        <v>1026</v>
      </c>
      <c r="E1024" s="10">
        <v>310500</v>
      </c>
      <c r="F1024" t="s">
        <v>101</v>
      </c>
      <c r="G1024" t="s">
        <v>118</v>
      </c>
    </row>
    <row r="1025" spans="1:7">
      <c r="A1025" s="10">
        <v>2021</v>
      </c>
      <c r="B1025" s="10">
        <v>12</v>
      </c>
      <c r="C1025" s="10" t="s">
        <v>62</v>
      </c>
      <c r="D1025" s="10">
        <v>1051</v>
      </c>
      <c r="E1025" s="10">
        <v>357698</v>
      </c>
      <c r="F1025" t="s">
        <v>101</v>
      </c>
      <c r="G1025" t="s">
        <v>118</v>
      </c>
    </row>
    <row r="1026" spans="1:7">
      <c r="A1026" s="10">
        <v>2022</v>
      </c>
      <c r="B1026" s="10">
        <v>1</v>
      </c>
      <c r="C1026" s="10" t="s">
        <v>62</v>
      </c>
      <c r="D1026" s="10">
        <v>1113</v>
      </c>
      <c r="E1026" s="10">
        <v>401214</v>
      </c>
      <c r="F1026" t="s">
        <v>101</v>
      </c>
      <c r="G1026" t="s">
        <v>118</v>
      </c>
    </row>
    <row r="1027" spans="1:7">
      <c r="A1027" s="10">
        <v>2022</v>
      </c>
      <c r="B1027" s="10">
        <v>2</v>
      </c>
      <c r="C1027" s="10" t="s">
        <v>62</v>
      </c>
      <c r="D1027" s="10">
        <v>1135</v>
      </c>
      <c r="E1027" s="10">
        <v>416739</v>
      </c>
      <c r="F1027" t="s">
        <v>101</v>
      </c>
      <c r="G1027" t="s">
        <v>118</v>
      </c>
    </row>
    <row r="1028" spans="1:7">
      <c r="A1028" s="10">
        <v>2022</v>
      </c>
      <c r="B1028" s="10">
        <v>3</v>
      </c>
      <c r="C1028" s="10" t="s">
        <v>62</v>
      </c>
      <c r="D1028" s="10">
        <v>1146</v>
      </c>
      <c r="E1028" s="10">
        <v>468125</v>
      </c>
      <c r="F1028" t="s">
        <v>101</v>
      </c>
      <c r="G1028" t="s">
        <v>118</v>
      </c>
    </row>
    <row r="1029" spans="1:7">
      <c r="A1029" s="10">
        <v>2022</v>
      </c>
      <c r="B1029" s="10">
        <v>4</v>
      </c>
      <c r="C1029" s="10" t="s">
        <v>62</v>
      </c>
      <c r="D1029" s="10">
        <v>1144</v>
      </c>
      <c r="E1029" s="10">
        <v>526436</v>
      </c>
      <c r="F1029" t="s">
        <v>101</v>
      </c>
      <c r="G1029" t="s">
        <v>118</v>
      </c>
    </row>
    <row r="1030" spans="1:7">
      <c r="A1030" s="10">
        <v>2022</v>
      </c>
      <c r="B1030" s="10">
        <v>5</v>
      </c>
      <c r="C1030" s="10" t="s">
        <v>62</v>
      </c>
      <c r="D1030" s="10">
        <v>1223</v>
      </c>
      <c r="E1030" s="10">
        <v>576000</v>
      </c>
      <c r="F1030" t="s">
        <v>101</v>
      </c>
      <c r="G1030" t="s">
        <v>118</v>
      </c>
    </row>
    <row r="1031" spans="1:7">
      <c r="A1031" s="10">
        <v>2022</v>
      </c>
      <c r="B1031" s="10">
        <v>6</v>
      </c>
      <c r="C1031" s="10" t="s">
        <v>62</v>
      </c>
      <c r="D1031" s="10">
        <v>1534</v>
      </c>
      <c r="E1031" s="10">
        <v>600750</v>
      </c>
      <c r="F1031" t="s">
        <v>101</v>
      </c>
      <c r="G1031" t="s">
        <v>118</v>
      </c>
    </row>
    <row r="1032" spans="1:7">
      <c r="A1032" s="10">
        <v>2022</v>
      </c>
      <c r="B1032" s="10">
        <v>7</v>
      </c>
      <c r="C1032" s="10" t="s">
        <v>62</v>
      </c>
      <c r="D1032" s="10">
        <v>1676</v>
      </c>
      <c r="E1032" s="10">
        <v>693000</v>
      </c>
      <c r="F1032" t="s">
        <v>101</v>
      </c>
      <c r="G1032" t="s">
        <v>118</v>
      </c>
    </row>
    <row r="1033" spans="1:7">
      <c r="A1033" s="10">
        <v>2022</v>
      </c>
      <c r="B1033" s="10">
        <v>8</v>
      </c>
      <c r="C1033" s="10" t="s">
        <v>62</v>
      </c>
      <c r="D1033" s="10">
        <v>1963</v>
      </c>
      <c r="E1033" s="10">
        <v>749999</v>
      </c>
      <c r="F1033" t="s">
        <v>101</v>
      </c>
      <c r="G1033" t="s">
        <v>118</v>
      </c>
    </row>
    <row r="1034" spans="1:7">
      <c r="A1034" s="10">
        <v>2022</v>
      </c>
      <c r="B1034" s="10">
        <v>9</v>
      </c>
      <c r="C1034" s="10" t="s">
        <v>62</v>
      </c>
      <c r="D1034" s="10">
        <v>2110</v>
      </c>
      <c r="E1034" s="10">
        <v>767400</v>
      </c>
      <c r="F1034" t="s">
        <v>101</v>
      </c>
      <c r="G1034" t="s">
        <v>118</v>
      </c>
    </row>
    <row r="1035" spans="1:7">
      <c r="A1035" s="10">
        <v>2022</v>
      </c>
      <c r="B1035" s="10">
        <v>10</v>
      </c>
      <c r="C1035" s="10" t="s">
        <v>62</v>
      </c>
      <c r="D1035" s="10">
        <v>2121</v>
      </c>
      <c r="E1035" s="10">
        <v>805000</v>
      </c>
      <c r="F1035" t="s">
        <v>101</v>
      </c>
      <c r="G1035" t="s">
        <v>118</v>
      </c>
    </row>
    <row r="1036" spans="1:7">
      <c r="A1036" s="10">
        <v>2022</v>
      </c>
      <c r="B1036" s="10">
        <v>11</v>
      </c>
      <c r="C1036" s="10" t="s">
        <v>62</v>
      </c>
      <c r="D1036" s="10">
        <v>2200</v>
      </c>
      <c r="E1036" s="10">
        <v>844827</v>
      </c>
      <c r="F1036" t="s">
        <v>101</v>
      </c>
      <c r="G1036" t="s">
        <v>118</v>
      </c>
    </row>
    <row r="1037" spans="1:7">
      <c r="A1037" s="10">
        <v>2022</v>
      </c>
      <c r="B1037" s="10">
        <v>12</v>
      </c>
      <c r="C1037" s="10" t="s">
        <v>62</v>
      </c>
      <c r="D1037" s="10">
        <v>2300</v>
      </c>
      <c r="E1037" s="10">
        <v>906785</v>
      </c>
      <c r="F1037" t="s">
        <v>101</v>
      </c>
      <c r="G1037" t="s">
        <v>118</v>
      </c>
    </row>
    <row r="1038" spans="1:7">
      <c r="A1038" s="10">
        <v>2021</v>
      </c>
      <c r="B1038" s="10">
        <v>5</v>
      </c>
      <c r="C1038" s="10" t="s">
        <v>63</v>
      </c>
      <c r="D1038" s="10">
        <v>1070</v>
      </c>
      <c r="E1038" s="10">
        <v>309999</v>
      </c>
      <c r="F1038" t="s">
        <v>96</v>
      </c>
      <c r="G1038" t="s">
        <v>105</v>
      </c>
    </row>
    <row r="1039" spans="1:7">
      <c r="A1039" s="10">
        <v>2021</v>
      </c>
      <c r="B1039" s="10">
        <v>6</v>
      </c>
      <c r="C1039" s="10" t="s">
        <v>63</v>
      </c>
      <c r="D1039" s="10">
        <v>1131</v>
      </c>
      <c r="E1039" s="10">
        <v>320000</v>
      </c>
      <c r="F1039" t="s">
        <v>96</v>
      </c>
      <c r="G1039" t="s">
        <v>105</v>
      </c>
    </row>
    <row r="1040" spans="1:7">
      <c r="A1040" s="10">
        <v>2021</v>
      </c>
      <c r="B1040" s="10">
        <v>7</v>
      </c>
      <c r="C1040" s="10" t="s">
        <v>63</v>
      </c>
      <c r="D1040" s="10">
        <v>1198</v>
      </c>
      <c r="E1040" s="10">
        <v>324000</v>
      </c>
      <c r="F1040" t="s">
        <v>96</v>
      </c>
      <c r="G1040" t="s">
        <v>105</v>
      </c>
    </row>
    <row r="1041" spans="1:7">
      <c r="A1041" s="10">
        <v>2021</v>
      </c>
      <c r="B1041" s="10">
        <v>8</v>
      </c>
      <c r="C1041" s="10" t="s">
        <v>63</v>
      </c>
      <c r="D1041" s="10">
        <v>1188</v>
      </c>
      <c r="E1041" s="10">
        <v>336000</v>
      </c>
      <c r="F1041" t="s">
        <v>96</v>
      </c>
      <c r="G1041" t="s">
        <v>105</v>
      </c>
    </row>
    <row r="1042" spans="1:7">
      <c r="A1042" s="10">
        <v>2021</v>
      </c>
      <c r="B1042" s="10">
        <v>9</v>
      </c>
      <c r="C1042" s="10" t="s">
        <v>63</v>
      </c>
      <c r="D1042" s="10">
        <v>1236</v>
      </c>
      <c r="E1042" s="10">
        <v>348000</v>
      </c>
      <c r="F1042" t="s">
        <v>96</v>
      </c>
      <c r="G1042" t="s">
        <v>105</v>
      </c>
    </row>
    <row r="1043" spans="1:7">
      <c r="A1043" s="10">
        <v>2021</v>
      </c>
      <c r="B1043" s="10">
        <v>10</v>
      </c>
      <c r="C1043" s="10" t="s">
        <v>63</v>
      </c>
      <c r="D1043" s="10">
        <v>1414</v>
      </c>
      <c r="E1043" s="10">
        <v>370370</v>
      </c>
      <c r="F1043" t="s">
        <v>96</v>
      </c>
      <c r="G1043" t="s">
        <v>105</v>
      </c>
    </row>
    <row r="1044" spans="1:7">
      <c r="A1044" s="10">
        <v>2021</v>
      </c>
      <c r="B1044" s="10">
        <v>11</v>
      </c>
      <c r="C1044" s="10" t="s">
        <v>63</v>
      </c>
      <c r="D1044" s="10">
        <v>1488</v>
      </c>
      <c r="E1044" s="10">
        <v>393103</v>
      </c>
      <c r="F1044" t="s">
        <v>96</v>
      </c>
      <c r="G1044" t="s">
        <v>105</v>
      </c>
    </row>
    <row r="1045" spans="1:7">
      <c r="A1045" s="10">
        <v>2021</v>
      </c>
      <c r="B1045" s="10">
        <v>12</v>
      </c>
      <c r="C1045" s="10" t="s">
        <v>63</v>
      </c>
      <c r="D1045" s="10">
        <v>1498</v>
      </c>
      <c r="E1045" s="10">
        <v>456516</v>
      </c>
      <c r="F1045" t="s">
        <v>96</v>
      </c>
      <c r="G1045" t="s">
        <v>105</v>
      </c>
    </row>
    <row r="1046" spans="1:7">
      <c r="A1046" s="10">
        <v>2022</v>
      </c>
      <c r="B1046" s="10">
        <v>1</v>
      </c>
      <c r="C1046" s="10" t="s">
        <v>63</v>
      </c>
      <c r="D1046" s="10">
        <v>1606</v>
      </c>
      <c r="E1046" s="10">
        <v>490909</v>
      </c>
      <c r="F1046" t="s">
        <v>96</v>
      </c>
      <c r="G1046" t="s">
        <v>105</v>
      </c>
    </row>
    <row r="1047" spans="1:7">
      <c r="A1047" s="10">
        <v>2022</v>
      </c>
      <c r="B1047" s="10">
        <v>2</v>
      </c>
      <c r="C1047" s="10" t="s">
        <v>63</v>
      </c>
      <c r="D1047" s="10">
        <v>1591</v>
      </c>
      <c r="E1047" s="10">
        <v>541200</v>
      </c>
      <c r="F1047" t="s">
        <v>96</v>
      </c>
      <c r="G1047" t="s">
        <v>105</v>
      </c>
    </row>
    <row r="1048" spans="1:7">
      <c r="A1048" s="10">
        <v>2022</v>
      </c>
      <c r="B1048" s="10">
        <v>3</v>
      </c>
      <c r="C1048" s="10" t="s">
        <v>63</v>
      </c>
      <c r="D1048" s="10">
        <v>1759</v>
      </c>
      <c r="E1048" s="10">
        <v>580882</v>
      </c>
      <c r="F1048" t="s">
        <v>96</v>
      </c>
      <c r="G1048" t="s">
        <v>105</v>
      </c>
    </row>
    <row r="1049" spans="1:7">
      <c r="A1049" s="10">
        <v>2022</v>
      </c>
      <c r="B1049" s="10">
        <v>4</v>
      </c>
      <c r="C1049" s="10" t="s">
        <v>63</v>
      </c>
      <c r="D1049" s="10">
        <v>1878</v>
      </c>
      <c r="E1049" s="10">
        <v>659406</v>
      </c>
      <c r="F1049" t="s">
        <v>96</v>
      </c>
      <c r="G1049" t="s">
        <v>105</v>
      </c>
    </row>
    <row r="1050" spans="1:7">
      <c r="A1050" s="10">
        <v>2022</v>
      </c>
      <c r="B1050" s="10">
        <v>5</v>
      </c>
      <c r="C1050" s="10" t="s">
        <v>63</v>
      </c>
      <c r="D1050" s="10">
        <v>2103</v>
      </c>
      <c r="E1050" s="10">
        <v>738883</v>
      </c>
      <c r="F1050" t="s">
        <v>96</v>
      </c>
      <c r="G1050" t="s">
        <v>105</v>
      </c>
    </row>
    <row r="1051" spans="1:7">
      <c r="A1051" s="10">
        <v>2022</v>
      </c>
      <c r="B1051" s="10">
        <v>6</v>
      </c>
      <c r="C1051" s="10" t="s">
        <v>63</v>
      </c>
      <c r="D1051" s="10">
        <v>2350</v>
      </c>
      <c r="E1051" s="10">
        <v>843750</v>
      </c>
      <c r="F1051" t="s">
        <v>96</v>
      </c>
      <c r="G1051" t="s">
        <v>105</v>
      </c>
    </row>
    <row r="1052" spans="1:7">
      <c r="A1052" s="10">
        <v>2022</v>
      </c>
      <c r="B1052" s="10">
        <v>7</v>
      </c>
      <c r="C1052" s="10" t="s">
        <v>63</v>
      </c>
      <c r="D1052" s="10">
        <v>2450</v>
      </c>
      <c r="E1052" s="10">
        <v>915000</v>
      </c>
      <c r="F1052" t="s">
        <v>96</v>
      </c>
      <c r="G1052" t="s">
        <v>105</v>
      </c>
    </row>
    <row r="1053" spans="1:7">
      <c r="A1053" s="10">
        <v>2022</v>
      </c>
      <c r="B1053" s="10">
        <v>8</v>
      </c>
      <c r="C1053" s="10" t="s">
        <v>63</v>
      </c>
      <c r="D1053" s="10">
        <v>3060</v>
      </c>
      <c r="E1053" s="10">
        <v>984322</v>
      </c>
      <c r="F1053" t="s">
        <v>96</v>
      </c>
      <c r="G1053" t="s">
        <v>105</v>
      </c>
    </row>
    <row r="1054" spans="1:7">
      <c r="A1054" s="10">
        <v>2022</v>
      </c>
      <c r="B1054" s="10">
        <v>9</v>
      </c>
      <c r="C1054" s="10" t="s">
        <v>63</v>
      </c>
      <c r="D1054" s="10">
        <v>3424</v>
      </c>
      <c r="E1054" s="10">
        <v>993103</v>
      </c>
      <c r="F1054" t="s">
        <v>96</v>
      </c>
      <c r="G1054" t="s">
        <v>105</v>
      </c>
    </row>
    <row r="1055" spans="1:7">
      <c r="A1055" s="10">
        <v>2022</v>
      </c>
      <c r="B1055" s="10">
        <v>10</v>
      </c>
      <c r="C1055" s="10" t="s">
        <v>63</v>
      </c>
      <c r="D1055" s="10">
        <v>3432</v>
      </c>
      <c r="E1055" s="10">
        <v>1093750</v>
      </c>
      <c r="F1055" t="s">
        <v>96</v>
      </c>
      <c r="G1055" t="s">
        <v>105</v>
      </c>
    </row>
    <row r="1056" spans="1:7">
      <c r="A1056" s="10">
        <v>2022</v>
      </c>
      <c r="B1056" s="10">
        <v>11</v>
      </c>
      <c r="C1056" s="10" t="s">
        <v>63</v>
      </c>
      <c r="D1056" s="10">
        <v>3699</v>
      </c>
      <c r="E1056" s="10">
        <v>1164417</v>
      </c>
      <c r="F1056" t="s">
        <v>96</v>
      </c>
      <c r="G1056" t="s">
        <v>105</v>
      </c>
    </row>
    <row r="1057" spans="1:7">
      <c r="A1057" s="10">
        <v>2022</v>
      </c>
      <c r="B1057" s="10">
        <v>12</v>
      </c>
      <c r="C1057" s="10" t="s">
        <v>63</v>
      </c>
      <c r="D1057" s="10">
        <v>3765</v>
      </c>
      <c r="E1057" s="10">
        <v>1232142</v>
      </c>
      <c r="F1057" t="s">
        <v>96</v>
      </c>
      <c r="G1057" t="s">
        <v>105</v>
      </c>
    </row>
    <row r="1058" spans="1:7">
      <c r="A1058" s="10">
        <v>2021</v>
      </c>
      <c r="B1058" s="10">
        <v>5</v>
      </c>
      <c r="C1058" s="10" t="s">
        <v>64</v>
      </c>
      <c r="D1058" s="10">
        <v>909</v>
      </c>
      <c r="E1058" s="10">
        <v>334615</v>
      </c>
      <c r="F1058" t="s">
        <v>101</v>
      </c>
      <c r="G1058" t="s">
        <v>118</v>
      </c>
    </row>
    <row r="1059" spans="1:7">
      <c r="A1059" s="10">
        <v>2021</v>
      </c>
      <c r="B1059" s="10">
        <v>6</v>
      </c>
      <c r="C1059" s="10" t="s">
        <v>64</v>
      </c>
      <c r="D1059" s="10">
        <v>982</v>
      </c>
      <c r="E1059" s="10">
        <v>347727</v>
      </c>
      <c r="F1059" t="s">
        <v>101</v>
      </c>
      <c r="G1059" t="s">
        <v>118</v>
      </c>
    </row>
    <row r="1060" spans="1:7">
      <c r="A1060" s="10">
        <v>2021</v>
      </c>
      <c r="B1060" s="10">
        <v>7</v>
      </c>
      <c r="C1060" s="10" t="s">
        <v>64</v>
      </c>
      <c r="D1060" s="10">
        <v>966</v>
      </c>
      <c r="E1060" s="10">
        <v>362068</v>
      </c>
      <c r="F1060" t="s">
        <v>101</v>
      </c>
      <c r="G1060" t="s">
        <v>118</v>
      </c>
    </row>
    <row r="1061" spans="1:7">
      <c r="A1061" s="10">
        <v>2021</v>
      </c>
      <c r="B1061" s="10">
        <v>8</v>
      </c>
      <c r="C1061" s="10" t="s">
        <v>64</v>
      </c>
      <c r="D1061" s="10">
        <v>1078</v>
      </c>
      <c r="E1061" s="10">
        <v>372580</v>
      </c>
      <c r="F1061" t="s">
        <v>101</v>
      </c>
      <c r="G1061" t="s">
        <v>118</v>
      </c>
    </row>
    <row r="1062" spans="1:7">
      <c r="A1062" s="10">
        <v>2021</v>
      </c>
      <c r="B1062" s="10">
        <v>9</v>
      </c>
      <c r="C1062" s="10" t="s">
        <v>64</v>
      </c>
      <c r="D1062" s="10">
        <v>1060</v>
      </c>
      <c r="E1062" s="10">
        <v>375000</v>
      </c>
      <c r="F1062" t="s">
        <v>101</v>
      </c>
      <c r="G1062" t="s">
        <v>118</v>
      </c>
    </row>
    <row r="1063" spans="1:7">
      <c r="A1063" s="10">
        <v>2021</v>
      </c>
      <c r="B1063" s="10">
        <v>10</v>
      </c>
      <c r="C1063" s="10" t="s">
        <v>64</v>
      </c>
      <c r="D1063" s="10">
        <v>1086</v>
      </c>
      <c r="E1063" s="10">
        <v>384375</v>
      </c>
      <c r="F1063" t="s">
        <v>101</v>
      </c>
      <c r="G1063" t="s">
        <v>118</v>
      </c>
    </row>
    <row r="1064" spans="1:7">
      <c r="A1064" s="10">
        <v>2021</v>
      </c>
      <c r="B1064" s="10">
        <v>11</v>
      </c>
      <c r="C1064" s="10" t="s">
        <v>64</v>
      </c>
      <c r="D1064" s="10">
        <v>1118</v>
      </c>
      <c r="E1064" s="10">
        <v>428570</v>
      </c>
      <c r="F1064" t="s">
        <v>101</v>
      </c>
      <c r="G1064" t="s">
        <v>118</v>
      </c>
    </row>
    <row r="1065" spans="1:7">
      <c r="A1065" s="10">
        <v>2021</v>
      </c>
      <c r="B1065" s="10">
        <v>12</v>
      </c>
      <c r="C1065" s="10" t="s">
        <v>64</v>
      </c>
      <c r="D1065" s="10">
        <v>1074</v>
      </c>
      <c r="E1065" s="10">
        <v>482143</v>
      </c>
      <c r="F1065" t="s">
        <v>101</v>
      </c>
      <c r="G1065" t="s">
        <v>118</v>
      </c>
    </row>
    <row r="1066" spans="1:7">
      <c r="A1066" s="10">
        <v>2022</v>
      </c>
      <c r="B1066" s="10">
        <v>1</v>
      </c>
      <c r="C1066" s="10" t="s">
        <v>64</v>
      </c>
      <c r="D1066" s="10">
        <v>1091</v>
      </c>
      <c r="E1066" s="10">
        <v>532258</v>
      </c>
      <c r="F1066" t="s">
        <v>101</v>
      </c>
      <c r="G1066" t="s">
        <v>118</v>
      </c>
    </row>
    <row r="1067" spans="1:7">
      <c r="A1067" s="10">
        <v>2022</v>
      </c>
      <c r="B1067" s="10">
        <v>2</v>
      </c>
      <c r="C1067" s="10" t="s">
        <v>64</v>
      </c>
      <c r="D1067" s="10">
        <v>1153</v>
      </c>
      <c r="E1067" s="10">
        <v>562500</v>
      </c>
      <c r="F1067" t="s">
        <v>101</v>
      </c>
      <c r="G1067" t="s">
        <v>118</v>
      </c>
    </row>
    <row r="1068" spans="1:7">
      <c r="A1068" s="10">
        <v>2022</v>
      </c>
      <c r="B1068" s="10">
        <v>3</v>
      </c>
      <c r="C1068" s="10" t="s">
        <v>64</v>
      </c>
      <c r="D1068" s="10">
        <v>1161</v>
      </c>
      <c r="E1068" s="10">
        <v>594289</v>
      </c>
      <c r="F1068" t="s">
        <v>101</v>
      </c>
      <c r="G1068" t="s">
        <v>118</v>
      </c>
    </row>
    <row r="1069" spans="1:7">
      <c r="A1069" s="10">
        <v>2022</v>
      </c>
      <c r="B1069" s="10">
        <v>4</v>
      </c>
      <c r="C1069" s="10" t="s">
        <v>64</v>
      </c>
      <c r="D1069" s="10">
        <v>1310</v>
      </c>
      <c r="E1069" s="10">
        <v>652699</v>
      </c>
      <c r="F1069" t="s">
        <v>101</v>
      </c>
      <c r="G1069" t="s">
        <v>118</v>
      </c>
    </row>
    <row r="1070" spans="1:7">
      <c r="A1070" s="10">
        <v>2022</v>
      </c>
      <c r="B1070" s="10">
        <v>5</v>
      </c>
      <c r="C1070" s="10" t="s">
        <v>64</v>
      </c>
      <c r="D1070" s="10">
        <v>1459</v>
      </c>
      <c r="E1070" s="10">
        <v>706249</v>
      </c>
      <c r="F1070" t="s">
        <v>101</v>
      </c>
      <c r="G1070" t="s">
        <v>118</v>
      </c>
    </row>
    <row r="1071" spans="1:7">
      <c r="A1071" s="10">
        <v>2022</v>
      </c>
      <c r="B1071" s="10">
        <v>6</v>
      </c>
      <c r="C1071" s="10" t="s">
        <v>64</v>
      </c>
      <c r="D1071" s="10">
        <v>1825</v>
      </c>
      <c r="E1071" s="10">
        <v>799999</v>
      </c>
      <c r="F1071" t="s">
        <v>101</v>
      </c>
      <c r="G1071" t="s">
        <v>118</v>
      </c>
    </row>
    <row r="1072" spans="1:7">
      <c r="A1072" s="10">
        <v>2022</v>
      </c>
      <c r="B1072" s="10">
        <v>7</v>
      </c>
      <c r="C1072" s="10" t="s">
        <v>64</v>
      </c>
      <c r="D1072" s="10">
        <v>2248</v>
      </c>
      <c r="E1072" s="10">
        <v>830769</v>
      </c>
      <c r="F1072" t="s">
        <v>101</v>
      </c>
      <c r="G1072" t="s">
        <v>118</v>
      </c>
    </row>
    <row r="1073" spans="1:7">
      <c r="A1073" s="10">
        <v>2022</v>
      </c>
      <c r="B1073" s="10">
        <v>8</v>
      </c>
      <c r="C1073" s="10" t="s">
        <v>64</v>
      </c>
      <c r="D1073" s="10">
        <v>2536</v>
      </c>
      <c r="E1073" s="10">
        <v>894913</v>
      </c>
      <c r="F1073" t="s">
        <v>101</v>
      </c>
      <c r="G1073" t="s">
        <v>118</v>
      </c>
    </row>
    <row r="1074" spans="1:7">
      <c r="A1074" s="10">
        <v>2022</v>
      </c>
      <c r="B1074" s="10">
        <v>9</v>
      </c>
      <c r="C1074" s="10" t="s">
        <v>64</v>
      </c>
      <c r="D1074" s="10">
        <v>2799</v>
      </c>
      <c r="E1074" s="10">
        <v>937500</v>
      </c>
      <c r="F1074" t="s">
        <v>101</v>
      </c>
      <c r="G1074" t="s">
        <v>118</v>
      </c>
    </row>
    <row r="1075" spans="1:7">
      <c r="A1075" s="10">
        <v>2022</v>
      </c>
      <c r="B1075" s="10">
        <v>10</v>
      </c>
      <c r="C1075" s="10" t="s">
        <v>64</v>
      </c>
      <c r="D1075" s="10">
        <v>2852</v>
      </c>
      <c r="E1075" s="10">
        <v>998323</v>
      </c>
      <c r="F1075" t="s">
        <v>101</v>
      </c>
      <c r="G1075" t="s">
        <v>118</v>
      </c>
    </row>
    <row r="1076" spans="1:7">
      <c r="A1076" s="10">
        <v>2022</v>
      </c>
      <c r="B1076" s="10">
        <v>11</v>
      </c>
      <c r="C1076" s="10" t="s">
        <v>64</v>
      </c>
      <c r="D1076" s="10">
        <v>2932</v>
      </c>
      <c r="E1076" s="10">
        <v>1058769</v>
      </c>
      <c r="F1076" t="s">
        <v>101</v>
      </c>
      <c r="G1076" t="s">
        <v>118</v>
      </c>
    </row>
    <row r="1077" spans="1:7">
      <c r="A1077" s="10">
        <v>2022</v>
      </c>
      <c r="B1077" s="10">
        <v>12</v>
      </c>
      <c r="C1077" s="10" t="s">
        <v>64</v>
      </c>
      <c r="D1077" s="10">
        <v>3032</v>
      </c>
      <c r="E1077" s="10">
        <v>1125389</v>
      </c>
      <c r="F1077" t="s">
        <v>101</v>
      </c>
      <c r="G1077" t="s">
        <v>118</v>
      </c>
    </row>
    <row r="1078" spans="1:7">
      <c r="A1078" s="10">
        <v>2021</v>
      </c>
      <c r="B1078" s="10">
        <v>5</v>
      </c>
      <c r="C1078" s="10" t="s">
        <v>65</v>
      </c>
      <c r="D1078" s="10">
        <v>1332</v>
      </c>
      <c r="E1078" s="10">
        <v>322397</v>
      </c>
      <c r="F1078" t="s">
        <v>124</v>
      </c>
      <c r="G1078" t="s">
        <v>125</v>
      </c>
    </row>
    <row r="1079" spans="1:7">
      <c r="A1079" s="10">
        <v>2021</v>
      </c>
      <c r="B1079" s="10">
        <v>6</v>
      </c>
      <c r="C1079" s="10" t="s">
        <v>65</v>
      </c>
      <c r="D1079" s="10">
        <v>1257</v>
      </c>
      <c r="E1079" s="10">
        <v>335789</v>
      </c>
      <c r="F1079" t="s">
        <v>124</v>
      </c>
      <c r="G1079" t="s">
        <v>125</v>
      </c>
    </row>
    <row r="1080" spans="1:7">
      <c r="A1080" s="10">
        <v>2021</v>
      </c>
      <c r="B1080" s="10">
        <v>7</v>
      </c>
      <c r="C1080" s="10" t="s">
        <v>65</v>
      </c>
      <c r="D1080" s="10">
        <v>1352</v>
      </c>
      <c r="E1080" s="10">
        <v>361096</v>
      </c>
      <c r="F1080" t="s">
        <v>124</v>
      </c>
      <c r="G1080" t="s">
        <v>125</v>
      </c>
    </row>
    <row r="1081" spans="1:7">
      <c r="A1081" s="10">
        <v>2021</v>
      </c>
      <c r="B1081" s="10">
        <v>8</v>
      </c>
      <c r="C1081" s="10" t="s">
        <v>65</v>
      </c>
      <c r="D1081" s="10">
        <v>1394</v>
      </c>
      <c r="E1081" s="10">
        <v>383809</v>
      </c>
      <c r="F1081" t="s">
        <v>124</v>
      </c>
      <c r="G1081" t="s">
        <v>125</v>
      </c>
    </row>
    <row r="1082" spans="1:7">
      <c r="A1082" s="10">
        <v>2021</v>
      </c>
      <c r="B1082" s="10">
        <v>9</v>
      </c>
      <c r="C1082" s="10" t="s">
        <v>65</v>
      </c>
      <c r="D1082" s="10">
        <v>1428</v>
      </c>
      <c r="E1082" s="10">
        <v>362500</v>
      </c>
      <c r="F1082" t="s">
        <v>124</v>
      </c>
      <c r="G1082" t="s">
        <v>125</v>
      </c>
    </row>
    <row r="1083" spans="1:7">
      <c r="A1083" s="10">
        <v>2021</v>
      </c>
      <c r="B1083" s="10">
        <v>10</v>
      </c>
      <c r="C1083" s="10" t="s">
        <v>65</v>
      </c>
      <c r="D1083" s="10">
        <v>1483</v>
      </c>
      <c r="E1083" s="10">
        <v>409027</v>
      </c>
      <c r="F1083" t="s">
        <v>124</v>
      </c>
      <c r="G1083" t="s">
        <v>125</v>
      </c>
    </row>
    <row r="1084" spans="1:7">
      <c r="A1084" s="10">
        <v>2021</v>
      </c>
      <c r="B1084" s="10">
        <v>11</v>
      </c>
      <c r="C1084" s="10" t="s">
        <v>65</v>
      </c>
      <c r="D1084" s="10">
        <v>1569</v>
      </c>
      <c r="E1084" s="10">
        <v>426823</v>
      </c>
      <c r="F1084" t="s">
        <v>124</v>
      </c>
      <c r="G1084" t="s">
        <v>125</v>
      </c>
    </row>
    <row r="1085" spans="1:7">
      <c r="A1085" s="10">
        <v>2021</v>
      </c>
      <c r="B1085" s="10">
        <v>12</v>
      </c>
      <c r="C1085" s="10" t="s">
        <v>65</v>
      </c>
      <c r="D1085" s="10">
        <v>1627</v>
      </c>
      <c r="E1085" s="10">
        <v>476493</v>
      </c>
      <c r="F1085" t="s">
        <v>124</v>
      </c>
      <c r="G1085" t="s">
        <v>125</v>
      </c>
    </row>
    <row r="1086" spans="1:7">
      <c r="A1086" s="10">
        <v>2022</v>
      </c>
      <c r="B1086" s="10">
        <v>1</v>
      </c>
      <c r="C1086" s="10" t="s">
        <v>65</v>
      </c>
      <c r="D1086" s="10">
        <v>1696</v>
      </c>
      <c r="E1086" s="10">
        <v>519474</v>
      </c>
      <c r="F1086" t="s">
        <v>124</v>
      </c>
      <c r="G1086" t="s">
        <v>125</v>
      </c>
    </row>
    <row r="1087" spans="1:7">
      <c r="A1087" s="10">
        <v>2022</v>
      </c>
      <c r="B1087" s="10">
        <v>2</v>
      </c>
      <c r="C1087" s="10" t="s">
        <v>65</v>
      </c>
      <c r="D1087" s="10">
        <v>1795</v>
      </c>
      <c r="E1087" s="10">
        <v>522000</v>
      </c>
      <c r="F1087" t="s">
        <v>124</v>
      </c>
      <c r="G1087" t="s">
        <v>125</v>
      </c>
    </row>
    <row r="1088" spans="1:7">
      <c r="A1088" s="10">
        <v>2022</v>
      </c>
      <c r="B1088" s="10">
        <v>3</v>
      </c>
      <c r="C1088" s="10" t="s">
        <v>65</v>
      </c>
      <c r="D1088" s="10">
        <v>1845</v>
      </c>
      <c r="E1088" s="10">
        <v>563889</v>
      </c>
      <c r="F1088" t="s">
        <v>124</v>
      </c>
      <c r="G1088" t="s">
        <v>125</v>
      </c>
    </row>
    <row r="1089" spans="1:7">
      <c r="A1089" s="10">
        <v>2022</v>
      </c>
      <c r="B1089" s="10">
        <v>4</v>
      </c>
      <c r="C1089" s="10" t="s">
        <v>65</v>
      </c>
      <c r="D1089" s="10">
        <v>1944</v>
      </c>
      <c r="E1089" s="10">
        <v>649999</v>
      </c>
      <c r="F1089" t="s">
        <v>124</v>
      </c>
      <c r="G1089" t="s">
        <v>125</v>
      </c>
    </row>
    <row r="1090" spans="1:7">
      <c r="A1090" s="10">
        <v>2022</v>
      </c>
      <c r="B1090" s="10">
        <v>5</v>
      </c>
      <c r="C1090" s="10" t="s">
        <v>65</v>
      </c>
      <c r="D1090" s="10">
        <v>2049</v>
      </c>
      <c r="E1090" s="10">
        <v>708333</v>
      </c>
      <c r="F1090" t="s">
        <v>124</v>
      </c>
      <c r="G1090" t="s">
        <v>125</v>
      </c>
    </row>
    <row r="1091" spans="1:7">
      <c r="A1091" s="10">
        <v>2022</v>
      </c>
      <c r="B1091" s="10">
        <v>6</v>
      </c>
      <c r="C1091" s="10" t="s">
        <v>65</v>
      </c>
      <c r="D1091" s="10">
        <v>2055</v>
      </c>
      <c r="E1091" s="10">
        <v>766427</v>
      </c>
      <c r="F1091" t="s">
        <v>124</v>
      </c>
      <c r="G1091" t="s">
        <v>125</v>
      </c>
    </row>
    <row r="1092" spans="1:7">
      <c r="A1092" s="10">
        <v>2022</v>
      </c>
      <c r="B1092" s="10">
        <v>7</v>
      </c>
      <c r="C1092" s="10" t="s">
        <v>65</v>
      </c>
      <c r="D1092" s="10">
        <v>2160</v>
      </c>
      <c r="E1092" s="10">
        <v>799583</v>
      </c>
      <c r="F1092" t="s">
        <v>124</v>
      </c>
      <c r="G1092" t="s">
        <v>125</v>
      </c>
    </row>
    <row r="1093" spans="1:7">
      <c r="A1093" s="10">
        <v>2022</v>
      </c>
      <c r="B1093" s="10">
        <v>8</v>
      </c>
      <c r="C1093" s="10" t="s">
        <v>65</v>
      </c>
      <c r="D1093" s="10">
        <v>2492</v>
      </c>
      <c r="E1093" s="10">
        <v>877747</v>
      </c>
      <c r="F1093" t="s">
        <v>124</v>
      </c>
      <c r="G1093" t="s">
        <v>125</v>
      </c>
    </row>
    <row r="1094" spans="1:7">
      <c r="A1094" s="10">
        <v>2022</v>
      </c>
      <c r="B1094" s="10">
        <v>9</v>
      </c>
      <c r="C1094" s="10" t="s">
        <v>65</v>
      </c>
      <c r="D1094" s="10">
        <v>2584</v>
      </c>
      <c r="E1094" s="10">
        <v>877698</v>
      </c>
      <c r="F1094" t="s">
        <v>124</v>
      </c>
      <c r="G1094" t="s">
        <v>125</v>
      </c>
    </row>
    <row r="1095" spans="1:7">
      <c r="A1095" s="10">
        <v>2022</v>
      </c>
      <c r="B1095" s="10">
        <v>10</v>
      </c>
      <c r="C1095" s="10" t="s">
        <v>65</v>
      </c>
      <c r="D1095" s="10">
        <v>2876</v>
      </c>
      <c r="E1095" s="10">
        <v>906250</v>
      </c>
      <c r="F1095" t="s">
        <v>124</v>
      </c>
      <c r="G1095" t="s">
        <v>125</v>
      </c>
    </row>
    <row r="1096" spans="1:7">
      <c r="A1096" s="10">
        <v>2022</v>
      </c>
      <c r="B1096" s="10">
        <v>11</v>
      </c>
      <c r="C1096" s="10" t="s">
        <v>65</v>
      </c>
      <c r="D1096" s="10">
        <v>2869</v>
      </c>
      <c r="E1096" s="10">
        <v>929207</v>
      </c>
      <c r="F1096" t="s">
        <v>124</v>
      </c>
      <c r="G1096" t="s">
        <v>125</v>
      </c>
    </row>
    <row r="1097" spans="1:7">
      <c r="A1097" s="10">
        <v>2022</v>
      </c>
      <c r="B1097" s="10">
        <v>12</v>
      </c>
      <c r="C1097" s="10" t="s">
        <v>65</v>
      </c>
      <c r="D1097" s="10">
        <v>3100</v>
      </c>
      <c r="E1097" s="10">
        <v>943842</v>
      </c>
      <c r="F1097" t="s">
        <v>124</v>
      </c>
      <c r="G1097" t="s">
        <v>125</v>
      </c>
    </row>
    <row r="1098" spans="1:7">
      <c r="A1098" s="10">
        <v>2021</v>
      </c>
      <c r="B1098" s="10">
        <v>5</v>
      </c>
      <c r="C1098" s="10" t="s">
        <v>66</v>
      </c>
      <c r="D1098" s="10">
        <v>1283</v>
      </c>
      <c r="E1098" s="10">
        <v>370500</v>
      </c>
      <c r="F1098" t="s">
        <v>98</v>
      </c>
      <c r="G1098" t="s">
        <v>112</v>
      </c>
    </row>
    <row r="1099" spans="1:7">
      <c r="A1099" s="10">
        <v>2021</v>
      </c>
      <c r="B1099" s="10">
        <v>6</v>
      </c>
      <c r="C1099" s="10" t="s">
        <v>66</v>
      </c>
      <c r="D1099" s="10">
        <v>1356</v>
      </c>
      <c r="E1099" s="10">
        <v>378695</v>
      </c>
      <c r="F1099" t="s">
        <v>98</v>
      </c>
      <c r="G1099" t="s">
        <v>112</v>
      </c>
    </row>
    <row r="1100" spans="1:7">
      <c r="A1100" s="10">
        <v>2021</v>
      </c>
      <c r="B1100" s="10">
        <v>7</v>
      </c>
      <c r="C1100" s="10" t="s">
        <v>66</v>
      </c>
      <c r="D1100" s="10">
        <v>1437</v>
      </c>
      <c r="E1100" s="10">
        <v>394105</v>
      </c>
      <c r="F1100" t="s">
        <v>98</v>
      </c>
      <c r="G1100" t="s">
        <v>112</v>
      </c>
    </row>
    <row r="1101" spans="1:7">
      <c r="A1101" s="10">
        <v>2021</v>
      </c>
      <c r="B1101" s="10">
        <v>8</v>
      </c>
      <c r="C1101" s="10" t="s">
        <v>66</v>
      </c>
      <c r="D1101" s="10">
        <v>1559</v>
      </c>
      <c r="E1101" s="10">
        <v>406250</v>
      </c>
      <c r="F1101" t="s">
        <v>98</v>
      </c>
      <c r="G1101" t="s">
        <v>112</v>
      </c>
    </row>
    <row r="1102" spans="1:7">
      <c r="A1102" s="10">
        <v>2021</v>
      </c>
      <c r="B1102" s="10">
        <v>9</v>
      </c>
      <c r="C1102" s="10" t="s">
        <v>66</v>
      </c>
      <c r="D1102" s="10">
        <v>1746</v>
      </c>
      <c r="E1102" s="10">
        <v>422500</v>
      </c>
      <c r="F1102" t="s">
        <v>98</v>
      </c>
      <c r="G1102" t="s">
        <v>112</v>
      </c>
    </row>
    <row r="1103" spans="1:7">
      <c r="A1103" s="10">
        <v>2021</v>
      </c>
      <c r="B1103" s="10">
        <v>10</v>
      </c>
      <c r="C1103" s="10" t="s">
        <v>66</v>
      </c>
      <c r="D1103" s="10">
        <v>1887</v>
      </c>
      <c r="E1103" s="10">
        <v>444167</v>
      </c>
      <c r="F1103" t="s">
        <v>98</v>
      </c>
      <c r="G1103" t="s">
        <v>112</v>
      </c>
    </row>
    <row r="1104" spans="1:7">
      <c r="A1104" s="10">
        <v>2021</v>
      </c>
      <c r="B1104" s="10">
        <v>11</v>
      </c>
      <c r="C1104" s="10" t="s">
        <v>66</v>
      </c>
      <c r="D1104" s="10">
        <v>2046</v>
      </c>
      <c r="E1104" s="10">
        <v>506250</v>
      </c>
      <c r="F1104" t="s">
        <v>98</v>
      </c>
      <c r="G1104" t="s">
        <v>112</v>
      </c>
    </row>
    <row r="1105" spans="1:7">
      <c r="A1105" s="10">
        <v>2021</v>
      </c>
      <c r="B1105" s="10">
        <v>12</v>
      </c>
      <c r="C1105" s="10" t="s">
        <v>66</v>
      </c>
      <c r="D1105" s="10">
        <v>2187</v>
      </c>
      <c r="E1105" s="10">
        <v>623760</v>
      </c>
      <c r="F1105" t="s">
        <v>98</v>
      </c>
      <c r="G1105" t="s">
        <v>112</v>
      </c>
    </row>
    <row r="1106" spans="1:7">
      <c r="A1106" s="10">
        <v>2022</v>
      </c>
      <c r="B1106" s="10">
        <v>1</v>
      </c>
      <c r="C1106" s="10" t="s">
        <v>66</v>
      </c>
      <c r="D1106" s="10">
        <v>2236</v>
      </c>
      <c r="E1106" s="10">
        <v>675000</v>
      </c>
      <c r="F1106" t="s">
        <v>98</v>
      </c>
      <c r="G1106" t="s">
        <v>112</v>
      </c>
    </row>
    <row r="1107" spans="1:7">
      <c r="A1107" s="10">
        <v>2022</v>
      </c>
      <c r="B1107" s="10">
        <v>2</v>
      </c>
      <c r="C1107" s="10" t="s">
        <v>66</v>
      </c>
      <c r="D1107" s="10">
        <v>2365</v>
      </c>
      <c r="E1107" s="10">
        <v>743077</v>
      </c>
      <c r="F1107" t="s">
        <v>98</v>
      </c>
      <c r="G1107" t="s">
        <v>112</v>
      </c>
    </row>
    <row r="1108" spans="1:7">
      <c r="A1108" s="10">
        <v>2022</v>
      </c>
      <c r="B1108" s="10">
        <v>3</v>
      </c>
      <c r="C1108" s="10" t="s">
        <v>66</v>
      </c>
      <c r="D1108" s="10">
        <v>2607</v>
      </c>
      <c r="E1108" s="10">
        <v>815476</v>
      </c>
      <c r="F1108" t="s">
        <v>98</v>
      </c>
      <c r="G1108" t="s">
        <v>112</v>
      </c>
    </row>
    <row r="1109" spans="1:7">
      <c r="A1109" s="10">
        <v>2022</v>
      </c>
      <c r="B1109" s="10">
        <v>4</v>
      </c>
      <c r="C1109" s="10" t="s">
        <v>66</v>
      </c>
      <c r="D1109" s="10">
        <v>2945</v>
      </c>
      <c r="E1109" s="10">
        <v>933333</v>
      </c>
      <c r="F1109" t="s">
        <v>98</v>
      </c>
      <c r="G1109" t="s">
        <v>112</v>
      </c>
    </row>
    <row r="1110" spans="1:7">
      <c r="A1110" s="10">
        <v>2022</v>
      </c>
      <c r="B1110" s="10">
        <v>5</v>
      </c>
      <c r="C1110" s="10" t="s">
        <v>66</v>
      </c>
      <c r="D1110" s="10">
        <v>3299</v>
      </c>
      <c r="E1110" s="10">
        <v>1094545</v>
      </c>
      <c r="F1110" t="s">
        <v>98</v>
      </c>
      <c r="G1110" t="s">
        <v>112</v>
      </c>
    </row>
    <row r="1111" spans="1:7">
      <c r="A1111" s="10">
        <v>2022</v>
      </c>
      <c r="B1111" s="10">
        <v>6</v>
      </c>
      <c r="C1111" s="10" t="s">
        <v>66</v>
      </c>
      <c r="D1111" s="10">
        <v>3882</v>
      </c>
      <c r="E1111" s="10">
        <v>1225000</v>
      </c>
      <c r="F1111" t="s">
        <v>98</v>
      </c>
      <c r="G1111" t="s">
        <v>112</v>
      </c>
    </row>
    <row r="1112" spans="1:7">
      <c r="A1112" s="10">
        <v>2022</v>
      </c>
      <c r="B1112" s="10">
        <v>7</v>
      </c>
      <c r="C1112" s="10" t="s">
        <v>66</v>
      </c>
      <c r="D1112" s="10">
        <v>4416</v>
      </c>
      <c r="E1112" s="10">
        <v>1322221</v>
      </c>
      <c r="F1112" t="s">
        <v>98</v>
      </c>
      <c r="G1112" t="s">
        <v>112</v>
      </c>
    </row>
    <row r="1113" spans="1:7">
      <c r="A1113" s="10">
        <v>2022</v>
      </c>
      <c r="B1113" s="10">
        <v>8</v>
      </c>
      <c r="C1113" s="10" t="s">
        <v>66</v>
      </c>
      <c r="D1113" s="10">
        <v>4861</v>
      </c>
      <c r="E1113" s="10">
        <v>1350000</v>
      </c>
      <c r="F1113" t="s">
        <v>98</v>
      </c>
      <c r="G1113" t="s">
        <v>112</v>
      </c>
    </row>
    <row r="1114" spans="1:7">
      <c r="A1114" s="10">
        <v>2022</v>
      </c>
      <c r="B1114" s="10">
        <v>9</v>
      </c>
      <c r="C1114" s="10" t="s">
        <v>66</v>
      </c>
      <c r="D1114" s="10">
        <v>5087</v>
      </c>
      <c r="E1114" s="10">
        <v>1413423</v>
      </c>
      <c r="F1114" t="s">
        <v>98</v>
      </c>
      <c r="G1114" t="s">
        <v>112</v>
      </c>
    </row>
    <row r="1115" spans="1:7">
      <c r="A1115" s="10">
        <v>2022</v>
      </c>
      <c r="B1115" s="10">
        <v>10</v>
      </c>
      <c r="C1115" s="10" t="s">
        <v>66</v>
      </c>
      <c r="D1115" s="10">
        <v>5261</v>
      </c>
      <c r="E1115" s="10">
        <v>1466586</v>
      </c>
      <c r="F1115" t="s">
        <v>98</v>
      </c>
      <c r="G1115" t="s">
        <v>112</v>
      </c>
    </row>
    <row r="1116" spans="1:7">
      <c r="A1116" s="10">
        <v>2022</v>
      </c>
      <c r="B1116" s="10">
        <v>11</v>
      </c>
      <c r="C1116" s="10" t="s">
        <v>66</v>
      </c>
      <c r="D1116" s="10">
        <v>5565</v>
      </c>
      <c r="E1116" s="10">
        <v>1529995</v>
      </c>
      <c r="F1116" t="s">
        <v>98</v>
      </c>
      <c r="G1116" t="s">
        <v>112</v>
      </c>
    </row>
    <row r="1117" spans="1:7">
      <c r="A1117" s="10">
        <v>2022</v>
      </c>
      <c r="B1117" s="10">
        <v>12</v>
      </c>
      <c r="C1117" s="10" t="s">
        <v>66</v>
      </c>
      <c r="D1117" s="10">
        <v>5814</v>
      </c>
      <c r="E1117" s="10">
        <v>1626466</v>
      </c>
      <c r="F1117" t="s">
        <v>98</v>
      </c>
      <c r="G1117" t="s">
        <v>112</v>
      </c>
    </row>
    <row r="1118" spans="1:7">
      <c r="A1118" s="10">
        <v>2021</v>
      </c>
      <c r="B1118" s="10">
        <v>5</v>
      </c>
      <c r="C1118" s="10" t="s">
        <v>67</v>
      </c>
      <c r="D1118" s="10">
        <v>1120</v>
      </c>
      <c r="E1118" s="10">
        <v>386667</v>
      </c>
      <c r="F1118" t="s">
        <v>99</v>
      </c>
      <c r="G1118" t="s">
        <v>114</v>
      </c>
    </row>
    <row r="1119" spans="1:7">
      <c r="A1119" s="10">
        <v>2021</v>
      </c>
      <c r="B1119" s="10">
        <v>6</v>
      </c>
      <c r="C1119" s="10" t="s">
        <v>67</v>
      </c>
      <c r="D1119" s="10">
        <v>1191</v>
      </c>
      <c r="E1119" s="10">
        <v>400000</v>
      </c>
      <c r="F1119" t="s">
        <v>99</v>
      </c>
      <c r="G1119" t="s">
        <v>114</v>
      </c>
    </row>
    <row r="1120" spans="1:7">
      <c r="A1120" s="10">
        <v>2021</v>
      </c>
      <c r="B1120" s="10">
        <v>7</v>
      </c>
      <c r="C1120" s="10" t="s">
        <v>67</v>
      </c>
      <c r="D1120" s="10">
        <v>1338</v>
      </c>
      <c r="E1120" s="10">
        <v>419459</v>
      </c>
      <c r="F1120" t="s">
        <v>99</v>
      </c>
      <c r="G1120" t="s">
        <v>114</v>
      </c>
    </row>
    <row r="1121" spans="1:7">
      <c r="A1121" s="10">
        <v>2021</v>
      </c>
      <c r="B1121" s="10">
        <v>8</v>
      </c>
      <c r="C1121" s="10" t="s">
        <v>67</v>
      </c>
      <c r="D1121" s="10">
        <v>1518</v>
      </c>
      <c r="E1121" s="10">
        <v>438518</v>
      </c>
      <c r="F1121" t="s">
        <v>99</v>
      </c>
      <c r="G1121" t="s">
        <v>114</v>
      </c>
    </row>
    <row r="1122" spans="1:7">
      <c r="A1122" s="10">
        <v>2021</v>
      </c>
      <c r="B1122" s="10">
        <v>9</v>
      </c>
      <c r="C1122" s="10" t="s">
        <v>67</v>
      </c>
      <c r="D1122" s="10">
        <v>1696</v>
      </c>
      <c r="E1122" s="10">
        <v>466667</v>
      </c>
      <c r="F1122" t="s">
        <v>99</v>
      </c>
      <c r="G1122" t="s">
        <v>114</v>
      </c>
    </row>
    <row r="1123" spans="1:7">
      <c r="A1123" s="10">
        <v>2021</v>
      </c>
      <c r="B1123" s="10">
        <v>10</v>
      </c>
      <c r="C1123" s="10" t="s">
        <v>67</v>
      </c>
      <c r="D1123" s="10">
        <v>1800</v>
      </c>
      <c r="E1123" s="10">
        <v>510714</v>
      </c>
      <c r="F1123" t="s">
        <v>99</v>
      </c>
      <c r="G1123" t="s">
        <v>114</v>
      </c>
    </row>
    <row r="1124" spans="1:7">
      <c r="A1124" s="10">
        <v>2021</v>
      </c>
      <c r="B1124" s="10">
        <v>11</v>
      </c>
      <c r="C1124" s="10" t="s">
        <v>67</v>
      </c>
      <c r="D1124" s="10">
        <v>1800</v>
      </c>
      <c r="E1124" s="10">
        <v>572343</v>
      </c>
      <c r="F1124" t="s">
        <v>99</v>
      </c>
      <c r="G1124" t="s">
        <v>114</v>
      </c>
    </row>
    <row r="1125" spans="1:7">
      <c r="A1125" s="10">
        <v>2021</v>
      </c>
      <c r="B1125" s="10">
        <v>12</v>
      </c>
      <c r="C1125" s="10" t="s">
        <v>67</v>
      </c>
      <c r="D1125" s="10">
        <v>1887</v>
      </c>
      <c r="E1125" s="10">
        <v>694138</v>
      </c>
      <c r="F1125" t="s">
        <v>99</v>
      </c>
      <c r="G1125" t="s">
        <v>114</v>
      </c>
    </row>
    <row r="1126" spans="1:7">
      <c r="A1126" s="10">
        <v>2022</v>
      </c>
      <c r="B1126" s="10">
        <v>1</v>
      </c>
      <c r="C1126" s="10" t="s">
        <v>67</v>
      </c>
      <c r="D1126" s="10">
        <v>1976</v>
      </c>
      <c r="E1126" s="10">
        <v>745161</v>
      </c>
      <c r="F1126" t="s">
        <v>99</v>
      </c>
      <c r="G1126" t="s">
        <v>114</v>
      </c>
    </row>
    <row r="1127" spans="1:7">
      <c r="A1127" s="10">
        <v>2022</v>
      </c>
      <c r="B1127" s="10">
        <v>2</v>
      </c>
      <c r="C1127" s="10" t="s">
        <v>67</v>
      </c>
      <c r="D1127" s="10">
        <v>2100</v>
      </c>
      <c r="E1127" s="10">
        <v>779999</v>
      </c>
      <c r="F1127" t="s">
        <v>99</v>
      </c>
      <c r="G1127" t="s">
        <v>114</v>
      </c>
    </row>
    <row r="1128" spans="1:7">
      <c r="A1128" s="10">
        <v>2022</v>
      </c>
      <c r="B1128" s="10">
        <v>3</v>
      </c>
      <c r="C1128" s="10" t="s">
        <v>67</v>
      </c>
      <c r="D1128" s="10">
        <v>2223</v>
      </c>
      <c r="E1128" s="10">
        <v>840967</v>
      </c>
      <c r="F1128" t="s">
        <v>99</v>
      </c>
      <c r="G1128" t="s">
        <v>114</v>
      </c>
    </row>
    <row r="1129" spans="1:7">
      <c r="A1129" s="10">
        <v>2022</v>
      </c>
      <c r="B1129" s="10">
        <v>4</v>
      </c>
      <c r="C1129" s="10" t="s">
        <v>67</v>
      </c>
      <c r="D1129" s="10">
        <v>2493</v>
      </c>
      <c r="E1129" s="10">
        <v>914999</v>
      </c>
      <c r="F1129" t="s">
        <v>99</v>
      </c>
      <c r="G1129" t="s">
        <v>114</v>
      </c>
    </row>
    <row r="1130" spans="1:7">
      <c r="A1130" s="10">
        <v>2022</v>
      </c>
      <c r="B1130" s="10">
        <v>5</v>
      </c>
      <c r="C1130" s="10" t="s">
        <v>67</v>
      </c>
      <c r="D1130" s="10">
        <v>2738</v>
      </c>
      <c r="E1130" s="10">
        <v>1023000</v>
      </c>
      <c r="F1130" t="s">
        <v>99</v>
      </c>
      <c r="G1130" t="s">
        <v>114</v>
      </c>
    </row>
    <row r="1131" spans="1:7">
      <c r="A1131" s="10">
        <v>2022</v>
      </c>
      <c r="B1131" s="10">
        <v>6</v>
      </c>
      <c r="C1131" s="10" t="s">
        <v>67</v>
      </c>
      <c r="D1131" s="10">
        <v>3303</v>
      </c>
      <c r="E1131" s="10">
        <v>1122000</v>
      </c>
      <c r="F1131" t="s">
        <v>99</v>
      </c>
      <c r="G1131" t="s">
        <v>114</v>
      </c>
    </row>
    <row r="1132" spans="1:7">
      <c r="A1132" s="10">
        <v>2022</v>
      </c>
      <c r="B1132" s="10">
        <v>7</v>
      </c>
      <c r="C1132" s="10" t="s">
        <v>67</v>
      </c>
      <c r="D1132" s="10">
        <v>4002</v>
      </c>
      <c r="E1132" s="10">
        <v>1209999</v>
      </c>
      <c r="F1132" t="s">
        <v>99</v>
      </c>
      <c r="G1132" t="s">
        <v>114</v>
      </c>
    </row>
    <row r="1133" spans="1:7">
      <c r="A1133" s="10">
        <v>2022</v>
      </c>
      <c r="B1133" s="10">
        <v>8</v>
      </c>
      <c r="C1133" s="10" t="s">
        <v>67</v>
      </c>
      <c r="D1133" s="10">
        <v>4563</v>
      </c>
      <c r="E1133" s="10">
        <v>1289062</v>
      </c>
      <c r="F1133" t="s">
        <v>99</v>
      </c>
      <c r="G1133" t="s">
        <v>114</v>
      </c>
    </row>
    <row r="1134" spans="1:7">
      <c r="A1134" s="10">
        <v>2022</v>
      </c>
      <c r="B1134" s="10">
        <v>9</v>
      </c>
      <c r="C1134" s="10" t="s">
        <v>67</v>
      </c>
      <c r="D1134" s="10">
        <v>4881</v>
      </c>
      <c r="E1134" s="10">
        <v>1320000</v>
      </c>
      <c r="F1134" t="s">
        <v>99</v>
      </c>
      <c r="G1134" t="s">
        <v>114</v>
      </c>
    </row>
    <row r="1135" spans="1:7">
      <c r="A1135" s="10">
        <v>2022</v>
      </c>
      <c r="B1135" s="10">
        <v>10</v>
      </c>
      <c r="C1135" s="10" t="s">
        <v>67</v>
      </c>
      <c r="D1135" s="10">
        <v>4866</v>
      </c>
      <c r="E1135" s="10">
        <v>1310968</v>
      </c>
      <c r="F1135" t="s">
        <v>99</v>
      </c>
      <c r="G1135" t="s">
        <v>114</v>
      </c>
    </row>
    <row r="1136" spans="1:7">
      <c r="A1136" s="10">
        <v>2022</v>
      </c>
      <c r="B1136" s="10">
        <v>11</v>
      </c>
      <c r="C1136" s="10" t="s">
        <v>67</v>
      </c>
      <c r="D1136" s="10">
        <v>4866</v>
      </c>
      <c r="E1136" s="10">
        <v>1376000</v>
      </c>
      <c r="F1136" t="s">
        <v>99</v>
      </c>
      <c r="G1136" t="s">
        <v>114</v>
      </c>
    </row>
    <row r="1137" spans="1:7">
      <c r="A1137" s="10">
        <v>2022</v>
      </c>
      <c r="B1137" s="10">
        <v>12</v>
      </c>
      <c r="C1137" s="10" t="s">
        <v>67</v>
      </c>
      <c r="D1137" s="10">
        <v>5075</v>
      </c>
      <c r="E1137" s="10">
        <v>1454545</v>
      </c>
      <c r="F1137" t="s">
        <v>99</v>
      </c>
      <c r="G1137" t="s">
        <v>114</v>
      </c>
    </row>
    <row r="1138" spans="1:7">
      <c r="A1138" s="10">
        <v>2021</v>
      </c>
      <c r="B1138" s="10">
        <v>5</v>
      </c>
      <c r="C1138" s="10" t="s">
        <v>68</v>
      </c>
      <c r="D1138" s="10">
        <v>780</v>
      </c>
      <c r="E1138" s="10">
        <v>298056</v>
      </c>
      <c r="F1138" t="s">
        <v>97</v>
      </c>
      <c r="G1138" t="s">
        <v>109</v>
      </c>
    </row>
    <row r="1139" spans="1:7">
      <c r="A1139" s="10">
        <v>2021</v>
      </c>
      <c r="B1139" s="10">
        <v>6</v>
      </c>
      <c r="C1139" s="10" t="s">
        <v>68</v>
      </c>
      <c r="D1139" s="10">
        <v>838</v>
      </c>
      <c r="E1139" s="10">
        <v>312000</v>
      </c>
      <c r="F1139" t="s">
        <v>97</v>
      </c>
      <c r="G1139" t="s">
        <v>109</v>
      </c>
    </row>
    <row r="1140" spans="1:7">
      <c r="A1140" s="10">
        <v>2021</v>
      </c>
      <c r="B1140" s="10">
        <v>7</v>
      </c>
      <c r="C1140" s="10" t="s">
        <v>68</v>
      </c>
      <c r="D1140" s="10">
        <v>825</v>
      </c>
      <c r="E1140" s="10">
        <v>322546</v>
      </c>
      <c r="F1140" t="s">
        <v>97</v>
      </c>
      <c r="G1140" t="s">
        <v>109</v>
      </c>
    </row>
    <row r="1141" spans="1:7">
      <c r="A1141" s="10">
        <v>2021</v>
      </c>
      <c r="B1141" s="10">
        <v>8</v>
      </c>
      <c r="C1141" s="10" t="s">
        <v>68</v>
      </c>
      <c r="D1141" s="10">
        <v>866</v>
      </c>
      <c r="E1141" s="10">
        <v>330908</v>
      </c>
      <c r="F1141" t="s">
        <v>97</v>
      </c>
      <c r="G1141" t="s">
        <v>109</v>
      </c>
    </row>
    <row r="1142" spans="1:7">
      <c r="A1142" s="10">
        <v>2021</v>
      </c>
      <c r="B1142" s="10">
        <v>9</v>
      </c>
      <c r="C1142" s="10" t="s">
        <v>68</v>
      </c>
      <c r="D1142" s="10">
        <v>944</v>
      </c>
      <c r="E1142" s="10">
        <v>338787</v>
      </c>
      <c r="F1142" t="s">
        <v>97</v>
      </c>
      <c r="G1142" t="s">
        <v>109</v>
      </c>
    </row>
    <row r="1143" spans="1:7">
      <c r="A1143" s="10">
        <v>2021</v>
      </c>
      <c r="B1143" s="10">
        <v>10</v>
      </c>
      <c r="C1143" s="10" t="s">
        <v>68</v>
      </c>
      <c r="D1143" s="10">
        <v>1039</v>
      </c>
      <c r="E1143" s="10">
        <v>360608</v>
      </c>
      <c r="F1143" t="s">
        <v>97</v>
      </c>
      <c r="G1143" t="s">
        <v>109</v>
      </c>
    </row>
    <row r="1144" spans="1:7">
      <c r="A1144" s="10">
        <v>2021</v>
      </c>
      <c r="B1144" s="10">
        <v>11</v>
      </c>
      <c r="C1144" s="10" t="s">
        <v>68</v>
      </c>
      <c r="D1144" s="10">
        <v>1079</v>
      </c>
      <c r="E1144" s="10">
        <v>379167</v>
      </c>
      <c r="F1144" t="s">
        <v>97</v>
      </c>
      <c r="G1144" t="s">
        <v>109</v>
      </c>
    </row>
    <row r="1145" spans="1:7">
      <c r="A1145" s="10">
        <v>2021</v>
      </c>
      <c r="B1145" s="10">
        <v>12</v>
      </c>
      <c r="C1145" s="10" t="s">
        <v>68</v>
      </c>
      <c r="D1145" s="10">
        <v>1188</v>
      </c>
      <c r="E1145" s="10">
        <v>433332</v>
      </c>
      <c r="F1145" t="s">
        <v>97</v>
      </c>
      <c r="G1145" t="s">
        <v>109</v>
      </c>
    </row>
    <row r="1146" spans="1:7">
      <c r="A1146" s="10">
        <v>2022</v>
      </c>
      <c r="B1146" s="10">
        <v>1</v>
      </c>
      <c r="C1146" s="10" t="s">
        <v>68</v>
      </c>
      <c r="D1146" s="10">
        <v>1275</v>
      </c>
      <c r="E1146" s="10">
        <v>491786</v>
      </c>
      <c r="F1146" t="s">
        <v>97</v>
      </c>
      <c r="G1146" t="s">
        <v>109</v>
      </c>
    </row>
    <row r="1147" spans="1:7">
      <c r="A1147" s="10">
        <v>2022</v>
      </c>
      <c r="B1147" s="10">
        <v>2</v>
      </c>
      <c r="C1147" s="10" t="s">
        <v>68</v>
      </c>
      <c r="D1147" s="10">
        <v>1262</v>
      </c>
      <c r="E1147" s="10">
        <v>521591</v>
      </c>
      <c r="F1147" t="s">
        <v>97</v>
      </c>
      <c r="G1147" t="s">
        <v>109</v>
      </c>
    </row>
    <row r="1148" spans="1:7">
      <c r="A1148" s="10">
        <v>2022</v>
      </c>
      <c r="B1148" s="10">
        <v>3</v>
      </c>
      <c r="C1148" s="10" t="s">
        <v>68</v>
      </c>
      <c r="D1148" s="10">
        <v>1255</v>
      </c>
      <c r="E1148" s="10">
        <v>559807</v>
      </c>
      <c r="F1148" t="s">
        <v>97</v>
      </c>
      <c r="G1148" t="s">
        <v>109</v>
      </c>
    </row>
    <row r="1149" spans="1:7">
      <c r="A1149" s="10">
        <v>2022</v>
      </c>
      <c r="B1149" s="10">
        <v>4</v>
      </c>
      <c r="C1149" s="10" t="s">
        <v>68</v>
      </c>
      <c r="D1149" s="10">
        <v>1520</v>
      </c>
      <c r="E1149" s="10">
        <v>607500</v>
      </c>
      <c r="F1149" t="s">
        <v>97</v>
      </c>
      <c r="G1149" t="s">
        <v>109</v>
      </c>
    </row>
    <row r="1150" spans="1:7">
      <c r="A1150" s="10">
        <v>2022</v>
      </c>
      <c r="B1150" s="10">
        <v>5</v>
      </c>
      <c r="C1150" s="10" t="s">
        <v>68</v>
      </c>
      <c r="D1150" s="10">
        <v>1668</v>
      </c>
      <c r="E1150" s="10">
        <v>688500</v>
      </c>
      <c r="F1150" t="s">
        <v>97</v>
      </c>
      <c r="G1150" t="s">
        <v>109</v>
      </c>
    </row>
    <row r="1151" spans="1:7">
      <c r="A1151" s="10">
        <v>2022</v>
      </c>
      <c r="B1151" s="10">
        <v>6</v>
      </c>
      <c r="C1151" s="10" t="s">
        <v>68</v>
      </c>
      <c r="D1151" s="10">
        <v>1935</v>
      </c>
      <c r="E1151" s="10">
        <v>748453</v>
      </c>
      <c r="F1151" t="s">
        <v>97</v>
      </c>
      <c r="G1151" t="s">
        <v>109</v>
      </c>
    </row>
    <row r="1152" spans="1:7">
      <c r="A1152" s="10">
        <v>2022</v>
      </c>
      <c r="B1152" s="10">
        <v>7</v>
      </c>
      <c r="C1152" s="10" t="s">
        <v>68</v>
      </c>
      <c r="D1152" s="10">
        <v>2186</v>
      </c>
      <c r="E1152" s="10">
        <v>831866</v>
      </c>
      <c r="F1152" t="s">
        <v>97</v>
      </c>
      <c r="G1152" t="s">
        <v>109</v>
      </c>
    </row>
    <row r="1153" spans="1:7">
      <c r="A1153" s="10">
        <v>2022</v>
      </c>
      <c r="B1153" s="10">
        <v>8</v>
      </c>
      <c r="C1153" s="10" t="s">
        <v>68</v>
      </c>
      <c r="D1153" s="10">
        <v>2601</v>
      </c>
      <c r="E1153" s="10">
        <v>885559</v>
      </c>
      <c r="F1153" t="s">
        <v>97</v>
      </c>
      <c r="G1153" t="s">
        <v>109</v>
      </c>
    </row>
    <row r="1154" spans="1:7">
      <c r="A1154" s="10">
        <v>2022</v>
      </c>
      <c r="B1154" s="10">
        <v>9</v>
      </c>
      <c r="C1154" s="10" t="s">
        <v>68</v>
      </c>
      <c r="D1154" s="10">
        <v>2940</v>
      </c>
      <c r="E1154" s="10">
        <v>877035</v>
      </c>
      <c r="F1154" t="s">
        <v>97</v>
      </c>
      <c r="G1154" t="s">
        <v>109</v>
      </c>
    </row>
    <row r="1155" spans="1:7">
      <c r="A1155" s="10">
        <v>2022</v>
      </c>
      <c r="B1155" s="10">
        <v>10</v>
      </c>
      <c r="C1155" s="10" t="s">
        <v>68</v>
      </c>
      <c r="D1155" s="10">
        <v>2844</v>
      </c>
      <c r="E1155" s="10">
        <v>912727</v>
      </c>
      <c r="F1155" t="s">
        <v>97</v>
      </c>
      <c r="G1155" t="s">
        <v>109</v>
      </c>
    </row>
    <row r="1156" spans="1:7">
      <c r="A1156" s="10">
        <v>2022</v>
      </c>
      <c r="B1156" s="10">
        <v>11</v>
      </c>
      <c r="C1156" s="10" t="s">
        <v>68</v>
      </c>
      <c r="D1156" s="10">
        <v>3150</v>
      </c>
      <c r="E1156" s="10">
        <v>990000</v>
      </c>
      <c r="F1156" t="s">
        <v>97</v>
      </c>
      <c r="G1156" t="s">
        <v>109</v>
      </c>
    </row>
    <row r="1157" spans="1:7">
      <c r="A1157" s="10">
        <v>2022</v>
      </c>
      <c r="B1157" s="10">
        <v>12</v>
      </c>
      <c r="C1157" s="10" t="s">
        <v>68</v>
      </c>
      <c r="D1157" s="10">
        <v>3266</v>
      </c>
      <c r="E1157" s="10">
        <v>1064762</v>
      </c>
      <c r="F1157" t="s">
        <v>97</v>
      </c>
      <c r="G1157" t="s">
        <v>109</v>
      </c>
    </row>
    <row r="1158" spans="1:7">
      <c r="A1158" s="10">
        <v>2021</v>
      </c>
      <c r="B1158" s="10">
        <v>5</v>
      </c>
      <c r="C1158" s="10" t="s">
        <v>69</v>
      </c>
      <c r="D1158" s="10">
        <v>1294</v>
      </c>
      <c r="E1158" s="10">
        <v>406521</v>
      </c>
      <c r="F1158" t="s">
        <v>131</v>
      </c>
      <c r="G1158" t="s">
        <v>132</v>
      </c>
    </row>
    <row r="1159" spans="1:7">
      <c r="A1159" s="10">
        <v>2021</v>
      </c>
      <c r="B1159" s="10">
        <v>6</v>
      </c>
      <c r="C1159" s="10" t="s">
        <v>69</v>
      </c>
      <c r="D1159" s="10">
        <v>1363</v>
      </c>
      <c r="E1159" s="10">
        <v>416164</v>
      </c>
      <c r="F1159" t="s">
        <v>131</v>
      </c>
      <c r="G1159" t="s">
        <v>132</v>
      </c>
    </row>
    <row r="1160" spans="1:7">
      <c r="A1160" s="10">
        <v>2021</v>
      </c>
      <c r="B1160" s="10">
        <v>7</v>
      </c>
      <c r="C1160" s="10" t="s">
        <v>69</v>
      </c>
      <c r="D1160" s="10">
        <v>1467</v>
      </c>
      <c r="E1160" s="10">
        <v>412340</v>
      </c>
      <c r="F1160" t="s">
        <v>131</v>
      </c>
      <c r="G1160" t="s">
        <v>132</v>
      </c>
    </row>
    <row r="1161" spans="1:7">
      <c r="A1161" s="10">
        <v>2021</v>
      </c>
      <c r="B1161" s="10">
        <v>8</v>
      </c>
      <c r="C1161" s="10" t="s">
        <v>69</v>
      </c>
      <c r="D1161" s="10">
        <v>1620</v>
      </c>
      <c r="E1161" s="10">
        <v>429250</v>
      </c>
      <c r="F1161" t="s">
        <v>131</v>
      </c>
      <c r="G1161" t="s">
        <v>132</v>
      </c>
    </row>
    <row r="1162" spans="1:7">
      <c r="A1162" s="10">
        <v>2021</v>
      </c>
      <c r="B1162" s="10">
        <v>9</v>
      </c>
      <c r="C1162" s="10" t="s">
        <v>69</v>
      </c>
      <c r="D1162" s="10">
        <v>1723</v>
      </c>
      <c r="E1162" s="10">
        <v>448181</v>
      </c>
      <c r="F1162" t="s">
        <v>131</v>
      </c>
      <c r="G1162" t="s">
        <v>132</v>
      </c>
    </row>
    <row r="1163" spans="1:7">
      <c r="A1163" s="10">
        <v>2021</v>
      </c>
      <c r="B1163" s="10">
        <v>10</v>
      </c>
      <c r="C1163" s="10" t="s">
        <v>69</v>
      </c>
      <c r="D1163" s="10">
        <v>1653</v>
      </c>
      <c r="E1163" s="10">
        <v>463635</v>
      </c>
      <c r="F1163" t="s">
        <v>131</v>
      </c>
      <c r="G1163" t="s">
        <v>132</v>
      </c>
    </row>
    <row r="1164" spans="1:7">
      <c r="A1164" s="10">
        <v>2021</v>
      </c>
      <c r="B1164" s="10">
        <v>11</v>
      </c>
      <c r="C1164" s="10" t="s">
        <v>69</v>
      </c>
      <c r="D1164" s="10">
        <v>1633</v>
      </c>
      <c r="E1164" s="10">
        <v>497561</v>
      </c>
      <c r="F1164" t="s">
        <v>131</v>
      </c>
      <c r="G1164" t="s">
        <v>132</v>
      </c>
    </row>
    <row r="1165" spans="1:7">
      <c r="A1165" s="10">
        <v>2021</v>
      </c>
      <c r="B1165" s="10">
        <v>12</v>
      </c>
      <c r="C1165" s="10" t="s">
        <v>69</v>
      </c>
      <c r="D1165" s="10">
        <v>1638</v>
      </c>
      <c r="E1165" s="10">
        <v>597413</v>
      </c>
      <c r="F1165" t="s">
        <v>131</v>
      </c>
      <c r="G1165" t="s">
        <v>132</v>
      </c>
    </row>
    <row r="1166" spans="1:7">
      <c r="A1166" s="10">
        <v>2022</v>
      </c>
      <c r="B1166" s="10">
        <v>1</v>
      </c>
      <c r="C1166" s="10" t="s">
        <v>69</v>
      </c>
      <c r="D1166" s="10">
        <v>1673</v>
      </c>
      <c r="E1166" s="10">
        <v>664203</v>
      </c>
      <c r="F1166" t="s">
        <v>131</v>
      </c>
      <c r="G1166" t="s">
        <v>132</v>
      </c>
    </row>
    <row r="1167" spans="1:7">
      <c r="A1167" s="10">
        <v>2022</v>
      </c>
      <c r="B1167" s="10">
        <v>2</v>
      </c>
      <c r="C1167" s="10" t="s">
        <v>69</v>
      </c>
      <c r="D1167" s="10">
        <v>1655</v>
      </c>
      <c r="E1167" s="10">
        <v>708541</v>
      </c>
      <c r="F1167" t="s">
        <v>131</v>
      </c>
      <c r="G1167" t="s">
        <v>132</v>
      </c>
    </row>
    <row r="1168" spans="1:7">
      <c r="A1168" s="10">
        <v>2022</v>
      </c>
      <c r="B1168" s="10">
        <v>3</v>
      </c>
      <c r="C1168" s="10" t="s">
        <v>69</v>
      </c>
      <c r="D1168" s="10">
        <v>1690</v>
      </c>
      <c r="E1168" s="10">
        <v>772057</v>
      </c>
      <c r="F1168" t="s">
        <v>131</v>
      </c>
      <c r="G1168" t="s">
        <v>132</v>
      </c>
    </row>
    <row r="1169" spans="1:7">
      <c r="A1169" s="10">
        <v>2022</v>
      </c>
      <c r="B1169" s="10">
        <v>4</v>
      </c>
      <c r="C1169" s="10" t="s">
        <v>69</v>
      </c>
      <c r="D1169" s="10">
        <v>1815</v>
      </c>
      <c r="E1169" s="10">
        <v>846774</v>
      </c>
      <c r="F1169" t="s">
        <v>131</v>
      </c>
      <c r="G1169" t="s">
        <v>132</v>
      </c>
    </row>
    <row r="1170" spans="1:7">
      <c r="A1170" s="10">
        <v>2022</v>
      </c>
      <c r="B1170" s="10">
        <v>5</v>
      </c>
      <c r="C1170" s="10" t="s">
        <v>69</v>
      </c>
      <c r="D1170" s="10">
        <v>2062</v>
      </c>
      <c r="E1170" s="10">
        <v>939814</v>
      </c>
      <c r="F1170" t="s">
        <v>131</v>
      </c>
      <c r="G1170" t="s">
        <v>132</v>
      </c>
    </row>
    <row r="1171" spans="1:7">
      <c r="A1171" s="10">
        <v>2022</v>
      </c>
      <c r="B1171" s="10">
        <v>6</v>
      </c>
      <c r="C1171" s="10" t="s">
        <v>69</v>
      </c>
      <c r="D1171" s="10">
        <v>2397</v>
      </c>
      <c r="E1171" s="10">
        <v>1045138</v>
      </c>
      <c r="F1171" t="s">
        <v>131</v>
      </c>
      <c r="G1171" t="s">
        <v>132</v>
      </c>
    </row>
    <row r="1172" spans="1:7">
      <c r="A1172" s="10">
        <v>2022</v>
      </c>
      <c r="B1172" s="10">
        <v>7</v>
      </c>
      <c r="C1172" s="10" t="s">
        <v>69</v>
      </c>
      <c r="D1172" s="10">
        <v>2900</v>
      </c>
      <c r="E1172" s="10">
        <v>1073684</v>
      </c>
      <c r="F1172" t="s">
        <v>131</v>
      </c>
      <c r="G1172" t="s">
        <v>132</v>
      </c>
    </row>
    <row r="1173" spans="1:7">
      <c r="A1173" s="10">
        <v>2022</v>
      </c>
      <c r="B1173" s="10">
        <v>8</v>
      </c>
      <c r="C1173" s="10" t="s">
        <v>69</v>
      </c>
      <c r="D1173" s="10">
        <v>3267</v>
      </c>
      <c r="E1173" s="10">
        <v>1131916</v>
      </c>
      <c r="F1173" t="s">
        <v>131</v>
      </c>
      <c r="G1173" t="s">
        <v>132</v>
      </c>
    </row>
    <row r="1174" spans="1:7">
      <c r="A1174" s="10">
        <v>2022</v>
      </c>
      <c r="B1174" s="10">
        <v>9</v>
      </c>
      <c r="C1174" s="10" t="s">
        <v>69</v>
      </c>
      <c r="D1174" s="10">
        <v>3451</v>
      </c>
      <c r="E1174" s="10">
        <v>1187992</v>
      </c>
      <c r="F1174" t="s">
        <v>131</v>
      </c>
      <c r="G1174" t="s">
        <v>132</v>
      </c>
    </row>
    <row r="1175" spans="1:7">
      <c r="A1175" s="10">
        <v>2022</v>
      </c>
      <c r="B1175" s="10">
        <v>10</v>
      </c>
      <c r="C1175" s="10" t="s">
        <v>69</v>
      </c>
      <c r="D1175" s="10">
        <v>3432</v>
      </c>
      <c r="E1175" s="10">
        <v>1216535</v>
      </c>
      <c r="F1175" t="s">
        <v>131</v>
      </c>
      <c r="G1175" t="s">
        <v>132</v>
      </c>
    </row>
    <row r="1176" spans="1:7">
      <c r="A1176" s="10">
        <v>2022</v>
      </c>
      <c r="B1176" s="10">
        <v>11</v>
      </c>
      <c r="C1176" s="10" t="s">
        <v>69</v>
      </c>
      <c r="D1176" s="10">
        <v>3463</v>
      </c>
      <c r="E1176" s="10">
        <v>1275000</v>
      </c>
      <c r="F1176" t="s">
        <v>131</v>
      </c>
      <c r="G1176" t="s">
        <v>132</v>
      </c>
    </row>
    <row r="1177" spans="1:7">
      <c r="A1177" s="10">
        <v>2022</v>
      </c>
      <c r="B1177" s="10">
        <v>12</v>
      </c>
      <c r="C1177" s="10" t="s">
        <v>69</v>
      </c>
      <c r="D1177" s="10">
        <v>3456</v>
      </c>
      <c r="E1177" s="10">
        <v>1314897</v>
      </c>
      <c r="F1177" t="s">
        <v>131</v>
      </c>
      <c r="G1177" t="s">
        <v>132</v>
      </c>
    </row>
    <row r="1178" spans="1:7">
      <c r="A1178" s="10">
        <v>2021</v>
      </c>
      <c r="B1178" s="10">
        <v>5</v>
      </c>
      <c r="C1178" s="10" t="s">
        <v>70</v>
      </c>
      <c r="D1178" s="10">
        <v>1158</v>
      </c>
      <c r="E1178" s="10">
        <v>369318</v>
      </c>
      <c r="F1178" t="s">
        <v>97</v>
      </c>
      <c r="G1178" t="s">
        <v>109</v>
      </c>
    </row>
    <row r="1179" spans="1:7">
      <c r="A1179" s="10">
        <v>2021</v>
      </c>
      <c r="B1179" s="10">
        <v>6</v>
      </c>
      <c r="C1179" s="10" t="s">
        <v>70</v>
      </c>
      <c r="D1179" s="10">
        <v>1192</v>
      </c>
      <c r="E1179" s="10">
        <v>379411</v>
      </c>
      <c r="F1179" t="s">
        <v>97</v>
      </c>
      <c r="G1179" t="s">
        <v>109</v>
      </c>
    </row>
    <row r="1180" spans="1:7">
      <c r="A1180" s="10">
        <v>2021</v>
      </c>
      <c r="B1180" s="10">
        <v>7</v>
      </c>
      <c r="C1180" s="10" t="s">
        <v>70</v>
      </c>
      <c r="D1180" s="10">
        <v>1276</v>
      </c>
      <c r="E1180" s="10">
        <v>392857</v>
      </c>
      <c r="F1180" t="s">
        <v>97</v>
      </c>
      <c r="G1180" t="s">
        <v>109</v>
      </c>
    </row>
    <row r="1181" spans="1:7">
      <c r="A1181" s="10">
        <v>2021</v>
      </c>
      <c r="B1181" s="10">
        <v>8</v>
      </c>
      <c r="C1181" s="10" t="s">
        <v>70</v>
      </c>
      <c r="D1181" s="10">
        <v>1388</v>
      </c>
      <c r="E1181" s="10">
        <v>404166</v>
      </c>
      <c r="F1181" t="s">
        <v>97</v>
      </c>
      <c r="G1181" t="s">
        <v>109</v>
      </c>
    </row>
    <row r="1182" spans="1:7">
      <c r="A1182" s="10">
        <v>2021</v>
      </c>
      <c r="B1182" s="10">
        <v>9</v>
      </c>
      <c r="C1182" s="10" t="s">
        <v>70</v>
      </c>
      <c r="D1182" s="10">
        <v>1492</v>
      </c>
      <c r="E1182" s="10">
        <v>416666</v>
      </c>
      <c r="F1182" t="s">
        <v>97</v>
      </c>
      <c r="G1182" t="s">
        <v>109</v>
      </c>
    </row>
    <row r="1183" spans="1:7">
      <c r="A1183" s="10">
        <v>2021</v>
      </c>
      <c r="B1183" s="10">
        <v>10</v>
      </c>
      <c r="C1183" s="10" t="s">
        <v>70</v>
      </c>
      <c r="D1183" s="10">
        <v>1658</v>
      </c>
      <c r="E1183" s="10">
        <v>437500</v>
      </c>
      <c r="F1183" t="s">
        <v>97</v>
      </c>
      <c r="G1183" t="s">
        <v>109</v>
      </c>
    </row>
    <row r="1184" spans="1:7">
      <c r="A1184" s="10">
        <v>2021</v>
      </c>
      <c r="B1184" s="10">
        <v>11</v>
      </c>
      <c r="C1184" s="10" t="s">
        <v>70</v>
      </c>
      <c r="D1184" s="10">
        <v>1639</v>
      </c>
      <c r="E1184" s="10">
        <v>475000</v>
      </c>
      <c r="F1184" t="s">
        <v>97</v>
      </c>
      <c r="G1184" t="s">
        <v>109</v>
      </c>
    </row>
    <row r="1185" spans="1:7">
      <c r="A1185" s="10">
        <v>2021</v>
      </c>
      <c r="B1185" s="10">
        <v>12</v>
      </c>
      <c r="C1185" s="10" t="s">
        <v>70</v>
      </c>
      <c r="D1185" s="10">
        <v>1808</v>
      </c>
      <c r="E1185" s="10">
        <v>576000</v>
      </c>
      <c r="F1185" t="s">
        <v>97</v>
      </c>
      <c r="G1185" t="s">
        <v>109</v>
      </c>
    </row>
    <row r="1186" spans="1:7">
      <c r="A1186" s="10">
        <v>2022</v>
      </c>
      <c r="B1186" s="10">
        <v>1</v>
      </c>
      <c r="C1186" s="10" t="s">
        <v>70</v>
      </c>
      <c r="D1186" s="10">
        <v>1883</v>
      </c>
      <c r="E1186" s="10">
        <v>605263</v>
      </c>
      <c r="F1186" t="s">
        <v>97</v>
      </c>
      <c r="G1186" t="s">
        <v>109</v>
      </c>
    </row>
    <row r="1187" spans="1:7">
      <c r="A1187" s="10">
        <v>2022</v>
      </c>
      <c r="B1187" s="10">
        <v>2</v>
      </c>
      <c r="C1187" s="10" t="s">
        <v>70</v>
      </c>
      <c r="D1187" s="10">
        <v>1973</v>
      </c>
      <c r="E1187" s="10">
        <v>677999</v>
      </c>
      <c r="F1187" t="s">
        <v>97</v>
      </c>
      <c r="G1187" t="s">
        <v>109</v>
      </c>
    </row>
    <row r="1188" spans="1:7">
      <c r="A1188" s="10">
        <v>2022</v>
      </c>
      <c r="B1188" s="10">
        <v>3</v>
      </c>
      <c r="C1188" s="10" t="s">
        <v>70</v>
      </c>
      <c r="D1188" s="10">
        <v>2153</v>
      </c>
      <c r="E1188" s="10">
        <v>742857</v>
      </c>
      <c r="F1188" t="s">
        <v>97</v>
      </c>
      <c r="G1188" t="s">
        <v>109</v>
      </c>
    </row>
    <row r="1189" spans="1:7">
      <c r="A1189" s="10">
        <v>2022</v>
      </c>
      <c r="B1189" s="10">
        <v>4</v>
      </c>
      <c r="C1189" s="10" t="s">
        <v>70</v>
      </c>
      <c r="D1189" s="10">
        <v>2264</v>
      </c>
      <c r="E1189" s="10">
        <v>800800</v>
      </c>
      <c r="F1189" t="s">
        <v>97</v>
      </c>
      <c r="G1189" t="s">
        <v>109</v>
      </c>
    </row>
    <row r="1190" spans="1:7">
      <c r="A1190" s="10">
        <v>2022</v>
      </c>
      <c r="B1190" s="10">
        <v>5</v>
      </c>
      <c r="C1190" s="10" t="s">
        <v>70</v>
      </c>
      <c r="D1190" s="10">
        <v>2457</v>
      </c>
      <c r="E1190" s="10">
        <v>875000</v>
      </c>
      <c r="F1190" t="s">
        <v>97</v>
      </c>
      <c r="G1190" t="s">
        <v>109</v>
      </c>
    </row>
    <row r="1191" spans="1:7">
      <c r="A1191" s="10">
        <v>2022</v>
      </c>
      <c r="B1191" s="10">
        <v>6</v>
      </c>
      <c r="C1191" s="10" t="s">
        <v>70</v>
      </c>
      <c r="D1191" s="10">
        <v>2825</v>
      </c>
      <c r="E1191" s="10">
        <v>930800</v>
      </c>
      <c r="F1191" t="s">
        <v>97</v>
      </c>
      <c r="G1191" t="s">
        <v>109</v>
      </c>
    </row>
    <row r="1192" spans="1:7">
      <c r="A1192" s="10">
        <v>2022</v>
      </c>
      <c r="B1192" s="10">
        <v>7</v>
      </c>
      <c r="C1192" s="10" t="s">
        <v>70</v>
      </c>
      <c r="D1192" s="10">
        <v>3141</v>
      </c>
      <c r="E1192" s="10">
        <v>984999</v>
      </c>
      <c r="F1192" t="s">
        <v>97</v>
      </c>
      <c r="G1192" t="s">
        <v>109</v>
      </c>
    </row>
    <row r="1193" spans="1:7">
      <c r="A1193" s="10">
        <v>2022</v>
      </c>
      <c r="B1193" s="10">
        <v>8</v>
      </c>
      <c r="C1193" s="10" t="s">
        <v>70</v>
      </c>
      <c r="D1193" s="10">
        <v>3600</v>
      </c>
      <c r="E1193" s="10">
        <v>1034143</v>
      </c>
      <c r="F1193" t="s">
        <v>97</v>
      </c>
      <c r="G1193" t="s">
        <v>109</v>
      </c>
    </row>
    <row r="1194" spans="1:7">
      <c r="A1194" s="10">
        <v>2022</v>
      </c>
      <c r="B1194" s="10">
        <v>9</v>
      </c>
      <c r="C1194" s="10" t="s">
        <v>70</v>
      </c>
      <c r="D1194" s="10">
        <v>3999</v>
      </c>
      <c r="E1194" s="10">
        <v>1086556</v>
      </c>
      <c r="F1194" t="s">
        <v>97</v>
      </c>
      <c r="G1194" t="s">
        <v>109</v>
      </c>
    </row>
    <row r="1195" spans="1:7">
      <c r="A1195" s="10">
        <v>2022</v>
      </c>
      <c r="B1195" s="10">
        <v>10</v>
      </c>
      <c r="C1195" s="10" t="s">
        <v>70</v>
      </c>
      <c r="D1195" s="10">
        <v>4189</v>
      </c>
      <c r="E1195" s="10">
        <v>1128472</v>
      </c>
      <c r="F1195" t="s">
        <v>97</v>
      </c>
      <c r="G1195" t="s">
        <v>109</v>
      </c>
    </row>
    <row r="1196" spans="1:7">
      <c r="A1196" s="10">
        <v>2022</v>
      </c>
      <c r="B1196" s="10">
        <v>11</v>
      </c>
      <c r="C1196" s="10" t="s">
        <v>70</v>
      </c>
      <c r="D1196" s="10">
        <v>4529</v>
      </c>
      <c r="E1196" s="10">
        <v>1203200</v>
      </c>
      <c r="F1196" t="s">
        <v>97</v>
      </c>
      <c r="G1196" t="s">
        <v>109</v>
      </c>
    </row>
    <row r="1197" spans="1:7">
      <c r="A1197" s="10">
        <v>2022</v>
      </c>
      <c r="B1197" s="10">
        <v>12</v>
      </c>
      <c r="C1197" s="10" t="s">
        <v>70</v>
      </c>
      <c r="D1197" s="10">
        <v>4643</v>
      </c>
      <c r="E1197" s="10">
        <v>1300000</v>
      </c>
      <c r="F1197" t="s">
        <v>97</v>
      </c>
      <c r="G1197" t="s">
        <v>109</v>
      </c>
    </row>
    <row r="1198" spans="1:7">
      <c r="A1198" s="10">
        <v>2021</v>
      </c>
      <c r="B1198" s="10">
        <v>5</v>
      </c>
      <c r="C1198" s="10" t="s">
        <v>71</v>
      </c>
      <c r="D1198" s="10">
        <v>1118</v>
      </c>
      <c r="E1198" s="10">
        <v>345102</v>
      </c>
      <c r="F1198" t="s">
        <v>124</v>
      </c>
      <c r="G1198" t="s">
        <v>127</v>
      </c>
    </row>
    <row r="1199" spans="1:7">
      <c r="A1199" s="10">
        <v>2021</v>
      </c>
      <c r="B1199" s="10">
        <v>6</v>
      </c>
      <c r="C1199" s="10" t="s">
        <v>71</v>
      </c>
      <c r="D1199" s="10">
        <v>1205</v>
      </c>
      <c r="E1199" s="10">
        <v>363135</v>
      </c>
      <c r="F1199" t="s">
        <v>124</v>
      </c>
      <c r="G1199" t="s">
        <v>127</v>
      </c>
    </row>
    <row r="1200" spans="1:7">
      <c r="A1200" s="10">
        <v>2021</v>
      </c>
      <c r="B1200" s="10">
        <v>7</v>
      </c>
      <c r="C1200" s="10" t="s">
        <v>71</v>
      </c>
      <c r="D1200" s="10">
        <v>1247</v>
      </c>
      <c r="E1200" s="10">
        <v>383477</v>
      </c>
      <c r="F1200" t="s">
        <v>124</v>
      </c>
      <c r="G1200" t="s">
        <v>127</v>
      </c>
    </row>
    <row r="1201" spans="1:7">
      <c r="A1201" s="10">
        <v>2021</v>
      </c>
      <c r="B1201" s="10">
        <v>8</v>
      </c>
      <c r="C1201" s="10" t="s">
        <v>71</v>
      </c>
      <c r="D1201" s="10">
        <v>1250</v>
      </c>
      <c r="E1201" s="10">
        <v>390336</v>
      </c>
      <c r="F1201" t="s">
        <v>124</v>
      </c>
      <c r="G1201" t="s">
        <v>127</v>
      </c>
    </row>
    <row r="1202" spans="1:7">
      <c r="A1202" s="10">
        <v>2021</v>
      </c>
      <c r="B1202" s="10">
        <v>9</v>
      </c>
      <c r="C1202" s="10" t="s">
        <v>71</v>
      </c>
      <c r="D1202" s="10">
        <v>1361</v>
      </c>
      <c r="E1202" s="10">
        <v>417600</v>
      </c>
      <c r="F1202" t="s">
        <v>124</v>
      </c>
      <c r="G1202" t="s">
        <v>127</v>
      </c>
    </row>
    <row r="1203" spans="1:7">
      <c r="A1203" s="10">
        <v>2021</v>
      </c>
      <c r="B1203" s="10">
        <v>10</v>
      </c>
      <c r="C1203" s="10" t="s">
        <v>71</v>
      </c>
      <c r="D1203" s="10">
        <v>1404</v>
      </c>
      <c r="E1203" s="10">
        <v>435924</v>
      </c>
      <c r="F1203" t="s">
        <v>124</v>
      </c>
      <c r="G1203" t="s">
        <v>127</v>
      </c>
    </row>
    <row r="1204" spans="1:7">
      <c r="A1204" s="10">
        <v>2021</v>
      </c>
      <c r="B1204" s="10">
        <v>11</v>
      </c>
      <c r="C1204" s="10" t="s">
        <v>71</v>
      </c>
      <c r="D1204" s="10">
        <v>1377</v>
      </c>
      <c r="E1204" s="10">
        <v>470455</v>
      </c>
      <c r="F1204" t="s">
        <v>124</v>
      </c>
      <c r="G1204" t="s">
        <v>127</v>
      </c>
    </row>
    <row r="1205" spans="1:7">
      <c r="A1205" s="10">
        <v>2021</v>
      </c>
      <c r="B1205" s="10">
        <v>12</v>
      </c>
      <c r="C1205" s="10" t="s">
        <v>71</v>
      </c>
      <c r="D1205" s="10">
        <v>1472</v>
      </c>
      <c r="E1205" s="10">
        <v>542102</v>
      </c>
      <c r="F1205" t="s">
        <v>124</v>
      </c>
      <c r="G1205" t="s">
        <v>127</v>
      </c>
    </row>
    <row r="1206" spans="1:7">
      <c r="A1206" s="10">
        <v>2022</v>
      </c>
      <c r="B1206" s="10">
        <v>1</v>
      </c>
      <c r="C1206" s="10" t="s">
        <v>71</v>
      </c>
      <c r="D1206" s="10">
        <v>1550</v>
      </c>
      <c r="E1206" s="10">
        <v>473959</v>
      </c>
      <c r="F1206" t="s">
        <v>124</v>
      </c>
      <c r="G1206" t="s">
        <v>127</v>
      </c>
    </row>
    <row r="1207" spans="1:7">
      <c r="A1207" s="10">
        <v>2022</v>
      </c>
      <c r="B1207" s="10">
        <v>2</v>
      </c>
      <c r="C1207" s="10" t="s">
        <v>71</v>
      </c>
      <c r="D1207" s="10">
        <v>1549</v>
      </c>
      <c r="E1207" s="10">
        <v>601536</v>
      </c>
      <c r="F1207" t="s">
        <v>124</v>
      </c>
      <c r="G1207" t="s">
        <v>127</v>
      </c>
    </row>
    <row r="1208" spans="1:7">
      <c r="A1208" s="10">
        <v>2022</v>
      </c>
      <c r="B1208" s="10">
        <v>3</v>
      </c>
      <c r="C1208" s="10" t="s">
        <v>71</v>
      </c>
      <c r="D1208" s="10">
        <v>1722</v>
      </c>
      <c r="E1208" s="10">
        <v>641667</v>
      </c>
      <c r="F1208" t="s">
        <v>124</v>
      </c>
      <c r="G1208" t="s">
        <v>127</v>
      </c>
    </row>
    <row r="1209" spans="1:7">
      <c r="A1209" s="10">
        <v>2022</v>
      </c>
      <c r="B1209" s="10">
        <v>4</v>
      </c>
      <c r="C1209" s="10" t="s">
        <v>71</v>
      </c>
      <c r="D1209" s="10">
        <v>1721</v>
      </c>
      <c r="E1209" s="10">
        <v>721211</v>
      </c>
      <c r="F1209" t="s">
        <v>124</v>
      </c>
      <c r="G1209" t="s">
        <v>127</v>
      </c>
    </row>
    <row r="1210" spans="1:7">
      <c r="A1210" s="10">
        <v>2022</v>
      </c>
      <c r="B1210" s="10">
        <v>5</v>
      </c>
      <c r="C1210" s="10" t="s">
        <v>71</v>
      </c>
      <c r="D1210" s="10">
        <v>1937</v>
      </c>
      <c r="E1210" s="10">
        <v>835668</v>
      </c>
      <c r="F1210" t="s">
        <v>124</v>
      </c>
      <c r="G1210" t="s">
        <v>127</v>
      </c>
    </row>
    <row r="1211" spans="1:7">
      <c r="A1211" s="10">
        <v>2022</v>
      </c>
      <c r="B1211" s="10">
        <v>6</v>
      </c>
      <c r="C1211" s="10" t="s">
        <v>71</v>
      </c>
      <c r="D1211" s="10">
        <v>2242</v>
      </c>
      <c r="E1211" s="10">
        <v>929687</v>
      </c>
      <c r="F1211" t="s">
        <v>124</v>
      </c>
      <c r="G1211" t="s">
        <v>127</v>
      </c>
    </row>
    <row r="1212" spans="1:7">
      <c r="A1212" s="10">
        <v>2022</v>
      </c>
      <c r="B1212" s="10">
        <v>7</v>
      </c>
      <c r="C1212" s="10" t="s">
        <v>71</v>
      </c>
      <c r="D1212" s="10">
        <v>2576</v>
      </c>
      <c r="E1212" s="10">
        <v>999750</v>
      </c>
      <c r="F1212" t="s">
        <v>124</v>
      </c>
      <c r="G1212" t="s">
        <v>127</v>
      </c>
    </row>
    <row r="1213" spans="1:7">
      <c r="A1213" s="10">
        <v>2022</v>
      </c>
      <c r="B1213" s="10">
        <v>8</v>
      </c>
      <c r="C1213" s="10" t="s">
        <v>71</v>
      </c>
      <c r="D1213" s="10">
        <v>2807</v>
      </c>
      <c r="E1213" s="10">
        <v>1050000</v>
      </c>
      <c r="F1213" t="s">
        <v>124</v>
      </c>
      <c r="G1213" t="s">
        <v>127</v>
      </c>
    </row>
    <row r="1214" spans="1:7">
      <c r="A1214" s="10">
        <v>2022</v>
      </c>
      <c r="B1214" s="10">
        <v>9</v>
      </c>
      <c r="C1214" s="10" t="s">
        <v>71</v>
      </c>
      <c r="D1214" s="10">
        <v>2855</v>
      </c>
      <c r="E1214" s="10">
        <v>1113637</v>
      </c>
      <c r="F1214" t="s">
        <v>124</v>
      </c>
      <c r="G1214" t="s">
        <v>127</v>
      </c>
    </row>
    <row r="1215" spans="1:7">
      <c r="A1215" s="10">
        <v>2022</v>
      </c>
      <c r="B1215" s="10">
        <v>10</v>
      </c>
      <c r="C1215" s="10" t="s">
        <v>71</v>
      </c>
      <c r="D1215" s="10">
        <v>3040</v>
      </c>
      <c r="E1215" s="10">
        <v>1150000</v>
      </c>
      <c r="F1215" t="s">
        <v>124</v>
      </c>
      <c r="G1215" t="s">
        <v>127</v>
      </c>
    </row>
    <row r="1216" spans="1:7">
      <c r="A1216" s="10">
        <v>2022</v>
      </c>
      <c r="B1216" s="10">
        <v>11</v>
      </c>
      <c r="C1216" s="10" t="s">
        <v>71</v>
      </c>
      <c r="D1216" s="10">
        <v>3229</v>
      </c>
      <c r="E1216" s="10">
        <v>1182433</v>
      </c>
      <c r="F1216" t="s">
        <v>124</v>
      </c>
      <c r="G1216" t="s">
        <v>127</v>
      </c>
    </row>
    <row r="1217" spans="1:7">
      <c r="A1217" s="10">
        <v>2022</v>
      </c>
      <c r="B1217" s="10">
        <v>12</v>
      </c>
      <c r="C1217" s="10" t="s">
        <v>71</v>
      </c>
      <c r="D1217" s="10">
        <v>3325</v>
      </c>
      <c r="E1217" s="10">
        <v>1244306</v>
      </c>
      <c r="F1217" t="s">
        <v>124</v>
      </c>
      <c r="G1217" t="s">
        <v>127</v>
      </c>
    </row>
    <row r="1218" spans="1:7">
      <c r="A1218" s="10">
        <v>2021</v>
      </c>
      <c r="B1218" s="10">
        <v>5</v>
      </c>
      <c r="C1218" s="10" t="s">
        <v>72</v>
      </c>
      <c r="D1218" s="10">
        <v>1815</v>
      </c>
      <c r="E1218" s="10">
        <v>431304</v>
      </c>
      <c r="F1218" t="s">
        <v>100</v>
      </c>
      <c r="G1218" t="s">
        <v>116</v>
      </c>
    </row>
    <row r="1219" spans="1:7">
      <c r="A1219" s="10">
        <v>2021</v>
      </c>
      <c r="B1219" s="10">
        <v>6</v>
      </c>
      <c r="C1219" s="10" t="s">
        <v>72</v>
      </c>
      <c r="D1219" s="10">
        <v>1967</v>
      </c>
      <c r="E1219" s="10">
        <v>453332</v>
      </c>
      <c r="F1219" t="s">
        <v>100</v>
      </c>
      <c r="G1219" t="s">
        <v>116</v>
      </c>
    </row>
    <row r="1220" spans="1:7">
      <c r="A1220" s="10">
        <v>2021</v>
      </c>
      <c r="B1220" s="10">
        <v>7</v>
      </c>
      <c r="C1220" s="10" t="s">
        <v>72</v>
      </c>
      <c r="D1220" s="10">
        <v>2028</v>
      </c>
      <c r="E1220" s="10">
        <v>480000</v>
      </c>
      <c r="F1220" t="s">
        <v>100</v>
      </c>
      <c r="G1220" t="s">
        <v>116</v>
      </c>
    </row>
    <row r="1221" spans="1:7">
      <c r="A1221" s="10">
        <v>2021</v>
      </c>
      <c r="B1221" s="10">
        <v>8</v>
      </c>
      <c r="C1221" s="10" t="s">
        <v>72</v>
      </c>
      <c r="D1221" s="10">
        <v>2178</v>
      </c>
      <c r="E1221" s="10">
        <v>519769</v>
      </c>
      <c r="F1221" t="s">
        <v>100</v>
      </c>
      <c r="G1221" t="s">
        <v>116</v>
      </c>
    </row>
    <row r="1222" spans="1:7">
      <c r="A1222" s="10">
        <v>2021</v>
      </c>
      <c r="B1222" s="10">
        <v>9</v>
      </c>
      <c r="C1222" s="10" t="s">
        <v>72</v>
      </c>
      <c r="D1222" s="10">
        <v>2290</v>
      </c>
      <c r="E1222" s="10">
        <v>541539</v>
      </c>
      <c r="F1222" t="s">
        <v>100</v>
      </c>
      <c r="G1222" t="s">
        <v>116</v>
      </c>
    </row>
    <row r="1223" spans="1:7">
      <c r="A1223" s="10">
        <v>2021</v>
      </c>
      <c r="B1223" s="10">
        <v>10</v>
      </c>
      <c r="C1223" s="10" t="s">
        <v>72</v>
      </c>
      <c r="D1223" s="10">
        <v>2381</v>
      </c>
      <c r="E1223" s="10">
        <v>586667</v>
      </c>
      <c r="F1223" t="s">
        <v>100</v>
      </c>
      <c r="G1223" t="s">
        <v>116</v>
      </c>
    </row>
    <row r="1224" spans="1:7">
      <c r="A1224" s="10">
        <v>2021</v>
      </c>
      <c r="B1224" s="10">
        <v>11</v>
      </c>
      <c r="C1224" s="10" t="s">
        <v>72</v>
      </c>
      <c r="D1224" s="10">
        <v>2580</v>
      </c>
      <c r="E1224" s="10">
        <v>656000</v>
      </c>
      <c r="F1224" t="s">
        <v>100</v>
      </c>
      <c r="G1224" t="s">
        <v>116</v>
      </c>
    </row>
    <row r="1225" spans="1:7">
      <c r="A1225" s="10">
        <v>2021</v>
      </c>
      <c r="B1225" s="10">
        <v>12</v>
      </c>
      <c r="C1225" s="10" t="s">
        <v>72</v>
      </c>
      <c r="D1225" s="10">
        <v>2672</v>
      </c>
      <c r="E1225" s="10">
        <v>854464</v>
      </c>
      <c r="F1225" t="s">
        <v>100</v>
      </c>
      <c r="G1225" t="s">
        <v>116</v>
      </c>
    </row>
    <row r="1226" spans="1:7">
      <c r="A1226" s="10">
        <v>2022</v>
      </c>
      <c r="B1226" s="10">
        <v>1</v>
      </c>
      <c r="C1226" s="10" t="s">
        <v>72</v>
      </c>
      <c r="D1226" s="10">
        <v>2925</v>
      </c>
      <c r="E1226" s="10">
        <v>945577</v>
      </c>
      <c r="F1226" t="s">
        <v>100</v>
      </c>
      <c r="G1226" t="s">
        <v>116</v>
      </c>
    </row>
    <row r="1227" spans="1:7">
      <c r="A1227" s="10">
        <v>2022</v>
      </c>
      <c r="B1227" s="10">
        <v>2</v>
      </c>
      <c r="C1227" s="10" t="s">
        <v>72</v>
      </c>
      <c r="D1227" s="10">
        <v>3096</v>
      </c>
      <c r="E1227" s="10">
        <v>996363</v>
      </c>
      <c r="F1227" t="s">
        <v>100</v>
      </c>
      <c r="G1227" t="s">
        <v>116</v>
      </c>
    </row>
    <row r="1228" spans="1:7">
      <c r="A1228" s="10">
        <v>2022</v>
      </c>
      <c r="B1228" s="10">
        <v>3</v>
      </c>
      <c r="C1228" s="10" t="s">
        <v>72</v>
      </c>
      <c r="D1228" s="10">
        <v>3472</v>
      </c>
      <c r="E1228" s="10">
        <v>1090908</v>
      </c>
      <c r="F1228" t="s">
        <v>100</v>
      </c>
      <c r="G1228" t="s">
        <v>116</v>
      </c>
    </row>
    <row r="1229" spans="1:7">
      <c r="A1229" s="10">
        <v>2022</v>
      </c>
      <c r="B1229" s="10">
        <v>4</v>
      </c>
      <c r="C1229" s="10" t="s">
        <v>72</v>
      </c>
      <c r="D1229" s="10">
        <v>4158</v>
      </c>
      <c r="E1229" s="10">
        <v>1236363</v>
      </c>
      <c r="F1229" t="s">
        <v>100</v>
      </c>
      <c r="G1229" t="s">
        <v>116</v>
      </c>
    </row>
    <row r="1230" spans="1:7">
      <c r="A1230" s="10">
        <v>2022</v>
      </c>
      <c r="B1230" s="10">
        <v>5</v>
      </c>
      <c r="C1230" s="10" t="s">
        <v>72</v>
      </c>
      <c r="D1230" s="10">
        <v>5375</v>
      </c>
      <c r="E1230" s="10">
        <v>1415121</v>
      </c>
      <c r="F1230" t="s">
        <v>100</v>
      </c>
      <c r="G1230" t="s">
        <v>116</v>
      </c>
    </row>
    <row r="1231" spans="1:7">
      <c r="A1231" s="10">
        <v>2022</v>
      </c>
      <c r="B1231" s="10">
        <v>6</v>
      </c>
      <c r="C1231" s="10" t="s">
        <v>72</v>
      </c>
      <c r="D1231" s="10">
        <v>5726</v>
      </c>
      <c r="E1231" s="10">
        <v>1586667</v>
      </c>
      <c r="F1231" t="s">
        <v>100</v>
      </c>
      <c r="G1231" t="s">
        <v>116</v>
      </c>
    </row>
    <row r="1232" spans="1:7">
      <c r="A1232" s="10">
        <v>2022</v>
      </c>
      <c r="B1232" s="10">
        <v>7</v>
      </c>
      <c r="C1232" s="10" t="s">
        <v>72</v>
      </c>
      <c r="D1232" s="10">
        <v>5831</v>
      </c>
      <c r="E1232" s="10">
        <v>1714288</v>
      </c>
      <c r="F1232" t="s">
        <v>100</v>
      </c>
      <c r="G1232" t="s">
        <v>116</v>
      </c>
    </row>
    <row r="1233" spans="1:7">
      <c r="A1233" s="10">
        <v>2022</v>
      </c>
      <c r="B1233" s="10">
        <v>8</v>
      </c>
      <c r="C1233" s="10" t="s">
        <v>72</v>
      </c>
      <c r="D1233" s="10">
        <v>5571</v>
      </c>
      <c r="E1233" s="10">
        <v>1743750</v>
      </c>
      <c r="F1233" t="s">
        <v>100</v>
      </c>
      <c r="G1233" t="s">
        <v>116</v>
      </c>
    </row>
    <row r="1234" spans="1:7">
      <c r="A1234" s="10">
        <v>2022</v>
      </c>
      <c r="B1234" s="10">
        <v>9</v>
      </c>
      <c r="C1234" s="10" t="s">
        <v>72</v>
      </c>
      <c r="D1234" s="10">
        <v>5907</v>
      </c>
      <c r="E1234" s="10">
        <v>1725000</v>
      </c>
      <c r="F1234" t="s">
        <v>100</v>
      </c>
      <c r="G1234" t="s">
        <v>116</v>
      </c>
    </row>
    <row r="1235" spans="1:7">
      <c r="A1235" s="10">
        <v>2022</v>
      </c>
      <c r="B1235" s="10">
        <v>10</v>
      </c>
      <c r="C1235" s="10" t="s">
        <v>72</v>
      </c>
      <c r="D1235" s="10">
        <v>6701</v>
      </c>
      <c r="E1235" s="10">
        <v>1821435</v>
      </c>
      <c r="F1235" t="s">
        <v>100</v>
      </c>
      <c r="G1235" t="s">
        <v>116</v>
      </c>
    </row>
    <row r="1236" spans="1:7">
      <c r="A1236" s="10">
        <v>2022</v>
      </c>
      <c r="B1236" s="10">
        <v>11</v>
      </c>
      <c r="C1236" s="10" t="s">
        <v>72</v>
      </c>
      <c r="D1236" s="10">
        <v>7485</v>
      </c>
      <c r="E1236" s="10">
        <v>1905405</v>
      </c>
      <c r="F1236" t="s">
        <v>100</v>
      </c>
      <c r="G1236" t="s">
        <v>116</v>
      </c>
    </row>
    <row r="1237" spans="1:7">
      <c r="A1237" s="10">
        <v>2022</v>
      </c>
      <c r="B1237" s="10">
        <v>12</v>
      </c>
      <c r="C1237" s="10" t="s">
        <v>72</v>
      </c>
      <c r="D1237" s="10">
        <v>8000</v>
      </c>
      <c r="E1237" s="10">
        <v>2019225</v>
      </c>
      <c r="F1237" t="s">
        <v>100</v>
      </c>
      <c r="G1237" t="s">
        <v>116</v>
      </c>
    </row>
    <row r="1238" spans="1:7">
      <c r="A1238" s="10">
        <v>2021</v>
      </c>
      <c r="B1238" s="10">
        <v>11</v>
      </c>
      <c r="C1238" s="10" t="s">
        <v>73</v>
      </c>
      <c r="D1238" s="10">
        <v>5125</v>
      </c>
      <c r="E1238" s="10">
        <v>1811768</v>
      </c>
      <c r="F1238" t="s">
        <v>97</v>
      </c>
      <c r="G1238" t="s">
        <v>108</v>
      </c>
    </row>
    <row r="1239" spans="1:7">
      <c r="A1239" s="10">
        <v>2021</v>
      </c>
      <c r="B1239" s="10">
        <v>12</v>
      </c>
      <c r="C1239" s="10" t="s">
        <v>73</v>
      </c>
      <c r="D1239" s="10">
        <v>5204</v>
      </c>
      <c r="E1239" s="10">
        <v>2100000</v>
      </c>
      <c r="F1239" t="s">
        <v>97</v>
      </c>
      <c r="G1239" t="s">
        <v>108</v>
      </c>
    </row>
    <row r="1240" spans="1:7">
      <c r="A1240" s="10">
        <v>2022</v>
      </c>
      <c r="B1240" s="10">
        <v>1</v>
      </c>
      <c r="C1240" s="10" t="s">
        <v>73</v>
      </c>
      <c r="D1240" s="10">
        <v>5625</v>
      </c>
      <c r="E1240" s="10">
        <v>2305884</v>
      </c>
      <c r="F1240" t="s">
        <v>97</v>
      </c>
      <c r="G1240" t="s">
        <v>108</v>
      </c>
    </row>
    <row r="1241" spans="1:7">
      <c r="A1241" s="10">
        <v>2022</v>
      </c>
      <c r="B1241" s="10">
        <v>2</v>
      </c>
      <c r="C1241" s="10" t="s">
        <v>73</v>
      </c>
      <c r="D1241" s="10">
        <v>6714</v>
      </c>
      <c r="E1241" s="10">
        <v>2411108</v>
      </c>
      <c r="F1241" t="s">
        <v>97</v>
      </c>
      <c r="G1241" t="s">
        <v>108</v>
      </c>
    </row>
    <row r="1242" spans="1:7">
      <c r="A1242" s="10">
        <v>2022</v>
      </c>
      <c r="B1242" s="10">
        <v>3</v>
      </c>
      <c r="C1242" s="10" t="s">
        <v>73</v>
      </c>
      <c r="D1242" s="10">
        <v>13770</v>
      </c>
      <c r="E1242" s="10">
        <v>2550002</v>
      </c>
      <c r="F1242" t="s">
        <v>97</v>
      </c>
      <c r="G1242" t="s">
        <v>108</v>
      </c>
    </row>
    <row r="1243" spans="1:7">
      <c r="A1243" s="10">
        <v>2022</v>
      </c>
      <c r="B1243" s="10">
        <v>4</v>
      </c>
      <c r="C1243" s="10" t="s">
        <v>73</v>
      </c>
      <c r="D1243" s="10">
        <v>20455</v>
      </c>
      <c r="E1243" s="10">
        <v>2800000</v>
      </c>
      <c r="F1243" t="s">
        <v>97</v>
      </c>
      <c r="G1243" t="s">
        <v>108</v>
      </c>
    </row>
    <row r="1244" spans="1:7">
      <c r="A1244" s="10">
        <v>2022</v>
      </c>
      <c r="B1244" s="10">
        <v>5</v>
      </c>
      <c r="C1244" s="10" t="s">
        <v>73</v>
      </c>
      <c r="D1244" s="10">
        <v>24120</v>
      </c>
      <c r="E1244" s="10">
        <v>3108476</v>
      </c>
      <c r="F1244" t="s">
        <v>97</v>
      </c>
      <c r="G1244" t="s">
        <v>108</v>
      </c>
    </row>
    <row r="1245" spans="1:7">
      <c r="A1245" s="10">
        <v>2022</v>
      </c>
      <c r="B1245" s="10">
        <v>6</v>
      </c>
      <c r="C1245" s="10" t="s">
        <v>73</v>
      </c>
      <c r="D1245" s="10">
        <v>21667</v>
      </c>
      <c r="E1245" s="10">
        <v>3266662</v>
      </c>
      <c r="F1245" t="s">
        <v>97</v>
      </c>
      <c r="G1245" t="s">
        <v>108</v>
      </c>
    </row>
    <row r="1246" spans="1:7">
      <c r="A1246" s="10">
        <v>2022</v>
      </c>
      <c r="B1246" s="10">
        <v>7</v>
      </c>
      <c r="C1246" s="10" t="s">
        <v>73</v>
      </c>
      <c r="D1246" s="10">
        <v>16491</v>
      </c>
      <c r="E1246" s="10">
        <v>3500000</v>
      </c>
      <c r="F1246" t="s">
        <v>97</v>
      </c>
      <c r="G1246" t="s">
        <v>108</v>
      </c>
    </row>
    <row r="1247" spans="1:7">
      <c r="A1247" s="10">
        <v>2022</v>
      </c>
      <c r="B1247" s="10">
        <v>8</v>
      </c>
      <c r="C1247" s="10" t="s">
        <v>73</v>
      </c>
      <c r="D1247" s="10">
        <v>12055</v>
      </c>
      <c r="E1247" s="10">
        <v>3640000</v>
      </c>
      <c r="F1247" t="s">
        <v>97</v>
      </c>
      <c r="G1247" t="s">
        <v>108</v>
      </c>
    </row>
    <row r="1248" spans="1:7">
      <c r="A1248" s="10">
        <v>2022</v>
      </c>
      <c r="B1248" s="10">
        <v>9</v>
      </c>
      <c r="C1248" s="10" t="s">
        <v>73</v>
      </c>
      <c r="D1248" s="10">
        <v>10285</v>
      </c>
      <c r="E1248" s="10">
        <v>3775007</v>
      </c>
      <c r="F1248" t="s">
        <v>97</v>
      </c>
      <c r="G1248" t="s">
        <v>108</v>
      </c>
    </row>
    <row r="1249" spans="1:7">
      <c r="A1249" s="10">
        <v>2022</v>
      </c>
      <c r="B1249" s="10">
        <v>10</v>
      </c>
      <c r="C1249" s="10" t="s">
        <v>73</v>
      </c>
      <c r="D1249" s="10">
        <v>12400</v>
      </c>
      <c r="E1249" s="10">
        <v>3891172</v>
      </c>
      <c r="F1249" t="s">
        <v>97</v>
      </c>
      <c r="G1249" t="s">
        <v>108</v>
      </c>
    </row>
    <row r="1250" spans="1:7">
      <c r="A1250" s="10">
        <v>2022</v>
      </c>
      <c r="B1250" s="10">
        <v>11</v>
      </c>
      <c r="C1250" s="10" t="s">
        <v>73</v>
      </c>
      <c r="D1250" s="10">
        <v>13052</v>
      </c>
      <c r="E1250" s="10">
        <v>4012497</v>
      </c>
      <c r="F1250" t="s">
        <v>97</v>
      </c>
      <c r="G1250" t="s">
        <v>108</v>
      </c>
    </row>
    <row r="1251" spans="1:7">
      <c r="A1251" s="10">
        <v>2022</v>
      </c>
      <c r="B1251" s="10">
        <v>12</v>
      </c>
      <c r="C1251" s="10" t="s">
        <v>73</v>
      </c>
      <c r="D1251" s="10">
        <v>13777</v>
      </c>
      <c r="E1251" s="10">
        <v>4106254</v>
      </c>
      <c r="F1251" t="s">
        <v>97</v>
      </c>
      <c r="G1251" t="s">
        <v>108</v>
      </c>
    </row>
    <row r="1252" spans="1:7">
      <c r="A1252" s="10">
        <v>2021</v>
      </c>
      <c r="B1252" s="10">
        <v>5</v>
      </c>
      <c r="C1252" s="10" t="s">
        <v>74</v>
      </c>
      <c r="D1252" s="10">
        <v>1457</v>
      </c>
      <c r="E1252" s="10">
        <v>302837</v>
      </c>
      <c r="F1252" t="s">
        <v>131</v>
      </c>
      <c r="G1252" t="s">
        <v>133</v>
      </c>
    </row>
    <row r="1253" spans="1:7">
      <c r="A1253" s="10">
        <v>2021</v>
      </c>
      <c r="B1253" s="10">
        <v>6</v>
      </c>
      <c r="C1253" s="10" t="s">
        <v>74</v>
      </c>
      <c r="D1253" s="10">
        <v>1273</v>
      </c>
      <c r="E1253" s="10">
        <v>288786</v>
      </c>
      <c r="F1253" t="s">
        <v>131</v>
      </c>
      <c r="G1253" t="s">
        <v>133</v>
      </c>
    </row>
    <row r="1254" spans="1:7">
      <c r="A1254" s="10">
        <v>2021</v>
      </c>
      <c r="B1254" s="10">
        <v>7</v>
      </c>
      <c r="C1254" s="10" t="s">
        <v>74</v>
      </c>
      <c r="D1254" s="10">
        <v>1386</v>
      </c>
      <c r="E1254" s="10">
        <v>330272</v>
      </c>
      <c r="F1254" t="s">
        <v>131</v>
      </c>
      <c r="G1254" t="s">
        <v>133</v>
      </c>
    </row>
    <row r="1255" spans="1:7">
      <c r="A1255" s="10">
        <v>2021</v>
      </c>
      <c r="B1255" s="10">
        <v>8</v>
      </c>
      <c r="C1255" s="10" t="s">
        <v>74</v>
      </c>
      <c r="D1255" s="10">
        <v>1420</v>
      </c>
      <c r="E1255" s="10">
        <v>324314</v>
      </c>
      <c r="F1255" t="s">
        <v>131</v>
      </c>
      <c r="G1255" t="s">
        <v>133</v>
      </c>
    </row>
    <row r="1256" spans="1:7">
      <c r="A1256" s="10">
        <v>2021</v>
      </c>
      <c r="B1256" s="10">
        <v>9</v>
      </c>
      <c r="C1256" s="10" t="s">
        <v>74</v>
      </c>
      <c r="D1256" s="10">
        <v>1162</v>
      </c>
      <c r="E1256" s="10">
        <v>361702</v>
      </c>
      <c r="F1256" t="s">
        <v>131</v>
      </c>
      <c r="G1256" t="s">
        <v>133</v>
      </c>
    </row>
    <row r="1257" spans="1:7">
      <c r="A1257" s="10">
        <v>2021</v>
      </c>
      <c r="B1257" s="10">
        <v>10</v>
      </c>
      <c r="C1257" s="10" t="s">
        <v>74</v>
      </c>
      <c r="D1257" s="10">
        <v>1192</v>
      </c>
      <c r="E1257" s="10">
        <v>360000</v>
      </c>
      <c r="F1257" t="s">
        <v>131</v>
      </c>
      <c r="G1257" t="s">
        <v>133</v>
      </c>
    </row>
    <row r="1258" spans="1:7">
      <c r="A1258" s="10">
        <v>2021</v>
      </c>
      <c r="B1258" s="10">
        <v>11</v>
      </c>
      <c r="C1258" s="10" t="s">
        <v>74</v>
      </c>
      <c r="D1258" s="10">
        <v>1130</v>
      </c>
      <c r="E1258" s="10">
        <v>383035</v>
      </c>
      <c r="F1258" t="s">
        <v>131</v>
      </c>
      <c r="G1258" t="s">
        <v>133</v>
      </c>
    </row>
    <row r="1259" spans="1:7">
      <c r="A1259" s="10">
        <v>2021</v>
      </c>
      <c r="B1259" s="10">
        <v>12</v>
      </c>
      <c r="C1259" s="10" t="s">
        <v>74</v>
      </c>
      <c r="D1259" s="10">
        <v>1255</v>
      </c>
      <c r="E1259" s="10">
        <v>449578</v>
      </c>
      <c r="F1259" t="s">
        <v>131</v>
      </c>
      <c r="G1259" t="s">
        <v>133</v>
      </c>
    </row>
    <row r="1260" spans="1:7">
      <c r="A1260" s="10">
        <v>2022</v>
      </c>
      <c r="B1260" s="10">
        <v>1</v>
      </c>
      <c r="C1260" s="10" t="s">
        <v>74</v>
      </c>
      <c r="D1260" s="10">
        <v>1507</v>
      </c>
      <c r="E1260" s="10">
        <v>448928</v>
      </c>
      <c r="F1260" t="s">
        <v>131</v>
      </c>
      <c r="G1260" t="s">
        <v>133</v>
      </c>
    </row>
    <row r="1261" spans="1:7">
      <c r="A1261" s="10">
        <v>2022</v>
      </c>
      <c r="B1261" s="10">
        <v>2</v>
      </c>
      <c r="C1261" s="10" t="s">
        <v>74</v>
      </c>
      <c r="D1261" s="10">
        <v>1519</v>
      </c>
      <c r="E1261" s="10">
        <v>477838</v>
      </c>
      <c r="F1261" t="s">
        <v>131</v>
      </c>
      <c r="G1261" t="s">
        <v>133</v>
      </c>
    </row>
    <row r="1262" spans="1:7">
      <c r="A1262" s="10">
        <v>2022</v>
      </c>
      <c r="B1262" s="10">
        <v>3</v>
      </c>
      <c r="C1262" s="10" t="s">
        <v>74</v>
      </c>
      <c r="D1262" s="10">
        <v>1559</v>
      </c>
      <c r="E1262" s="10">
        <v>522561</v>
      </c>
      <c r="F1262" t="s">
        <v>131</v>
      </c>
      <c r="G1262" t="s">
        <v>133</v>
      </c>
    </row>
    <row r="1263" spans="1:7">
      <c r="A1263" s="10">
        <v>2022</v>
      </c>
      <c r="B1263" s="10">
        <v>4</v>
      </c>
      <c r="C1263" s="10" t="s">
        <v>74</v>
      </c>
      <c r="D1263" s="10">
        <v>1488</v>
      </c>
      <c r="E1263" s="10">
        <v>542270</v>
      </c>
      <c r="F1263" t="s">
        <v>131</v>
      </c>
      <c r="G1263" t="s">
        <v>133</v>
      </c>
    </row>
    <row r="1264" spans="1:7">
      <c r="A1264" s="10">
        <v>2022</v>
      </c>
      <c r="B1264" s="10">
        <v>5</v>
      </c>
      <c r="C1264" s="10" t="s">
        <v>74</v>
      </c>
      <c r="D1264" s="10">
        <v>1550</v>
      </c>
      <c r="E1264" s="10">
        <v>618750</v>
      </c>
      <c r="F1264" t="s">
        <v>131</v>
      </c>
      <c r="G1264" t="s">
        <v>133</v>
      </c>
    </row>
    <row r="1265" spans="1:7">
      <c r="A1265" s="10">
        <v>2022</v>
      </c>
      <c r="B1265" s="10">
        <v>6</v>
      </c>
      <c r="C1265" s="10" t="s">
        <v>74</v>
      </c>
      <c r="D1265" s="10">
        <v>1832</v>
      </c>
      <c r="E1265" s="10">
        <v>707227</v>
      </c>
      <c r="F1265" t="s">
        <v>131</v>
      </c>
      <c r="G1265" t="s">
        <v>133</v>
      </c>
    </row>
    <row r="1266" spans="1:7">
      <c r="A1266" s="10">
        <v>2022</v>
      </c>
      <c r="B1266" s="10">
        <v>7</v>
      </c>
      <c r="C1266" s="10" t="s">
        <v>74</v>
      </c>
      <c r="D1266" s="10">
        <v>1948</v>
      </c>
      <c r="E1266" s="10">
        <v>778845</v>
      </c>
      <c r="F1266" t="s">
        <v>131</v>
      </c>
      <c r="G1266" t="s">
        <v>133</v>
      </c>
    </row>
    <row r="1267" spans="1:7">
      <c r="A1267" s="10">
        <v>2022</v>
      </c>
      <c r="B1267" s="10">
        <v>8</v>
      </c>
      <c r="C1267" s="10" t="s">
        <v>74</v>
      </c>
      <c r="D1267" s="10">
        <v>2060</v>
      </c>
      <c r="E1267" s="10">
        <v>842667</v>
      </c>
      <c r="F1267" t="s">
        <v>131</v>
      </c>
      <c r="G1267" t="s">
        <v>133</v>
      </c>
    </row>
    <row r="1268" spans="1:7">
      <c r="A1268" s="10">
        <v>2022</v>
      </c>
      <c r="B1268" s="10">
        <v>9</v>
      </c>
      <c r="C1268" s="10" t="s">
        <v>74</v>
      </c>
      <c r="D1268" s="10">
        <v>2098</v>
      </c>
      <c r="E1268" s="10">
        <v>834286</v>
      </c>
      <c r="F1268" t="s">
        <v>131</v>
      </c>
      <c r="G1268" t="s">
        <v>133</v>
      </c>
    </row>
    <row r="1269" spans="1:7">
      <c r="A1269" s="10">
        <v>2022</v>
      </c>
      <c r="B1269" s="10">
        <v>10</v>
      </c>
      <c r="C1269" s="10" t="s">
        <v>74</v>
      </c>
      <c r="D1269" s="10">
        <v>2190</v>
      </c>
      <c r="E1269" s="10">
        <v>903680</v>
      </c>
      <c r="F1269" t="s">
        <v>131</v>
      </c>
      <c r="G1269" t="s">
        <v>133</v>
      </c>
    </row>
    <row r="1270" spans="1:7">
      <c r="A1270" s="10">
        <v>2022</v>
      </c>
      <c r="B1270" s="10">
        <v>11</v>
      </c>
      <c r="C1270" s="10" t="s">
        <v>74</v>
      </c>
      <c r="D1270" s="10">
        <v>2042</v>
      </c>
      <c r="E1270" s="10">
        <v>952500</v>
      </c>
      <c r="F1270" t="s">
        <v>131</v>
      </c>
      <c r="G1270" t="s">
        <v>133</v>
      </c>
    </row>
    <row r="1271" spans="1:7">
      <c r="A1271" s="10">
        <v>2022</v>
      </c>
      <c r="B1271" s="10">
        <v>12</v>
      </c>
      <c r="C1271" s="10" t="s">
        <v>74</v>
      </c>
      <c r="D1271" s="10">
        <v>2701</v>
      </c>
      <c r="E1271" s="10">
        <v>973412</v>
      </c>
      <c r="F1271" t="s">
        <v>131</v>
      </c>
      <c r="G1271" t="s">
        <v>133</v>
      </c>
    </row>
    <row r="1272" spans="1:7">
      <c r="A1272" s="10">
        <v>2021</v>
      </c>
      <c r="B1272" s="10">
        <v>5</v>
      </c>
      <c r="C1272" s="10" t="s">
        <v>75</v>
      </c>
      <c r="D1272" s="10">
        <v>1382</v>
      </c>
      <c r="E1272" s="10">
        <v>424999</v>
      </c>
      <c r="F1272" t="s">
        <v>101</v>
      </c>
      <c r="G1272" t="s">
        <v>118</v>
      </c>
    </row>
    <row r="1273" spans="1:7">
      <c r="A1273" s="10">
        <v>2021</v>
      </c>
      <c r="B1273" s="10">
        <v>6</v>
      </c>
      <c r="C1273" s="10" t="s">
        <v>75</v>
      </c>
      <c r="D1273" s="10">
        <v>1520</v>
      </c>
      <c r="E1273" s="10">
        <v>453519</v>
      </c>
      <c r="F1273" t="s">
        <v>101</v>
      </c>
      <c r="G1273" t="s">
        <v>118</v>
      </c>
    </row>
    <row r="1274" spans="1:7">
      <c r="A1274" s="10">
        <v>2021</v>
      </c>
      <c r="B1274" s="10">
        <v>7</v>
      </c>
      <c r="C1274" s="10" t="s">
        <v>75</v>
      </c>
      <c r="D1274" s="10">
        <v>1533</v>
      </c>
      <c r="E1274" s="10">
        <v>487794</v>
      </c>
      <c r="F1274" t="s">
        <v>101</v>
      </c>
      <c r="G1274" t="s">
        <v>118</v>
      </c>
    </row>
    <row r="1275" spans="1:7">
      <c r="A1275" s="10">
        <v>2021</v>
      </c>
      <c r="B1275" s="10">
        <v>8</v>
      </c>
      <c r="C1275" s="10" t="s">
        <v>75</v>
      </c>
      <c r="D1275" s="10">
        <v>1615</v>
      </c>
      <c r="E1275" s="10">
        <v>509285</v>
      </c>
      <c r="F1275" t="s">
        <v>101</v>
      </c>
      <c r="G1275" t="s">
        <v>118</v>
      </c>
    </row>
    <row r="1276" spans="1:7">
      <c r="A1276" s="10">
        <v>2021</v>
      </c>
      <c r="B1276" s="10">
        <v>9</v>
      </c>
      <c r="C1276" s="10" t="s">
        <v>75</v>
      </c>
      <c r="D1276" s="10">
        <v>1650</v>
      </c>
      <c r="E1276" s="10">
        <v>525277</v>
      </c>
      <c r="F1276" t="s">
        <v>101</v>
      </c>
      <c r="G1276" t="s">
        <v>118</v>
      </c>
    </row>
    <row r="1277" spans="1:7">
      <c r="A1277" s="10">
        <v>2021</v>
      </c>
      <c r="B1277" s="10">
        <v>10</v>
      </c>
      <c r="C1277" s="10" t="s">
        <v>75</v>
      </c>
      <c r="D1277" s="10">
        <v>1635</v>
      </c>
      <c r="E1277" s="10">
        <v>542500</v>
      </c>
      <c r="F1277" t="s">
        <v>101</v>
      </c>
      <c r="G1277" t="s">
        <v>118</v>
      </c>
    </row>
    <row r="1278" spans="1:7">
      <c r="A1278" s="10">
        <v>2021</v>
      </c>
      <c r="B1278" s="10">
        <v>11</v>
      </c>
      <c r="C1278" s="10" t="s">
        <v>75</v>
      </c>
      <c r="D1278" s="10">
        <v>1815</v>
      </c>
      <c r="E1278" s="10">
        <v>590962</v>
      </c>
      <c r="F1278" t="s">
        <v>101</v>
      </c>
      <c r="G1278" t="s">
        <v>118</v>
      </c>
    </row>
    <row r="1279" spans="1:7">
      <c r="A1279" s="10">
        <v>2021</v>
      </c>
      <c r="B1279" s="10">
        <v>12</v>
      </c>
      <c r="C1279" s="10" t="s">
        <v>75</v>
      </c>
      <c r="D1279" s="10">
        <v>1733</v>
      </c>
      <c r="E1279" s="10">
        <v>719158</v>
      </c>
      <c r="F1279" t="s">
        <v>101</v>
      </c>
      <c r="G1279" t="s">
        <v>118</v>
      </c>
    </row>
    <row r="1280" spans="1:7">
      <c r="A1280" s="10">
        <v>2022</v>
      </c>
      <c r="B1280" s="10">
        <v>1</v>
      </c>
      <c r="C1280" s="10" t="s">
        <v>75</v>
      </c>
      <c r="D1280" s="10">
        <v>1942</v>
      </c>
      <c r="E1280" s="10">
        <v>778377</v>
      </c>
      <c r="F1280" t="s">
        <v>101</v>
      </c>
      <c r="G1280" t="s">
        <v>118</v>
      </c>
    </row>
    <row r="1281" spans="1:7">
      <c r="A1281" s="10">
        <v>2022</v>
      </c>
      <c r="B1281" s="10">
        <v>2</v>
      </c>
      <c r="C1281" s="10" t="s">
        <v>75</v>
      </c>
      <c r="D1281" s="10">
        <v>2060</v>
      </c>
      <c r="E1281" s="10">
        <v>800000</v>
      </c>
      <c r="F1281" t="s">
        <v>101</v>
      </c>
      <c r="G1281" t="s">
        <v>118</v>
      </c>
    </row>
    <row r="1282" spans="1:7">
      <c r="A1282" s="10">
        <v>2022</v>
      </c>
      <c r="B1282" s="10">
        <v>3</v>
      </c>
      <c r="C1282" s="10" t="s">
        <v>75</v>
      </c>
      <c r="D1282" s="10">
        <v>2125</v>
      </c>
      <c r="E1282" s="10">
        <v>858000</v>
      </c>
      <c r="F1282" t="s">
        <v>101</v>
      </c>
      <c r="G1282" t="s">
        <v>118</v>
      </c>
    </row>
    <row r="1283" spans="1:7">
      <c r="A1283" s="10">
        <v>2022</v>
      </c>
      <c r="B1283" s="10">
        <v>4</v>
      </c>
      <c r="C1283" s="10" t="s">
        <v>75</v>
      </c>
      <c r="D1283" s="10">
        <v>2291</v>
      </c>
      <c r="E1283" s="10">
        <v>917756</v>
      </c>
      <c r="F1283" t="s">
        <v>101</v>
      </c>
      <c r="G1283" t="s">
        <v>118</v>
      </c>
    </row>
    <row r="1284" spans="1:7">
      <c r="A1284" s="10">
        <v>2022</v>
      </c>
      <c r="B1284" s="10">
        <v>5</v>
      </c>
      <c r="C1284" s="10" t="s">
        <v>75</v>
      </c>
      <c r="D1284" s="10">
        <v>2450</v>
      </c>
      <c r="E1284" s="10">
        <v>1033332</v>
      </c>
      <c r="F1284" t="s">
        <v>101</v>
      </c>
      <c r="G1284" t="s">
        <v>118</v>
      </c>
    </row>
    <row r="1285" spans="1:7">
      <c r="A1285" s="10">
        <v>2022</v>
      </c>
      <c r="B1285" s="10">
        <v>6</v>
      </c>
      <c r="C1285" s="10" t="s">
        <v>75</v>
      </c>
      <c r="D1285" s="10">
        <v>2881</v>
      </c>
      <c r="E1285" s="10">
        <v>1129411</v>
      </c>
      <c r="F1285" t="s">
        <v>101</v>
      </c>
      <c r="G1285" t="s">
        <v>118</v>
      </c>
    </row>
    <row r="1286" spans="1:7">
      <c r="A1286" s="10">
        <v>2022</v>
      </c>
      <c r="B1286" s="10">
        <v>7</v>
      </c>
      <c r="C1286" s="10" t="s">
        <v>75</v>
      </c>
      <c r="D1286" s="10">
        <v>3172</v>
      </c>
      <c r="E1286" s="10">
        <v>1233612</v>
      </c>
      <c r="F1286" t="s">
        <v>101</v>
      </c>
      <c r="G1286" t="s">
        <v>118</v>
      </c>
    </row>
    <row r="1287" spans="1:7">
      <c r="A1287" s="10">
        <v>2022</v>
      </c>
      <c r="B1287" s="10">
        <v>8</v>
      </c>
      <c r="C1287" s="10" t="s">
        <v>75</v>
      </c>
      <c r="D1287" s="10">
        <v>3635</v>
      </c>
      <c r="E1287" s="10">
        <v>1333332</v>
      </c>
      <c r="F1287" t="s">
        <v>101</v>
      </c>
      <c r="G1287" t="s">
        <v>118</v>
      </c>
    </row>
    <row r="1288" spans="1:7">
      <c r="A1288" s="10">
        <v>2022</v>
      </c>
      <c r="B1288" s="10">
        <v>9</v>
      </c>
      <c r="C1288" s="10" t="s">
        <v>75</v>
      </c>
      <c r="D1288" s="10">
        <v>3647</v>
      </c>
      <c r="E1288" s="10">
        <v>1400000</v>
      </c>
      <c r="F1288" t="s">
        <v>101</v>
      </c>
      <c r="G1288" t="s">
        <v>118</v>
      </c>
    </row>
    <row r="1289" spans="1:7">
      <c r="A1289" s="10">
        <v>2022</v>
      </c>
      <c r="B1289" s="10">
        <v>10</v>
      </c>
      <c r="C1289" s="10" t="s">
        <v>75</v>
      </c>
      <c r="D1289" s="10">
        <v>3773</v>
      </c>
      <c r="E1289" s="10">
        <v>1462857</v>
      </c>
      <c r="F1289" t="s">
        <v>101</v>
      </c>
      <c r="G1289" t="s">
        <v>118</v>
      </c>
    </row>
    <row r="1290" spans="1:7">
      <c r="A1290" s="10">
        <v>2022</v>
      </c>
      <c r="B1290" s="10">
        <v>11</v>
      </c>
      <c r="C1290" s="10" t="s">
        <v>75</v>
      </c>
      <c r="D1290" s="10">
        <v>3461</v>
      </c>
      <c r="E1290" s="10">
        <v>1505881</v>
      </c>
      <c r="F1290" t="s">
        <v>101</v>
      </c>
      <c r="G1290" t="s">
        <v>118</v>
      </c>
    </row>
    <row r="1291" spans="1:7">
      <c r="A1291" s="10">
        <v>2022</v>
      </c>
      <c r="B1291" s="10">
        <v>12</v>
      </c>
      <c r="C1291" s="10" t="s">
        <v>75</v>
      </c>
      <c r="D1291" s="10">
        <v>3973</v>
      </c>
      <c r="E1291" s="10">
        <v>1562790</v>
      </c>
      <c r="F1291" t="s">
        <v>101</v>
      </c>
      <c r="G1291" t="s">
        <v>118</v>
      </c>
    </row>
    <row r="1292" spans="1:7">
      <c r="A1292" s="10">
        <v>2021</v>
      </c>
      <c r="B1292" s="10">
        <v>5</v>
      </c>
      <c r="C1292" s="10" t="s">
        <v>76</v>
      </c>
      <c r="D1292" s="10">
        <v>793</v>
      </c>
      <c r="E1292" s="10">
        <v>297931</v>
      </c>
      <c r="F1292" t="s">
        <v>101</v>
      </c>
      <c r="G1292" t="s">
        <v>118</v>
      </c>
    </row>
    <row r="1293" spans="1:7">
      <c r="A1293" s="10">
        <v>2021</v>
      </c>
      <c r="B1293" s="10">
        <v>6</v>
      </c>
      <c r="C1293" s="10" t="s">
        <v>76</v>
      </c>
      <c r="D1293" s="10">
        <v>789</v>
      </c>
      <c r="E1293" s="10">
        <v>305454</v>
      </c>
      <c r="F1293" t="s">
        <v>101</v>
      </c>
      <c r="G1293" t="s">
        <v>118</v>
      </c>
    </row>
    <row r="1294" spans="1:7">
      <c r="A1294" s="10">
        <v>2021</v>
      </c>
      <c r="B1294" s="10">
        <v>7</v>
      </c>
      <c r="C1294" s="10" t="s">
        <v>76</v>
      </c>
      <c r="D1294" s="10">
        <v>790</v>
      </c>
      <c r="E1294" s="10">
        <v>316496</v>
      </c>
      <c r="F1294" t="s">
        <v>101</v>
      </c>
      <c r="G1294" t="s">
        <v>118</v>
      </c>
    </row>
    <row r="1295" spans="1:7">
      <c r="A1295" s="10">
        <v>2021</v>
      </c>
      <c r="B1295" s="10">
        <v>8</v>
      </c>
      <c r="C1295" s="10" t="s">
        <v>76</v>
      </c>
      <c r="D1295" s="10">
        <v>873</v>
      </c>
      <c r="E1295" s="10">
        <v>348060</v>
      </c>
      <c r="F1295" t="s">
        <v>101</v>
      </c>
      <c r="G1295" t="s">
        <v>118</v>
      </c>
    </row>
    <row r="1296" spans="1:7">
      <c r="A1296" s="10">
        <v>2021</v>
      </c>
      <c r="B1296" s="10">
        <v>9</v>
      </c>
      <c r="C1296" s="10" t="s">
        <v>76</v>
      </c>
      <c r="D1296" s="10">
        <v>921</v>
      </c>
      <c r="E1296" s="10">
        <v>360000</v>
      </c>
      <c r="F1296" t="s">
        <v>101</v>
      </c>
      <c r="G1296" t="s">
        <v>118</v>
      </c>
    </row>
    <row r="1297" spans="1:7">
      <c r="A1297" s="10">
        <v>2021</v>
      </c>
      <c r="B1297" s="10">
        <v>10</v>
      </c>
      <c r="C1297" s="10" t="s">
        <v>76</v>
      </c>
      <c r="D1297" s="10">
        <v>989</v>
      </c>
      <c r="E1297" s="10">
        <v>389332</v>
      </c>
      <c r="F1297" t="s">
        <v>101</v>
      </c>
      <c r="G1297" t="s">
        <v>118</v>
      </c>
    </row>
    <row r="1298" spans="1:7">
      <c r="A1298" s="10">
        <v>2021</v>
      </c>
      <c r="B1298" s="10">
        <v>11</v>
      </c>
      <c r="C1298" s="10" t="s">
        <v>76</v>
      </c>
      <c r="D1298" s="10">
        <v>1028</v>
      </c>
      <c r="E1298" s="10">
        <v>416972</v>
      </c>
      <c r="F1298" t="s">
        <v>101</v>
      </c>
      <c r="G1298" t="s">
        <v>118</v>
      </c>
    </row>
    <row r="1299" spans="1:7">
      <c r="A1299" s="10">
        <v>2021</v>
      </c>
      <c r="B1299" s="10">
        <v>12</v>
      </c>
      <c r="C1299" s="10" t="s">
        <v>76</v>
      </c>
      <c r="D1299" s="10">
        <v>1194</v>
      </c>
      <c r="E1299" s="10">
        <v>513500</v>
      </c>
      <c r="F1299" t="s">
        <v>101</v>
      </c>
      <c r="G1299" t="s">
        <v>118</v>
      </c>
    </row>
    <row r="1300" spans="1:7">
      <c r="A1300" s="10">
        <v>2022</v>
      </c>
      <c r="B1300" s="10">
        <v>1</v>
      </c>
      <c r="C1300" s="10" t="s">
        <v>76</v>
      </c>
      <c r="D1300" s="10">
        <v>1528</v>
      </c>
      <c r="E1300" s="10">
        <v>517646</v>
      </c>
      <c r="F1300" t="s">
        <v>101</v>
      </c>
      <c r="G1300" t="s">
        <v>118</v>
      </c>
    </row>
    <row r="1301" spans="1:7">
      <c r="A1301" s="10">
        <v>2022</v>
      </c>
      <c r="B1301" s="10">
        <v>2</v>
      </c>
      <c r="C1301" s="10" t="s">
        <v>76</v>
      </c>
      <c r="D1301" s="10">
        <v>1455</v>
      </c>
      <c r="E1301" s="10">
        <v>588235</v>
      </c>
      <c r="F1301" t="s">
        <v>101</v>
      </c>
      <c r="G1301" t="s">
        <v>118</v>
      </c>
    </row>
    <row r="1302" spans="1:7">
      <c r="A1302" s="10">
        <v>2022</v>
      </c>
      <c r="B1302" s="10">
        <v>3</v>
      </c>
      <c r="C1302" s="10" t="s">
        <v>76</v>
      </c>
      <c r="D1302" s="10">
        <v>1650</v>
      </c>
      <c r="E1302" s="10">
        <v>654800</v>
      </c>
      <c r="F1302" t="s">
        <v>101</v>
      </c>
      <c r="G1302" t="s">
        <v>118</v>
      </c>
    </row>
    <row r="1303" spans="1:7">
      <c r="A1303" s="10">
        <v>2022</v>
      </c>
      <c r="B1303" s="10">
        <v>4</v>
      </c>
      <c r="C1303" s="10" t="s">
        <v>76</v>
      </c>
      <c r="D1303" s="10">
        <v>1732</v>
      </c>
      <c r="E1303" s="10">
        <v>728436</v>
      </c>
      <c r="F1303" t="s">
        <v>101</v>
      </c>
      <c r="G1303" t="s">
        <v>118</v>
      </c>
    </row>
    <row r="1304" spans="1:7">
      <c r="A1304" s="10">
        <v>2022</v>
      </c>
      <c r="B1304" s="10">
        <v>5</v>
      </c>
      <c r="C1304" s="10" t="s">
        <v>76</v>
      </c>
      <c r="D1304" s="10">
        <v>2010</v>
      </c>
      <c r="E1304" s="10">
        <v>832000</v>
      </c>
      <c r="F1304" t="s">
        <v>101</v>
      </c>
      <c r="G1304" t="s">
        <v>118</v>
      </c>
    </row>
    <row r="1305" spans="1:7">
      <c r="A1305" s="10">
        <v>2022</v>
      </c>
      <c r="B1305" s="10">
        <v>6</v>
      </c>
      <c r="C1305" s="10" t="s">
        <v>76</v>
      </c>
      <c r="D1305" s="10">
        <v>2500</v>
      </c>
      <c r="E1305" s="10">
        <v>899000</v>
      </c>
      <c r="F1305" t="s">
        <v>101</v>
      </c>
      <c r="G1305" t="s">
        <v>118</v>
      </c>
    </row>
    <row r="1306" spans="1:7">
      <c r="A1306" s="10">
        <v>2022</v>
      </c>
      <c r="B1306" s="10">
        <v>7</v>
      </c>
      <c r="C1306" s="10" t="s">
        <v>76</v>
      </c>
      <c r="D1306" s="10">
        <v>2697</v>
      </c>
      <c r="E1306" s="10">
        <v>953332</v>
      </c>
      <c r="F1306" t="s">
        <v>101</v>
      </c>
      <c r="G1306" t="s">
        <v>118</v>
      </c>
    </row>
    <row r="1307" spans="1:7">
      <c r="A1307" s="10">
        <v>2022</v>
      </c>
      <c r="B1307" s="10">
        <v>8</v>
      </c>
      <c r="C1307" s="10" t="s">
        <v>76</v>
      </c>
      <c r="D1307" s="10">
        <v>2863</v>
      </c>
      <c r="E1307" s="10">
        <v>999500</v>
      </c>
      <c r="F1307" t="s">
        <v>101</v>
      </c>
      <c r="G1307" t="s">
        <v>118</v>
      </c>
    </row>
    <row r="1308" spans="1:7">
      <c r="A1308" s="10">
        <v>2022</v>
      </c>
      <c r="B1308" s="10">
        <v>9</v>
      </c>
      <c r="C1308" s="10" t="s">
        <v>76</v>
      </c>
      <c r="D1308" s="10">
        <v>3039</v>
      </c>
      <c r="E1308" s="10">
        <v>1012058</v>
      </c>
      <c r="F1308" t="s">
        <v>101</v>
      </c>
      <c r="G1308" t="s">
        <v>118</v>
      </c>
    </row>
    <row r="1309" spans="1:7">
      <c r="A1309" s="10">
        <v>2022</v>
      </c>
      <c r="B1309" s="10">
        <v>10</v>
      </c>
      <c r="C1309" s="10" t="s">
        <v>76</v>
      </c>
      <c r="D1309" s="10">
        <v>3084</v>
      </c>
      <c r="E1309" s="10">
        <v>1072752</v>
      </c>
      <c r="F1309" t="s">
        <v>101</v>
      </c>
      <c r="G1309" t="s">
        <v>118</v>
      </c>
    </row>
    <row r="1310" spans="1:7">
      <c r="A1310" s="10">
        <v>2022</v>
      </c>
      <c r="B1310" s="10">
        <v>11</v>
      </c>
      <c r="C1310" s="10" t="s">
        <v>76</v>
      </c>
      <c r="D1310" s="10">
        <v>3166</v>
      </c>
      <c r="E1310" s="10">
        <v>1147246</v>
      </c>
      <c r="F1310" t="s">
        <v>101</v>
      </c>
      <c r="G1310" t="s">
        <v>118</v>
      </c>
    </row>
    <row r="1311" spans="1:7">
      <c r="A1311" s="10">
        <v>2022</v>
      </c>
      <c r="B1311" s="10">
        <v>12</v>
      </c>
      <c r="C1311" s="10" t="s">
        <v>76</v>
      </c>
      <c r="D1311" s="10">
        <v>3311</v>
      </c>
      <c r="E1311" s="10">
        <v>1165172</v>
      </c>
      <c r="F1311" t="s">
        <v>101</v>
      </c>
      <c r="G1311" t="s">
        <v>118</v>
      </c>
    </row>
    <row r="1312" spans="1:7">
      <c r="A1312" s="10">
        <v>2021</v>
      </c>
      <c r="B1312" s="10">
        <v>5</v>
      </c>
      <c r="C1312" s="10" t="s">
        <v>77</v>
      </c>
      <c r="D1312" s="10">
        <v>1045</v>
      </c>
      <c r="E1312" s="10">
        <v>383815</v>
      </c>
      <c r="F1312" t="s">
        <v>103</v>
      </c>
      <c r="G1312" t="s">
        <v>123</v>
      </c>
    </row>
    <row r="1313" spans="1:7">
      <c r="A1313" s="10">
        <v>2021</v>
      </c>
      <c r="B1313" s="10">
        <v>6</v>
      </c>
      <c r="C1313" s="10" t="s">
        <v>77</v>
      </c>
      <c r="D1313" s="10">
        <v>1117</v>
      </c>
      <c r="E1313" s="10">
        <v>399374</v>
      </c>
      <c r="F1313" t="s">
        <v>103</v>
      </c>
      <c r="G1313" t="s">
        <v>123</v>
      </c>
    </row>
    <row r="1314" spans="1:7">
      <c r="A1314" s="10">
        <v>2021</v>
      </c>
      <c r="B1314" s="10">
        <v>7</v>
      </c>
      <c r="C1314" s="10" t="s">
        <v>77</v>
      </c>
      <c r="D1314" s="10">
        <v>1140</v>
      </c>
      <c r="E1314" s="10">
        <v>405000</v>
      </c>
      <c r="F1314" t="s">
        <v>103</v>
      </c>
      <c r="G1314" t="s">
        <v>123</v>
      </c>
    </row>
    <row r="1315" spans="1:7">
      <c r="A1315" s="10">
        <v>2021</v>
      </c>
      <c r="B1315" s="10">
        <v>8</v>
      </c>
      <c r="C1315" s="10" t="s">
        <v>77</v>
      </c>
      <c r="D1315" s="10">
        <v>1245</v>
      </c>
      <c r="E1315" s="10">
        <v>419999</v>
      </c>
      <c r="F1315" t="s">
        <v>103</v>
      </c>
      <c r="G1315" t="s">
        <v>123</v>
      </c>
    </row>
    <row r="1316" spans="1:7">
      <c r="A1316" s="10">
        <v>2021</v>
      </c>
      <c r="B1316" s="10">
        <v>9</v>
      </c>
      <c r="C1316" s="10" t="s">
        <v>77</v>
      </c>
      <c r="D1316" s="10">
        <v>1265</v>
      </c>
      <c r="E1316" s="10">
        <v>430100</v>
      </c>
      <c r="F1316" t="s">
        <v>103</v>
      </c>
      <c r="G1316" t="s">
        <v>123</v>
      </c>
    </row>
    <row r="1317" spans="1:7">
      <c r="A1317" s="10">
        <v>2021</v>
      </c>
      <c r="B1317" s="10">
        <v>10</v>
      </c>
      <c r="C1317" s="10" t="s">
        <v>77</v>
      </c>
      <c r="D1317" s="10">
        <v>1345</v>
      </c>
      <c r="E1317" s="10">
        <v>449999</v>
      </c>
      <c r="F1317" t="s">
        <v>103</v>
      </c>
      <c r="G1317" t="s">
        <v>123</v>
      </c>
    </row>
    <row r="1318" spans="1:7">
      <c r="A1318" s="10">
        <v>2021</v>
      </c>
      <c r="B1318" s="10">
        <v>11</v>
      </c>
      <c r="C1318" s="10" t="s">
        <v>77</v>
      </c>
      <c r="D1318" s="10">
        <v>1412</v>
      </c>
      <c r="E1318" s="10">
        <v>480000</v>
      </c>
      <c r="F1318" t="s">
        <v>103</v>
      </c>
      <c r="G1318" t="s">
        <v>123</v>
      </c>
    </row>
    <row r="1319" spans="1:7">
      <c r="A1319" s="10">
        <v>2021</v>
      </c>
      <c r="B1319" s="10">
        <v>12</v>
      </c>
      <c r="C1319" s="10" t="s">
        <v>77</v>
      </c>
      <c r="D1319" s="10">
        <v>1487</v>
      </c>
      <c r="E1319" s="10">
        <v>587097</v>
      </c>
      <c r="F1319" t="s">
        <v>103</v>
      </c>
      <c r="G1319" t="s">
        <v>123</v>
      </c>
    </row>
    <row r="1320" spans="1:7">
      <c r="A1320" s="10">
        <v>2022</v>
      </c>
      <c r="B1320" s="10">
        <v>1</v>
      </c>
      <c r="C1320" s="10" t="s">
        <v>77</v>
      </c>
      <c r="D1320" s="10">
        <v>1522</v>
      </c>
      <c r="E1320" s="10">
        <v>634259</v>
      </c>
      <c r="F1320" t="s">
        <v>103</v>
      </c>
      <c r="G1320" t="s">
        <v>123</v>
      </c>
    </row>
    <row r="1321" spans="1:7">
      <c r="A1321" s="10">
        <v>2022</v>
      </c>
      <c r="B1321" s="10">
        <v>2</v>
      </c>
      <c r="C1321" s="10" t="s">
        <v>77</v>
      </c>
      <c r="D1321" s="10">
        <v>1602</v>
      </c>
      <c r="E1321" s="10">
        <v>662624</v>
      </c>
      <c r="F1321" t="s">
        <v>103</v>
      </c>
      <c r="G1321" t="s">
        <v>123</v>
      </c>
    </row>
    <row r="1322" spans="1:7">
      <c r="A1322" s="10">
        <v>2022</v>
      </c>
      <c r="B1322" s="10">
        <v>3</v>
      </c>
      <c r="C1322" s="10" t="s">
        <v>77</v>
      </c>
      <c r="D1322" s="10">
        <v>1686</v>
      </c>
      <c r="E1322" s="10">
        <v>721552</v>
      </c>
      <c r="F1322" t="s">
        <v>103</v>
      </c>
      <c r="G1322" t="s">
        <v>123</v>
      </c>
    </row>
    <row r="1323" spans="1:7">
      <c r="A1323" s="10">
        <v>2022</v>
      </c>
      <c r="B1323" s="10">
        <v>4</v>
      </c>
      <c r="C1323" s="10" t="s">
        <v>77</v>
      </c>
      <c r="D1323" s="10">
        <v>1831</v>
      </c>
      <c r="E1323" s="10">
        <v>801204</v>
      </c>
      <c r="F1323" t="s">
        <v>103</v>
      </c>
      <c r="G1323" t="s">
        <v>123</v>
      </c>
    </row>
    <row r="1324" spans="1:7">
      <c r="A1324" s="10">
        <v>2022</v>
      </c>
      <c r="B1324" s="10">
        <v>5</v>
      </c>
      <c r="C1324" s="10" t="s">
        <v>77</v>
      </c>
      <c r="D1324" s="10">
        <v>2057</v>
      </c>
      <c r="E1324" s="10">
        <v>905265</v>
      </c>
      <c r="F1324" t="s">
        <v>103</v>
      </c>
      <c r="G1324" t="s">
        <v>123</v>
      </c>
    </row>
    <row r="1325" spans="1:7">
      <c r="A1325" s="10">
        <v>2022</v>
      </c>
      <c r="B1325" s="10">
        <v>6</v>
      </c>
      <c r="C1325" s="10" t="s">
        <v>77</v>
      </c>
      <c r="D1325" s="10">
        <v>2240</v>
      </c>
      <c r="E1325" s="10">
        <v>1015000</v>
      </c>
      <c r="F1325" t="s">
        <v>103</v>
      </c>
      <c r="G1325" t="s">
        <v>123</v>
      </c>
    </row>
    <row r="1326" spans="1:7">
      <c r="A1326" s="10">
        <v>2022</v>
      </c>
      <c r="B1326" s="10">
        <v>7</v>
      </c>
      <c r="C1326" s="10" t="s">
        <v>77</v>
      </c>
      <c r="D1326" s="10">
        <v>2643</v>
      </c>
      <c r="E1326" s="10">
        <v>1088889</v>
      </c>
      <c r="F1326" t="s">
        <v>103</v>
      </c>
      <c r="G1326" t="s">
        <v>123</v>
      </c>
    </row>
    <row r="1327" spans="1:7">
      <c r="A1327" s="10">
        <v>2022</v>
      </c>
      <c r="B1327" s="10">
        <v>8</v>
      </c>
      <c r="C1327" s="10" t="s">
        <v>77</v>
      </c>
      <c r="D1327" s="10">
        <v>2999</v>
      </c>
      <c r="E1327" s="10">
        <v>1162369</v>
      </c>
      <c r="F1327" t="s">
        <v>103</v>
      </c>
      <c r="G1327" t="s">
        <v>123</v>
      </c>
    </row>
    <row r="1328" spans="1:7">
      <c r="A1328" s="10">
        <v>2022</v>
      </c>
      <c r="B1328" s="10">
        <v>9</v>
      </c>
      <c r="C1328" s="10" t="s">
        <v>77</v>
      </c>
      <c r="D1328" s="10">
        <v>3112</v>
      </c>
      <c r="E1328" s="10">
        <v>1226667</v>
      </c>
      <c r="F1328" t="s">
        <v>103</v>
      </c>
      <c r="G1328" t="s">
        <v>123</v>
      </c>
    </row>
    <row r="1329" spans="1:7">
      <c r="A1329" s="10">
        <v>2022</v>
      </c>
      <c r="B1329" s="10">
        <v>10</v>
      </c>
      <c r="C1329" s="10" t="s">
        <v>77</v>
      </c>
      <c r="D1329" s="10">
        <v>3399</v>
      </c>
      <c r="E1329" s="10">
        <v>1264316</v>
      </c>
      <c r="F1329" t="s">
        <v>103</v>
      </c>
      <c r="G1329" t="s">
        <v>123</v>
      </c>
    </row>
    <row r="1330" spans="1:7">
      <c r="A1330" s="10">
        <v>2022</v>
      </c>
      <c r="B1330" s="10">
        <v>11</v>
      </c>
      <c r="C1330" s="10" t="s">
        <v>77</v>
      </c>
      <c r="D1330" s="10">
        <v>3496</v>
      </c>
      <c r="E1330" s="10">
        <v>1299416</v>
      </c>
      <c r="F1330" t="s">
        <v>103</v>
      </c>
      <c r="G1330" t="s">
        <v>123</v>
      </c>
    </row>
    <row r="1331" spans="1:7">
      <c r="A1331" s="10">
        <v>2022</v>
      </c>
      <c r="B1331" s="10">
        <v>12</v>
      </c>
      <c r="C1331" s="10" t="s">
        <v>77</v>
      </c>
      <c r="D1331" s="10">
        <v>3641</v>
      </c>
      <c r="E1331" s="10">
        <v>1350000</v>
      </c>
      <c r="F1331" t="s">
        <v>103</v>
      </c>
      <c r="G1331" t="s">
        <v>123</v>
      </c>
    </row>
    <row r="1332" spans="1:7">
      <c r="A1332" s="10">
        <v>2021</v>
      </c>
      <c r="B1332" s="10">
        <v>5</v>
      </c>
      <c r="C1332" s="10" t="s">
        <v>78</v>
      </c>
      <c r="D1332" s="10">
        <v>1082</v>
      </c>
      <c r="E1332" s="10">
        <v>343529</v>
      </c>
      <c r="F1332" t="s">
        <v>100</v>
      </c>
      <c r="G1332" t="s">
        <v>117</v>
      </c>
    </row>
    <row r="1333" spans="1:7">
      <c r="A1333" s="10">
        <v>2021</v>
      </c>
      <c r="B1333" s="10">
        <v>6</v>
      </c>
      <c r="C1333" s="10" t="s">
        <v>78</v>
      </c>
      <c r="D1333" s="10">
        <v>1108</v>
      </c>
      <c r="E1333" s="10">
        <v>359321</v>
      </c>
      <c r="F1333" t="s">
        <v>100</v>
      </c>
      <c r="G1333" t="s">
        <v>117</v>
      </c>
    </row>
    <row r="1334" spans="1:7">
      <c r="A1334" s="10">
        <v>2021</v>
      </c>
      <c r="B1334" s="10">
        <v>7</v>
      </c>
      <c r="C1334" s="10" t="s">
        <v>78</v>
      </c>
      <c r="D1334" s="10">
        <v>1120</v>
      </c>
      <c r="E1334" s="10">
        <v>348750</v>
      </c>
      <c r="F1334" t="s">
        <v>100</v>
      </c>
      <c r="G1334" t="s">
        <v>117</v>
      </c>
    </row>
    <row r="1335" spans="1:7">
      <c r="A1335" s="10">
        <v>2021</v>
      </c>
      <c r="B1335" s="10">
        <v>8</v>
      </c>
      <c r="C1335" s="10" t="s">
        <v>78</v>
      </c>
      <c r="D1335" s="10">
        <v>1160</v>
      </c>
      <c r="E1335" s="10">
        <v>359705</v>
      </c>
      <c r="F1335" t="s">
        <v>100</v>
      </c>
      <c r="G1335" t="s">
        <v>117</v>
      </c>
    </row>
    <row r="1336" spans="1:7">
      <c r="A1336" s="10">
        <v>2021</v>
      </c>
      <c r="B1336" s="10">
        <v>9</v>
      </c>
      <c r="C1336" s="10" t="s">
        <v>78</v>
      </c>
      <c r="D1336" s="10">
        <v>1170</v>
      </c>
      <c r="E1336" s="10">
        <v>374999</v>
      </c>
      <c r="F1336" t="s">
        <v>100</v>
      </c>
      <c r="G1336" t="s">
        <v>117</v>
      </c>
    </row>
    <row r="1337" spans="1:7">
      <c r="A1337" s="10">
        <v>2021</v>
      </c>
      <c r="B1337" s="10">
        <v>10</v>
      </c>
      <c r="C1337" s="10" t="s">
        <v>78</v>
      </c>
      <c r="D1337" s="10">
        <v>1300</v>
      </c>
      <c r="E1337" s="10">
        <v>389000</v>
      </c>
      <c r="F1337" t="s">
        <v>100</v>
      </c>
      <c r="G1337" t="s">
        <v>117</v>
      </c>
    </row>
    <row r="1338" spans="1:7">
      <c r="A1338" s="10">
        <v>2021</v>
      </c>
      <c r="B1338" s="10">
        <v>11</v>
      </c>
      <c r="C1338" s="10" t="s">
        <v>78</v>
      </c>
      <c r="D1338" s="10">
        <v>1333</v>
      </c>
      <c r="E1338" s="10">
        <v>423666</v>
      </c>
      <c r="F1338" t="s">
        <v>100</v>
      </c>
      <c r="G1338" t="s">
        <v>117</v>
      </c>
    </row>
    <row r="1339" spans="1:7">
      <c r="A1339" s="10">
        <v>2021</v>
      </c>
      <c r="B1339" s="10">
        <v>12</v>
      </c>
      <c r="C1339" s="10" t="s">
        <v>78</v>
      </c>
      <c r="D1339" s="10">
        <v>1362</v>
      </c>
      <c r="E1339" s="10">
        <v>506667</v>
      </c>
      <c r="F1339" t="s">
        <v>100</v>
      </c>
      <c r="G1339" t="s">
        <v>117</v>
      </c>
    </row>
    <row r="1340" spans="1:7">
      <c r="A1340" s="10">
        <v>2022</v>
      </c>
      <c r="B1340" s="10">
        <v>1</v>
      </c>
      <c r="C1340" s="10" t="s">
        <v>78</v>
      </c>
      <c r="D1340" s="10">
        <v>1388</v>
      </c>
      <c r="E1340" s="10">
        <v>549500</v>
      </c>
      <c r="F1340" t="s">
        <v>100</v>
      </c>
      <c r="G1340" t="s">
        <v>117</v>
      </c>
    </row>
    <row r="1341" spans="1:7">
      <c r="A1341" s="10">
        <v>2022</v>
      </c>
      <c r="B1341" s="10">
        <v>2</v>
      </c>
      <c r="C1341" s="10" t="s">
        <v>78</v>
      </c>
      <c r="D1341" s="10">
        <v>1505</v>
      </c>
      <c r="E1341" s="10">
        <v>568333</v>
      </c>
      <c r="F1341" t="s">
        <v>100</v>
      </c>
      <c r="G1341" t="s">
        <v>117</v>
      </c>
    </row>
    <row r="1342" spans="1:7">
      <c r="A1342" s="10">
        <v>2022</v>
      </c>
      <c r="B1342" s="10">
        <v>3</v>
      </c>
      <c r="C1342" s="10" t="s">
        <v>78</v>
      </c>
      <c r="D1342" s="10">
        <v>1637</v>
      </c>
      <c r="E1342" s="10">
        <v>628000</v>
      </c>
      <c r="F1342" t="s">
        <v>100</v>
      </c>
      <c r="G1342" t="s">
        <v>117</v>
      </c>
    </row>
    <row r="1343" spans="1:7">
      <c r="A1343" s="10">
        <v>2022</v>
      </c>
      <c r="B1343" s="10">
        <v>4</v>
      </c>
      <c r="C1343" s="10" t="s">
        <v>78</v>
      </c>
      <c r="D1343" s="10">
        <v>1635</v>
      </c>
      <c r="E1343" s="10">
        <v>671666</v>
      </c>
      <c r="F1343" t="s">
        <v>100</v>
      </c>
      <c r="G1343" t="s">
        <v>117</v>
      </c>
    </row>
    <row r="1344" spans="1:7">
      <c r="A1344" s="10">
        <v>2022</v>
      </c>
      <c r="B1344" s="10">
        <v>5</v>
      </c>
      <c r="C1344" s="10" t="s">
        <v>78</v>
      </c>
      <c r="D1344" s="10">
        <v>1806</v>
      </c>
      <c r="E1344" s="10">
        <v>730714</v>
      </c>
      <c r="F1344" t="s">
        <v>100</v>
      </c>
      <c r="G1344" t="s">
        <v>117</v>
      </c>
    </row>
    <row r="1345" spans="1:7">
      <c r="A1345" s="10">
        <v>2022</v>
      </c>
      <c r="B1345" s="10">
        <v>6</v>
      </c>
      <c r="C1345" s="10" t="s">
        <v>78</v>
      </c>
      <c r="D1345" s="10">
        <v>2016</v>
      </c>
      <c r="E1345" s="10">
        <v>812159</v>
      </c>
      <c r="F1345" t="s">
        <v>100</v>
      </c>
      <c r="G1345" t="s">
        <v>117</v>
      </c>
    </row>
    <row r="1346" spans="1:7">
      <c r="A1346" s="10">
        <v>2022</v>
      </c>
      <c r="B1346" s="10">
        <v>7</v>
      </c>
      <c r="C1346" s="10" t="s">
        <v>78</v>
      </c>
      <c r="D1346" s="10">
        <v>2143</v>
      </c>
      <c r="E1346" s="10">
        <v>871875</v>
      </c>
      <c r="F1346" t="s">
        <v>100</v>
      </c>
      <c r="G1346" t="s">
        <v>117</v>
      </c>
    </row>
    <row r="1347" spans="1:7">
      <c r="A1347" s="10">
        <v>2022</v>
      </c>
      <c r="B1347" s="10">
        <v>8</v>
      </c>
      <c r="C1347" s="10" t="s">
        <v>78</v>
      </c>
      <c r="D1347" s="10">
        <v>2520</v>
      </c>
      <c r="E1347" s="10">
        <v>915908</v>
      </c>
      <c r="F1347" t="s">
        <v>100</v>
      </c>
      <c r="G1347" t="s">
        <v>117</v>
      </c>
    </row>
    <row r="1348" spans="1:7">
      <c r="A1348" s="10">
        <v>2022</v>
      </c>
      <c r="B1348" s="10">
        <v>9</v>
      </c>
      <c r="C1348" s="10" t="s">
        <v>78</v>
      </c>
      <c r="D1348" s="10">
        <v>2767</v>
      </c>
      <c r="E1348" s="10">
        <v>968750</v>
      </c>
      <c r="F1348" t="s">
        <v>100</v>
      </c>
      <c r="G1348" t="s">
        <v>117</v>
      </c>
    </row>
    <row r="1349" spans="1:7">
      <c r="A1349" s="10">
        <v>2022</v>
      </c>
      <c r="B1349" s="10">
        <v>10</v>
      </c>
      <c r="C1349" s="10" t="s">
        <v>78</v>
      </c>
      <c r="D1349" s="10">
        <v>2736</v>
      </c>
      <c r="E1349" s="10">
        <v>1005406</v>
      </c>
      <c r="F1349" t="s">
        <v>100</v>
      </c>
      <c r="G1349" t="s">
        <v>117</v>
      </c>
    </row>
    <row r="1350" spans="1:7">
      <c r="A1350" s="10">
        <v>2022</v>
      </c>
      <c r="B1350" s="10">
        <v>11</v>
      </c>
      <c r="C1350" s="10" t="s">
        <v>78</v>
      </c>
      <c r="D1350" s="10">
        <v>2912</v>
      </c>
      <c r="E1350" s="10">
        <v>1052538</v>
      </c>
      <c r="F1350" t="s">
        <v>100</v>
      </c>
      <c r="G1350" t="s">
        <v>117</v>
      </c>
    </row>
    <row r="1351" spans="1:7">
      <c r="A1351" s="10">
        <v>2022</v>
      </c>
      <c r="B1351" s="10">
        <v>12</v>
      </c>
      <c r="C1351" s="10" t="s">
        <v>78</v>
      </c>
      <c r="D1351" s="10">
        <v>2986</v>
      </c>
      <c r="E1351" s="10">
        <v>1122435</v>
      </c>
      <c r="F1351" t="s">
        <v>100</v>
      </c>
      <c r="G1351" t="s">
        <v>117</v>
      </c>
    </row>
    <row r="1352" spans="1:7">
      <c r="A1352" s="10">
        <v>2021</v>
      </c>
      <c r="B1352" s="10">
        <v>5</v>
      </c>
      <c r="C1352" s="10" t="s">
        <v>79</v>
      </c>
      <c r="D1352" s="10">
        <v>1197</v>
      </c>
      <c r="E1352" s="10">
        <v>424827</v>
      </c>
      <c r="F1352" t="s">
        <v>103</v>
      </c>
      <c r="G1352" t="s">
        <v>123</v>
      </c>
    </row>
    <row r="1353" spans="1:7">
      <c r="A1353" s="10">
        <v>2021</v>
      </c>
      <c r="B1353" s="10">
        <v>6</v>
      </c>
      <c r="C1353" s="10" t="s">
        <v>79</v>
      </c>
      <c r="D1353" s="10">
        <v>1295</v>
      </c>
      <c r="E1353" s="10">
        <v>434000</v>
      </c>
      <c r="F1353" t="s">
        <v>103</v>
      </c>
      <c r="G1353" t="s">
        <v>123</v>
      </c>
    </row>
    <row r="1354" spans="1:7">
      <c r="A1354" s="10">
        <v>2021</v>
      </c>
      <c r="B1354" s="10">
        <v>7</v>
      </c>
      <c r="C1354" s="10" t="s">
        <v>79</v>
      </c>
      <c r="D1354" s="10">
        <v>1311</v>
      </c>
      <c r="E1354" s="10">
        <v>451710</v>
      </c>
      <c r="F1354" t="s">
        <v>103</v>
      </c>
      <c r="G1354" t="s">
        <v>123</v>
      </c>
    </row>
    <row r="1355" spans="1:7">
      <c r="A1355" s="10">
        <v>2021</v>
      </c>
      <c r="B1355" s="10">
        <v>8</v>
      </c>
      <c r="C1355" s="10" t="s">
        <v>79</v>
      </c>
      <c r="D1355" s="10">
        <v>1399</v>
      </c>
      <c r="E1355" s="10">
        <v>451110</v>
      </c>
      <c r="F1355" t="s">
        <v>103</v>
      </c>
      <c r="G1355" t="s">
        <v>123</v>
      </c>
    </row>
    <row r="1356" spans="1:7">
      <c r="A1356" s="10">
        <v>2021</v>
      </c>
      <c r="B1356" s="10">
        <v>9</v>
      </c>
      <c r="C1356" s="10" t="s">
        <v>79</v>
      </c>
      <c r="D1356" s="10">
        <v>1485</v>
      </c>
      <c r="E1356" s="10">
        <v>468637</v>
      </c>
      <c r="F1356" t="s">
        <v>103</v>
      </c>
      <c r="G1356" t="s">
        <v>123</v>
      </c>
    </row>
    <row r="1357" spans="1:7">
      <c r="A1357" s="10">
        <v>2021</v>
      </c>
      <c r="B1357" s="10">
        <v>10</v>
      </c>
      <c r="C1357" s="10" t="s">
        <v>79</v>
      </c>
      <c r="D1357" s="10">
        <v>1497</v>
      </c>
      <c r="E1357" s="10">
        <v>502069</v>
      </c>
      <c r="F1357" t="s">
        <v>103</v>
      </c>
      <c r="G1357" t="s">
        <v>123</v>
      </c>
    </row>
    <row r="1358" spans="1:7">
      <c r="A1358" s="10">
        <v>2021</v>
      </c>
      <c r="B1358" s="10">
        <v>11</v>
      </c>
      <c r="C1358" s="10" t="s">
        <v>79</v>
      </c>
      <c r="D1358" s="10">
        <v>1560</v>
      </c>
      <c r="E1358" s="10">
        <v>543982</v>
      </c>
      <c r="F1358" t="s">
        <v>103</v>
      </c>
      <c r="G1358" t="s">
        <v>123</v>
      </c>
    </row>
    <row r="1359" spans="1:7">
      <c r="A1359" s="10">
        <v>2021</v>
      </c>
      <c r="B1359" s="10">
        <v>12</v>
      </c>
      <c r="C1359" s="10" t="s">
        <v>79</v>
      </c>
      <c r="D1359" s="10">
        <v>1613</v>
      </c>
      <c r="E1359" s="10">
        <v>619614</v>
      </c>
      <c r="F1359" t="s">
        <v>103</v>
      </c>
      <c r="G1359" t="s">
        <v>123</v>
      </c>
    </row>
    <row r="1360" spans="1:7">
      <c r="A1360" s="10">
        <v>2022</v>
      </c>
      <c r="B1360" s="10">
        <v>1</v>
      </c>
      <c r="C1360" s="10" t="s">
        <v>79</v>
      </c>
      <c r="D1360" s="10">
        <v>1782</v>
      </c>
      <c r="E1360" s="10">
        <v>674073</v>
      </c>
      <c r="F1360" t="s">
        <v>103</v>
      </c>
      <c r="G1360" t="s">
        <v>123</v>
      </c>
    </row>
    <row r="1361" spans="1:7">
      <c r="A1361" s="10">
        <v>2022</v>
      </c>
      <c r="B1361" s="10">
        <v>2</v>
      </c>
      <c r="C1361" s="10" t="s">
        <v>79</v>
      </c>
      <c r="D1361" s="10">
        <v>1867</v>
      </c>
      <c r="E1361" s="10">
        <v>720564</v>
      </c>
      <c r="F1361" t="s">
        <v>103</v>
      </c>
      <c r="G1361" t="s">
        <v>123</v>
      </c>
    </row>
    <row r="1362" spans="1:7">
      <c r="A1362" s="10">
        <v>2022</v>
      </c>
      <c r="B1362" s="10">
        <v>3</v>
      </c>
      <c r="C1362" s="10" t="s">
        <v>79</v>
      </c>
      <c r="D1362" s="10">
        <v>1965</v>
      </c>
      <c r="E1362" s="10">
        <v>763637</v>
      </c>
      <c r="F1362" t="s">
        <v>103</v>
      </c>
      <c r="G1362" t="s">
        <v>123</v>
      </c>
    </row>
    <row r="1363" spans="1:7">
      <c r="A1363" s="10">
        <v>2022</v>
      </c>
      <c r="B1363" s="10">
        <v>4</v>
      </c>
      <c r="C1363" s="10" t="s">
        <v>79</v>
      </c>
      <c r="D1363" s="10">
        <v>2030</v>
      </c>
      <c r="E1363" s="10">
        <v>849828</v>
      </c>
      <c r="F1363" t="s">
        <v>103</v>
      </c>
      <c r="G1363" t="s">
        <v>123</v>
      </c>
    </row>
    <row r="1364" spans="1:7">
      <c r="A1364" s="10">
        <v>2022</v>
      </c>
      <c r="B1364" s="10">
        <v>5</v>
      </c>
      <c r="C1364" s="10" t="s">
        <v>79</v>
      </c>
      <c r="D1364" s="10">
        <v>2303</v>
      </c>
      <c r="E1364" s="10">
        <v>962500</v>
      </c>
      <c r="F1364" t="s">
        <v>103</v>
      </c>
      <c r="G1364" t="s">
        <v>123</v>
      </c>
    </row>
    <row r="1365" spans="1:7">
      <c r="A1365" s="10">
        <v>2022</v>
      </c>
      <c r="B1365" s="10">
        <v>6</v>
      </c>
      <c r="C1365" s="10" t="s">
        <v>79</v>
      </c>
      <c r="D1365" s="10">
        <v>2523</v>
      </c>
      <c r="E1365" s="10">
        <v>1036518</v>
      </c>
      <c r="F1365" t="s">
        <v>103</v>
      </c>
      <c r="G1365" t="s">
        <v>123</v>
      </c>
    </row>
    <row r="1366" spans="1:7">
      <c r="A1366" s="10">
        <v>2022</v>
      </c>
      <c r="B1366" s="10">
        <v>7</v>
      </c>
      <c r="C1366" s="10" t="s">
        <v>79</v>
      </c>
      <c r="D1366" s="10">
        <v>2822</v>
      </c>
      <c r="E1366" s="10">
        <v>1129032</v>
      </c>
      <c r="F1366" t="s">
        <v>103</v>
      </c>
      <c r="G1366" t="s">
        <v>123</v>
      </c>
    </row>
    <row r="1367" spans="1:7">
      <c r="A1367" s="10">
        <v>2022</v>
      </c>
      <c r="B1367" s="10">
        <v>8</v>
      </c>
      <c r="C1367" s="10" t="s">
        <v>79</v>
      </c>
      <c r="D1367" s="10">
        <v>3175</v>
      </c>
      <c r="E1367" s="10">
        <v>1217575</v>
      </c>
      <c r="F1367" t="s">
        <v>103</v>
      </c>
      <c r="G1367" t="s">
        <v>123</v>
      </c>
    </row>
    <row r="1368" spans="1:7">
      <c r="A1368" s="10">
        <v>2022</v>
      </c>
      <c r="B1368" s="10">
        <v>9</v>
      </c>
      <c r="C1368" s="10" t="s">
        <v>79</v>
      </c>
      <c r="D1368" s="10">
        <v>3323</v>
      </c>
      <c r="E1368" s="10">
        <v>1288736</v>
      </c>
      <c r="F1368" t="s">
        <v>103</v>
      </c>
      <c r="G1368" t="s">
        <v>123</v>
      </c>
    </row>
    <row r="1369" spans="1:7">
      <c r="A1369" s="10">
        <v>2022</v>
      </c>
      <c r="B1369" s="10">
        <v>10</v>
      </c>
      <c r="C1369" s="10" t="s">
        <v>79</v>
      </c>
      <c r="D1369" s="10">
        <v>3696</v>
      </c>
      <c r="E1369" s="10">
        <v>1335096</v>
      </c>
      <c r="F1369" t="s">
        <v>103</v>
      </c>
      <c r="G1369" t="s">
        <v>123</v>
      </c>
    </row>
    <row r="1370" spans="1:7">
      <c r="A1370" s="10">
        <v>2022</v>
      </c>
      <c r="B1370" s="10">
        <v>11</v>
      </c>
      <c r="C1370" s="10" t="s">
        <v>79</v>
      </c>
      <c r="D1370" s="10">
        <v>3930</v>
      </c>
      <c r="E1370" s="10">
        <v>1374536</v>
      </c>
      <c r="F1370" t="s">
        <v>103</v>
      </c>
      <c r="G1370" t="s">
        <v>123</v>
      </c>
    </row>
    <row r="1371" spans="1:7">
      <c r="A1371" s="10">
        <v>2022</v>
      </c>
      <c r="B1371" s="10">
        <v>12</v>
      </c>
      <c r="C1371" s="10" t="s">
        <v>79</v>
      </c>
      <c r="D1371" s="10">
        <v>4332</v>
      </c>
      <c r="E1371" s="10">
        <v>1528627</v>
      </c>
      <c r="F1371" t="s">
        <v>103</v>
      </c>
      <c r="G1371" t="s">
        <v>123</v>
      </c>
    </row>
    <row r="1372" spans="1:7">
      <c r="A1372" s="10">
        <v>2021</v>
      </c>
      <c r="B1372" s="10">
        <v>5</v>
      </c>
      <c r="C1372" s="10" t="s">
        <v>80</v>
      </c>
      <c r="D1372" s="10">
        <v>1326</v>
      </c>
      <c r="E1372" s="10">
        <v>364583</v>
      </c>
      <c r="F1372" t="s">
        <v>98</v>
      </c>
      <c r="G1372" t="s">
        <v>112</v>
      </c>
    </row>
    <row r="1373" spans="1:7">
      <c r="A1373" s="10">
        <v>2021</v>
      </c>
      <c r="B1373" s="10">
        <v>6</v>
      </c>
      <c r="C1373" s="10" t="s">
        <v>80</v>
      </c>
      <c r="D1373" s="10">
        <v>1416</v>
      </c>
      <c r="E1373" s="10">
        <v>381000</v>
      </c>
      <c r="F1373" t="s">
        <v>98</v>
      </c>
      <c r="G1373" t="s">
        <v>112</v>
      </c>
    </row>
    <row r="1374" spans="1:7">
      <c r="A1374" s="10">
        <v>2021</v>
      </c>
      <c r="B1374" s="10">
        <v>7</v>
      </c>
      <c r="C1374" s="10" t="s">
        <v>80</v>
      </c>
      <c r="D1374" s="10">
        <v>1530</v>
      </c>
      <c r="E1374" s="10">
        <v>399000</v>
      </c>
      <c r="F1374" t="s">
        <v>98</v>
      </c>
      <c r="G1374" t="s">
        <v>112</v>
      </c>
    </row>
    <row r="1375" spans="1:7">
      <c r="A1375" s="10">
        <v>2021</v>
      </c>
      <c r="B1375" s="10">
        <v>8</v>
      </c>
      <c r="C1375" s="10" t="s">
        <v>80</v>
      </c>
      <c r="D1375" s="10">
        <v>1623</v>
      </c>
      <c r="E1375" s="10">
        <v>416034</v>
      </c>
      <c r="F1375" t="s">
        <v>98</v>
      </c>
      <c r="G1375" t="s">
        <v>112</v>
      </c>
    </row>
    <row r="1376" spans="1:7">
      <c r="A1376" s="10">
        <v>2021</v>
      </c>
      <c r="B1376" s="10">
        <v>9</v>
      </c>
      <c r="C1376" s="10" t="s">
        <v>80</v>
      </c>
      <c r="D1376" s="10">
        <v>1665</v>
      </c>
      <c r="E1376" s="10">
        <v>442963</v>
      </c>
      <c r="F1376" t="s">
        <v>98</v>
      </c>
      <c r="G1376" t="s">
        <v>112</v>
      </c>
    </row>
    <row r="1377" spans="1:7">
      <c r="A1377" s="10">
        <v>2021</v>
      </c>
      <c r="B1377" s="10">
        <v>10</v>
      </c>
      <c r="C1377" s="10" t="s">
        <v>80</v>
      </c>
      <c r="D1377" s="10">
        <v>1877</v>
      </c>
      <c r="E1377" s="10">
        <v>466368</v>
      </c>
      <c r="F1377" t="s">
        <v>98</v>
      </c>
      <c r="G1377" t="s">
        <v>112</v>
      </c>
    </row>
    <row r="1378" spans="1:7">
      <c r="A1378" s="10">
        <v>2021</v>
      </c>
      <c r="B1378" s="10">
        <v>11</v>
      </c>
      <c r="C1378" s="10" t="s">
        <v>80</v>
      </c>
      <c r="D1378" s="10">
        <v>2056</v>
      </c>
      <c r="E1378" s="10">
        <v>510714</v>
      </c>
      <c r="F1378" t="s">
        <v>98</v>
      </c>
      <c r="G1378" t="s">
        <v>112</v>
      </c>
    </row>
    <row r="1379" spans="1:7">
      <c r="A1379" s="10">
        <v>2021</v>
      </c>
      <c r="B1379" s="10">
        <v>12</v>
      </c>
      <c r="C1379" s="10" t="s">
        <v>80</v>
      </c>
      <c r="D1379" s="10">
        <v>2125</v>
      </c>
      <c r="E1379" s="10">
        <v>602726</v>
      </c>
      <c r="F1379" t="s">
        <v>98</v>
      </c>
      <c r="G1379" t="s">
        <v>112</v>
      </c>
    </row>
    <row r="1380" spans="1:7">
      <c r="A1380" s="10">
        <v>2022</v>
      </c>
      <c r="B1380" s="10">
        <v>1</v>
      </c>
      <c r="C1380" s="10" t="s">
        <v>80</v>
      </c>
      <c r="D1380" s="10">
        <v>2212</v>
      </c>
      <c r="E1380" s="10">
        <v>654815</v>
      </c>
      <c r="F1380" t="s">
        <v>98</v>
      </c>
      <c r="G1380" t="s">
        <v>112</v>
      </c>
    </row>
    <row r="1381" spans="1:7">
      <c r="A1381" s="10">
        <v>2022</v>
      </c>
      <c r="B1381" s="10">
        <v>2</v>
      </c>
      <c r="C1381" s="10" t="s">
        <v>80</v>
      </c>
      <c r="D1381" s="10">
        <v>2380</v>
      </c>
      <c r="E1381" s="10">
        <v>689000</v>
      </c>
      <c r="F1381" t="s">
        <v>98</v>
      </c>
      <c r="G1381" t="s">
        <v>112</v>
      </c>
    </row>
    <row r="1382" spans="1:7">
      <c r="A1382" s="10">
        <v>2022</v>
      </c>
      <c r="B1382" s="10">
        <v>3</v>
      </c>
      <c r="C1382" s="10" t="s">
        <v>80</v>
      </c>
      <c r="D1382" s="10">
        <v>2507</v>
      </c>
      <c r="E1382" s="10">
        <v>744138</v>
      </c>
      <c r="F1382" t="s">
        <v>98</v>
      </c>
      <c r="G1382" t="s">
        <v>112</v>
      </c>
    </row>
    <row r="1383" spans="1:7">
      <c r="A1383" s="10">
        <v>2022</v>
      </c>
      <c r="B1383" s="10">
        <v>4</v>
      </c>
      <c r="C1383" s="10" t="s">
        <v>80</v>
      </c>
      <c r="D1383" s="10">
        <v>2784</v>
      </c>
      <c r="E1383" s="10">
        <v>827273</v>
      </c>
      <c r="F1383" t="s">
        <v>98</v>
      </c>
      <c r="G1383" t="s">
        <v>112</v>
      </c>
    </row>
    <row r="1384" spans="1:7">
      <c r="A1384" s="10">
        <v>2022</v>
      </c>
      <c r="B1384" s="10">
        <v>5</v>
      </c>
      <c r="C1384" s="10" t="s">
        <v>80</v>
      </c>
      <c r="D1384" s="10">
        <v>3272</v>
      </c>
      <c r="E1384" s="10">
        <v>953332</v>
      </c>
      <c r="F1384" t="s">
        <v>98</v>
      </c>
      <c r="G1384" t="s">
        <v>112</v>
      </c>
    </row>
    <row r="1385" spans="1:7">
      <c r="A1385" s="10">
        <v>2022</v>
      </c>
      <c r="B1385" s="10">
        <v>6</v>
      </c>
      <c r="C1385" s="10" t="s">
        <v>80</v>
      </c>
      <c r="D1385" s="10">
        <v>3832</v>
      </c>
      <c r="E1385" s="10">
        <v>1071573</v>
      </c>
      <c r="F1385" t="s">
        <v>98</v>
      </c>
      <c r="G1385" t="s">
        <v>112</v>
      </c>
    </row>
    <row r="1386" spans="1:7">
      <c r="A1386" s="10">
        <v>2022</v>
      </c>
      <c r="B1386" s="10">
        <v>7</v>
      </c>
      <c r="C1386" s="10" t="s">
        <v>80</v>
      </c>
      <c r="D1386" s="10">
        <v>3917</v>
      </c>
      <c r="E1386" s="10">
        <v>1160714</v>
      </c>
      <c r="F1386" t="s">
        <v>98</v>
      </c>
      <c r="G1386" t="s">
        <v>112</v>
      </c>
    </row>
    <row r="1387" spans="1:7">
      <c r="A1387" s="10">
        <v>2022</v>
      </c>
      <c r="B1387" s="10">
        <v>8</v>
      </c>
      <c r="C1387" s="10" t="s">
        <v>80</v>
      </c>
      <c r="D1387" s="10">
        <v>4108</v>
      </c>
      <c r="E1387" s="10">
        <v>1219523</v>
      </c>
      <c r="F1387" t="s">
        <v>98</v>
      </c>
      <c r="G1387" t="s">
        <v>112</v>
      </c>
    </row>
    <row r="1388" spans="1:7">
      <c r="A1388" s="10">
        <v>2022</v>
      </c>
      <c r="B1388" s="10">
        <v>9</v>
      </c>
      <c r="C1388" s="10" t="s">
        <v>80</v>
      </c>
      <c r="D1388" s="10">
        <v>4185</v>
      </c>
      <c r="E1388" s="10">
        <v>1267500</v>
      </c>
      <c r="F1388" t="s">
        <v>98</v>
      </c>
      <c r="G1388" t="s">
        <v>112</v>
      </c>
    </row>
    <row r="1389" spans="1:7">
      <c r="A1389" s="10">
        <v>2022</v>
      </c>
      <c r="B1389" s="10">
        <v>10</v>
      </c>
      <c r="C1389" s="10" t="s">
        <v>80</v>
      </c>
      <c r="D1389" s="10">
        <v>4625</v>
      </c>
      <c r="E1389" s="10">
        <v>1300000</v>
      </c>
      <c r="F1389" t="s">
        <v>98</v>
      </c>
      <c r="G1389" t="s">
        <v>112</v>
      </c>
    </row>
    <row r="1390" spans="1:7">
      <c r="A1390" s="10">
        <v>2022</v>
      </c>
      <c r="B1390" s="10">
        <v>11</v>
      </c>
      <c r="C1390" s="10" t="s">
        <v>80</v>
      </c>
      <c r="D1390" s="10">
        <v>4859</v>
      </c>
      <c r="E1390" s="10">
        <v>1354730</v>
      </c>
      <c r="F1390" t="s">
        <v>98</v>
      </c>
      <c r="G1390" t="s">
        <v>112</v>
      </c>
    </row>
    <row r="1391" spans="1:7">
      <c r="A1391" s="10">
        <v>2022</v>
      </c>
      <c r="B1391" s="10">
        <v>12</v>
      </c>
      <c r="C1391" s="10" t="s">
        <v>80</v>
      </c>
      <c r="D1391" s="10">
        <v>5043</v>
      </c>
      <c r="E1391" s="10">
        <v>1430000</v>
      </c>
      <c r="F1391" t="s">
        <v>98</v>
      </c>
      <c r="G1391" t="s">
        <v>112</v>
      </c>
    </row>
    <row r="1392" spans="1:7">
      <c r="A1392" s="10">
        <v>2021</v>
      </c>
      <c r="B1392" s="10">
        <v>5</v>
      </c>
      <c r="C1392" s="10" t="s">
        <v>81</v>
      </c>
      <c r="D1392" s="10">
        <v>1226</v>
      </c>
      <c r="E1392" s="10">
        <v>393750</v>
      </c>
      <c r="F1392" t="s">
        <v>102</v>
      </c>
      <c r="G1392" t="s">
        <v>122</v>
      </c>
    </row>
    <row r="1393" spans="1:7">
      <c r="A1393" s="10">
        <v>2021</v>
      </c>
      <c r="B1393" s="10">
        <v>6</v>
      </c>
      <c r="C1393" s="10" t="s">
        <v>81</v>
      </c>
      <c r="D1393" s="10">
        <v>1305</v>
      </c>
      <c r="E1393" s="10">
        <v>420000</v>
      </c>
      <c r="F1393" t="s">
        <v>102</v>
      </c>
      <c r="G1393" t="s">
        <v>122</v>
      </c>
    </row>
    <row r="1394" spans="1:7">
      <c r="A1394" s="10">
        <v>2021</v>
      </c>
      <c r="B1394" s="10">
        <v>7</v>
      </c>
      <c r="C1394" s="10" t="s">
        <v>81</v>
      </c>
      <c r="D1394" s="10">
        <v>1400</v>
      </c>
      <c r="E1394" s="10">
        <v>436000</v>
      </c>
      <c r="F1394" t="s">
        <v>102</v>
      </c>
      <c r="G1394" t="s">
        <v>122</v>
      </c>
    </row>
    <row r="1395" spans="1:7">
      <c r="A1395" s="10">
        <v>2021</v>
      </c>
      <c r="B1395" s="10">
        <v>8</v>
      </c>
      <c r="C1395" s="10" t="s">
        <v>81</v>
      </c>
      <c r="D1395" s="10">
        <v>1500</v>
      </c>
      <c r="E1395" s="10">
        <v>456521</v>
      </c>
      <c r="F1395" t="s">
        <v>102</v>
      </c>
      <c r="G1395" t="s">
        <v>122</v>
      </c>
    </row>
    <row r="1396" spans="1:7">
      <c r="A1396" s="10">
        <v>2021</v>
      </c>
      <c r="B1396" s="10">
        <v>9</v>
      </c>
      <c r="C1396" s="10" t="s">
        <v>81</v>
      </c>
      <c r="D1396" s="10">
        <v>1624</v>
      </c>
      <c r="E1396" s="10">
        <v>472500</v>
      </c>
      <c r="F1396" t="s">
        <v>102</v>
      </c>
      <c r="G1396" t="s">
        <v>122</v>
      </c>
    </row>
    <row r="1397" spans="1:7">
      <c r="A1397" s="10">
        <v>2021</v>
      </c>
      <c r="B1397" s="10">
        <v>10</v>
      </c>
      <c r="C1397" s="10" t="s">
        <v>81</v>
      </c>
      <c r="D1397" s="10">
        <v>1735</v>
      </c>
      <c r="E1397" s="10">
        <v>495833</v>
      </c>
      <c r="F1397" t="s">
        <v>102</v>
      </c>
      <c r="G1397" t="s">
        <v>122</v>
      </c>
    </row>
    <row r="1398" spans="1:7">
      <c r="A1398" s="10">
        <v>2021</v>
      </c>
      <c r="B1398" s="10">
        <v>11</v>
      </c>
      <c r="C1398" s="10" t="s">
        <v>81</v>
      </c>
      <c r="D1398" s="10">
        <v>1831</v>
      </c>
      <c r="E1398" s="10">
        <v>550666</v>
      </c>
      <c r="F1398" t="s">
        <v>102</v>
      </c>
      <c r="G1398" t="s">
        <v>122</v>
      </c>
    </row>
    <row r="1399" spans="1:7">
      <c r="A1399" s="10">
        <v>2021</v>
      </c>
      <c r="B1399" s="10">
        <v>12</v>
      </c>
      <c r="C1399" s="10" t="s">
        <v>81</v>
      </c>
      <c r="D1399" s="10">
        <v>1950</v>
      </c>
      <c r="E1399" s="10">
        <v>678787</v>
      </c>
      <c r="F1399" t="s">
        <v>102</v>
      </c>
      <c r="G1399" t="s">
        <v>122</v>
      </c>
    </row>
    <row r="1400" spans="1:7">
      <c r="A1400" s="10">
        <v>2022</v>
      </c>
      <c r="B1400" s="10">
        <v>1</v>
      </c>
      <c r="C1400" s="10" t="s">
        <v>81</v>
      </c>
      <c r="D1400" s="10">
        <v>1967</v>
      </c>
      <c r="E1400" s="10">
        <v>730434</v>
      </c>
      <c r="F1400" t="s">
        <v>102</v>
      </c>
      <c r="G1400" t="s">
        <v>122</v>
      </c>
    </row>
    <row r="1401" spans="1:7">
      <c r="A1401" s="10">
        <v>2022</v>
      </c>
      <c r="B1401" s="10">
        <v>2</v>
      </c>
      <c r="C1401" s="10" t="s">
        <v>81</v>
      </c>
      <c r="D1401" s="10">
        <v>2106</v>
      </c>
      <c r="E1401" s="10">
        <v>789090</v>
      </c>
      <c r="F1401" t="s">
        <v>102</v>
      </c>
      <c r="G1401" t="s">
        <v>122</v>
      </c>
    </row>
    <row r="1402" spans="1:7">
      <c r="A1402" s="10">
        <v>2022</v>
      </c>
      <c r="B1402" s="10">
        <v>3</v>
      </c>
      <c r="C1402" s="10" t="s">
        <v>81</v>
      </c>
      <c r="D1402" s="10">
        <v>2237</v>
      </c>
      <c r="E1402" s="10">
        <v>851666</v>
      </c>
      <c r="F1402" t="s">
        <v>102</v>
      </c>
      <c r="G1402" t="s">
        <v>122</v>
      </c>
    </row>
    <row r="1403" spans="1:7">
      <c r="A1403" s="10">
        <v>2022</v>
      </c>
      <c r="B1403" s="10">
        <v>4</v>
      </c>
      <c r="C1403" s="10" t="s">
        <v>81</v>
      </c>
      <c r="D1403" s="10">
        <v>2478</v>
      </c>
      <c r="E1403" s="10">
        <v>959677</v>
      </c>
      <c r="F1403" t="s">
        <v>102</v>
      </c>
      <c r="G1403" t="s">
        <v>122</v>
      </c>
    </row>
    <row r="1404" spans="1:7">
      <c r="A1404" s="10">
        <v>2022</v>
      </c>
      <c r="B1404" s="10">
        <v>5</v>
      </c>
      <c r="C1404" s="10" t="s">
        <v>81</v>
      </c>
      <c r="D1404" s="10">
        <v>2700</v>
      </c>
      <c r="E1404" s="10">
        <v>1093750</v>
      </c>
      <c r="F1404" t="s">
        <v>102</v>
      </c>
      <c r="G1404" t="s">
        <v>122</v>
      </c>
    </row>
    <row r="1405" spans="1:7">
      <c r="A1405" s="10">
        <v>2022</v>
      </c>
      <c r="B1405" s="10">
        <v>6</v>
      </c>
      <c r="C1405" s="10" t="s">
        <v>81</v>
      </c>
      <c r="D1405" s="10">
        <v>3250</v>
      </c>
      <c r="E1405" s="10">
        <v>1166666</v>
      </c>
      <c r="F1405" t="s">
        <v>102</v>
      </c>
      <c r="G1405" t="s">
        <v>122</v>
      </c>
    </row>
    <row r="1406" spans="1:7">
      <c r="A1406" s="10">
        <v>2022</v>
      </c>
      <c r="B1406" s="10">
        <v>7</v>
      </c>
      <c r="C1406" s="10" t="s">
        <v>81</v>
      </c>
      <c r="D1406" s="10">
        <v>3515</v>
      </c>
      <c r="E1406" s="10">
        <v>1268750</v>
      </c>
      <c r="F1406" t="s">
        <v>102</v>
      </c>
      <c r="G1406" t="s">
        <v>122</v>
      </c>
    </row>
    <row r="1407" spans="1:7">
      <c r="A1407" s="10">
        <v>2022</v>
      </c>
      <c r="B1407" s="10">
        <v>8</v>
      </c>
      <c r="C1407" s="10" t="s">
        <v>81</v>
      </c>
      <c r="D1407" s="10">
        <v>3955</v>
      </c>
      <c r="E1407" s="10">
        <v>1316000</v>
      </c>
      <c r="F1407" t="s">
        <v>102</v>
      </c>
      <c r="G1407" t="s">
        <v>122</v>
      </c>
    </row>
    <row r="1408" spans="1:7">
      <c r="A1408" s="10">
        <v>2022</v>
      </c>
      <c r="B1408" s="10">
        <v>9</v>
      </c>
      <c r="C1408" s="10" t="s">
        <v>81</v>
      </c>
      <c r="D1408" s="10">
        <v>4085</v>
      </c>
      <c r="E1408" s="10">
        <v>1373076</v>
      </c>
      <c r="F1408" t="s">
        <v>102</v>
      </c>
      <c r="G1408" t="s">
        <v>122</v>
      </c>
    </row>
    <row r="1409" spans="1:7">
      <c r="A1409" s="10">
        <v>2022</v>
      </c>
      <c r="B1409" s="10">
        <v>10</v>
      </c>
      <c r="C1409" s="10" t="s">
        <v>81</v>
      </c>
      <c r="D1409" s="10">
        <v>4178</v>
      </c>
      <c r="E1409" s="10">
        <v>1400000</v>
      </c>
      <c r="F1409" t="s">
        <v>102</v>
      </c>
      <c r="G1409" t="s">
        <v>122</v>
      </c>
    </row>
    <row r="1410" spans="1:7">
      <c r="A1410" s="10">
        <v>2022</v>
      </c>
      <c r="B1410" s="10">
        <v>11</v>
      </c>
      <c r="C1410" s="10" t="s">
        <v>81</v>
      </c>
      <c r="D1410" s="10">
        <v>4222</v>
      </c>
      <c r="E1410" s="10">
        <v>1460872</v>
      </c>
      <c r="F1410" t="s">
        <v>102</v>
      </c>
      <c r="G1410" t="s">
        <v>122</v>
      </c>
    </row>
    <row r="1411" spans="1:7">
      <c r="A1411" s="10">
        <v>2022</v>
      </c>
      <c r="B1411" s="10">
        <v>12</v>
      </c>
      <c r="C1411" s="10" t="s">
        <v>81</v>
      </c>
      <c r="D1411" s="10">
        <v>4475</v>
      </c>
      <c r="E1411" s="10">
        <v>1563338</v>
      </c>
      <c r="F1411" t="s">
        <v>102</v>
      </c>
      <c r="G1411" t="s">
        <v>122</v>
      </c>
    </row>
    <row r="1412" spans="1:7">
      <c r="A1412" s="10">
        <v>2021</v>
      </c>
      <c r="B1412" s="10">
        <v>5</v>
      </c>
      <c r="C1412" s="10" t="s">
        <v>82</v>
      </c>
      <c r="D1412" s="10">
        <v>1108</v>
      </c>
      <c r="E1412" s="10">
        <v>320000</v>
      </c>
      <c r="F1412" t="s">
        <v>124</v>
      </c>
      <c r="G1412" t="s">
        <v>127</v>
      </c>
    </row>
    <row r="1413" spans="1:7">
      <c r="A1413" s="10">
        <v>2021</v>
      </c>
      <c r="B1413" s="10">
        <v>6</v>
      </c>
      <c r="C1413" s="10" t="s">
        <v>82</v>
      </c>
      <c r="D1413" s="10">
        <v>1080</v>
      </c>
      <c r="E1413" s="10">
        <v>329000</v>
      </c>
      <c r="F1413" t="s">
        <v>124</v>
      </c>
      <c r="G1413" t="s">
        <v>127</v>
      </c>
    </row>
    <row r="1414" spans="1:7">
      <c r="A1414" s="10">
        <v>2021</v>
      </c>
      <c r="B1414" s="10">
        <v>7</v>
      </c>
      <c r="C1414" s="10" t="s">
        <v>82</v>
      </c>
      <c r="D1414" s="10">
        <v>1099</v>
      </c>
      <c r="E1414" s="10">
        <v>339393</v>
      </c>
      <c r="F1414" t="s">
        <v>124</v>
      </c>
      <c r="G1414" t="s">
        <v>127</v>
      </c>
    </row>
    <row r="1415" spans="1:7">
      <c r="A1415" s="10">
        <v>2021</v>
      </c>
      <c r="B1415" s="10">
        <v>8</v>
      </c>
      <c r="C1415" s="10" t="s">
        <v>82</v>
      </c>
      <c r="D1415" s="10">
        <v>1124</v>
      </c>
      <c r="E1415" s="10">
        <v>355333</v>
      </c>
      <c r="F1415" t="s">
        <v>124</v>
      </c>
      <c r="G1415" t="s">
        <v>127</v>
      </c>
    </row>
    <row r="1416" spans="1:7">
      <c r="A1416" s="10">
        <v>2021</v>
      </c>
      <c r="B1416" s="10">
        <v>9</v>
      </c>
      <c r="C1416" s="10" t="s">
        <v>82</v>
      </c>
      <c r="D1416" s="10">
        <v>1114</v>
      </c>
      <c r="E1416" s="10">
        <v>342222</v>
      </c>
      <c r="F1416" t="s">
        <v>124</v>
      </c>
      <c r="G1416" t="s">
        <v>127</v>
      </c>
    </row>
    <row r="1417" spans="1:7">
      <c r="A1417" s="10">
        <v>2021</v>
      </c>
      <c r="B1417" s="10">
        <v>10</v>
      </c>
      <c r="C1417" s="10" t="s">
        <v>82</v>
      </c>
      <c r="D1417" s="10">
        <v>1156</v>
      </c>
      <c r="E1417" s="10">
        <v>358297</v>
      </c>
      <c r="F1417" t="s">
        <v>124</v>
      </c>
      <c r="G1417" t="s">
        <v>127</v>
      </c>
    </row>
    <row r="1418" spans="1:7">
      <c r="A1418" s="10">
        <v>2021</v>
      </c>
      <c r="B1418" s="10">
        <v>11</v>
      </c>
      <c r="C1418" s="10" t="s">
        <v>82</v>
      </c>
      <c r="D1418" s="10">
        <v>1196</v>
      </c>
      <c r="E1418" s="10">
        <v>377902</v>
      </c>
      <c r="F1418" t="s">
        <v>124</v>
      </c>
      <c r="G1418" t="s">
        <v>127</v>
      </c>
    </row>
    <row r="1419" spans="1:7">
      <c r="A1419" s="10">
        <v>2021</v>
      </c>
      <c r="B1419" s="10">
        <v>12</v>
      </c>
      <c r="C1419" s="10" t="s">
        <v>82</v>
      </c>
      <c r="D1419" s="10">
        <v>1263</v>
      </c>
      <c r="E1419" s="10">
        <v>434562</v>
      </c>
      <c r="F1419" t="s">
        <v>124</v>
      </c>
      <c r="G1419" t="s">
        <v>127</v>
      </c>
    </row>
    <row r="1420" spans="1:7">
      <c r="A1420" s="10">
        <v>2022</v>
      </c>
      <c r="B1420" s="10">
        <v>1</v>
      </c>
      <c r="C1420" s="10" t="s">
        <v>82</v>
      </c>
      <c r="D1420" s="10">
        <v>1314</v>
      </c>
      <c r="E1420" s="10">
        <v>472812</v>
      </c>
      <c r="F1420" t="s">
        <v>124</v>
      </c>
      <c r="G1420" t="s">
        <v>127</v>
      </c>
    </row>
    <row r="1421" spans="1:7">
      <c r="A1421" s="10">
        <v>2022</v>
      </c>
      <c r="B1421" s="10">
        <v>2</v>
      </c>
      <c r="C1421" s="10" t="s">
        <v>82</v>
      </c>
      <c r="D1421" s="10">
        <v>1392</v>
      </c>
      <c r="E1421" s="10">
        <v>498783</v>
      </c>
      <c r="F1421" t="s">
        <v>124</v>
      </c>
      <c r="G1421" t="s">
        <v>127</v>
      </c>
    </row>
    <row r="1422" spans="1:7">
      <c r="A1422" s="10">
        <v>2022</v>
      </c>
      <c r="B1422" s="10">
        <v>3</v>
      </c>
      <c r="C1422" s="10" t="s">
        <v>82</v>
      </c>
      <c r="D1422" s="10">
        <v>1486</v>
      </c>
      <c r="E1422" s="10">
        <v>522500</v>
      </c>
      <c r="F1422" t="s">
        <v>124</v>
      </c>
      <c r="G1422" t="s">
        <v>127</v>
      </c>
    </row>
    <row r="1423" spans="1:7">
      <c r="A1423" s="10">
        <v>2022</v>
      </c>
      <c r="B1423" s="10">
        <v>4</v>
      </c>
      <c r="C1423" s="10" t="s">
        <v>82</v>
      </c>
      <c r="D1423" s="10">
        <v>1524</v>
      </c>
      <c r="E1423" s="10">
        <v>545867</v>
      </c>
      <c r="F1423" t="s">
        <v>124</v>
      </c>
      <c r="G1423" t="s">
        <v>127</v>
      </c>
    </row>
    <row r="1424" spans="1:7">
      <c r="A1424" s="10">
        <v>2022</v>
      </c>
      <c r="B1424" s="10">
        <v>5</v>
      </c>
      <c r="C1424" s="10" t="s">
        <v>82</v>
      </c>
      <c r="D1424" s="10">
        <v>1649</v>
      </c>
      <c r="E1424" s="10">
        <v>593620</v>
      </c>
      <c r="F1424" t="s">
        <v>124</v>
      </c>
      <c r="G1424" t="s">
        <v>127</v>
      </c>
    </row>
    <row r="1425" spans="1:7">
      <c r="A1425" s="10">
        <v>2022</v>
      </c>
      <c r="B1425" s="10">
        <v>6</v>
      </c>
      <c r="C1425" s="10" t="s">
        <v>82</v>
      </c>
      <c r="D1425" s="10">
        <v>1843</v>
      </c>
      <c r="E1425" s="10">
        <v>669640</v>
      </c>
      <c r="F1425" t="s">
        <v>124</v>
      </c>
      <c r="G1425" t="s">
        <v>127</v>
      </c>
    </row>
    <row r="1426" spans="1:7">
      <c r="A1426" s="10">
        <v>2022</v>
      </c>
      <c r="B1426" s="10">
        <v>7</v>
      </c>
      <c r="C1426" s="10" t="s">
        <v>82</v>
      </c>
      <c r="D1426" s="10">
        <v>1891</v>
      </c>
      <c r="E1426" s="10">
        <v>721875</v>
      </c>
      <c r="F1426" t="s">
        <v>124</v>
      </c>
      <c r="G1426" t="s">
        <v>127</v>
      </c>
    </row>
    <row r="1427" spans="1:7">
      <c r="A1427" s="10">
        <v>2022</v>
      </c>
      <c r="B1427" s="10">
        <v>8</v>
      </c>
      <c r="C1427" s="10" t="s">
        <v>82</v>
      </c>
      <c r="D1427" s="10">
        <v>2059</v>
      </c>
      <c r="E1427" s="10">
        <v>771028</v>
      </c>
      <c r="F1427" t="s">
        <v>124</v>
      </c>
      <c r="G1427" t="s">
        <v>127</v>
      </c>
    </row>
    <row r="1428" spans="1:7">
      <c r="A1428" s="10">
        <v>2022</v>
      </c>
      <c r="B1428" s="10">
        <v>9</v>
      </c>
      <c r="C1428" s="10" t="s">
        <v>82</v>
      </c>
      <c r="D1428" s="10">
        <v>2071</v>
      </c>
      <c r="E1428" s="10">
        <v>802500</v>
      </c>
      <c r="F1428" t="s">
        <v>124</v>
      </c>
      <c r="G1428" t="s">
        <v>127</v>
      </c>
    </row>
    <row r="1429" spans="1:7">
      <c r="A1429" s="10">
        <v>2022</v>
      </c>
      <c r="B1429" s="10">
        <v>10</v>
      </c>
      <c r="C1429" s="10" t="s">
        <v>82</v>
      </c>
      <c r="D1429" s="10">
        <v>2369</v>
      </c>
      <c r="E1429" s="10">
        <v>855937</v>
      </c>
      <c r="F1429" t="s">
        <v>124</v>
      </c>
      <c r="G1429" t="s">
        <v>127</v>
      </c>
    </row>
    <row r="1430" spans="1:7">
      <c r="A1430" s="10">
        <v>2022</v>
      </c>
      <c r="B1430" s="10">
        <v>11</v>
      </c>
      <c r="C1430" s="10" t="s">
        <v>82</v>
      </c>
      <c r="D1430" s="10">
        <v>2464</v>
      </c>
      <c r="E1430" s="10">
        <v>910077</v>
      </c>
      <c r="F1430" t="s">
        <v>124</v>
      </c>
      <c r="G1430" t="s">
        <v>127</v>
      </c>
    </row>
    <row r="1431" spans="1:7">
      <c r="A1431" s="10">
        <v>2022</v>
      </c>
      <c r="B1431" s="10">
        <v>12</v>
      </c>
      <c r="C1431" s="10" t="s">
        <v>82</v>
      </c>
      <c r="D1431" s="10">
        <v>2435</v>
      </c>
      <c r="E1431" s="10">
        <v>942476</v>
      </c>
      <c r="F1431" t="s">
        <v>124</v>
      </c>
      <c r="G1431" t="s">
        <v>127</v>
      </c>
    </row>
    <row r="1432" spans="1:7">
      <c r="A1432" s="10">
        <v>2021</v>
      </c>
      <c r="B1432" s="10">
        <v>5</v>
      </c>
      <c r="C1432" s="10" t="s">
        <v>83</v>
      </c>
      <c r="D1432" s="10">
        <v>1253</v>
      </c>
      <c r="E1432" s="10">
        <v>385000</v>
      </c>
      <c r="F1432" t="s">
        <v>102</v>
      </c>
      <c r="G1432" t="s">
        <v>121</v>
      </c>
    </row>
    <row r="1433" spans="1:7">
      <c r="A1433" s="10">
        <v>2021</v>
      </c>
      <c r="B1433" s="10">
        <v>6</v>
      </c>
      <c r="C1433" s="10" t="s">
        <v>83</v>
      </c>
      <c r="D1433" s="10">
        <v>1204</v>
      </c>
      <c r="E1433" s="10">
        <v>409999</v>
      </c>
      <c r="F1433" t="s">
        <v>102</v>
      </c>
      <c r="G1433" t="s">
        <v>121</v>
      </c>
    </row>
    <row r="1434" spans="1:7">
      <c r="A1434" s="10">
        <v>2021</v>
      </c>
      <c r="B1434" s="10">
        <v>7</v>
      </c>
      <c r="C1434" s="10" t="s">
        <v>83</v>
      </c>
      <c r="D1434" s="10">
        <v>1281</v>
      </c>
      <c r="E1434" s="10">
        <v>426577</v>
      </c>
      <c r="F1434" t="s">
        <v>102</v>
      </c>
      <c r="G1434" t="s">
        <v>121</v>
      </c>
    </row>
    <row r="1435" spans="1:7">
      <c r="A1435" s="10">
        <v>2021</v>
      </c>
      <c r="B1435" s="10">
        <v>8</v>
      </c>
      <c r="C1435" s="10" t="s">
        <v>83</v>
      </c>
      <c r="D1435" s="10">
        <v>1412</v>
      </c>
      <c r="E1435" s="10">
        <v>433257</v>
      </c>
      <c r="F1435" t="s">
        <v>102</v>
      </c>
      <c r="G1435" t="s">
        <v>121</v>
      </c>
    </row>
    <row r="1436" spans="1:7">
      <c r="A1436" s="10">
        <v>2021</v>
      </c>
      <c r="B1436" s="10">
        <v>9</v>
      </c>
      <c r="C1436" s="10" t="s">
        <v>83</v>
      </c>
      <c r="D1436" s="10">
        <v>1529</v>
      </c>
      <c r="E1436" s="10">
        <v>440000</v>
      </c>
      <c r="F1436" t="s">
        <v>102</v>
      </c>
      <c r="G1436" t="s">
        <v>121</v>
      </c>
    </row>
    <row r="1437" spans="1:7">
      <c r="A1437" s="10">
        <v>2021</v>
      </c>
      <c r="B1437" s="10">
        <v>10</v>
      </c>
      <c r="C1437" s="10" t="s">
        <v>83</v>
      </c>
      <c r="D1437" s="10">
        <v>1425</v>
      </c>
      <c r="E1437" s="10">
        <v>459282</v>
      </c>
      <c r="F1437" t="s">
        <v>102</v>
      </c>
      <c r="G1437" t="s">
        <v>121</v>
      </c>
    </row>
    <row r="1438" spans="1:7">
      <c r="A1438" s="10">
        <v>2021</v>
      </c>
      <c r="B1438" s="10">
        <v>11</v>
      </c>
      <c r="C1438" s="10" t="s">
        <v>83</v>
      </c>
      <c r="D1438" s="10">
        <v>1614</v>
      </c>
      <c r="E1438" s="10">
        <v>500000</v>
      </c>
      <c r="F1438" t="s">
        <v>102</v>
      </c>
      <c r="G1438" t="s">
        <v>121</v>
      </c>
    </row>
    <row r="1439" spans="1:7">
      <c r="A1439" s="10">
        <v>2021</v>
      </c>
      <c r="B1439" s="10">
        <v>12</v>
      </c>
      <c r="C1439" s="10" t="s">
        <v>83</v>
      </c>
      <c r="D1439" s="10">
        <v>1721</v>
      </c>
      <c r="E1439" s="10">
        <v>581896</v>
      </c>
      <c r="F1439" t="s">
        <v>102</v>
      </c>
      <c r="G1439" t="s">
        <v>121</v>
      </c>
    </row>
    <row r="1440" spans="1:7">
      <c r="A1440" s="10">
        <v>2022</v>
      </c>
      <c r="B1440" s="10">
        <v>1</v>
      </c>
      <c r="C1440" s="10" t="s">
        <v>83</v>
      </c>
      <c r="D1440" s="10">
        <v>1651</v>
      </c>
      <c r="E1440" s="10">
        <v>609375</v>
      </c>
      <c r="F1440" t="s">
        <v>102</v>
      </c>
      <c r="G1440" t="s">
        <v>121</v>
      </c>
    </row>
    <row r="1441" spans="1:7">
      <c r="A1441" s="10">
        <v>2022</v>
      </c>
      <c r="B1441" s="10">
        <v>2</v>
      </c>
      <c r="C1441" s="10" t="s">
        <v>83</v>
      </c>
      <c r="D1441" s="10">
        <v>1680</v>
      </c>
      <c r="E1441" s="10">
        <v>652173</v>
      </c>
      <c r="F1441" t="s">
        <v>102</v>
      </c>
      <c r="G1441" t="s">
        <v>121</v>
      </c>
    </row>
    <row r="1442" spans="1:7">
      <c r="A1442" s="10">
        <v>2022</v>
      </c>
      <c r="B1442" s="10">
        <v>3</v>
      </c>
      <c r="C1442" s="10" t="s">
        <v>83</v>
      </c>
      <c r="D1442" s="10">
        <v>1767</v>
      </c>
      <c r="E1442" s="10">
        <v>706026</v>
      </c>
      <c r="F1442" t="s">
        <v>102</v>
      </c>
      <c r="G1442" t="s">
        <v>121</v>
      </c>
    </row>
    <row r="1443" spans="1:7">
      <c r="A1443" s="10">
        <v>2022</v>
      </c>
      <c r="B1443" s="10">
        <v>4</v>
      </c>
      <c r="C1443" s="10" t="s">
        <v>83</v>
      </c>
      <c r="D1443" s="10">
        <v>2015</v>
      </c>
      <c r="E1443" s="10">
        <v>788043</v>
      </c>
      <c r="F1443" t="s">
        <v>102</v>
      </c>
      <c r="G1443" t="s">
        <v>121</v>
      </c>
    </row>
    <row r="1444" spans="1:7">
      <c r="A1444" s="10">
        <v>2022</v>
      </c>
      <c r="B1444" s="10">
        <v>5</v>
      </c>
      <c r="C1444" s="10" t="s">
        <v>83</v>
      </c>
      <c r="D1444" s="10">
        <v>2395</v>
      </c>
      <c r="E1444" s="10">
        <v>885416</v>
      </c>
      <c r="F1444" t="s">
        <v>102</v>
      </c>
      <c r="G1444" t="s">
        <v>121</v>
      </c>
    </row>
    <row r="1445" spans="1:7">
      <c r="A1445" s="10">
        <v>2022</v>
      </c>
      <c r="B1445" s="10">
        <v>6</v>
      </c>
      <c r="C1445" s="10" t="s">
        <v>83</v>
      </c>
      <c r="D1445" s="10">
        <v>2318</v>
      </c>
      <c r="E1445" s="10">
        <v>952381</v>
      </c>
      <c r="F1445" t="s">
        <v>102</v>
      </c>
      <c r="G1445" t="s">
        <v>121</v>
      </c>
    </row>
    <row r="1446" spans="1:7">
      <c r="A1446" s="10">
        <v>2022</v>
      </c>
      <c r="B1446" s="10">
        <v>7</v>
      </c>
      <c r="C1446" s="10" t="s">
        <v>83</v>
      </c>
      <c r="D1446" s="10">
        <v>2682</v>
      </c>
      <c r="E1446" s="10">
        <v>1071428</v>
      </c>
      <c r="F1446" t="s">
        <v>102</v>
      </c>
      <c r="G1446" t="s">
        <v>121</v>
      </c>
    </row>
    <row r="1447" spans="1:7">
      <c r="A1447" s="10">
        <v>2022</v>
      </c>
      <c r="B1447" s="10">
        <v>8</v>
      </c>
      <c r="C1447" s="10" t="s">
        <v>83</v>
      </c>
      <c r="D1447" s="10">
        <v>3203</v>
      </c>
      <c r="E1447" s="10">
        <v>1125000</v>
      </c>
      <c r="F1447" t="s">
        <v>102</v>
      </c>
      <c r="G1447" t="s">
        <v>121</v>
      </c>
    </row>
    <row r="1448" spans="1:7">
      <c r="A1448" s="10">
        <v>2022</v>
      </c>
      <c r="B1448" s="10">
        <v>9</v>
      </c>
      <c r="C1448" s="10" t="s">
        <v>83</v>
      </c>
      <c r="D1448" s="10">
        <v>3399</v>
      </c>
      <c r="E1448" s="10">
        <v>1129411</v>
      </c>
      <c r="F1448" t="s">
        <v>102</v>
      </c>
      <c r="G1448" t="s">
        <v>121</v>
      </c>
    </row>
    <row r="1449" spans="1:7">
      <c r="A1449" s="10">
        <v>2022</v>
      </c>
      <c r="B1449" s="10">
        <v>10</v>
      </c>
      <c r="C1449" s="10" t="s">
        <v>83</v>
      </c>
      <c r="D1449" s="10">
        <v>3499</v>
      </c>
      <c r="E1449" s="10">
        <v>1175128</v>
      </c>
      <c r="F1449" t="s">
        <v>102</v>
      </c>
      <c r="G1449" t="s">
        <v>121</v>
      </c>
    </row>
    <row r="1450" spans="1:7">
      <c r="A1450" s="10">
        <v>2022</v>
      </c>
      <c r="B1450" s="10">
        <v>11</v>
      </c>
      <c r="C1450" s="10" t="s">
        <v>83</v>
      </c>
      <c r="D1450" s="10">
        <v>3351</v>
      </c>
      <c r="E1450" s="10">
        <v>1248000</v>
      </c>
      <c r="F1450" t="s">
        <v>102</v>
      </c>
      <c r="G1450" t="s">
        <v>121</v>
      </c>
    </row>
    <row r="1451" spans="1:7">
      <c r="A1451" s="10">
        <v>2022</v>
      </c>
      <c r="B1451" s="10">
        <v>12</v>
      </c>
      <c r="C1451" s="10" t="s">
        <v>83</v>
      </c>
      <c r="D1451" s="10">
        <v>3427</v>
      </c>
      <c r="E1451" s="10">
        <v>1314444</v>
      </c>
      <c r="F1451" t="s">
        <v>102</v>
      </c>
      <c r="G1451" t="s">
        <v>121</v>
      </c>
    </row>
    <row r="1452" spans="1:7">
      <c r="A1452" s="10">
        <v>2021</v>
      </c>
      <c r="B1452" s="10">
        <v>5</v>
      </c>
      <c r="C1452" s="10" t="s">
        <v>84</v>
      </c>
      <c r="D1452" s="10">
        <v>862</v>
      </c>
      <c r="E1452" s="10">
        <v>308966</v>
      </c>
      <c r="F1452" t="s">
        <v>101</v>
      </c>
      <c r="G1452" t="s">
        <v>119</v>
      </c>
    </row>
    <row r="1453" spans="1:7">
      <c r="A1453" s="10">
        <v>2021</v>
      </c>
      <c r="B1453" s="10">
        <v>6</v>
      </c>
      <c r="C1453" s="10" t="s">
        <v>84</v>
      </c>
      <c r="D1453" s="10">
        <v>828</v>
      </c>
      <c r="E1453" s="10">
        <v>319999</v>
      </c>
      <c r="F1453" t="s">
        <v>101</v>
      </c>
      <c r="G1453" t="s">
        <v>119</v>
      </c>
    </row>
    <row r="1454" spans="1:7">
      <c r="A1454" s="10">
        <v>2021</v>
      </c>
      <c r="B1454" s="10">
        <v>7</v>
      </c>
      <c r="C1454" s="10" t="s">
        <v>84</v>
      </c>
      <c r="D1454" s="10">
        <v>877</v>
      </c>
      <c r="E1454" s="10">
        <v>348000</v>
      </c>
      <c r="F1454" t="s">
        <v>101</v>
      </c>
      <c r="G1454" t="s">
        <v>119</v>
      </c>
    </row>
    <row r="1455" spans="1:7">
      <c r="A1455" s="10">
        <v>2021</v>
      </c>
      <c r="B1455" s="10">
        <v>8</v>
      </c>
      <c r="C1455" s="10" t="s">
        <v>84</v>
      </c>
      <c r="D1455" s="10">
        <v>949</v>
      </c>
      <c r="E1455" s="10">
        <v>357744</v>
      </c>
      <c r="F1455" t="s">
        <v>101</v>
      </c>
      <c r="G1455" t="s">
        <v>119</v>
      </c>
    </row>
    <row r="1456" spans="1:7">
      <c r="A1456" s="10">
        <v>2021</v>
      </c>
      <c r="B1456" s="10">
        <v>9</v>
      </c>
      <c r="C1456" s="10" t="s">
        <v>84</v>
      </c>
      <c r="D1456" s="10">
        <v>1002</v>
      </c>
      <c r="E1456" s="10">
        <v>372103</v>
      </c>
      <c r="F1456" t="s">
        <v>101</v>
      </c>
      <c r="G1456" t="s">
        <v>119</v>
      </c>
    </row>
    <row r="1457" spans="1:7">
      <c r="A1457" s="10">
        <v>2021</v>
      </c>
      <c r="B1457" s="10">
        <v>10</v>
      </c>
      <c r="C1457" s="10" t="s">
        <v>84</v>
      </c>
      <c r="D1457" s="10">
        <v>1014</v>
      </c>
      <c r="E1457" s="10">
        <v>378667</v>
      </c>
      <c r="F1457" t="s">
        <v>101</v>
      </c>
      <c r="G1457" t="s">
        <v>119</v>
      </c>
    </row>
    <row r="1458" spans="1:7">
      <c r="A1458" s="10">
        <v>2021</v>
      </c>
      <c r="B1458" s="10">
        <v>11</v>
      </c>
      <c r="C1458" s="10" t="s">
        <v>84</v>
      </c>
      <c r="D1458" s="10">
        <v>997</v>
      </c>
      <c r="E1458" s="10">
        <v>413518</v>
      </c>
      <c r="F1458" t="s">
        <v>101</v>
      </c>
      <c r="G1458" t="s">
        <v>119</v>
      </c>
    </row>
    <row r="1459" spans="1:7">
      <c r="A1459" s="10">
        <v>2021</v>
      </c>
      <c r="B1459" s="10">
        <v>12</v>
      </c>
      <c r="C1459" s="10" t="s">
        <v>84</v>
      </c>
      <c r="D1459" s="10">
        <v>1122</v>
      </c>
      <c r="E1459" s="10">
        <v>486992</v>
      </c>
      <c r="F1459" t="s">
        <v>101</v>
      </c>
      <c r="G1459" t="s">
        <v>119</v>
      </c>
    </row>
    <row r="1460" spans="1:7">
      <c r="A1460" s="10">
        <v>2022</v>
      </c>
      <c r="B1460" s="10">
        <v>1</v>
      </c>
      <c r="C1460" s="10" t="s">
        <v>84</v>
      </c>
      <c r="D1460" s="10">
        <v>1174</v>
      </c>
      <c r="E1460" s="10">
        <v>561875</v>
      </c>
      <c r="F1460" t="s">
        <v>101</v>
      </c>
      <c r="G1460" t="s">
        <v>119</v>
      </c>
    </row>
    <row r="1461" spans="1:7">
      <c r="A1461" s="10">
        <v>2022</v>
      </c>
      <c r="B1461" s="10">
        <v>2</v>
      </c>
      <c r="C1461" s="10" t="s">
        <v>84</v>
      </c>
      <c r="D1461" s="10">
        <v>1239</v>
      </c>
      <c r="E1461" s="10">
        <v>600426</v>
      </c>
      <c r="F1461" t="s">
        <v>101</v>
      </c>
      <c r="G1461" t="s">
        <v>119</v>
      </c>
    </row>
    <row r="1462" spans="1:7">
      <c r="A1462" s="10">
        <v>2022</v>
      </c>
      <c r="B1462" s="10">
        <v>3</v>
      </c>
      <c r="C1462" s="10" t="s">
        <v>84</v>
      </c>
      <c r="D1462" s="10">
        <v>1407</v>
      </c>
      <c r="E1462" s="10">
        <v>655568</v>
      </c>
      <c r="F1462" t="s">
        <v>101</v>
      </c>
      <c r="G1462" t="s">
        <v>119</v>
      </c>
    </row>
    <row r="1463" spans="1:7">
      <c r="A1463" s="10">
        <v>2022</v>
      </c>
      <c r="B1463" s="10">
        <v>4</v>
      </c>
      <c r="C1463" s="10" t="s">
        <v>84</v>
      </c>
      <c r="D1463" s="10">
        <v>1442</v>
      </c>
      <c r="E1463" s="10">
        <v>703676</v>
      </c>
      <c r="F1463" t="s">
        <v>101</v>
      </c>
      <c r="G1463" t="s">
        <v>119</v>
      </c>
    </row>
    <row r="1464" spans="1:7">
      <c r="A1464" s="10">
        <v>2022</v>
      </c>
      <c r="B1464" s="10">
        <v>5</v>
      </c>
      <c r="C1464" s="10" t="s">
        <v>84</v>
      </c>
      <c r="D1464" s="10">
        <v>1559</v>
      </c>
      <c r="E1464" s="10">
        <v>780769</v>
      </c>
      <c r="F1464" t="s">
        <v>101</v>
      </c>
      <c r="G1464" t="s">
        <v>119</v>
      </c>
    </row>
    <row r="1465" spans="1:7">
      <c r="A1465" s="10">
        <v>2022</v>
      </c>
      <c r="B1465" s="10">
        <v>6</v>
      </c>
      <c r="C1465" s="10" t="s">
        <v>84</v>
      </c>
      <c r="D1465" s="10">
        <v>2204</v>
      </c>
      <c r="E1465" s="10">
        <v>865000</v>
      </c>
      <c r="F1465" t="s">
        <v>101</v>
      </c>
      <c r="G1465" t="s">
        <v>119</v>
      </c>
    </row>
    <row r="1466" spans="1:7">
      <c r="A1466" s="10">
        <v>2022</v>
      </c>
      <c r="B1466" s="10">
        <v>7</v>
      </c>
      <c r="C1466" s="10" t="s">
        <v>84</v>
      </c>
      <c r="D1466" s="10">
        <v>2678</v>
      </c>
      <c r="E1466" s="10">
        <v>926129</v>
      </c>
      <c r="F1466" t="s">
        <v>101</v>
      </c>
      <c r="G1466" t="s">
        <v>119</v>
      </c>
    </row>
    <row r="1467" spans="1:7">
      <c r="A1467" s="10">
        <v>2022</v>
      </c>
      <c r="B1467" s="10">
        <v>8</v>
      </c>
      <c r="C1467" s="10" t="s">
        <v>84</v>
      </c>
      <c r="D1467" s="10">
        <v>2799</v>
      </c>
      <c r="E1467" s="10">
        <v>963214</v>
      </c>
      <c r="F1467" t="s">
        <v>101</v>
      </c>
      <c r="G1467" t="s">
        <v>119</v>
      </c>
    </row>
    <row r="1468" spans="1:7">
      <c r="A1468" s="10">
        <v>2022</v>
      </c>
      <c r="B1468" s="10">
        <v>9</v>
      </c>
      <c r="C1468" s="10" t="s">
        <v>84</v>
      </c>
      <c r="D1468" s="10">
        <v>2844</v>
      </c>
      <c r="E1468" s="10">
        <v>993139</v>
      </c>
      <c r="F1468" t="s">
        <v>101</v>
      </c>
      <c r="G1468" t="s">
        <v>119</v>
      </c>
    </row>
    <row r="1469" spans="1:7">
      <c r="A1469" s="10">
        <v>2022</v>
      </c>
      <c r="B1469" s="10">
        <v>10</v>
      </c>
      <c r="C1469" s="10" t="s">
        <v>84</v>
      </c>
      <c r="D1469" s="10">
        <v>2897</v>
      </c>
      <c r="E1469" s="10">
        <v>1038200</v>
      </c>
      <c r="F1469" t="s">
        <v>101</v>
      </c>
      <c r="G1469" t="s">
        <v>119</v>
      </c>
    </row>
    <row r="1470" spans="1:7">
      <c r="A1470" s="10">
        <v>2022</v>
      </c>
      <c r="B1470" s="10">
        <v>11</v>
      </c>
      <c r="C1470" s="10" t="s">
        <v>84</v>
      </c>
      <c r="D1470" s="10">
        <v>2909</v>
      </c>
      <c r="E1470" s="10">
        <v>1104559</v>
      </c>
      <c r="F1470" t="s">
        <v>101</v>
      </c>
      <c r="G1470" t="s">
        <v>119</v>
      </c>
    </row>
    <row r="1471" spans="1:7">
      <c r="A1471" s="10">
        <v>2022</v>
      </c>
      <c r="B1471" s="10">
        <v>12</v>
      </c>
      <c r="C1471" s="10" t="s">
        <v>84</v>
      </c>
      <c r="D1471" s="10">
        <v>3150</v>
      </c>
      <c r="E1471" s="10">
        <v>1165178</v>
      </c>
      <c r="F1471" t="s">
        <v>101</v>
      </c>
      <c r="G1471" t="s">
        <v>119</v>
      </c>
    </row>
    <row r="1472" spans="1:7">
      <c r="A1472" s="10">
        <v>2021</v>
      </c>
      <c r="B1472" s="10">
        <v>5</v>
      </c>
      <c r="C1472" s="10" t="s">
        <v>85</v>
      </c>
      <c r="D1472" s="10">
        <v>1477</v>
      </c>
      <c r="E1472" s="10">
        <v>387000</v>
      </c>
      <c r="F1472" t="s">
        <v>124</v>
      </c>
      <c r="G1472" t="s">
        <v>126</v>
      </c>
    </row>
    <row r="1473" spans="1:7">
      <c r="A1473" s="10">
        <v>2021</v>
      </c>
      <c r="B1473" s="10">
        <v>6</v>
      </c>
      <c r="C1473" s="10" t="s">
        <v>85</v>
      </c>
      <c r="D1473" s="10">
        <v>1533</v>
      </c>
      <c r="E1473" s="10">
        <v>406220</v>
      </c>
      <c r="F1473" t="s">
        <v>124</v>
      </c>
      <c r="G1473" t="s">
        <v>126</v>
      </c>
    </row>
    <row r="1474" spans="1:7">
      <c r="A1474" s="10">
        <v>2021</v>
      </c>
      <c r="B1474" s="10">
        <v>7</v>
      </c>
      <c r="C1474" s="10" t="s">
        <v>85</v>
      </c>
      <c r="D1474" s="10">
        <v>1637</v>
      </c>
      <c r="E1474" s="10">
        <v>439059</v>
      </c>
      <c r="F1474" t="s">
        <v>124</v>
      </c>
      <c r="G1474" t="s">
        <v>126</v>
      </c>
    </row>
    <row r="1475" spans="1:7">
      <c r="A1475" s="10">
        <v>2021</v>
      </c>
      <c r="B1475" s="10">
        <v>8</v>
      </c>
      <c r="C1475" s="10" t="s">
        <v>85</v>
      </c>
      <c r="D1475" s="10">
        <v>1711</v>
      </c>
      <c r="E1475" s="10">
        <v>437500</v>
      </c>
      <c r="F1475" t="s">
        <v>124</v>
      </c>
      <c r="G1475" t="s">
        <v>126</v>
      </c>
    </row>
    <row r="1476" spans="1:7">
      <c r="A1476" s="10">
        <v>2021</v>
      </c>
      <c r="B1476" s="10">
        <v>9</v>
      </c>
      <c r="C1476" s="10" t="s">
        <v>85</v>
      </c>
      <c r="D1476" s="10">
        <v>1800</v>
      </c>
      <c r="E1476" s="10">
        <v>471724</v>
      </c>
      <c r="F1476" t="s">
        <v>124</v>
      </c>
      <c r="G1476" t="s">
        <v>126</v>
      </c>
    </row>
    <row r="1477" spans="1:7">
      <c r="A1477" s="10">
        <v>2021</v>
      </c>
      <c r="B1477" s="10">
        <v>10</v>
      </c>
      <c r="C1477" s="10" t="s">
        <v>85</v>
      </c>
      <c r="D1477" s="10">
        <v>1875</v>
      </c>
      <c r="E1477" s="10">
        <v>513333</v>
      </c>
      <c r="F1477" t="s">
        <v>124</v>
      </c>
      <c r="G1477" t="s">
        <v>126</v>
      </c>
    </row>
    <row r="1478" spans="1:7">
      <c r="A1478" s="10">
        <v>2021</v>
      </c>
      <c r="B1478" s="10">
        <v>11</v>
      </c>
      <c r="C1478" s="10" t="s">
        <v>85</v>
      </c>
      <c r="D1478" s="10">
        <v>1984</v>
      </c>
      <c r="E1478" s="10">
        <v>577499</v>
      </c>
      <c r="F1478" t="s">
        <v>124</v>
      </c>
      <c r="G1478" t="s">
        <v>126</v>
      </c>
    </row>
    <row r="1479" spans="1:7">
      <c r="A1479" s="10">
        <v>2021</v>
      </c>
      <c r="B1479" s="10">
        <v>12</v>
      </c>
      <c r="C1479" s="10" t="s">
        <v>85</v>
      </c>
      <c r="D1479" s="10">
        <v>2111</v>
      </c>
      <c r="E1479" s="10">
        <v>691250</v>
      </c>
      <c r="F1479" t="s">
        <v>124</v>
      </c>
      <c r="G1479" t="s">
        <v>126</v>
      </c>
    </row>
    <row r="1480" spans="1:7">
      <c r="A1480" s="10">
        <v>2022</v>
      </c>
      <c r="B1480" s="10">
        <v>1</v>
      </c>
      <c r="C1480" s="10" t="s">
        <v>85</v>
      </c>
      <c r="D1480" s="10">
        <v>2099</v>
      </c>
      <c r="E1480" s="10">
        <v>737500</v>
      </c>
      <c r="F1480" t="s">
        <v>124</v>
      </c>
      <c r="G1480" t="s">
        <v>126</v>
      </c>
    </row>
    <row r="1481" spans="1:7">
      <c r="A1481" s="10">
        <v>2022</v>
      </c>
      <c r="B1481" s="10">
        <v>2</v>
      </c>
      <c r="C1481" s="10" t="s">
        <v>85</v>
      </c>
      <c r="D1481" s="10">
        <v>2142</v>
      </c>
      <c r="E1481" s="10">
        <v>777777</v>
      </c>
      <c r="F1481" t="s">
        <v>124</v>
      </c>
      <c r="G1481" t="s">
        <v>126</v>
      </c>
    </row>
    <row r="1482" spans="1:7">
      <c r="A1482" s="10">
        <v>2022</v>
      </c>
      <c r="B1482" s="10">
        <v>3</v>
      </c>
      <c r="C1482" s="10" t="s">
        <v>85</v>
      </c>
      <c r="D1482" s="10">
        <v>2270</v>
      </c>
      <c r="E1482" s="10">
        <v>835227</v>
      </c>
      <c r="F1482" t="s">
        <v>124</v>
      </c>
      <c r="G1482" t="s">
        <v>126</v>
      </c>
    </row>
    <row r="1483" spans="1:7">
      <c r="A1483" s="10">
        <v>2022</v>
      </c>
      <c r="B1483" s="10">
        <v>4</v>
      </c>
      <c r="C1483" s="10" t="s">
        <v>85</v>
      </c>
      <c r="D1483" s="10">
        <v>2365</v>
      </c>
      <c r="E1483" s="10">
        <v>896875</v>
      </c>
      <c r="F1483" t="s">
        <v>124</v>
      </c>
      <c r="G1483" t="s">
        <v>126</v>
      </c>
    </row>
    <row r="1484" spans="1:7">
      <c r="A1484" s="10">
        <v>2022</v>
      </c>
      <c r="B1484" s="10">
        <v>5</v>
      </c>
      <c r="C1484" s="10" t="s">
        <v>85</v>
      </c>
      <c r="D1484" s="10">
        <v>2457</v>
      </c>
      <c r="E1484" s="10">
        <v>1023484</v>
      </c>
      <c r="F1484" t="s">
        <v>124</v>
      </c>
      <c r="G1484" t="s">
        <v>126</v>
      </c>
    </row>
    <row r="1485" spans="1:7">
      <c r="A1485" s="10">
        <v>2022</v>
      </c>
      <c r="B1485" s="10">
        <v>6</v>
      </c>
      <c r="C1485" s="10" t="s">
        <v>85</v>
      </c>
      <c r="D1485" s="10">
        <v>2740</v>
      </c>
      <c r="E1485" s="10">
        <v>1131399</v>
      </c>
      <c r="F1485" t="s">
        <v>124</v>
      </c>
      <c r="G1485" t="s">
        <v>126</v>
      </c>
    </row>
    <row r="1486" spans="1:7">
      <c r="A1486" s="10">
        <v>2022</v>
      </c>
      <c r="B1486" s="10">
        <v>7</v>
      </c>
      <c r="C1486" s="10" t="s">
        <v>85</v>
      </c>
      <c r="D1486" s="10">
        <v>3028</v>
      </c>
      <c r="E1486" s="10">
        <v>1190000</v>
      </c>
      <c r="F1486" t="s">
        <v>124</v>
      </c>
      <c r="G1486" t="s">
        <v>126</v>
      </c>
    </row>
    <row r="1487" spans="1:7">
      <c r="A1487" s="10">
        <v>2022</v>
      </c>
      <c r="B1487" s="10">
        <v>8</v>
      </c>
      <c r="C1487" s="10" t="s">
        <v>85</v>
      </c>
      <c r="D1487" s="10">
        <v>3230</v>
      </c>
      <c r="E1487" s="10">
        <v>1219531</v>
      </c>
      <c r="F1487" t="s">
        <v>124</v>
      </c>
      <c r="G1487" t="s">
        <v>126</v>
      </c>
    </row>
    <row r="1488" spans="1:7">
      <c r="A1488" s="10">
        <v>2022</v>
      </c>
      <c r="B1488" s="10">
        <v>9</v>
      </c>
      <c r="C1488" s="10" t="s">
        <v>85</v>
      </c>
      <c r="D1488" s="10">
        <v>3368</v>
      </c>
      <c r="E1488" s="10">
        <v>1268750</v>
      </c>
      <c r="F1488" t="s">
        <v>124</v>
      </c>
      <c r="G1488" t="s">
        <v>126</v>
      </c>
    </row>
    <row r="1489" spans="1:7">
      <c r="A1489" s="10">
        <v>2022</v>
      </c>
      <c r="B1489" s="10">
        <v>10</v>
      </c>
      <c r="C1489" s="10" t="s">
        <v>85</v>
      </c>
      <c r="D1489" s="10">
        <v>3521</v>
      </c>
      <c r="E1489" s="10">
        <v>1286764</v>
      </c>
      <c r="F1489" t="s">
        <v>124</v>
      </c>
      <c r="G1489" t="s">
        <v>126</v>
      </c>
    </row>
    <row r="1490" spans="1:7">
      <c r="A1490" s="10">
        <v>2022</v>
      </c>
      <c r="B1490" s="10">
        <v>11</v>
      </c>
      <c r="C1490" s="10" t="s">
        <v>85</v>
      </c>
      <c r="D1490" s="10">
        <v>3650</v>
      </c>
      <c r="E1490" s="10">
        <v>1325000</v>
      </c>
      <c r="F1490" t="s">
        <v>124</v>
      </c>
      <c r="G1490" t="s">
        <v>126</v>
      </c>
    </row>
    <row r="1491" spans="1:7">
      <c r="A1491" s="10">
        <v>2022</v>
      </c>
      <c r="B1491" s="10">
        <v>12</v>
      </c>
      <c r="C1491" s="10" t="s">
        <v>85</v>
      </c>
      <c r="D1491" s="10">
        <v>3727</v>
      </c>
      <c r="E1491" s="10">
        <v>1361111</v>
      </c>
      <c r="F1491" t="s">
        <v>124</v>
      </c>
      <c r="G1491" t="s">
        <v>126</v>
      </c>
    </row>
    <row r="1492" spans="1:7">
      <c r="A1492" s="10">
        <v>2021</v>
      </c>
      <c r="B1492" s="10">
        <v>5</v>
      </c>
      <c r="C1492" s="10" t="s">
        <v>86</v>
      </c>
      <c r="D1492" s="10">
        <v>1474</v>
      </c>
      <c r="E1492" s="10">
        <v>345600</v>
      </c>
      <c r="F1492" t="s">
        <v>96</v>
      </c>
      <c r="G1492" t="s">
        <v>105</v>
      </c>
    </row>
    <row r="1493" spans="1:7">
      <c r="A1493" s="10">
        <v>2021</v>
      </c>
      <c r="B1493" s="10">
        <v>6</v>
      </c>
      <c r="C1493" s="10" t="s">
        <v>86</v>
      </c>
      <c r="D1493" s="10">
        <v>1439</v>
      </c>
      <c r="E1493" s="10">
        <v>357721</v>
      </c>
      <c r="F1493" t="s">
        <v>96</v>
      </c>
      <c r="G1493" t="s">
        <v>105</v>
      </c>
    </row>
    <row r="1494" spans="1:7">
      <c r="A1494" s="10">
        <v>2021</v>
      </c>
      <c r="B1494" s="10">
        <v>7</v>
      </c>
      <c r="C1494" s="10" t="s">
        <v>86</v>
      </c>
      <c r="D1494" s="10">
        <v>1593</v>
      </c>
      <c r="E1494" s="10">
        <v>375000</v>
      </c>
      <c r="F1494" t="s">
        <v>96</v>
      </c>
      <c r="G1494" t="s">
        <v>105</v>
      </c>
    </row>
    <row r="1495" spans="1:7">
      <c r="A1495" s="10">
        <v>2021</v>
      </c>
      <c r="B1495" s="10">
        <v>8</v>
      </c>
      <c r="C1495" s="10" t="s">
        <v>86</v>
      </c>
      <c r="D1495" s="10">
        <v>1710</v>
      </c>
      <c r="E1495" s="10">
        <v>385222</v>
      </c>
      <c r="F1495" t="s">
        <v>96</v>
      </c>
      <c r="G1495" t="s">
        <v>105</v>
      </c>
    </row>
    <row r="1496" spans="1:7">
      <c r="A1496" s="10">
        <v>2021</v>
      </c>
      <c r="B1496" s="10">
        <v>9</v>
      </c>
      <c r="C1496" s="10" t="s">
        <v>86</v>
      </c>
      <c r="D1496" s="10">
        <v>1753</v>
      </c>
      <c r="E1496" s="10">
        <v>406737</v>
      </c>
      <c r="F1496" t="s">
        <v>96</v>
      </c>
      <c r="G1496" t="s">
        <v>105</v>
      </c>
    </row>
    <row r="1497" spans="1:7">
      <c r="A1497" s="10">
        <v>2021</v>
      </c>
      <c r="B1497" s="10">
        <v>10</v>
      </c>
      <c r="C1497" s="10" t="s">
        <v>86</v>
      </c>
      <c r="D1497" s="10">
        <v>1900</v>
      </c>
      <c r="E1497" s="10">
        <v>418500</v>
      </c>
      <c r="F1497" t="s">
        <v>96</v>
      </c>
      <c r="G1497" t="s">
        <v>105</v>
      </c>
    </row>
    <row r="1498" spans="1:7">
      <c r="A1498" s="10">
        <v>2021</v>
      </c>
      <c r="B1498" s="10">
        <v>11</v>
      </c>
      <c r="C1498" s="10" t="s">
        <v>86</v>
      </c>
      <c r="D1498" s="10">
        <v>1946</v>
      </c>
      <c r="E1498" s="10">
        <v>474917</v>
      </c>
      <c r="F1498" t="s">
        <v>96</v>
      </c>
      <c r="G1498" t="s">
        <v>105</v>
      </c>
    </row>
    <row r="1499" spans="1:7">
      <c r="A1499" s="10">
        <v>2021</v>
      </c>
      <c r="B1499" s="10">
        <v>12</v>
      </c>
      <c r="C1499" s="10" t="s">
        <v>86</v>
      </c>
      <c r="D1499" s="10">
        <v>2012</v>
      </c>
      <c r="E1499" s="10">
        <v>577500</v>
      </c>
      <c r="F1499" t="s">
        <v>96</v>
      </c>
      <c r="G1499" t="s">
        <v>105</v>
      </c>
    </row>
    <row r="1500" spans="1:7">
      <c r="A1500" s="10">
        <v>2022</v>
      </c>
      <c r="B1500" s="10">
        <v>1</v>
      </c>
      <c r="C1500" s="10" t="s">
        <v>86</v>
      </c>
      <c r="D1500" s="10">
        <v>2107</v>
      </c>
      <c r="E1500" s="10">
        <v>633333</v>
      </c>
      <c r="F1500" t="s">
        <v>96</v>
      </c>
      <c r="G1500" t="s">
        <v>105</v>
      </c>
    </row>
    <row r="1501" spans="1:7">
      <c r="A1501" s="10">
        <v>2022</v>
      </c>
      <c r="B1501" s="10">
        <v>2</v>
      </c>
      <c r="C1501" s="10" t="s">
        <v>86</v>
      </c>
      <c r="D1501" s="10">
        <v>2256</v>
      </c>
      <c r="E1501" s="10">
        <v>676666</v>
      </c>
      <c r="F1501" t="s">
        <v>96</v>
      </c>
      <c r="G1501" t="s">
        <v>105</v>
      </c>
    </row>
    <row r="1502" spans="1:7">
      <c r="A1502" s="10">
        <v>2022</v>
      </c>
      <c r="B1502" s="10">
        <v>3</v>
      </c>
      <c r="C1502" s="10" t="s">
        <v>86</v>
      </c>
      <c r="D1502" s="10">
        <v>2427</v>
      </c>
      <c r="E1502" s="10">
        <v>735000</v>
      </c>
      <c r="F1502" t="s">
        <v>96</v>
      </c>
      <c r="G1502" t="s">
        <v>105</v>
      </c>
    </row>
    <row r="1503" spans="1:7">
      <c r="A1503" s="10">
        <v>2022</v>
      </c>
      <c r="B1503" s="10">
        <v>4</v>
      </c>
      <c r="C1503" s="10" t="s">
        <v>86</v>
      </c>
      <c r="D1503" s="10">
        <v>2729</v>
      </c>
      <c r="E1503" s="10">
        <v>833333</v>
      </c>
      <c r="F1503" t="s">
        <v>96</v>
      </c>
      <c r="G1503" t="s">
        <v>105</v>
      </c>
    </row>
    <row r="1504" spans="1:7">
      <c r="A1504" s="10">
        <v>2022</v>
      </c>
      <c r="B1504" s="10">
        <v>5</v>
      </c>
      <c r="C1504" s="10" t="s">
        <v>86</v>
      </c>
      <c r="D1504" s="10">
        <v>3217</v>
      </c>
      <c r="E1504" s="10">
        <v>953750</v>
      </c>
      <c r="F1504" t="s">
        <v>96</v>
      </c>
      <c r="G1504" t="s">
        <v>105</v>
      </c>
    </row>
    <row r="1505" spans="1:7">
      <c r="A1505" s="10">
        <v>2022</v>
      </c>
      <c r="B1505" s="10">
        <v>6</v>
      </c>
      <c r="C1505" s="10" t="s">
        <v>86</v>
      </c>
      <c r="D1505" s="10">
        <v>3794</v>
      </c>
      <c r="E1505" s="10">
        <v>1050000</v>
      </c>
      <c r="F1505" t="s">
        <v>96</v>
      </c>
      <c r="G1505" t="s">
        <v>105</v>
      </c>
    </row>
    <row r="1506" spans="1:7">
      <c r="A1506" s="10">
        <v>2022</v>
      </c>
      <c r="B1506" s="10">
        <v>7</v>
      </c>
      <c r="C1506" s="10" t="s">
        <v>86</v>
      </c>
      <c r="D1506" s="10">
        <v>4275</v>
      </c>
      <c r="E1506" s="10">
        <v>1155000</v>
      </c>
      <c r="F1506" t="s">
        <v>96</v>
      </c>
      <c r="G1506" t="s">
        <v>105</v>
      </c>
    </row>
    <row r="1507" spans="1:7">
      <c r="A1507" s="10">
        <v>2022</v>
      </c>
      <c r="B1507" s="10">
        <v>8</v>
      </c>
      <c r="C1507" s="10" t="s">
        <v>86</v>
      </c>
      <c r="D1507" s="10">
        <v>4538</v>
      </c>
      <c r="E1507" s="10">
        <v>1217391</v>
      </c>
      <c r="F1507" t="s">
        <v>96</v>
      </c>
      <c r="G1507" t="s">
        <v>105</v>
      </c>
    </row>
    <row r="1508" spans="1:7">
      <c r="A1508" s="10">
        <v>2022</v>
      </c>
      <c r="B1508" s="10">
        <v>9</v>
      </c>
      <c r="C1508" s="10" t="s">
        <v>86</v>
      </c>
      <c r="D1508" s="10">
        <v>4739</v>
      </c>
      <c r="E1508" s="10">
        <v>1271772</v>
      </c>
      <c r="F1508" t="s">
        <v>96</v>
      </c>
      <c r="G1508" t="s">
        <v>105</v>
      </c>
    </row>
    <row r="1509" spans="1:7">
      <c r="A1509" s="10">
        <v>2022</v>
      </c>
      <c r="B1509" s="10">
        <v>10</v>
      </c>
      <c r="C1509" s="10" t="s">
        <v>86</v>
      </c>
      <c r="D1509" s="10">
        <v>4844</v>
      </c>
      <c r="E1509" s="10">
        <v>1318333</v>
      </c>
      <c r="F1509" t="s">
        <v>96</v>
      </c>
      <c r="G1509" t="s">
        <v>105</v>
      </c>
    </row>
    <row r="1510" spans="1:7">
      <c r="A1510" s="10">
        <v>2022</v>
      </c>
      <c r="B1510" s="10">
        <v>11</v>
      </c>
      <c r="C1510" s="10" t="s">
        <v>86</v>
      </c>
      <c r="D1510" s="10">
        <v>5050</v>
      </c>
      <c r="E1510" s="10">
        <v>1400000</v>
      </c>
      <c r="F1510" t="s">
        <v>96</v>
      </c>
      <c r="G1510" t="s">
        <v>105</v>
      </c>
    </row>
    <row r="1511" spans="1:7">
      <c r="A1511" s="10">
        <v>2022</v>
      </c>
      <c r="B1511" s="10">
        <v>12</v>
      </c>
      <c r="C1511" s="10" t="s">
        <v>86</v>
      </c>
      <c r="D1511" s="10">
        <v>5243</v>
      </c>
      <c r="E1511" s="10">
        <v>1470000</v>
      </c>
      <c r="F1511" t="s">
        <v>96</v>
      </c>
      <c r="G1511" t="s">
        <v>105</v>
      </c>
    </row>
    <row r="1512" spans="1:7">
      <c r="A1512" s="10">
        <v>2021</v>
      </c>
      <c r="B1512" s="10">
        <v>5</v>
      </c>
      <c r="C1512" s="10" t="s">
        <v>87</v>
      </c>
      <c r="D1512" s="10">
        <v>986</v>
      </c>
      <c r="E1512" s="10">
        <v>345086</v>
      </c>
      <c r="F1512" t="s">
        <v>102</v>
      </c>
      <c r="G1512" t="s">
        <v>122</v>
      </c>
    </row>
    <row r="1513" spans="1:7">
      <c r="A1513" s="10">
        <v>2021</v>
      </c>
      <c r="B1513" s="10">
        <v>6</v>
      </c>
      <c r="C1513" s="10" t="s">
        <v>87</v>
      </c>
      <c r="D1513" s="10">
        <v>1040</v>
      </c>
      <c r="E1513" s="10">
        <v>352500</v>
      </c>
      <c r="F1513" t="s">
        <v>102</v>
      </c>
      <c r="G1513" t="s">
        <v>122</v>
      </c>
    </row>
    <row r="1514" spans="1:7">
      <c r="A1514" s="10">
        <v>2021</v>
      </c>
      <c r="B1514" s="10">
        <v>7</v>
      </c>
      <c r="C1514" s="10" t="s">
        <v>87</v>
      </c>
      <c r="D1514" s="10">
        <v>1100</v>
      </c>
      <c r="E1514" s="10">
        <v>370588</v>
      </c>
      <c r="F1514" t="s">
        <v>102</v>
      </c>
      <c r="G1514" t="s">
        <v>122</v>
      </c>
    </row>
    <row r="1515" spans="1:7">
      <c r="A1515" s="10">
        <v>2021</v>
      </c>
      <c r="B1515" s="10">
        <v>8</v>
      </c>
      <c r="C1515" s="10" t="s">
        <v>87</v>
      </c>
      <c r="D1515" s="10">
        <v>1141</v>
      </c>
      <c r="E1515" s="10">
        <v>388119</v>
      </c>
      <c r="F1515" t="s">
        <v>102</v>
      </c>
      <c r="G1515" t="s">
        <v>122</v>
      </c>
    </row>
    <row r="1516" spans="1:7">
      <c r="A1516" s="10">
        <v>2021</v>
      </c>
      <c r="B1516" s="10">
        <v>9</v>
      </c>
      <c r="C1516" s="10" t="s">
        <v>87</v>
      </c>
      <c r="D1516" s="10">
        <v>1211</v>
      </c>
      <c r="E1516" s="10">
        <v>396666</v>
      </c>
      <c r="F1516" t="s">
        <v>102</v>
      </c>
      <c r="G1516" t="s">
        <v>122</v>
      </c>
    </row>
    <row r="1517" spans="1:7">
      <c r="A1517" s="10">
        <v>2021</v>
      </c>
      <c r="B1517" s="10">
        <v>10</v>
      </c>
      <c r="C1517" s="10" t="s">
        <v>87</v>
      </c>
      <c r="D1517" s="10">
        <v>1266</v>
      </c>
      <c r="E1517" s="10">
        <v>413912</v>
      </c>
      <c r="F1517" t="s">
        <v>102</v>
      </c>
      <c r="G1517" t="s">
        <v>122</v>
      </c>
    </row>
    <row r="1518" spans="1:7">
      <c r="A1518" s="10">
        <v>2021</v>
      </c>
      <c r="B1518" s="10">
        <v>11</v>
      </c>
      <c r="C1518" s="10" t="s">
        <v>87</v>
      </c>
      <c r="D1518" s="10">
        <v>1265</v>
      </c>
      <c r="E1518" s="10">
        <v>445890</v>
      </c>
      <c r="F1518" t="s">
        <v>102</v>
      </c>
      <c r="G1518" t="s">
        <v>122</v>
      </c>
    </row>
    <row r="1519" spans="1:7">
      <c r="A1519" s="10">
        <v>2021</v>
      </c>
      <c r="B1519" s="10">
        <v>12</v>
      </c>
      <c r="C1519" s="10" t="s">
        <v>87</v>
      </c>
      <c r="D1519" s="10">
        <v>1325</v>
      </c>
      <c r="E1519" s="10">
        <v>526832</v>
      </c>
      <c r="F1519" t="s">
        <v>102</v>
      </c>
      <c r="G1519" t="s">
        <v>122</v>
      </c>
    </row>
    <row r="1520" spans="1:7">
      <c r="A1520" s="10">
        <v>2022</v>
      </c>
      <c r="B1520" s="10">
        <v>1</v>
      </c>
      <c r="C1520" s="10" t="s">
        <v>87</v>
      </c>
      <c r="D1520" s="10">
        <v>1344</v>
      </c>
      <c r="E1520" s="10">
        <v>589062</v>
      </c>
      <c r="F1520" t="s">
        <v>102</v>
      </c>
      <c r="G1520" t="s">
        <v>122</v>
      </c>
    </row>
    <row r="1521" spans="1:7">
      <c r="A1521" s="10">
        <v>2022</v>
      </c>
      <c r="B1521" s="10">
        <v>2</v>
      </c>
      <c r="C1521" s="10" t="s">
        <v>87</v>
      </c>
      <c r="D1521" s="10">
        <v>1387</v>
      </c>
      <c r="E1521" s="10">
        <v>628332</v>
      </c>
      <c r="F1521" t="s">
        <v>102</v>
      </c>
      <c r="G1521" t="s">
        <v>122</v>
      </c>
    </row>
    <row r="1522" spans="1:7">
      <c r="A1522" s="10">
        <v>2022</v>
      </c>
      <c r="B1522" s="10">
        <v>3</v>
      </c>
      <c r="C1522" s="10" t="s">
        <v>87</v>
      </c>
      <c r="D1522" s="10">
        <v>1472</v>
      </c>
      <c r="E1522" s="10">
        <v>680529</v>
      </c>
      <c r="F1522" t="s">
        <v>102</v>
      </c>
      <c r="G1522" t="s">
        <v>122</v>
      </c>
    </row>
    <row r="1523" spans="1:7">
      <c r="A1523" s="10">
        <v>2022</v>
      </c>
      <c r="B1523" s="10">
        <v>4</v>
      </c>
      <c r="C1523" s="10" t="s">
        <v>87</v>
      </c>
      <c r="D1523" s="10">
        <v>1554</v>
      </c>
      <c r="E1523" s="10">
        <v>761250</v>
      </c>
      <c r="F1523" t="s">
        <v>102</v>
      </c>
      <c r="G1523" t="s">
        <v>122</v>
      </c>
    </row>
    <row r="1524" spans="1:7">
      <c r="A1524" s="10">
        <v>2022</v>
      </c>
      <c r="B1524" s="10">
        <v>5</v>
      </c>
      <c r="C1524" s="10" t="s">
        <v>87</v>
      </c>
      <c r="D1524" s="10">
        <v>1650</v>
      </c>
      <c r="E1524" s="10">
        <v>826326</v>
      </c>
      <c r="F1524" t="s">
        <v>102</v>
      </c>
      <c r="G1524" t="s">
        <v>122</v>
      </c>
    </row>
    <row r="1525" spans="1:7">
      <c r="A1525" s="10">
        <v>2022</v>
      </c>
      <c r="B1525" s="10">
        <v>6</v>
      </c>
      <c r="C1525" s="10" t="s">
        <v>87</v>
      </c>
      <c r="D1525" s="10">
        <v>1968</v>
      </c>
      <c r="E1525" s="10">
        <v>920191</v>
      </c>
      <c r="F1525" t="s">
        <v>102</v>
      </c>
      <c r="G1525" t="s">
        <v>122</v>
      </c>
    </row>
    <row r="1526" spans="1:7">
      <c r="A1526" s="10">
        <v>2022</v>
      </c>
      <c r="B1526" s="10">
        <v>7</v>
      </c>
      <c r="C1526" s="10" t="s">
        <v>87</v>
      </c>
      <c r="D1526" s="10">
        <v>2378</v>
      </c>
      <c r="E1526" s="10">
        <v>996875</v>
      </c>
      <c r="F1526" t="s">
        <v>102</v>
      </c>
      <c r="G1526" t="s">
        <v>122</v>
      </c>
    </row>
    <row r="1527" spans="1:7">
      <c r="A1527" s="10">
        <v>2022</v>
      </c>
      <c r="B1527" s="10">
        <v>8</v>
      </c>
      <c r="C1527" s="10" t="s">
        <v>87</v>
      </c>
      <c r="D1527" s="10">
        <v>2647</v>
      </c>
      <c r="E1527" s="10">
        <v>1070769</v>
      </c>
      <c r="F1527" t="s">
        <v>102</v>
      </c>
      <c r="G1527" t="s">
        <v>122</v>
      </c>
    </row>
    <row r="1528" spans="1:7">
      <c r="A1528" s="10">
        <v>2022</v>
      </c>
      <c r="B1528" s="10">
        <v>9</v>
      </c>
      <c r="C1528" s="10" t="s">
        <v>87</v>
      </c>
      <c r="D1528" s="10">
        <v>3117</v>
      </c>
      <c r="E1528" s="10">
        <v>1118572</v>
      </c>
      <c r="F1528" t="s">
        <v>102</v>
      </c>
      <c r="G1528" t="s">
        <v>122</v>
      </c>
    </row>
    <row r="1529" spans="1:7">
      <c r="A1529" s="10">
        <v>2022</v>
      </c>
      <c r="B1529" s="10">
        <v>10</v>
      </c>
      <c r="C1529" s="10" t="s">
        <v>87</v>
      </c>
      <c r="D1529" s="10">
        <v>3256</v>
      </c>
      <c r="E1529" s="10">
        <v>1162462</v>
      </c>
      <c r="F1529" t="s">
        <v>102</v>
      </c>
      <c r="G1529" t="s">
        <v>122</v>
      </c>
    </row>
    <row r="1530" spans="1:7">
      <c r="A1530" s="10">
        <v>2022</v>
      </c>
      <c r="B1530" s="10">
        <v>11</v>
      </c>
      <c r="C1530" s="10" t="s">
        <v>87</v>
      </c>
      <c r="D1530" s="10">
        <v>3558</v>
      </c>
      <c r="E1530" s="10">
        <v>1235185</v>
      </c>
      <c r="F1530" t="s">
        <v>102</v>
      </c>
      <c r="G1530" t="s">
        <v>122</v>
      </c>
    </row>
    <row r="1531" spans="1:7">
      <c r="A1531" s="10">
        <v>2022</v>
      </c>
      <c r="B1531" s="10">
        <v>12</v>
      </c>
      <c r="C1531" s="10" t="s">
        <v>87</v>
      </c>
      <c r="D1531" s="10">
        <v>3831</v>
      </c>
      <c r="E1531" s="10">
        <v>1328387</v>
      </c>
      <c r="F1531" t="s">
        <v>102</v>
      </c>
      <c r="G1531" t="s">
        <v>122</v>
      </c>
    </row>
    <row r="1532" spans="1:7">
      <c r="A1532" s="10">
        <v>2021</v>
      </c>
      <c r="B1532" s="10">
        <v>5</v>
      </c>
      <c r="C1532" s="10" t="s">
        <v>88</v>
      </c>
      <c r="D1532" s="10">
        <v>1136</v>
      </c>
      <c r="E1532" s="10">
        <v>425860</v>
      </c>
      <c r="F1532" t="s">
        <v>103</v>
      </c>
      <c r="G1532" t="s">
        <v>123</v>
      </c>
    </row>
    <row r="1533" spans="1:7">
      <c r="A1533" s="10">
        <v>2021</v>
      </c>
      <c r="B1533" s="10">
        <v>6</v>
      </c>
      <c r="C1533" s="10" t="s">
        <v>88</v>
      </c>
      <c r="D1533" s="10">
        <v>1182</v>
      </c>
      <c r="E1533" s="10">
        <v>441489</v>
      </c>
      <c r="F1533" t="s">
        <v>103</v>
      </c>
      <c r="G1533" t="s">
        <v>123</v>
      </c>
    </row>
    <row r="1534" spans="1:7">
      <c r="A1534" s="10">
        <v>2021</v>
      </c>
      <c r="B1534" s="10">
        <v>7</v>
      </c>
      <c r="C1534" s="10" t="s">
        <v>88</v>
      </c>
      <c r="D1534" s="10">
        <v>1232</v>
      </c>
      <c r="E1534" s="10">
        <v>465000</v>
      </c>
      <c r="F1534" t="s">
        <v>103</v>
      </c>
      <c r="G1534" t="s">
        <v>123</v>
      </c>
    </row>
    <row r="1535" spans="1:7">
      <c r="A1535" s="10">
        <v>2021</v>
      </c>
      <c r="B1535" s="10">
        <v>8</v>
      </c>
      <c r="C1535" s="10" t="s">
        <v>88</v>
      </c>
      <c r="D1535" s="10">
        <v>1336</v>
      </c>
      <c r="E1535" s="10">
        <v>480000</v>
      </c>
      <c r="F1535" t="s">
        <v>103</v>
      </c>
      <c r="G1535" t="s">
        <v>123</v>
      </c>
    </row>
    <row r="1536" spans="1:7">
      <c r="A1536" s="10">
        <v>2021</v>
      </c>
      <c r="B1536" s="10">
        <v>9</v>
      </c>
      <c r="C1536" s="10" t="s">
        <v>88</v>
      </c>
      <c r="D1536" s="10">
        <v>1403</v>
      </c>
      <c r="E1536" s="10">
        <v>495361</v>
      </c>
      <c r="F1536" t="s">
        <v>103</v>
      </c>
      <c r="G1536" t="s">
        <v>123</v>
      </c>
    </row>
    <row r="1537" spans="1:7">
      <c r="A1537" s="10">
        <v>2021</v>
      </c>
      <c r="B1537" s="10">
        <v>10</v>
      </c>
      <c r="C1537" s="10" t="s">
        <v>88</v>
      </c>
      <c r="D1537" s="10">
        <v>1392</v>
      </c>
      <c r="E1537" s="10">
        <v>515555</v>
      </c>
      <c r="F1537" t="s">
        <v>103</v>
      </c>
      <c r="G1537" t="s">
        <v>123</v>
      </c>
    </row>
    <row r="1538" spans="1:7">
      <c r="A1538" s="10">
        <v>2021</v>
      </c>
      <c r="B1538" s="10">
        <v>11</v>
      </c>
      <c r="C1538" s="10" t="s">
        <v>88</v>
      </c>
      <c r="D1538" s="10">
        <v>1480</v>
      </c>
      <c r="E1538" s="10">
        <v>564705</v>
      </c>
      <c r="F1538" t="s">
        <v>103</v>
      </c>
      <c r="G1538" t="s">
        <v>123</v>
      </c>
    </row>
    <row r="1539" spans="1:7">
      <c r="A1539" s="10">
        <v>2021</v>
      </c>
      <c r="B1539" s="10">
        <v>12</v>
      </c>
      <c r="C1539" s="10" t="s">
        <v>88</v>
      </c>
      <c r="D1539" s="10">
        <v>1450</v>
      </c>
      <c r="E1539" s="10">
        <v>654545</v>
      </c>
      <c r="F1539" t="s">
        <v>103</v>
      </c>
      <c r="G1539" t="s">
        <v>123</v>
      </c>
    </row>
    <row r="1540" spans="1:7">
      <c r="A1540" s="10">
        <v>2022</v>
      </c>
      <c r="B1540" s="10">
        <v>1</v>
      </c>
      <c r="C1540" s="10" t="s">
        <v>88</v>
      </c>
      <c r="D1540" s="10">
        <v>1522</v>
      </c>
      <c r="E1540" s="10">
        <v>742500</v>
      </c>
      <c r="F1540" t="s">
        <v>103</v>
      </c>
      <c r="G1540" t="s">
        <v>123</v>
      </c>
    </row>
    <row r="1541" spans="1:7">
      <c r="A1541" s="10">
        <v>2022</v>
      </c>
      <c r="B1541" s="10">
        <v>2</v>
      </c>
      <c r="C1541" s="10" t="s">
        <v>88</v>
      </c>
      <c r="D1541" s="10">
        <v>1520</v>
      </c>
      <c r="E1541" s="10">
        <v>797499</v>
      </c>
      <c r="F1541" t="s">
        <v>103</v>
      </c>
      <c r="G1541" t="s">
        <v>123</v>
      </c>
    </row>
    <row r="1542" spans="1:7">
      <c r="A1542" s="10">
        <v>2022</v>
      </c>
      <c r="B1542" s="10">
        <v>3</v>
      </c>
      <c r="C1542" s="10" t="s">
        <v>88</v>
      </c>
      <c r="D1542" s="10">
        <v>1624</v>
      </c>
      <c r="E1542" s="10">
        <v>848275</v>
      </c>
      <c r="F1542" t="s">
        <v>103</v>
      </c>
      <c r="G1542" t="s">
        <v>123</v>
      </c>
    </row>
    <row r="1543" spans="1:7">
      <c r="A1543" s="10">
        <v>2022</v>
      </c>
      <c r="B1543" s="10">
        <v>4</v>
      </c>
      <c r="C1543" s="10" t="s">
        <v>88</v>
      </c>
      <c r="D1543" s="10">
        <v>1737</v>
      </c>
      <c r="E1543" s="10">
        <v>919534</v>
      </c>
      <c r="F1543" t="s">
        <v>103</v>
      </c>
      <c r="G1543" t="s">
        <v>123</v>
      </c>
    </row>
    <row r="1544" spans="1:7">
      <c r="A1544" s="10">
        <v>2022</v>
      </c>
      <c r="B1544" s="10">
        <v>5</v>
      </c>
      <c r="C1544" s="10" t="s">
        <v>88</v>
      </c>
      <c r="D1544" s="10">
        <v>1926</v>
      </c>
      <c r="E1544" s="10">
        <v>1063125</v>
      </c>
      <c r="F1544" t="s">
        <v>103</v>
      </c>
      <c r="G1544" t="s">
        <v>123</v>
      </c>
    </row>
    <row r="1545" spans="1:7">
      <c r="A1545" s="10">
        <v>2022</v>
      </c>
      <c r="B1545" s="10">
        <v>6</v>
      </c>
      <c r="C1545" s="10" t="s">
        <v>88</v>
      </c>
      <c r="D1545" s="10">
        <v>2430</v>
      </c>
      <c r="E1545" s="10">
        <v>1272857</v>
      </c>
      <c r="F1545" t="s">
        <v>103</v>
      </c>
      <c r="G1545" t="s">
        <v>123</v>
      </c>
    </row>
    <row r="1546" spans="1:7">
      <c r="A1546" s="10">
        <v>2022</v>
      </c>
      <c r="B1546" s="10">
        <v>7</v>
      </c>
      <c r="C1546" s="10" t="s">
        <v>88</v>
      </c>
      <c r="D1546" s="10">
        <v>3081</v>
      </c>
      <c r="E1546" s="10">
        <v>1381285</v>
      </c>
      <c r="F1546" t="s">
        <v>103</v>
      </c>
      <c r="G1546" t="s">
        <v>123</v>
      </c>
    </row>
    <row r="1547" spans="1:7">
      <c r="A1547" s="10">
        <v>2022</v>
      </c>
      <c r="B1547" s="10">
        <v>8</v>
      </c>
      <c r="C1547" s="10" t="s">
        <v>88</v>
      </c>
      <c r="D1547" s="10">
        <v>3489</v>
      </c>
      <c r="E1547" s="10">
        <v>1466666</v>
      </c>
      <c r="F1547" t="s">
        <v>103</v>
      </c>
      <c r="G1547" t="s">
        <v>123</v>
      </c>
    </row>
    <row r="1548" spans="1:7">
      <c r="A1548" s="10">
        <v>2022</v>
      </c>
      <c r="B1548" s="10">
        <v>9</v>
      </c>
      <c r="C1548" s="10" t="s">
        <v>88</v>
      </c>
      <c r="D1548" s="10">
        <v>3914</v>
      </c>
      <c r="E1548" s="10">
        <v>1512500</v>
      </c>
      <c r="F1548" t="s">
        <v>103</v>
      </c>
      <c r="G1548" t="s">
        <v>123</v>
      </c>
    </row>
    <row r="1549" spans="1:7">
      <c r="A1549" s="10">
        <v>2022</v>
      </c>
      <c r="B1549" s="10">
        <v>10</v>
      </c>
      <c r="C1549" s="10" t="s">
        <v>88</v>
      </c>
      <c r="D1549" s="10">
        <v>4260</v>
      </c>
      <c r="E1549" s="10">
        <v>1563157</v>
      </c>
      <c r="F1549" t="s">
        <v>103</v>
      </c>
      <c r="G1549" t="s">
        <v>123</v>
      </c>
    </row>
    <row r="1550" spans="1:7">
      <c r="A1550" s="10">
        <v>2022</v>
      </c>
      <c r="B1550" s="10">
        <v>11</v>
      </c>
      <c r="C1550" s="10" t="s">
        <v>88</v>
      </c>
      <c r="D1550" s="10">
        <v>4468</v>
      </c>
      <c r="E1550" s="10">
        <v>1639423</v>
      </c>
      <c r="F1550" t="s">
        <v>103</v>
      </c>
      <c r="G1550" t="s">
        <v>123</v>
      </c>
    </row>
    <row r="1551" spans="1:7">
      <c r="A1551" s="10">
        <v>2022</v>
      </c>
      <c r="B1551" s="10">
        <v>12</v>
      </c>
      <c r="C1551" s="10" t="s">
        <v>88</v>
      </c>
      <c r="D1551" s="10">
        <v>4613</v>
      </c>
      <c r="E1551" s="10">
        <v>1716098</v>
      </c>
      <c r="F1551" t="s">
        <v>103</v>
      </c>
      <c r="G1551" t="s">
        <v>123</v>
      </c>
    </row>
    <row r="1552" spans="1:7">
      <c r="A1552" s="10">
        <v>2021</v>
      </c>
      <c r="B1552" s="10">
        <v>5</v>
      </c>
      <c r="C1552" s="10" t="s">
        <v>89</v>
      </c>
      <c r="D1552" s="10">
        <v>1061</v>
      </c>
      <c r="E1552" s="10">
        <v>358545</v>
      </c>
      <c r="F1552" t="s">
        <v>97</v>
      </c>
      <c r="G1552" t="s">
        <v>109</v>
      </c>
    </row>
    <row r="1553" spans="1:7">
      <c r="A1553" s="10">
        <v>2021</v>
      </c>
      <c r="B1553" s="10">
        <v>6</v>
      </c>
      <c r="C1553" s="10" t="s">
        <v>89</v>
      </c>
      <c r="D1553" s="10">
        <v>1084</v>
      </c>
      <c r="E1553" s="10">
        <v>396774</v>
      </c>
      <c r="F1553" t="s">
        <v>97</v>
      </c>
      <c r="G1553" t="s">
        <v>109</v>
      </c>
    </row>
    <row r="1554" spans="1:7">
      <c r="A1554" s="10">
        <v>2021</v>
      </c>
      <c r="B1554" s="10">
        <v>7</v>
      </c>
      <c r="C1554" s="10" t="s">
        <v>89</v>
      </c>
      <c r="D1554" s="10">
        <v>1175</v>
      </c>
      <c r="E1554" s="10">
        <v>405202</v>
      </c>
      <c r="F1554" t="s">
        <v>97</v>
      </c>
      <c r="G1554" t="s">
        <v>109</v>
      </c>
    </row>
    <row r="1555" spans="1:7">
      <c r="A1555" s="10">
        <v>2021</v>
      </c>
      <c r="B1555" s="10">
        <v>8</v>
      </c>
      <c r="C1555" s="10" t="s">
        <v>89</v>
      </c>
      <c r="D1555" s="10">
        <v>1203</v>
      </c>
      <c r="E1555" s="10">
        <v>416667</v>
      </c>
      <c r="F1555" t="s">
        <v>97</v>
      </c>
      <c r="G1555" t="s">
        <v>109</v>
      </c>
    </row>
    <row r="1556" spans="1:7">
      <c r="A1556" s="10">
        <v>2021</v>
      </c>
      <c r="B1556" s="10">
        <v>9</v>
      </c>
      <c r="C1556" s="10" t="s">
        <v>89</v>
      </c>
      <c r="D1556" s="10">
        <v>1206</v>
      </c>
      <c r="E1556" s="10">
        <v>439654</v>
      </c>
      <c r="F1556" t="s">
        <v>97</v>
      </c>
      <c r="G1556" t="s">
        <v>109</v>
      </c>
    </row>
    <row r="1557" spans="1:7">
      <c r="A1557" s="10">
        <v>2021</v>
      </c>
      <c r="B1557" s="10">
        <v>10</v>
      </c>
      <c r="C1557" s="10" t="s">
        <v>89</v>
      </c>
      <c r="D1557" s="10">
        <v>1245</v>
      </c>
      <c r="E1557" s="10">
        <v>458853</v>
      </c>
      <c r="F1557" t="s">
        <v>97</v>
      </c>
      <c r="G1557" t="s">
        <v>109</v>
      </c>
    </row>
    <row r="1558" spans="1:7">
      <c r="A1558" s="10">
        <v>2021</v>
      </c>
      <c r="B1558" s="10">
        <v>11</v>
      </c>
      <c r="C1558" s="10" t="s">
        <v>89</v>
      </c>
      <c r="D1558" s="10">
        <v>1250</v>
      </c>
      <c r="E1558" s="10">
        <v>499999</v>
      </c>
      <c r="F1558" t="s">
        <v>97</v>
      </c>
      <c r="G1558" t="s">
        <v>109</v>
      </c>
    </row>
    <row r="1559" spans="1:7">
      <c r="A1559" s="10">
        <v>2021</v>
      </c>
      <c r="B1559" s="10">
        <v>12</v>
      </c>
      <c r="C1559" s="10" t="s">
        <v>89</v>
      </c>
      <c r="D1559" s="10">
        <v>1482</v>
      </c>
      <c r="E1559" s="10">
        <v>575714</v>
      </c>
      <c r="F1559" t="s">
        <v>97</v>
      </c>
      <c r="G1559" t="s">
        <v>109</v>
      </c>
    </row>
    <row r="1560" spans="1:7">
      <c r="A1560" s="10">
        <v>2022</v>
      </c>
      <c r="B1560" s="10">
        <v>1</v>
      </c>
      <c r="C1560" s="10" t="s">
        <v>89</v>
      </c>
      <c r="D1560" s="10">
        <v>1383</v>
      </c>
      <c r="E1560" s="10">
        <v>633503</v>
      </c>
      <c r="F1560" t="s">
        <v>97</v>
      </c>
      <c r="G1560" t="s">
        <v>109</v>
      </c>
    </row>
    <row r="1561" spans="1:7">
      <c r="A1561" s="10">
        <v>2022</v>
      </c>
      <c r="B1561" s="10">
        <v>2</v>
      </c>
      <c r="C1561" s="10" t="s">
        <v>89</v>
      </c>
      <c r="D1561" s="10">
        <v>1680</v>
      </c>
      <c r="E1561" s="10">
        <v>638201</v>
      </c>
      <c r="F1561" t="s">
        <v>97</v>
      </c>
      <c r="G1561" t="s">
        <v>109</v>
      </c>
    </row>
    <row r="1562" spans="1:7">
      <c r="A1562" s="10">
        <v>2022</v>
      </c>
      <c r="B1562" s="10">
        <v>3</v>
      </c>
      <c r="C1562" s="10" t="s">
        <v>89</v>
      </c>
      <c r="D1562" s="10">
        <v>1747</v>
      </c>
      <c r="E1562" s="10">
        <v>732241</v>
      </c>
      <c r="F1562" t="s">
        <v>97</v>
      </c>
      <c r="G1562" t="s">
        <v>109</v>
      </c>
    </row>
    <row r="1563" spans="1:7">
      <c r="A1563" s="10">
        <v>2022</v>
      </c>
      <c r="B1563" s="10">
        <v>4</v>
      </c>
      <c r="C1563" s="10" t="s">
        <v>89</v>
      </c>
      <c r="D1563" s="10">
        <v>1902</v>
      </c>
      <c r="E1563" s="10">
        <v>784687</v>
      </c>
      <c r="F1563" t="s">
        <v>97</v>
      </c>
      <c r="G1563" t="s">
        <v>109</v>
      </c>
    </row>
    <row r="1564" spans="1:7">
      <c r="A1564" s="10">
        <v>2022</v>
      </c>
      <c r="B1564" s="10">
        <v>5</v>
      </c>
      <c r="C1564" s="10" t="s">
        <v>89</v>
      </c>
      <c r="D1564" s="10">
        <v>1945</v>
      </c>
      <c r="E1564" s="10">
        <v>885356</v>
      </c>
      <c r="F1564" t="s">
        <v>97</v>
      </c>
      <c r="G1564" t="s">
        <v>109</v>
      </c>
    </row>
    <row r="1565" spans="1:7">
      <c r="A1565" s="10">
        <v>2022</v>
      </c>
      <c r="B1565" s="10">
        <v>6</v>
      </c>
      <c r="C1565" s="10" t="s">
        <v>89</v>
      </c>
      <c r="D1565" s="10">
        <v>2330</v>
      </c>
      <c r="E1565" s="10">
        <v>949999</v>
      </c>
      <c r="F1565" t="s">
        <v>97</v>
      </c>
      <c r="G1565" t="s">
        <v>109</v>
      </c>
    </row>
    <row r="1566" spans="1:7">
      <c r="A1566" s="10">
        <v>2022</v>
      </c>
      <c r="B1566" s="10">
        <v>7</v>
      </c>
      <c r="C1566" s="10" t="s">
        <v>89</v>
      </c>
      <c r="D1566" s="10">
        <v>2600</v>
      </c>
      <c r="E1566" s="10">
        <v>996298</v>
      </c>
      <c r="F1566" t="s">
        <v>97</v>
      </c>
      <c r="G1566" t="s">
        <v>109</v>
      </c>
    </row>
    <row r="1567" spans="1:7">
      <c r="A1567" s="10">
        <v>2022</v>
      </c>
      <c r="B1567" s="10">
        <v>8</v>
      </c>
      <c r="C1567" s="10" t="s">
        <v>89</v>
      </c>
      <c r="D1567" s="10">
        <v>2860</v>
      </c>
      <c r="E1567" s="10">
        <v>1016760</v>
      </c>
      <c r="F1567" t="s">
        <v>97</v>
      </c>
      <c r="G1567" t="s">
        <v>109</v>
      </c>
    </row>
    <row r="1568" spans="1:7">
      <c r="A1568" s="10">
        <v>2022</v>
      </c>
      <c r="B1568" s="10">
        <v>9</v>
      </c>
      <c r="C1568" s="10" t="s">
        <v>89</v>
      </c>
      <c r="D1568" s="10">
        <v>3132</v>
      </c>
      <c r="E1568" s="10">
        <v>1092856</v>
      </c>
      <c r="F1568" t="s">
        <v>97</v>
      </c>
      <c r="G1568" t="s">
        <v>109</v>
      </c>
    </row>
    <row r="1569" spans="1:7">
      <c r="A1569" s="10">
        <v>2022</v>
      </c>
      <c r="B1569" s="10">
        <v>10</v>
      </c>
      <c r="C1569" s="10" t="s">
        <v>89</v>
      </c>
      <c r="D1569" s="10">
        <v>3210</v>
      </c>
      <c r="E1569" s="10">
        <v>1150000</v>
      </c>
      <c r="F1569" t="s">
        <v>97</v>
      </c>
      <c r="G1569" t="s">
        <v>109</v>
      </c>
    </row>
    <row r="1570" spans="1:7">
      <c r="A1570" s="10">
        <v>2022</v>
      </c>
      <c r="B1570" s="10">
        <v>11</v>
      </c>
      <c r="C1570" s="10" t="s">
        <v>89</v>
      </c>
      <c r="D1570" s="10">
        <v>3477</v>
      </c>
      <c r="E1570" s="10">
        <v>1209250</v>
      </c>
      <c r="F1570" t="s">
        <v>97</v>
      </c>
      <c r="G1570" t="s">
        <v>109</v>
      </c>
    </row>
    <row r="1571" spans="1:7">
      <c r="A1571" s="10">
        <v>2022</v>
      </c>
      <c r="B1571" s="10">
        <v>12</v>
      </c>
      <c r="C1571" s="10" t="s">
        <v>89</v>
      </c>
      <c r="D1571" s="10">
        <v>3451</v>
      </c>
      <c r="E1571" s="10">
        <v>1292307</v>
      </c>
      <c r="F1571" t="s">
        <v>97</v>
      </c>
      <c r="G1571" t="s">
        <v>109</v>
      </c>
    </row>
    <row r="1572" spans="1:7">
      <c r="A1572" s="10">
        <v>2021</v>
      </c>
      <c r="B1572" s="10">
        <v>5</v>
      </c>
      <c r="C1572" s="10" t="s">
        <v>90</v>
      </c>
      <c r="D1572" s="10">
        <v>1193</v>
      </c>
      <c r="E1572" s="10">
        <v>358695</v>
      </c>
      <c r="F1572" t="s">
        <v>131</v>
      </c>
      <c r="G1572" t="s">
        <v>133</v>
      </c>
    </row>
    <row r="1573" spans="1:7">
      <c r="A1573" s="10">
        <v>2021</v>
      </c>
      <c r="B1573" s="10">
        <v>6</v>
      </c>
      <c r="C1573" s="10" t="s">
        <v>90</v>
      </c>
      <c r="D1573" s="10">
        <v>1252</v>
      </c>
      <c r="E1573" s="10">
        <v>372727</v>
      </c>
      <c r="F1573" t="s">
        <v>131</v>
      </c>
      <c r="G1573" t="s">
        <v>133</v>
      </c>
    </row>
    <row r="1574" spans="1:7">
      <c r="A1574" s="10">
        <v>2021</v>
      </c>
      <c r="B1574" s="10">
        <v>7</v>
      </c>
      <c r="C1574" s="10" t="s">
        <v>90</v>
      </c>
      <c r="D1574" s="10">
        <v>1258</v>
      </c>
      <c r="E1574" s="10">
        <v>387500</v>
      </c>
      <c r="F1574" t="s">
        <v>131</v>
      </c>
      <c r="G1574" t="s">
        <v>133</v>
      </c>
    </row>
    <row r="1575" spans="1:7">
      <c r="A1575" s="10">
        <v>2021</v>
      </c>
      <c r="B1575" s="10">
        <v>8</v>
      </c>
      <c r="C1575" s="10" t="s">
        <v>90</v>
      </c>
      <c r="D1575" s="10">
        <v>1301</v>
      </c>
      <c r="E1575" s="10">
        <v>403000</v>
      </c>
      <c r="F1575" t="s">
        <v>131</v>
      </c>
      <c r="G1575" t="s">
        <v>133</v>
      </c>
    </row>
    <row r="1576" spans="1:7">
      <c r="A1576" s="10">
        <v>2021</v>
      </c>
      <c r="B1576" s="10">
        <v>9</v>
      </c>
      <c r="C1576" s="10" t="s">
        <v>90</v>
      </c>
      <c r="D1576" s="10">
        <v>1355</v>
      </c>
      <c r="E1576" s="10">
        <v>426250</v>
      </c>
      <c r="F1576" t="s">
        <v>131</v>
      </c>
      <c r="G1576" t="s">
        <v>133</v>
      </c>
    </row>
    <row r="1577" spans="1:7">
      <c r="A1577" s="10">
        <v>2021</v>
      </c>
      <c r="B1577" s="10">
        <v>10</v>
      </c>
      <c r="C1577" s="10" t="s">
        <v>90</v>
      </c>
      <c r="D1577" s="10">
        <v>1447</v>
      </c>
      <c r="E1577" s="10">
        <v>445028</v>
      </c>
      <c r="F1577" t="s">
        <v>131</v>
      </c>
      <c r="G1577" t="s">
        <v>133</v>
      </c>
    </row>
    <row r="1578" spans="1:7">
      <c r="A1578" s="10">
        <v>2021</v>
      </c>
      <c r="B1578" s="10">
        <v>11</v>
      </c>
      <c r="C1578" s="10" t="s">
        <v>90</v>
      </c>
      <c r="D1578" s="10">
        <v>1537</v>
      </c>
      <c r="E1578" s="10">
        <v>498282</v>
      </c>
      <c r="F1578" t="s">
        <v>131</v>
      </c>
      <c r="G1578" t="s">
        <v>133</v>
      </c>
    </row>
    <row r="1579" spans="1:7">
      <c r="A1579" s="10">
        <v>2021</v>
      </c>
      <c r="B1579" s="10">
        <v>12</v>
      </c>
      <c r="C1579" s="10" t="s">
        <v>90</v>
      </c>
      <c r="D1579" s="10">
        <v>1574</v>
      </c>
      <c r="E1579" s="10">
        <v>557143</v>
      </c>
      <c r="F1579" t="s">
        <v>131</v>
      </c>
      <c r="G1579" t="s">
        <v>133</v>
      </c>
    </row>
    <row r="1580" spans="1:7">
      <c r="A1580" s="10">
        <v>2022</v>
      </c>
      <c r="B1580" s="10">
        <v>1</v>
      </c>
      <c r="C1580" s="10" t="s">
        <v>90</v>
      </c>
      <c r="D1580" s="10">
        <v>1540</v>
      </c>
      <c r="E1580" s="10">
        <v>613332</v>
      </c>
      <c r="F1580" t="s">
        <v>131</v>
      </c>
      <c r="G1580" t="s">
        <v>133</v>
      </c>
    </row>
    <row r="1581" spans="1:7">
      <c r="A1581" s="10">
        <v>2022</v>
      </c>
      <c r="B1581" s="10">
        <v>2</v>
      </c>
      <c r="C1581" s="10" t="s">
        <v>90</v>
      </c>
      <c r="D1581" s="10">
        <v>1624</v>
      </c>
      <c r="E1581" s="10">
        <v>647142</v>
      </c>
      <c r="F1581" t="s">
        <v>131</v>
      </c>
      <c r="G1581" t="s">
        <v>133</v>
      </c>
    </row>
    <row r="1582" spans="1:7">
      <c r="A1582" s="10">
        <v>2022</v>
      </c>
      <c r="B1582" s="10">
        <v>3</v>
      </c>
      <c r="C1582" s="10" t="s">
        <v>90</v>
      </c>
      <c r="D1582" s="10">
        <v>1820</v>
      </c>
      <c r="E1582" s="10">
        <v>681739</v>
      </c>
      <c r="F1582" t="s">
        <v>131</v>
      </c>
      <c r="G1582" t="s">
        <v>133</v>
      </c>
    </row>
    <row r="1583" spans="1:7">
      <c r="A1583" s="10">
        <v>2022</v>
      </c>
      <c r="B1583" s="10">
        <v>4</v>
      </c>
      <c r="C1583" s="10" t="s">
        <v>90</v>
      </c>
      <c r="D1583" s="10">
        <v>1900</v>
      </c>
      <c r="E1583" s="10">
        <v>723333</v>
      </c>
      <c r="F1583" t="s">
        <v>131</v>
      </c>
      <c r="G1583" t="s">
        <v>133</v>
      </c>
    </row>
    <row r="1584" spans="1:7">
      <c r="A1584" s="10">
        <v>2022</v>
      </c>
      <c r="B1584" s="10">
        <v>5</v>
      </c>
      <c r="C1584" s="10" t="s">
        <v>90</v>
      </c>
      <c r="D1584" s="10">
        <v>1968</v>
      </c>
      <c r="E1584" s="10">
        <v>844134</v>
      </c>
      <c r="F1584" t="s">
        <v>131</v>
      </c>
      <c r="G1584" t="s">
        <v>133</v>
      </c>
    </row>
    <row r="1585" spans="1:7">
      <c r="A1585" s="10">
        <v>2022</v>
      </c>
      <c r="B1585" s="10">
        <v>6</v>
      </c>
      <c r="C1585" s="10" t="s">
        <v>90</v>
      </c>
      <c r="D1585" s="10">
        <v>2278</v>
      </c>
      <c r="E1585" s="10">
        <v>900000</v>
      </c>
      <c r="F1585" t="s">
        <v>131</v>
      </c>
      <c r="G1585" t="s">
        <v>133</v>
      </c>
    </row>
    <row r="1586" spans="1:7">
      <c r="A1586" s="10">
        <v>2022</v>
      </c>
      <c r="B1586" s="10">
        <v>7</v>
      </c>
      <c r="C1586" s="10" t="s">
        <v>90</v>
      </c>
      <c r="D1586" s="10">
        <v>2515</v>
      </c>
      <c r="E1586" s="10">
        <v>1007500</v>
      </c>
      <c r="F1586" t="s">
        <v>131</v>
      </c>
      <c r="G1586" t="s">
        <v>133</v>
      </c>
    </row>
    <row r="1587" spans="1:7">
      <c r="A1587" s="10">
        <v>2022</v>
      </c>
      <c r="B1587" s="10">
        <v>8</v>
      </c>
      <c r="C1587" s="10" t="s">
        <v>90</v>
      </c>
      <c r="D1587" s="10">
        <v>2925</v>
      </c>
      <c r="E1587" s="10">
        <v>1048610</v>
      </c>
      <c r="F1587" t="s">
        <v>131</v>
      </c>
      <c r="G1587" t="s">
        <v>133</v>
      </c>
    </row>
    <row r="1588" spans="1:7">
      <c r="A1588" s="10">
        <v>2022</v>
      </c>
      <c r="B1588" s="10">
        <v>9</v>
      </c>
      <c r="C1588" s="10" t="s">
        <v>90</v>
      </c>
      <c r="D1588" s="10">
        <v>3075</v>
      </c>
      <c r="E1588" s="10">
        <v>1125000</v>
      </c>
      <c r="F1588" t="s">
        <v>131</v>
      </c>
      <c r="G1588" t="s">
        <v>133</v>
      </c>
    </row>
    <row r="1589" spans="1:7">
      <c r="A1589" s="10">
        <v>2022</v>
      </c>
      <c r="B1589" s="10">
        <v>10</v>
      </c>
      <c r="C1589" s="10" t="s">
        <v>90</v>
      </c>
      <c r="D1589" s="10">
        <v>3373</v>
      </c>
      <c r="E1589" s="10">
        <v>1151613</v>
      </c>
      <c r="F1589" t="s">
        <v>131</v>
      </c>
      <c r="G1589" t="s">
        <v>133</v>
      </c>
    </row>
    <row r="1590" spans="1:7">
      <c r="A1590" s="10">
        <v>2022</v>
      </c>
      <c r="B1590" s="10">
        <v>11</v>
      </c>
      <c r="C1590" s="10" t="s">
        <v>90</v>
      </c>
      <c r="D1590" s="10">
        <v>3603</v>
      </c>
      <c r="E1590" s="10">
        <v>1227273</v>
      </c>
      <c r="F1590" t="s">
        <v>131</v>
      </c>
      <c r="G1590" t="s">
        <v>133</v>
      </c>
    </row>
    <row r="1591" spans="1:7">
      <c r="A1591" s="10">
        <v>2022</v>
      </c>
      <c r="B1591" s="10">
        <v>12</v>
      </c>
      <c r="C1591" s="10" t="s">
        <v>90</v>
      </c>
      <c r="D1591" s="10">
        <v>3656</v>
      </c>
      <c r="E1591" s="10">
        <v>1292307</v>
      </c>
      <c r="F1591" t="s">
        <v>131</v>
      </c>
      <c r="G1591" t="s">
        <v>133</v>
      </c>
    </row>
    <row r="1592" spans="1:7">
      <c r="A1592" s="10">
        <v>2021</v>
      </c>
      <c r="B1592" s="10">
        <v>5</v>
      </c>
      <c r="C1592" s="10" t="s">
        <v>91</v>
      </c>
      <c r="D1592" s="10">
        <v>1958</v>
      </c>
      <c r="E1592" s="10">
        <v>420000</v>
      </c>
      <c r="F1592" t="s">
        <v>98</v>
      </c>
      <c r="G1592" t="s">
        <v>112</v>
      </c>
    </row>
    <row r="1593" spans="1:7">
      <c r="A1593" s="10">
        <v>2021</v>
      </c>
      <c r="B1593" s="10">
        <v>6</v>
      </c>
      <c r="C1593" s="10" t="s">
        <v>91</v>
      </c>
      <c r="D1593" s="10">
        <v>1972</v>
      </c>
      <c r="E1593" s="10">
        <v>445000</v>
      </c>
      <c r="F1593" t="s">
        <v>98</v>
      </c>
      <c r="G1593" t="s">
        <v>112</v>
      </c>
    </row>
    <row r="1594" spans="1:7">
      <c r="A1594" s="10">
        <v>2021</v>
      </c>
      <c r="B1594" s="10">
        <v>7</v>
      </c>
      <c r="C1594" s="10" t="s">
        <v>91</v>
      </c>
      <c r="D1594" s="10">
        <v>2202</v>
      </c>
      <c r="E1594" s="10">
        <v>454300</v>
      </c>
      <c r="F1594" t="s">
        <v>98</v>
      </c>
      <c r="G1594" t="s">
        <v>112</v>
      </c>
    </row>
    <row r="1595" spans="1:7">
      <c r="A1595" s="10">
        <v>2021</v>
      </c>
      <c r="B1595" s="10">
        <v>8</v>
      </c>
      <c r="C1595" s="10" t="s">
        <v>91</v>
      </c>
      <c r="D1595" s="10">
        <v>2289</v>
      </c>
      <c r="E1595" s="10">
        <v>474500</v>
      </c>
      <c r="F1595" t="s">
        <v>98</v>
      </c>
      <c r="G1595" t="s">
        <v>112</v>
      </c>
    </row>
    <row r="1596" spans="1:7">
      <c r="A1596" s="10">
        <v>2021</v>
      </c>
      <c r="B1596" s="10">
        <v>9</v>
      </c>
      <c r="C1596" s="10" t="s">
        <v>91</v>
      </c>
      <c r="D1596" s="10">
        <v>2244</v>
      </c>
      <c r="E1596" s="10">
        <v>504665</v>
      </c>
      <c r="F1596" t="s">
        <v>98</v>
      </c>
      <c r="G1596" t="s">
        <v>112</v>
      </c>
    </row>
    <row r="1597" spans="1:7">
      <c r="A1597" s="10">
        <v>2021</v>
      </c>
      <c r="B1597" s="10">
        <v>10</v>
      </c>
      <c r="C1597" s="10" t="s">
        <v>91</v>
      </c>
      <c r="D1597" s="10">
        <v>2381</v>
      </c>
      <c r="E1597" s="10">
        <v>532348</v>
      </c>
      <c r="F1597" t="s">
        <v>98</v>
      </c>
      <c r="G1597" t="s">
        <v>112</v>
      </c>
    </row>
    <row r="1598" spans="1:7">
      <c r="A1598" s="10">
        <v>2021</v>
      </c>
      <c r="B1598" s="10">
        <v>11</v>
      </c>
      <c r="C1598" s="10" t="s">
        <v>91</v>
      </c>
      <c r="D1598" s="10">
        <v>2520</v>
      </c>
      <c r="E1598" s="10">
        <v>590908</v>
      </c>
      <c r="F1598" t="s">
        <v>98</v>
      </c>
      <c r="G1598" t="s">
        <v>112</v>
      </c>
    </row>
    <row r="1599" spans="1:7">
      <c r="A1599" s="10">
        <v>2021</v>
      </c>
      <c r="B1599" s="10">
        <v>12</v>
      </c>
      <c r="C1599" s="10" t="s">
        <v>91</v>
      </c>
      <c r="D1599" s="10">
        <v>2589</v>
      </c>
      <c r="E1599" s="10">
        <v>723213</v>
      </c>
      <c r="F1599" t="s">
        <v>98</v>
      </c>
      <c r="G1599" t="s">
        <v>112</v>
      </c>
    </row>
    <row r="1600" spans="1:7">
      <c r="A1600" s="10">
        <v>2022</v>
      </c>
      <c r="B1600" s="10">
        <v>1</v>
      </c>
      <c r="C1600" s="10" t="s">
        <v>91</v>
      </c>
      <c r="D1600" s="10">
        <v>2888</v>
      </c>
      <c r="E1600" s="10">
        <v>785169</v>
      </c>
      <c r="F1600" t="s">
        <v>98</v>
      </c>
      <c r="G1600" t="s">
        <v>112</v>
      </c>
    </row>
    <row r="1601" spans="1:7">
      <c r="A1601" s="10">
        <v>2022</v>
      </c>
      <c r="B1601" s="10">
        <v>2</v>
      </c>
      <c r="C1601" s="10" t="s">
        <v>91</v>
      </c>
      <c r="D1601" s="10">
        <v>3024</v>
      </c>
      <c r="E1601" s="10">
        <v>850000</v>
      </c>
      <c r="F1601" t="s">
        <v>98</v>
      </c>
      <c r="G1601" t="s">
        <v>112</v>
      </c>
    </row>
    <row r="1602" spans="1:7">
      <c r="A1602" s="10">
        <v>2022</v>
      </c>
      <c r="B1602" s="10">
        <v>3</v>
      </c>
      <c r="C1602" s="10" t="s">
        <v>91</v>
      </c>
      <c r="D1602" s="10">
        <v>3319</v>
      </c>
      <c r="E1602" s="10">
        <v>925357</v>
      </c>
      <c r="F1602" t="s">
        <v>98</v>
      </c>
      <c r="G1602" t="s">
        <v>112</v>
      </c>
    </row>
    <row r="1603" spans="1:7">
      <c r="A1603" s="10">
        <v>2022</v>
      </c>
      <c r="B1603" s="10">
        <v>4</v>
      </c>
      <c r="C1603" s="10" t="s">
        <v>91</v>
      </c>
      <c r="D1603" s="10">
        <v>3694</v>
      </c>
      <c r="E1603" s="10">
        <v>986538</v>
      </c>
      <c r="F1603" t="s">
        <v>98</v>
      </c>
      <c r="G1603" t="s">
        <v>112</v>
      </c>
    </row>
    <row r="1604" spans="1:7">
      <c r="A1604" s="10">
        <v>2022</v>
      </c>
      <c r="B1604" s="10">
        <v>5</v>
      </c>
      <c r="C1604" s="10" t="s">
        <v>91</v>
      </c>
      <c r="D1604" s="10">
        <v>4299</v>
      </c>
      <c r="E1604" s="10">
        <v>1124999</v>
      </c>
      <c r="F1604" t="s">
        <v>98</v>
      </c>
      <c r="G1604" t="s">
        <v>112</v>
      </c>
    </row>
    <row r="1605" spans="1:7">
      <c r="A1605" s="10">
        <v>2022</v>
      </c>
      <c r="B1605" s="10">
        <v>6</v>
      </c>
      <c r="C1605" s="10" t="s">
        <v>91</v>
      </c>
      <c r="D1605" s="10">
        <v>4871</v>
      </c>
      <c r="E1605" s="10">
        <v>1253570</v>
      </c>
      <c r="F1605" t="s">
        <v>98</v>
      </c>
      <c r="G1605" t="s">
        <v>112</v>
      </c>
    </row>
    <row r="1606" spans="1:7">
      <c r="A1606" s="10">
        <v>2022</v>
      </c>
      <c r="B1606" s="10">
        <v>7</v>
      </c>
      <c r="C1606" s="10" t="s">
        <v>91</v>
      </c>
      <c r="D1606" s="10">
        <v>4807</v>
      </c>
      <c r="E1606" s="10">
        <v>1314131</v>
      </c>
      <c r="F1606" t="s">
        <v>98</v>
      </c>
      <c r="G1606" t="s">
        <v>112</v>
      </c>
    </row>
    <row r="1607" spans="1:7">
      <c r="A1607" s="10">
        <v>2022</v>
      </c>
      <c r="B1607" s="10">
        <v>8</v>
      </c>
      <c r="C1607" s="10" t="s">
        <v>91</v>
      </c>
      <c r="D1607" s="10">
        <v>5204</v>
      </c>
      <c r="E1607" s="10">
        <v>1421875</v>
      </c>
      <c r="F1607" t="s">
        <v>98</v>
      </c>
      <c r="G1607" t="s">
        <v>112</v>
      </c>
    </row>
    <row r="1608" spans="1:7">
      <c r="A1608" s="10">
        <v>2022</v>
      </c>
      <c r="B1608" s="10">
        <v>9</v>
      </c>
      <c r="C1608" s="10" t="s">
        <v>91</v>
      </c>
      <c r="D1608" s="10">
        <v>5125</v>
      </c>
      <c r="E1608" s="10">
        <v>1495000</v>
      </c>
      <c r="F1608" t="s">
        <v>98</v>
      </c>
      <c r="G1608" t="s">
        <v>112</v>
      </c>
    </row>
    <row r="1609" spans="1:7">
      <c r="A1609" s="10">
        <v>2022</v>
      </c>
      <c r="B1609" s="10">
        <v>10</v>
      </c>
      <c r="C1609" s="10" t="s">
        <v>91</v>
      </c>
      <c r="D1609" s="10">
        <v>6013</v>
      </c>
      <c r="E1609" s="10">
        <v>1560000</v>
      </c>
      <c r="F1609" t="s">
        <v>98</v>
      </c>
      <c r="G1609" t="s">
        <v>112</v>
      </c>
    </row>
    <row r="1610" spans="1:7">
      <c r="A1610" s="10">
        <v>2022</v>
      </c>
      <c r="B1610" s="10">
        <v>11</v>
      </c>
      <c r="C1610" s="10" t="s">
        <v>91</v>
      </c>
      <c r="D1610" s="10">
        <v>6550</v>
      </c>
      <c r="E1610" s="10">
        <v>1636544</v>
      </c>
      <c r="F1610" t="s">
        <v>98</v>
      </c>
      <c r="G1610" t="s">
        <v>112</v>
      </c>
    </row>
    <row r="1611" spans="1:7">
      <c r="A1611" s="10">
        <v>2022</v>
      </c>
      <c r="B1611" s="10">
        <v>12</v>
      </c>
      <c r="C1611" s="10" t="s">
        <v>91</v>
      </c>
      <c r="D1611" s="10">
        <v>7146</v>
      </c>
      <c r="E1611" s="10">
        <v>1706250</v>
      </c>
      <c r="F1611" t="s">
        <v>98</v>
      </c>
      <c r="G1611" t="s">
        <v>112</v>
      </c>
    </row>
    <row r="1612" spans="1:7">
      <c r="A1612" s="10">
        <v>2021</v>
      </c>
      <c r="B1612" s="10">
        <v>5</v>
      </c>
      <c r="C1612" s="10" t="s">
        <v>92</v>
      </c>
      <c r="D1612" s="10">
        <v>1041</v>
      </c>
      <c r="E1612" s="10">
        <v>326250</v>
      </c>
      <c r="F1612" t="s">
        <v>101</v>
      </c>
      <c r="G1612" t="s">
        <v>119</v>
      </c>
    </row>
    <row r="1613" spans="1:7">
      <c r="A1613" s="10">
        <v>2021</v>
      </c>
      <c r="B1613" s="10">
        <v>6</v>
      </c>
      <c r="C1613" s="10" t="s">
        <v>92</v>
      </c>
      <c r="D1613" s="10">
        <v>1158</v>
      </c>
      <c r="E1613" s="10">
        <v>343703</v>
      </c>
      <c r="F1613" t="s">
        <v>101</v>
      </c>
      <c r="G1613" t="s">
        <v>119</v>
      </c>
    </row>
    <row r="1614" spans="1:7">
      <c r="A1614" s="10">
        <v>2021</v>
      </c>
      <c r="B1614" s="10">
        <v>7</v>
      </c>
      <c r="C1614" s="10" t="s">
        <v>92</v>
      </c>
      <c r="D1614" s="10">
        <v>1060</v>
      </c>
      <c r="E1614" s="10">
        <v>351226</v>
      </c>
      <c r="F1614" t="s">
        <v>101</v>
      </c>
      <c r="G1614" t="s">
        <v>119</v>
      </c>
    </row>
    <row r="1615" spans="1:7">
      <c r="A1615" s="10">
        <v>2021</v>
      </c>
      <c r="B1615" s="10">
        <v>8</v>
      </c>
      <c r="C1615" s="10" t="s">
        <v>92</v>
      </c>
      <c r="D1615" s="10">
        <v>1177</v>
      </c>
      <c r="E1615" s="10">
        <v>350000</v>
      </c>
      <c r="F1615" t="s">
        <v>101</v>
      </c>
      <c r="G1615" t="s">
        <v>119</v>
      </c>
    </row>
    <row r="1616" spans="1:7">
      <c r="A1616" s="10">
        <v>2021</v>
      </c>
      <c r="B1616" s="10">
        <v>9</v>
      </c>
      <c r="C1616" s="10" t="s">
        <v>92</v>
      </c>
      <c r="D1616" s="10">
        <v>1217</v>
      </c>
      <c r="E1616" s="10">
        <v>378610</v>
      </c>
      <c r="F1616" t="s">
        <v>101</v>
      </c>
      <c r="G1616" t="s">
        <v>119</v>
      </c>
    </row>
    <row r="1617" spans="1:7">
      <c r="A1617" s="10">
        <v>2021</v>
      </c>
      <c r="B1617" s="10">
        <v>10</v>
      </c>
      <c r="C1617" s="10" t="s">
        <v>92</v>
      </c>
      <c r="D1617" s="10">
        <v>1189</v>
      </c>
      <c r="E1617" s="10">
        <v>385971</v>
      </c>
      <c r="F1617" t="s">
        <v>101</v>
      </c>
      <c r="G1617" t="s">
        <v>119</v>
      </c>
    </row>
    <row r="1618" spans="1:7">
      <c r="A1618" s="10">
        <v>2021</v>
      </c>
      <c r="B1618" s="10">
        <v>11</v>
      </c>
      <c r="C1618" s="10" t="s">
        <v>92</v>
      </c>
      <c r="D1618" s="10">
        <v>1210</v>
      </c>
      <c r="E1618" s="10">
        <v>443700</v>
      </c>
      <c r="F1618" t="s">
        <v>101</v>
      </c>
      <c r="G1618" t="s">
        <v>119</v>
      </c>
    </row>
    <row r="1619" spans="1:7">
      <c r="A1619" s="10">
        <v>2021</v>
      </c>
      <c r="B1619" s="10">
        <v>12</v>
      </c>
      <c r="C1619" s="10" t="s">
        <v>92</v>
      </c>
      <c r="D1619" s="10">
        <v>1276</v>
      </c>
      <c r="E1619" s="10">
        <v>496198</v>
      </c>
      <c r="F1619" t="s">
        <v>101</v>
      </c>
      <c r="G1619" t="s">
        <v>119</v>
      </c>
    </row>
    <row r="1620" spans="1:7">
      <c r="A1620" s="10">
        <v>2022</v>
      </c>
      <c r="B1620" s="10">
        <v>1</v>
      </c>
      <c r="C1620" s="10" t="s">
        <v>92</v>
      </c>
      <c r="D1620" s="10">
        <v>1301</v>
      </c>
      <c r="E1620" s="10">
        <v>509090</v>
      </c>
      <c r="F1620" t="s">
        <v>101</v>
      </c>
      <c r="G1620" t="s">
        <v>119</v>
      </c>
    </row>
    <row r="1621" spans="1:7">
      <c r="A1621" s="10">
        <v>2022</v>
      </c>
      <c r="B1621" s="10">
        <v>2</v>
      </c>
      <c r="C1621" s="10" t="s">
        <v>92</v>
      </c>
      <c r="D1621" s="10">
        <v>1378</v>
      </c>
      <c r="E1621" s="10">
        <v>558348</v>
      </c>
      <c r="F1621" t="s">
        <v>101</v>
      </c>
      <c r="G1621" t="s">
        <v>119</v>
      </c>
    </row>
    <row r="1622" spans="1:7">
      <c r="A1622" s="10">
        <v>2022</v>
      </c>
      <c r="B1622" s="10">
        <v>3</v>
      </c>
      <c r="C1622" s="10" t="s">
        <v>92</v>
      </c>
      <c r="D1622" s="10">
        <v>1372</v>
      </c>
      <c r="E1622" s="10">
        <v>627586</v>
      </c>
      <c r="F1622" t="s">
        <v>101</v>
      </c>
      <c r="G1622" t="s">
        <v>119</v>
      </c>
    </row>
    <row r="1623" spans="1:7">
      <c r="A1623" s="10">
        <v>2022</v>
      </c>
      <c r="B1623" s="10">
        <v>4</v>
      </c>
      <c r="C1623" s="10" t="s">
        <v>92</v>
      </c>
      <c r="D1623" s="10">
        <v>1400</v>
      </c>
      <c r="E1623" s="10">
        <v>720880</v>
      </c>
      <c r="F1623" t="s">
        <v>101</v>
      </c>
      <c r="G1623" t="s">
        <v>119</v>
      </c>
    </row>
    <row r="1624" spans="1:7">
      <c r="A1624" s="10">
        <v>2022</v>
      </c>
      <c r="B1624" s="10">
        <v>5</v>
      </c>
      <c r="C1624" s="10" t="s">
        <v>92</v>
      </c>
      <c r="D1624" s="10">
        <v>1707</v>
      </c>
      <c r="E1624" s="10">
        <v>826500</v>
      </c>
      <c r="F1624" t="s">
        <v>101</v>
      </c>
      <c r="G1624" t="s">
        <v>119</v>
      </c>
    </row>
    <row r="1625" spans="1:7">
      <c r="A1625" s="10">
        <v>2022</v>
      </c>
      <c r="B1625" s="10">
        <v>6</v>
      </c>
      <c r="C1625" s="10" t="s">
        <v>92</v>
      </c>
      <c r="D1625" s="10">
        <v>2011</v>
      </c>
      <c r="E1625" s="10">
        <v>886110</v>
      </c>
      <c r="F1625" t="s">
        <v>101</v>
      </c>
      <c r="G1625" t="s">
        <v>119</v>
      </c>
    </row>
    <row r="1626" spans="1:7">
      <c r="A1626" s="10">
        <v>2022</v>
      </c>
      <c r="B1626" s="10">
        <v>7</v>
      </c>
      <c r="C1626" s="10" t="s">
        <v>92</v>
      </c>
      <c r="D1626" s="10">
        <v>2310</v>
      </c>
      <c r="E1626" s="10">
        <v>947332</v>
      </c>
      <c r="F1626" t="s">
        <v>101</v>
      </c>
      <c r="G1626" t="s">
        <v>119</v>
      </c>
    </row>
    <row r="1627" spans="1:7">
      <c r="A1627" s="10">
        <v>2022</v>
      </c>
      <c r="B1627" s="10">
        <v>8</v>
      </c>
      <c r="C1627" s="10" t="s">
        <v>92</v>
      </c>
      <c r="D1627" s="10">
        <v>2462</v>
      </c>
      <c r="E1627" s="10">
        <v>963214</v>
      </c>
      <c r="F1627" t="s">
        <v>101</v>
      </c>
      <c r="G1627" t="s">
        <v>119</v>
      </c>
    </row>
    <row r="1628" spans="1:7">
      <c r="A1628" s="10">
        <v>2022</v>
      </c>
      <c r="B1628" s="10">
        <v>9</v>
      </c>
      <c r="C1628" s="10" t="s">
        <v>92</v>
      </c>
      <c r="D1628" s="10">
        <v>2510</v>
      </c>
      <c r="E1628" s="10">
        <v>975000</v>
      </c>
      <c r="F1628" t="s">
        <v>101</v>
      </c>
      <c r="G1628" t="s">
        <v>119</v>
      </c>
    </row>
    <row r="1629" spans="1:7">
      <c r="A1629" s="10">
        <v>2022</v>
      </c>
      <c r="B1629" s="10">
        <v>10</v>
      </c>
      <c r="C1629" s="10" t="s">
        <v>92</v>
      </c>
      <c r="D1629" s="10">
        <v>2621</v>
      </c>
      <c r="E1629" s="10">
        <v>1005926</v>
      </c>
      <c r="F1629" t="s">
        <v>101</v>
      </c>
      <c r="G1629" t="s">
        <v>119</v>
      </c>
    </row>
    <row r="1630" spans="1:7">
      <c r="A1630" s="10">
        <v>2022</v>
      </c>
      <c r="B1630" s="10">
        <v>11</v>
      </c>
      <c r="C1630" s="10" t="s">
        <v>92</v>
      </c>
      <c r="D1630" s="10">
        <v>2628</v>
      </c>
      <c r="E1630" s="10">
        <v>1084435</v>
      </c>
      <c r="F1630" t="s">
        <v>101</v>
      </c>
      <c r="G1630" t="s">
        <v>119</v>
      </c>
    </row>
    <row r="1631" spans="1:7">
      <c r="A1631" s="10">
        <v>2022</v>
      </c>
      <c r="B1631" s="10">
        <v>12</v>
      </c>
      <c r="C1631" s="10" t="s">
        <v>92</v>
      </c>
      <c r="D1631" s="10">
        <v>2492</v>
      </c>
      <c r="E1631" s="10">
        <v>1206896</v>
      </c>
      <c r="F1631" t="s">
        <v>101</v>
      </c>
      <c r="G1631" t="s">
        <v>119</v>
      </c>
    </row>
    <row r="1632" spans="1:7">
      <c r="A1632" s="10">
        <v>2021</v>
      </c>
      <c r="B1632" s="10">
        <v>5</v>
      </c>
      <c r="C1632" s="10" t="s">
        <v>93</v>
      </c>
      <c r="D1632" s="10">
        <v>1136</v>
      </c>
      <c r="E1632" s="10">
        <v>385000</v>
      </c>
      <c r="F1632" t="s">
        <v>102</v>
      </c>
      <c r="G1632" t="s">
        <v>120</v>
      </c>
    </row>
    <row r="1633" spans="1:7">
      <c r="A1633" s="10">
        <v>2021</v>
      </c>
      <c r="B1633" s="10">
        <v>6</v>
      </c>
      <c r="C1633" s="10" t="s">
        <v>93</v>
      </c>
      <c r="D1633" s="10">
        <v>1156</v>
      </c>
      <c r="E1633" s="10">
        <v>398125</v>
      </c>
      <c r="F1633" t="s">
        <v>102</v>
      </c>
      <c r="G1633" t="s">
        <v>120</v>
      </c>
    </row>
    <row r="1634" spans="1:7">
      <c r="A1634" s="10">
        <v>2021</v>
      </c>
      <c r="B1634" s="10">
        <v>7</v>
      </c>
      <c r="C1634" s="10" t="s">
        <v>93</v>
      </c>
      <c r="D1634" s="10">
        <v>1187</v>
      </c>
      <c r="E1634" s="10">
        <v>423141</v>
      </c>
      <c r="F1634" t="s">
        <v>102</v>
      </c>
      <c r="G1634" t="s">
        <v>120</v>
      </c>
    </row>
    <row r="1635" spans="1:7">
      <c r="A1635" s="10">
        <v>2021</v>
      </c>
      <c r="B1635" s="10">
        <v>8</v>
      </c>
      <c r="C1635" s="10" t="s">
        <v>93</v>
      </c>
      <c r="D1635" s="10">
        <v>1259</v>
      </c>
      <c r="E1635" s="10">
        <v>430172</v>
      </c>
      <c r="F1635" t="s">
        <v>102</v>
      </c>
      <c r="G1635" t="s">
        <v>120</v>
      </c>
    </row>
    <row r="1636" spans="1:7">
      <c r="A1636" s="10">
        <v>2021</v>
      </c>
      <c r="B1636" s="10">
        <v>9</v>
      </c>
      <c r="C1636" s="10" t="s">
        <v>93</v>
      </c>
      <c r="D1636" s="10">
        <v>1272</v>
      </c>
      <c r="E1636" s="10">
        <v>443792</v>
      </c>
      <c r="F1636" t="s">
        <v>102</v>
      </c>
      <c r="G1636" t="s">
        <v>120</v>
      </c>
    </row>
    <row r="1637" spans="1:7">
      <c r="A1637" s="10">
        <v>2021</v>
      </c>
      <c r="B1637" s="10">
        <v>10</v>
      </c>
      <c r="C1637" s="10" t="s">
        <v>93</v>
      </c>
      <c r="D1637" s="10">
        <v>1279</v>
      </c>
      <c r="E1637" s="10">
        <v>464275</v>
      </c>
      <c r="F1637" t="s">
        <v>102</v>
      </c>
      <c r="G1637" t="s">
        <v>120</v>
      </c>
    </row>
    <row r="1638" spans="1:7">
      <c r="A1638" s="10">
        <v>2021</v>
      </c>
      <c r="B1638" s="10">
        <v>11</v>
      </c>
      <c r="C1638" s="10" t="s">
        <v>93</v>
      </c>
      <c r="D1638" s="10">
        <v>1425</v>
      </c>
      <c r="E1638" s="10">
        <v>493103</v>
      </c>
      <c r="F1638" t="s">
        <v>102</v>
      </c>
      <c r="G1638" t="s">
        <v>120</v>
      </c>
    </row>
    <row r="1639" spans="1:7">
      <c r="A1639" s="10">
        <v>2021</v>
      </c>
      <c r="B1639" s="10">
        <v>12</v>
      </c>
      <c r="C1639" s="10" t="s">
        <v>93</v>
      </c>
      <c r="D1639" s="10">
        <v>1446</v>
      </c>
      <c r="E1639" s="10">
        <v>583154</v>
      </c>
      <c r="F1639" t="s">
        <v>102</v>
      </c>
      <c r="G1639" t="s">
        <v>120</v>
      </c>
    </row>
    <row r="1640" spans="1:7">
      <c r="A1640" s="10">
        <v>2022</v>
      </c>
      <c r="B1640" s="10">
        <v>1</v>
      </c>
      <c r="C1640" s="10" t="s">
        <v>93</v>
      </c>
      <c r="D1640" s="10">
        <v>1527</v>
      </c>
      <c r="E1640" s="10">
        <v>635682</v>
      </c>
      <c r="F1640" t="s">
        <v>102</v>
      </c>
      <c r="G1640" t="s">
        <v>120</v>
      </c>
    </row>
    <row r="1641" spans="1:7">
      <c r="A1641" s="10">
        <v>2022</v>
      </c>
      <c r="B1641" s="10">
        <v>2</v>
      </c>
      <c r="C1641" s="10" t="s">
        <v>93</v>
      </c>
      <c r="D1641" s="10">
        <v>1650</v>
      </c>
      <c r="E1641" s="10">
        <v>675000</v>
      </c>
      <c r="F1641" t="s">
        <v>102</v>
      </c>
      <c r="G1641" t="s">
        <v>120</v>
      </c>
    </row>
    <row r="1642" spans="1:7">
      <c r="A1642" s="10">
        <v>2022</v>
      </c>
      <c r="B1642" s="10">
        <v>3</v>
      </c>
      <c r="C1642" s="10" t="s">
        <v>93</v>
      </c>
      <c r="D1642" s="10">
        <v>1776</v>
      </c>
      <c r="E1642" s="10">
        <v>690625</v>
      </c>
      <c r="F1642" t="s">
        <v>102</v>
      </c>
      <c r="G1642" t="s">
        <v>120</v>
      </c>
    </row>
    <row r="1643" spans="1:7">
      <c r="A1643" s="10">
        <v>2022</v>
      </c>
      <c r="B1643" s="10">
        <v>4</v>
      </c>
      <c r="C1643" s="10" t="s">
        <v>93</v>
      </c>
      <c r="D1643" s="10">
        <v>1924</v>
      </c>
      <c r="E1643" s="10">
        <v>791379</v>
      </c>
      <c r="F1643" t="s">
        <v>102</v>
      </c>
      <c r="G1643" t="s">
        <v>120</v>
      </c>
    </row>
    <row r="1644" spans="1:7">
      <c r="A1644" s="10">
        <v>2022</v>
      </c>
      <c r="B1644" s="10">
        <v>5</v>
      </c>
      <c r="C1644" s="10" t="s">
        <v>93</v>
      </c>
      <c r="D1644" s="10">
        <v>2040</v>
      </c>
      <c r="E1644" s="10">
        <v>855437</v>
      </c>
      <c r="F1644" t="s">
        <v>102</v>
      </c>
      <c r="G1644" t="s">
        <v>120</v>
      </c>
    </row>
    <row r="1645" spans="1:7">
      <c r="A1645" s="10">
        <v>2022</v>
      </c>
      <c r="B1645" s="10">
        <v>6</v>
      </c>
      <c r="C1645" s="10" t="s">
        <v>93</v>
      </c>
      <c r="D1645" s="10">
        <v>2308</v>
      </c>
      <c r="E1645" s="10">
        <v>953332</v>
      </c>
      <c r="F1645" t="s">
        <v>102</v>
      </c>
      <c r="G1645" t="s">
        <v>120</v>
      </c>
    </row>
    <row r="1646" spans="1:7">
      <c r="A1646" s="10">
        <v>2022</v>
      </c>
      <c r="B1646" s="10">
        <v>7</v>
      </c>
      <c r="C1646" s="10" t="s">
        <v>93</v>
      </c>
      <c r="D1646" s="10">
        <v>2540</v>
      </c>
      <c r="E1646" s="10">
        <v>1072815</v>
      </c>
      <c r="F1646" t="s">
        <v>102</v>
      </c>
      <c r="G1646" t="s">
        <v>120</v>
      </c>
    </row>
    <row r="1647" spans="1:7">
      <c r="A1647" s="10">
        <v>2022</v>
      </c>
      <c r="B1647" s="10">
        <v>8</v>
      </c>
      <c r="C1647" s="10" t="s">
        <v>93</v>
      </c>
      <c r="D1647" s="10">
        <v>2819</v>
      </c>
      <c r="E1647" s="10">
        <v>1135274</v>
      </c>
      <c r="F1647" t="s">
        <v>102</v>
      </c>
      <c r="G1647" t="s">
        <v>120</v>
      </c>
    </row>
    <row r="1648" spans="1:7">
      <c r="A1648" s="10">
        <v>2022</v>
      </c>
      <c r="B1648" s="10">
        <v>9</v>
      </c>
      <c r="C1648" s="10" t="s">
        <v>93</v>
      </c>
      <c r="D1648" s="10">
        <v>3145</v>
      </c>
      <c r="E1648" s="10">
        <v>1170000</v>
      </c>
      <c r="F1648" t="s">
        <v>102</v>
      </c>
      <c r="G1648" t="s">
        <v>120</v>
      </c>
    </row>
    <row r="1649" spans="1:7">
      <c r="A1649" s="10">
        <v>2022</v>
      </c>
      <c r="B1649" s="10">
        <v>10</v>
      </c>
      <c r="C1649" s="10" t="s">
        <v>93</v>
      </c>
      <c r="D1649" s="10">
        <v>3465</v>
      </c>
      <c r="E1649" s="10">
        <v>1249999</v>
      </c>
      <c r="F1649" t="s">
        <v>102</v>
      </c>
      <c r="G1649" t="s">
        <v>120</v>
      </c>
    </row>
    <row r="1650" spans="1:7">
      <c r="A1650" s="10">
        <v>2022</v>
      </c>
      <c r="B1650" s="10">
        <v>11</v>
      </c>
      <c r="C1650" s="10" t="s">
        <v>93</v>
      </c>
      <c r="D1650" s="10">
        <v>3745</v>
      </c>
      <c r="E1650" s="10">
        <v>1319578</v>
      </c>
      <c r="F1650" t="s">
        <v>102</v>
      </c>
      <c r="G1650" t="s">
        <v>120</v>
      </c>
    </row>
    <row r="1651" spans="1:7">
      <c r="A1651" s="10">
        <v>2022</v>
      </c>
      <c r="B1651" s="10">
        <v>12</v>
      </c>
      <c r="C1651" s="10" t="s">
        <v>93</v>
      </c>
      <c r="D1651" s="10">
        <v>4270</v>
      </c>
      <c r="E1651" s="10">
        <v>1399996</v>
      </c>
      <c r="F1651" t="s">
        <v>102</v>
      </c>
      <c r="G1651" t="s">
        <v>120</v>
      </c>
    </row>
  </sheetData>
  <phoneticPr fontId="9" type="noConversion"/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4A035-B9C8-6643-9271-ADC9D0BF2A33}">
  <dimension ref="A1:AA20"/>
  <sheetViews>
    <sheetView workbookViewId="0">
      <selection activeCell="E20" sqref="E20"/>
    </sheetView>
  </sheetViews>
  <sheetFormatPr baseColWidth="10" defaultRowHeight="16"/>
  <cols>
    <col min="1" max="16384" width="10.83203125" style="73"/>
  </cols>
  <sheetData>
    <row r="1" spans="1:27">
      <c r="A1" s="73" t="s">
        <v>1015</v>
      </c>
      <c r="B1" s="73" t="s">
        <v>151</v>
      </c>
      <c r="C1" s="73" t="s">
        <v>152</v>
      </c>
      <c r="D1" s="73" t="s">
        <v>153</v>
      </c>
      <c r="E1" s="73" t="s">
        <v>154</v>
      </c>
      <c r="F1" s="73" t="s">
        <v>155</v>
      </c>
      <c r="G1" s="73" t="s">
        <v>156</v>
      </c>
      <c r="H1" s="73" t="s">
        <v>157</v>
      </c>
      <c r="I1" s="73" t="s">
        <v>158</v>
      </c>
      <c r="J1" s="73" t="s">
        <v>159</v>
      </c>
      <c r="K1" s="73" t="s">
        <v>160</v>
      </c>
      <c r="L1" s="73" t="s">
        <v>161</v>
      </c>
      <c r="M1" s="73" t="s">
        <v>162</v>
      </c>
      <c r="N1" s="73" t="s">
        <v>163</v>
      </c>
      <c r="O1" s="73" t="s">
        <v>164</v>
      </c>
      <c r="P1" s="73" t="s">
        <v>165</v>
      </c>
      <c r="Q1" s="73" t="s">
        <v>166</v>
      </c>
      <c r="R1" s="73" t="s">
        <v>167</v>
      </c>
      <c r="S1" s="73" t="s">
        <v>168</v>
      </c>
      <c r="T1" s="73" t="s">
        <v>169</v>
      </c>
      <c r="U1" s="73" t="s">
        <v>170</v>
      </c>
      <c r="V1" s="73" t="s">
        <v>171</v>
      </c>
      <c r="W1" s="73" t="s">
        <v>172</v>
      </c>
      <c r="X1" s="73" t="s">
        <v>173</v>
      </c>
      <c r="Y1" s="73" t="s">
        <v>174</v>
      </c>
      <c r="Z1" s="73" t="s">
        <v>175</v>
      </c>
      <c r="AA1" s="73" t="s">
        <v>176</v>
      </c>
    </row>
    <row r="2" spans="1:27">
      <c r="A2" s="73">
        <v>2005</v>
      </c>
      <c r="B2" s="73">
        <v>191.32</v>
      </c>
      <c r="C2" s="73">
        <v>142.32</v>
      </c>
      <c r="D2" s="73">
        <v>138.32</v>
      </c>
      <c r="E2" s="73">
        <v>168.32</v>
      </c>
      <c r="F2" s="73">
        <v>148.32</v>
      </c>
      <c r="G2" s="73">
        <v>136.32</v>
      </c>
      <c r="H2" s="73">
        <v>144.32</v>
      </c>
      <c r="I2" s="73">
        <v>145.32</v>
      </c>
      <c r="J2" s="73">
        <v>161.32</v>
      </c>
      <c r="K2" s="73">
        <v>143.32</v>
      </c>
      <c r="L2" s="73">
        <v>138.32</v>
      </c>
      <c r="M2" s="73">
        <v>150.32</v>
      </c>
      <c r="N2" s="73">
        <v>133.32</v>
      </c>
      <c r="O2" s="73">
        <v>127.32</v>
      </c>
      <c r="P2" s="73">
        <v>132.32</v>
      </c>
      <c r="Q2" s="73">
        <v>137.32</v>
      </c>
      <c r="R2" s="73">
        <v>135.32</v>
      </c>
      <c r="S2" s="73">
        <v>135.32</v>
      </c>
      <c r="T2" s="73">
        <v>143.32</v>
      </c>
      <c r="U2" s="73">
        <v>131.32</v>
      </c>
      <c r="V2" s="73">
        <v>129.32</v>
      </c>
      <c r="W2" s="73">
        <v>131.32</v>
      </c>
      <c r="X2" s="73">
        <v>129.32</v>
      </c>
      <c r="Y2" s="73">
        <v>142.32</v>
      </c>
      <c r="Z2" s="73">
        <v>135.32</v>
      </c>
      <c r="AA2" s="73">
        <v>126.32</v>
      </c>
    </row>
    <row r="3" spans="1:27">
      <c r="A3" s="73">
        <v>2006</v>
      </c>
      <c r="B3" s="73">
        <v>219.88</v>
      </c>
      <c r="C3" s="73">
        <v>170.88</v>
      </c>
      <c r="D3" s="73">
        <v>166.88</v>
      </c>
      <c r="E3" s="73">
        <v>196.88</v>
      </c>
      <c r="F3" s="73">
        <v>176.88</v>
      </c>
      <c r="G3" s="73">
        <v>164.88</v>
      </c>
      <c r="H3" s="73">
        <v>172.88</v>
      </c>
      <c r="I3" s="73">
        <v>173.88</v>
      </c>
      <c r="J3" s="73">
        <v>189.88</v>
      </c>
      <c r="K3" s="73">
        <v>171.88</v>
      </c>
      <c r="L3" s="73">
        <v>166.88</v>
      </c>
      <c r="M3" s="73">
        <v>178.88</v>
      </c>
      <c r="N3" s="73">
        <v>161.88</v>
      </c>
      <c r="O3" s="73">
        <v>155.88</v>
      </c>
      <c r="P3" s="73">
        <v>160.88</v>
      </c>
      <c r="Q3" s="73">
        <v>165.88</v>
      </c>
      <c r="R3" s="73">
        <v>163.88</v>
      </c>
      <c r="S3" s="73">
        <v>163.88</v>
      </c>
      <c r="T3" s="73">
        <v>171.88</v>
      </c>
      <c r="U3" s="73">
        <v>159.88</v>
      </c>
      <c r="V3" s="73">
        <v>157.88</v>
      </c>
      <c r="W3" s="73">
        <v>159.88</v>
      </c>
      <c r="X3" s="73">
        <v>157.88</v>
      </c>
      <c r="Y3" s="73">
        <v>170.88</v>
      </c>
      <c r="Z3" s="73">
        <v>163.88</v>
      </c>
      <c r="AA3" s="73">
        <v>154.88</v>
      </c>
    </row>
    <row r="4" spans="1:27">
      <c r="A4" s="73">
        <v>2007</v>
      </c>
      <c r="B4" s="73">
        <v>252.91</v>
      </c>
      <c r="C4" s="73">
        <v>203.91</v>
      </c>
      <c r="D4" s="73">
        <v>199.91</v>
      </c>
      <c r="E4" s="73">
        <v>229.91</v>
      </c>
      <c r="F4" s="73">
        <v>209.91</v>
      </c>
      <c r="G4" s="73">
        <v>197.91</v>
      </c>
      <c r="H4" s="73">
        <v>205.91</v>
      </c>
      <c r="I4" s="73">
        <v>206.91</v>
      </c>
      <c r="J4" s="73">
        <v>222.91</v>
      </c>
      <c r="K4" s="73">
        <v>204.91</v>
      </c>
      <c r="L4" s="73">
        <v>199.91</v>
      </c>
      <c r="M4" s="73">
        <v>211.91</v>
      </c>
      <c r="N4" s="73">
        <v>194.91</v>
      </c>
      <c r="O4" s="73">
        <v>188.91</v>
      </c>
      <c r="P4" s="73">
        <v>193.91</v>
      </c>
      <c r="Q4" s="73">
        <v>198.91</v>
      </c>
      <c r="R4" s="73">
        <v>196.91</v>
      </c>
      <c r="S4" s="73">
        <v>196.91</v>
      </c>
      <c r="T4" s="73">
        <v>204.91</v>
      </c>
      <c r="U4" s="73">
        <v>192.91</v>
      </c>
      <c r="V4" s="73">
        <v>190.91</v>
      </c>
      <c r="W4" s="73">
        <v>192.91</v>
      </c>
      <c r="X4" s="73">
        <v>190.91</v>
      </c>
      <c r="Y4" s="73">
        <v>203.91</v>
      </c>
      <c r="Z4" s="73">
        <v>196.91</v>
      </c>
      <c r="AA4" s="73">
        <v>187.91</v>
      </c>
    </row>
    <row r="5" spans="1:27">
      <c r="A5" s="73">
        <v>2008</v>
      </c>
      <c r="B5" s="73">
        <v>281.46000000000004</v>
      </c>
      <c r="C5" s="73">
        <v>232.46</v>
      </c>
      <c r="D5" s="73">
        <v>228.46</v>
      </c>
      <c r="E5" s="73">
        <v>258.46000000000004</v>
      </c>
      <c r="F5" s="73">
        <v>238.46</v>
      </c>
      <c r="G5" s="73">
        <v>226.46</v>
      </c>
      <c r="H5" s="73">
        <v>234.46</v>
      </c>
      <c r="I5" s="73">
        <v>235.46</v>
      </c>
      <c r="J5" s="73">
        <v>251.46</v>
      </c>
      <c r="K5" s="73">
        <v>233.46</v>
      </c>
      <c r="L5" s="73">
        <v>228.46</v>
      </c>
      <c r="M5" s="73">
        <v>240.46</v>
      </c>
      <c r="N5" s="73">
        <v>223.46</v>
      </c>
      <c r="O5" s="73">
        <v>217.46</v>
      </c>
      <c r="P5" s="73">
        <v>222.46</v>
      </c>
      <c r="Q5" s="73">
        <v>227.46</v>
      </c>
      <c r="R5" s="73">
        <v>225.46</v>
      </c>
      <c r="S5" s="73">
        <v>225.46</v>
      </c>
      <c r="T5" s="73">
        <v>233.46</v>
      </c>
      <c r="U5" s="73">
        <v>221.46</v>
      </c>
      <c r="V5" s="73">
        <v>219.46</v>
      </c>
      <c r="W5" s="73">
        <v>221.46</v>
      </c>
      <c r="X5" s="73">
        <v>219.46</v>
      </c>
      <c r="Y5" s="73">
        <v>232.46</v>
      </c>
      <c r="Z5" s="73">
        <v>225.46</v>
      </c>
      <c r="AA5" s="73">
        <v>216.46</v>
      </c>
    </row>
    <row r="6" spans="1:27">
      <c r="A6" s="73" t="s">
        <v>1016</v>
      </c>
      <c r="B6" s="73">
        <v>301.68</v>
      </c>
      <c r="C6" s="73">
        <v>252.68</v>
      </c>
      <c r="D6" s="73">
        <v>248.68</v>
      </c>
      <c r="E6" s="73">
        <v>278.68</v>
      </c>
      <c r="F6" s="73">
        <v>258.68</v>
      </c>
      <c r="G6" s="73">
        <v>246.68</v>
      </c>
      <c r="H6" s="73">
        <v>254.68</v>
      </c>
      <c r="I6" s="73">
        <v>255.68</v>
      </c>
      <c r="J6" s="73">
        <v>271.68</v>
      </c>
      <c r="K6" s="73">
        <v>253.68</v>
      </c>
      <c r="L6" s="73">
        <v>248.68</v>
      </c>
      <c r="M6" s="73">
        <v>260.68</v>
      </c>
      <c r="N6" s="73">
        <v>243.68</v>
      </c>
      <c r="O6" s="73">
        <v>237.68</v>
      </c>
      <c r="P6" s="73">
        <v>242.68</v>
      </c>
      <c r="Q6" s="73">
        <v>247.68</v>
      </c>
      <c r="R6" s="73">
        <v>245.68</v>
      </c>
      <c r="S6" s="73">
        <v>245.68</v>
      </c>
      <c r="T6" s="73">
        <v>253.68</v>
      </c>
      <c r="U6" s="73">
        <v>241.68</v>
      </c>
      <c r="V6" s="73">
        <v>239.68</v>
      </c>
      <c r="W6" s="73">
        <v>241.68</v>
      </c>
      <c r="X6" s="73">
        <v>239.68</v>
      </c>
      <c r="Y6" s="73">
        <v>252.68</v>
      </c>
      <c r="Z6" s="73">
        <v>245.68</v>
      </c>
      <c r="AA6" s="73">
        <v>236.68</v>
      </c>
    </row>
    <row r="7" spans="1:27">
      <c r="A7" s="73" t="s">
        <v>1017</v>
      </c>
      <c r="B7" s="73">
        <v>312.27999999999997</v>
      </c>
      <c r="C7" s="73">
        <v>263.27999999999997</v>
      </c>
      <c r="D7" s="73">
        <v>259.27999999999997</v>
      </c>
      <c r="E7" s="73">
        <v>289.27999999999997</v>
      </c>
      <c r="F7" s="73">
        <v>269.27999999999997</v>
      </c>
      <c r="G7" s="73">
        <v>257.27999999999997</v>
      </c>
      <c r="H7" s="73">
        <v>265.27999999999997</v>
      </c>
      <c r="I7" s="73">
        <v>266.27999999999997</v>
      </c>
      <c r="J7" s="73">
        <v>282.27999999999997</v>
      </c>
      <c r="K7" s="73">
        <v>264.27999999999997</v>
      </c>
      <c r="L7" s="73">
        <v>259.27999999999997</v>
      </c>
      <c r="M7" s="73">
        <v>271.27999999999997</v>
      </c>
      <c r="N7" s="73">
        <v>254.27999999999997</v>
      </c>
      <c r="O7" s="73">
        <v>248.27999999999997</v>
      </c>
      <c r="P7" s="73">
        <v>253.27999999999997</v>
      </c>
      <c r="Q7" s="73">
        <v>258.27999999999997</v>
      </c>
      <c r="R7" s="73">
        <v>256.27999999999997</v>
      </c>
      <c r="S7" s="73">
        <v>256.27999999999997</v>
      </c>
      <c r="T7" s="73">
        <v>264.27999999999997</v>
      </c>
      <c r="U7" s="73">
        <v>252.27999999999997</v>
      </c>
      <c r="V7" s="73">
        <v>250.27999999999997</v>
      </c>
      <c r="W7" s="73">
        <v>252.27999999999997</v>
      </c>
      <c r="X7" s="73">
        <v>250.27999999999997</v>
      </c>
      <c r="Y7" s="73">
        <v>263.27999999999997</v>
      </c>
      <c r="Z7" s="73">
        <v>256.27999999999997</v>
      </c>
      <c r="AA7" s="73">
        <v>247.27999999999997</v>
      </c>
    </row>
    <row r="8" spans="1:27">
      <c r="A8" s="73" t="s">
        <v>1018</v>
      </c>
      <c r="B8" s="73">
        <v>323.89</v>
      </c>
      <c r="C8" s="73">
        <v>274.89</v>
      </c>
      <c r="D8" s="73">
        <v>270.89</v>
      </c>
      <c r="E8" s="73">
        <v>300.89</v>
      </c>
      <c r="F8" s="73">
        <v>280.89</v>
      </c>
      <c r="G8" s="73">
        <v>268.89</v>
      </c>
      <c r="H8" s="73">
        <v>276.89</v>
      </c>
      <c r="I8" s="73">
        <v>277.89</v>
      </c>
      <c r="J8" s="73">
        <v>293.89</v>
      </c>
      <c r="K8" s="73">
        <v>275.89</v>
      </c>
      <c r="L8" s="73">
        <v>270.89</v>
      </c>
      <c r="M8" s="73">
        <v>282.89</v>
      </c>
      <c r="N8" s="73">
        <v>265.89</v>
      </c>
      <c r="O8" s="73">
        <v>259.89</v>
      </c>
      <c r="P8" s="73">
        <v>264.89</v>
      </c>
      <c r="Q8" s="73">
        <v>269.89</v>
      </c>
      <c r="R8" s="73">
        <v>267.89</v>
      </c>
      <c r="S8" s="73">
        <v>267.89</v>
      </c>
      <c r="T8" s="73">
        <v>275.89</v>
      </c>
      <c r="U8" s="73">
        <v>263.89</v>
      </c>
      <c r="V8" s="73">
        <v>261.89</v>
      </c>
      <c r="W8" s="73">
        <v>263.89</v>
      </c>
      <c r="X8" s="73">
        <v>261.89</v>
      </c>
      <c r="Y8" s="73">
        <v>274.89</v>
      </c>
      <c r="Z8" s="73">
        <v>267.89</v>
      </c>
      <c r="AA8" s="73">
        <v>258.89</v>
      </c>
    </row>
    <row r="9" spans="1:27">
      <c r="A9" s="73">
        <v>2012</v>
      </c>
      <c r="B9" s="73">
        <v>337.05</v>
      </c>
      <c r="C9" s="73">
        <v>288.05</v>
      </c>
      <c r="D9" s="73">
        <v>284.05</v>
      </c>
      <c r="E9" s="73">
        <v>314.05</v>
      </c>
      <c r="F9" s="73">
        <v>294.05</v>
      </c>
      <c r="G9" s="73">
        <v>282.05</v>
      </c>
      <c r="H9" s="73">
        <v>290.05</v>
      </c>
      <c r="I9" s="73">
        <v>291.05</v>
      </c>
      <c r="J9" s="73">
        <v>307.05</v>
      </c>
      <c r="K9" s="73">
        <v>289.05</v>
      </c>
      <c r="L9" s="73">
        <v>284.05</v>
      </c>
      <c r="M9" s="73">
        <v>296.05</v>
      </c>
      <c r="N9" s="73">
        <v>279.05</v>
      </c>
      <c r="O9" s="73">
        <v>273.05</v>
      </c>
      <c r="P9" s="73">
        <v>278.05</v>
      </c>
      <c r="Q9" s="73">
        <v>283.05</v>
      </c>
      <c r="R9" s="73">
        <v>281.05</v>
      </c>
      <c r="S9" s="73">
        <v>281.05</v>
      </c>
      <c r="T9" s="73">
        <v>289.05</v>
      </c>
      <c r="U9" s="73">
        <v>277.05</v>
      </c>
      <c r="V9" s="73">
        <v>275.05</v>
      </c>
      <c r="W9" s="73">
        <v>277.05</v>
      </c>
      <c r="X9" s="73">
        <v>275.05</v>
      </c>
      <c r="Y9" s="73">
        <v>288.05</v>
      </c>
      <c r="Z9" s="73">
        <v>281.05</v>
      </c>
      <c r="AA9" s="73">
        <v>272.05</v>
      </c>
    </row>
    <row r="10" spans="1:27">
      <c r="A10" s="73" t="s">
        <v>1019</v>
      </c>
      <c r="B10" s="73">
        <v>354.75</v>
      </c>
      <c r="C10" s="73">
        <v>305.75</v>
      </c>
      <c r="D10" s="73">
        <v>301.75</v>
      </c>
      <c r="E10" s="73">
        <v>331.75</v>
      </c>
      <c r="F10" s="73">
        <v>311.75</v>
      </c>
      <c r="G10" s="73">
        <v>299.75</v>
      </c>
      <c r="H10" s="73">
        <v>307.75</v>
      </c>
      <c r="I10" s="73">
        <v>308.75</v>
      </c>
      <c r="J10" s="73">
        <v>324.75</v>
      </c>
      <c r="K10" s="73">
        <v>306.75</v>
      </c>
      <c r="L10" s="73">
        <v>301.75</v>
      </c>
      <c r="M10" s="73">
        <v>313.75</v>
      </c>
      <c r="N10" s="73">
        <v>296.75</v>
      </c>
      <c r="O10" s="73">
        <v>290.75</v>
      </c>
      <c r="P10" s="73">
        <v>295.75</v>
      </c>
      <c r="Q10" s="73">
        <v>300.75</v>
      </c>
      <c r="R10" s="73">
        <v>298.75</v>
      </c>
      <c r="S10" s="73">
        <v>298.75</v>
      </c>
      <c r="T10" s="73">
        <v>306.75</v>
      </c>
      <c r="U10" s="73">
        <v>294.75</v>
      </c>
      <c r="V10" s="73">
        <v>292.75</v>
      </c>
      <c r="W10" s="73">
        <v>294.75</v>
      </c>
      <c r="X10" s="73">
        <v>292.75</v>
      </c>
      <c r="Y10" s="73">
        <v>305.75</v>
      </c>
      <c r="Z10" s="73">
        <v>298.75</v>
      </c>
      <c r="AA10" s="73">
        <v>289.75</v>
      </c>
    </row>
    <row r="11" spans="1:27">
      <c r="A11" s="73" t="s">
        <v>1020</v>
      </c>
      <c r="B11" s="73">
        <v>375.48</v>
      </c>
      <c r="C11" s="73">
        <v>326.48</v>
      </c>
      <c r="D11" s="73">
        <v>322.48</v>
      </c>
      <c r="E11" s="73">
        <v>352.48</v>
      </c>
      <c r="F11" s="73">
        <v>332.48</v>
      </c>
      <c r="G11" s="73">
        <v>320.48</v>
      </c>
      <c r="H11" s="73">
        <v>328.48</v>
      </c>
      <c r="I11" s="73">
        <v>329.48</v>
      </c>
      <c r="J11" s="73">
        <v>345.48</v>
      </c>
      <c r="K11" s="73">
        <v>327.48</v>
      </c>
      <c r="L11" s="73">
        <v>322.48</v>
      </c>
      <c r="M11" s="73">
        <v>334.48</v>
      </c>
      <c r="N11" s="73">
        <v>317.48</v>
      </c>
      <c r="O11" s="73">
        <v>311.48</v>
      </c>
      <c r="P11" s="73">
        <v>316.48</v>
      </c>
      <c r="Q11" s="73">
        <v>321.48</v>
      </c>
      <c r="R11" s="73">
        <v>319.48</v>
      </c>
      <c r="S11" s="73">
        <v>319.48</v>
      </c>
      <c r="T11" s="73">
        <v>327.48</v>
      </c>
      <c r="U11" s="73">
        <v>315.48</v>
      </c>
      <c r="V11" s="73">
        <v>313.48</v>
      </c>
      <c r="W11" s="73">
        <v>315.48</v>
      </c>
      <c r="X11" s="73">
        <v>313.48</v>
      </c>
      <c r="Y11" s="73">
        <v>326.48</v>
      </c>
      <c r="Z11" s="73">
        <v>319.48</v>
      </c>
      <c r="AA11" s="73">
        <v>310.48</v>
      </c>
    </row>
    <row r="12" spans="1:27">
      <c r="A12" s="73" t="s">
        <v>1021</v>
      </c>
      <c r="B12" s="73">
        <v>399.78</v>
      </c>
      <c r="C12" s="73">
        <v>350.78</v>
      </c>
      <c r="D12" s="73">
        <v>346.78</v>
      </c>
      <c r="E12" s="73">
        <v>376.78</v>
      </c>
      <c r="F12" s="73">
        <v>356.78</v>
      </c>
      <c r="G12" s="73">
        <v>344.78</v>
      </c>
      <c r="H12" s="73">
        <v>352.78</v>
      </c>
      <c r="I12" s="73">
        <v>353.78</v>
      </c>
      <c r="J12" s="73">
        <v>369.78</v>
      </c>
      <c r="K12" s="73">
        <v>351.78</v>
      </c>
      <c r="L12" s="73">
        <v>346.78</v>
      </c>
      <c r="M12" s="73">
        <v>358.78</v>
      </c>
      <c r="N12" s="73">
        <v>341.78</v>
      </c>
      <c r="O12" s="73">
        <v>335.78</v>
      </c>
      <c r="P12" s="73">
        <v>340.78</v>
      </c>
      <c r="Q12" s="73">
        <v>345.78</v>
      </c>
      <c r="R12" s="73">
        <v>343.78</v>
      </c>
      <c r="S12" s="73">
        <v>343.78</v>
      </c>
      <c r="T12" s="73">
        <v>351.78</v>
      </c>
      <c r="U12" s="73">
        <v>339.78</v>
      </c>
      <c r="V12" s="73">
        <v>337.78</v>
      </c>
      <c r="W12" s="73">
        <v>339.78</v>
      </c>
      <c r="X12" s="73">
        <v>337.78</v>
      </c>
      <c r="Y12" s="73">
        <v>350.78</v>
      </c>
      <c r="Z12" s="73">
        <v>343.78</v>
      </c>
      <c r="AA12" s="73">
        <v>334.78</v>
      </c>
    </row>
    <row r="13" spans="1:27">
      <c r="A13" s="73" t="s">
        <v>1022</v>
      </c>
      <c r="B13" s="73">
        <v>430.66</v>
      </c>
      <c r="C13" s="73">
        <v>381.66</v>
      </c>
      <c r="D13" s="73">
        <v>377.66</v>
      </c>
      <c r="E13" s="73">
        <v>407.66</v>
      </c>
      <c r="F13" s="73">
        <v>387.66</v>
      </c>
      <c r="G13" s="73">
        <v>375.66</v>
      </c>
      <c r="H13" s="73">
        <v>383.66</v>
      </c>
      <c r="I13" s="73">
        <v>384.66</v>
      </c>
      <c r="J13" s="73">
        <v>400.66</v>
      </c>
      <c r="K13" s="73">
        <v>382.66</v>
      </c>
      <c r="L13" s="73">
        <v>377.66</v>
      </c>
      <c r="M13" s="73">
        <v>389.66</v>
      </c>
      <c r="N13" s="73">
        <v>372.66</v>
      </c>
      <c r="O13" s="73">
        <v>366.66</v>
      </c>
      <c r="P13" s="73">
        <v>371.66</v>
      </c>
      <c r="Q13" s="73">
        <v>376.66</v>
      </c>
      <c r="R13" s="73">
        <v>374.66</v>
      </c>
      <c r="S13" s="73">
        <v>374.66</v>
      </c>
      <c r="T13" s="73">
        <v>382.66</v>
      </c>
      <c r="U13" s="73">
        <v>370.66</v>
      </c>
      <c r="V13" s="73">
        <v>368.66</v>
      </c>
      <c r="W13" s="73">
        <v>370.66</v>
      </c>
      <c r="X13" s="73">
        <v>368.66</v>
      </c>
      <c r="Y13" s="73">
        <v>381.66</v>
      </c>
      <c r="Z13" s="73">
        <v>374.66</v>
      </c>
      <c r="AA13" s="73">
        <v>365.66</v>
      </c>
    </row>
    <row r="14" spans="1:27">
      <c r="A14" s="73">
        <v>2017</v>
      </c>
      <c r="B14" s="73">
        <v>464.2</v>
      </c>
      <c r="C14" s="73">
        <v>415.2</v>
      </c>
      <c r="D14" s="73">
        <v>411.2</v>
      </c>
      <c r="E14" s="73">
        <v>441.2</v>
      </c>
      <c r="F14" s="73">
        <v>421.2</v>
      </c>
      <c r="G14" s="73">
        <v>409.2</v>
      </c>
      <c r="H14" s="73">
        <v>417.2</v>
      </c>
      <c r="I14" s="73">
        <v>418.2</v>
      </c>
      <c r="J14" s="73">
        <v>434.2</v>
      </c>
      <c r="K14" s="73">
        <v>416.2</v>
      </c>
      <c r="L14" s="73">
        <v>411.2</v>
      </c>
      <c r="M14" s="73">
        <v>423.2</v>
      </c>
      <c r="N14" s="73">
        <v>406.2</v>
      </c>
      <c r="O14" s="73">
        <v>400.2</v>
      </c>
      <c r="P14" s="73">
        <v>405.2</v>
      </c>
      <c r="Q14" s="73">
        <v>410.2</v>
      </c>
      <c r="R14" s="73">
        <v>408.2</v>
      </c>
      <c r="S14" s="73">
        <v>408.2</v>
      </c>
      <c r="T14" s="73">
        <v>416.2</v>
      </c>
      <c r="U14" s="73">
        <v>404.2</v>
      </c>
      <c r="V14" s="73">
        <v>402.2</v>
      </c>
      <c r="W14" s="73">
        <v>404.2</v>
      </c>
      <c r="X14" s="73">
        <v>402.2</v>
      </c>
      <c r="Y14" s="73">
        <v>415.2</v>
      </c>
      <c r="Z14" s="73">
        <v>408.2</v>
      </c>
      <c r="AA14" s="73">
        <v>399.2</v>
      </c>
    </row>
    <row r="15" spans="1:27">
      <c r="A15" s="73" t="s">
        <v>1023</v>
      </c>
      <c r="B15" s="73">
        <v>504.04</v>
      </c>
      <c r="C15" s="73">
        <v>455.04</v>
      </c>
      <c r="D15" s="73">
        <v>451.04</v>
      </c>
      <c r="E15" s="73">
        <v>481.04</v>
      </c>
      <c r="F15" s="73">
        <v>461.04</v>
      </c>
      <c r="G15" s="73">
        <v>449.04</v>
      </c>
      <c r="H15" s="73">
        <v>457.04</v>
      </c>
      <c r="I15" s="73">
        <v>458.04</v>
      </c>
      <c r="J15" s="73">
        <v>474.04</v>
      </c>
      <c r="K15" s="73">
        <v>456.04</v>
      </c>
      <c r="L15" s="73">
        <v>451.04</v>
      </c>
      <c r="M15" s="73">
        <v>463.04</v>
      </c>
      <c r="N15" s="73">
        <v>446.04</v>
      </c>
      <c r="O15" s="73">
        <v>440.04</v>
      </c>
      <c r="P15" s="73">
        <v>445.04</v>
      </c>
      <c r="Q15" s="73">
        <v>450.04</v>
      </c>
      <c r="R15" s="73">
        <v>448.04</v>
      </c>
      <c r="S15" s="73">
        <v>448.04</v>
      </c>
      <c r="T15" s="73">
        <v>456.04</v>
      </c>
      <c r="U15" s="73">
        <v>444.04</v>
      </c>
      <c r="V15" s="73">
        <v>442.04</v>
      </c>
      <c r="W15" s="73">
        <v>444.04</v>
      </c>
      <c r="X15" s="73">
        <v>442.04</v>
      </c>
      <c r="Y15" s="73">
        <v>455.04</v>
      </c>
      <c r="Z15" s="73">
        <v>448.04</v>
      </c>
      <c r="AA15" s="73">
        <v>439.04</v>
      </c>
    </row>
    <row r="16" spans="1:27">
      <c r="A16" s="73" t="s">
        <v>1024</v>
      </c>
      <c r="B16" s="73">
        <v>550.36</v>
      </c>
      <c r="C16" s="73">
        <v>501.36</v>
      </c>
      <c r="D16" s="73">
        <v>497.36</v>
      </c>
      <c r="E16" s="73">
        <v>527.36</v>
      </c>
      <c r="F16" s="73">
        <v>507.36</v>
      </c>
      <c r="G16" s="73">
        <v>495.36</v>
      </c>
      <c r="H16" s="73">
        <v>503.36</v>
      </c>
      <c r="I16" s="73">
        <v>504.36</v>
      </c>
      <c r="J16" s="73">
        <v>520.36</v>
      </c>
      <c r="K16" s="73">
        <v>502.36</v>
      </c>
      <c r="L16" s="73">
        <v>497.36</v>
      </c>
      <c r="M16" s="73">
        <v>509.36</v>
      </c>
      <c r="N16" s="73">
        <v>492.36</v>
      </c>
      <c r="O16" s="73">
        <v>486.36</v>
      </c>
      <c r="P16" s="73">
        <v>491.36</v>
      </c>
      <c r="Q16" s="73">
        <v>496.36</v>
      </c>
      <c r="R16" s="73">
        <v>494.36</v>
      </c>
      <c r="S16" s="73">
        <v>494.36</v>
      </c>
      <c r="T16" s="73">
        <v>502.36</v>
      </c>
      <c r="U16" s="73">
        <v>490.36</v>
      </c>
      <c r="V16" s="73">
        <v>488.36</v>
      </c>
      <c r="W16" s="73">
        <v>490.36</v>
      </c>
      <c r="X16" s="73">
        <v>488.36</v>
      </c>
      <c r="Y16" s="73">
        <v>501.36</v>
      </c>
      <c r="Z16" s="73">
        <v>494.36</v>
      </c>
      <c r="AA16" s="73">
        <v>485.36</v>
      </c>
    </row>
    <row r="17" spans="1:27">
      <c r="A17" s="73" t="s">
        <v>1025</v>
      </c>
      <c r="B17" s="73">
        <v>596.49</v>
      </c>
      <c r="C17" s="73">
        <v>547.49</v>
      </c>
      <c r="D17" s="73">
        <v>543.49</v>
      </c>
      <c r="E17" s="73">
        <v>573.49</v>
      </c>
      <c r="F17" s="73">
        <v>553.49</v>
      </c>
      <c r="G17" s="73">
        <v>541.49</v>
      </c>
      <c r="H17" s="73">
        <v>549.49</v>
      </c>
      <c r="I17" s="73">
        <v>550.49</v>
      </c>
      <c r="J17" s="73">
        <v>566.49</v>
      </c>
      <c r="K17" s="73">
        <v>548.49</v>
      </c>
      <c r="L17" s="73">
        <v>543.49</v>
      </c>
      <c r="M17" s="73">
        <v>555.49</v>
      </c>
      <c r="N17" s="73">
        <v>538.49</v>
      </c>
      <c r="O17" s="73">
        <v>532.49</v>
      </c>
      <c r="P17" s="73">
        <v>537.49</v>
      </c>
      <c r="Q17" s="73">
        <v>542.49</v>
      </c>
      <c r="R17" s="73">
        <v>540.49</v>
      </c>
      <c r="S17" s="73">
        <v>540.49</v>
      </c>
      <c r="T17" s="73">
        <v>548.49</v>
      </c>
      <c r="U17" s="73">
        <v>536.49</v>
      </c>
      <c r="V17" s="73">
        <v>534.49</v>
      </c>
      <c r="W17" s="73">
        <v>536.49</v>
      </c>
      <c r="X17" s="73">
        <v>534.49</v>
      </c>
      <c r="Y17" s="73">
        <v>547.49</v>
      </c>
      <c r="Z17" s="73">
        <v>540.49</v>
      </c>
      <c r="AA17" s="73">
        <v>531.49</v>
      </c>
    </row>
    <row r="18" spans="1:27">
      <c r="A18" s="73" t="s">
        <v>1026</v>
      </c>
      <c r="B18" s="73">
        <v>650.78</v>
      </c>
      <c r="C18" s="73">
        <v>601.78</v>
      </c>
      <c r="D18" s="73">
        <v>597.78</v>
      </c>
      <c r="E18" s="73">
        <v>627.78</v>
      </c>
      <c r="F18" s="73">
        <v>607.78</v>
      </c>
      <c r="G18" s="73">
        <v>595.78</v>
      </c>
      <c r="H18" s="73">
        <v>603.78</v>
      </c>
      <c r="I18" s="73">
        <v>604.78</v>
      </c>
      <c r="J18" s="73">
        <v>620.78</v>
      </c>
      <c r="K18" s="73">
        <v>602.78</v>
      </c>
      <c r="L18" s="73">
        <v>597.78</v>
      </c>
      <c r="M18" s="73">
        <v>609.78</v>
      </c>
      <c r="N18" s="73">
        <v>592.78</v>
      </c>
      <c r="O18" s="73">
        <v>586.78</v>
      </c>
      <c r="P18" s="73">
        <v>591.78</v>
      </c>
      <c r="Q18" s="73">
        <v>596.78</v>
      </c>
      <c r="R18" s="73">
        <v>594.78</v>
      </c>
      <c r="S18" s="73">
        <v>594.78</v>
      </c>
      <c r="T18" s="73">
        <v>602.78</v>
      </c>
      <c r="U18" s="73">
        <v>590.78</v>
      </c>
      <c r="V18" s="73">
        <v>588.78</v>
      </c>
      <c r="W18" s="73">
        <v>590.78</v>
      </c>
      <c r="X18" s="73">
        <v>588.78</v>
      </c>
      <c r="Y18" s="73">
        <v>601.78</v>
      </c>
      <c r="Z18" s="73">
        <v>594.78</v>
      </c>
      <c r="AA18" s="73">
        <v>585.78</v>
      </c>
    </row>
    <row r="19" spans="1:27">
      <c r="A19" s="73" t="s">
        <v>1027</v>
      </c>
      <c r="B19" s="73">
        <v>787.75</v>
      </c>
      <c r="C19" s="73">
        <v>738.75</v>
      </c>
      <c r="D19" s="73">
        <v>734.75</v>
      </c>
      <c r="E19" s="73">
        <v>764.75</v>
      </c>
      <c r="F19" s="73">
        <v>744.75</v>
      </c>
      <c r="G19" s="73">
        <v>732.75</v>
      </c>
      <c r="H19" s="73">
        <v>740.75</v>
      </c>
      <c r="I19" s="73">
        <v>741.75</v>
      </c>
      <c r="J19" s="73">
        <v>757.75</v>
      </c>
      <c r="K19" s="73">
        <v>739.75</v>
      </c>
      <c r="L19" s="73">
        <v>734.75</v>
      </c>
      <c r="M19" s="73">
        <v>746.75</v>
      </c>
      <c r="N19" s="73">
        <v>729.75</v>
      </c>
      <c r="O19" s="73">
        <v>723.75</v>
      </c>
      <c r="P19" s="73">
        <v>728.75</v>
      </c>
      <c r="Q19" s="73">
        <v>733.75</v>
      </c>
      <c r="R19" s="73">
        <v>731.75</v>
      </c>
      <c r="S19" s="73">
        <v>731.75</v>
      </c>
      <c r="T19" s="73">
        <v>739.75</v>
      </c>
      <c r="U19" s="73">
        <v>727.75</v>
      </c>
      <c r="V19" s="73">
        <v>725.75</v>
      </c>
      <c r="W19" s="73">
        <v>727.75</v>
      </c>
      <c r="X19" s="73">
        <v>725.75</v>
      </c>
      <c r="Y19" s="73">
        <v>738.75</v>
      </c>
      <c r="Z19" s="73">
        <v>731.75</v>
      </c>
      <c r="AA19" s="73">
        <v>722.75</v>
      </c>
    </row>
    <row r="20" spans="1:27">
      <c r="A20" s="73" t="s">
        <v>1028</v>
      </c>
      <c r="B20" s="73">
        <v>1347.74</v>
      </c>
      <c r="C20" s="73">
        <v>1298.74</v>
      </c>
      <c r="D20" s="73">
        <v>1294.74</v>
      </c>
      <c r="E20" s="73">
        <v>1324.74</v>
      </c>
      <c r="F20" s="73">
        <v>1304.74</v>
      </c>
      <c r="G20" s="73">
        <v>1292.74</v>
      </c>
      <c r="H20" s="73">
        <v>1300.74</v>
      </c>
      <c r="I20" s="73">
        <v>1301.74</v>
      </c>
      <c r="J20" s="73">
        <v>1317.74</v>
      </c>
      <c r="K20" s="73">
        <v>1299.74</v>
      </c>
      <c r="L20" s="73">
        <v>1294.74</v>
      </c>
      <c r="M20" s="73">
        <v>1306.74</v>
      </c>
      <c r="N20" s="73">
        <v>1289.74</v>
      </c>
      <c r="O20" s="73">
        <v>1283.74</v>
      </c>
      <c r="P20" s="73">
        <v>1288.74</v>
      </c>
      <c r="Q20" s="73">
        <v>1293.74</v>
      </c>
      <c r="R20" s="73">
        <v>1291.74</v>
      </c>
      <c r="S20" s="73">
        <v>1291.74</v>
      </c>
      <c r="T20" s="73">
        <v>1299.74</v>
      </c>
      <c r="U20" s="73">
        <v>1287.74</v>
      </c>
      <c r="V20" s="73">
        <v>1285.74</v>
      </c>
      <c r="W20" s="73">
        <v>1287.74</v>
      </c>
      <c r="X20" s="73">
        <v>1285.74</v>
      </c>
      <c r="Y20" s="73">
        <v>1298.74</v>
      </c>
      <c r="Z20" s="73">
        <v>1291.74</v>
      </c>
      <c r="AA20" s="73">
        <v>1282.74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584CA-9EFF-D442-AFBE-C9C2388CD29D}">
  <dimension ref="A1:U28"/>
  <sheetViews>
    <sheetView workbookViewId="0">
      <selection activeCell="I37" sqref="I37"/>
    </sheetView>
  </sheetViews>
  <sheetFormatPr baseColWidth="10" defaultRowHeight="16"/>
  <cols>
    <col min="1" max="16384" width="10.83203125" style="67"/>
  </cols>
  <sheetData>
    <row r="1" spans="1:21" ht="105">
      <c r="A1" s="65" t="s">
        <v>1001</v>
      </c>
      <c r="B1" s="65"/>
      <c r="C1" s="65">
        <v>2005</v>
      </c>
      <c r="D1" s="65">
        <v>2006</v>
      </c>
      <c r="E1" s="65">
        <v>2007</v>
      </c>
      <c r="F1" s="66">
        <v>2008</v>
      </c>
      <c r="G1" s="66" t="s">
        <v>1002</v>
      </c>
      <c r="H1" s="66" t="s">
        <v>1003</v>
      </c>
      <c r="I1" s="66" t="s">
        <v>1004</v>
      </c>
      <c r="J1" s="66">
        <v>2012</v>
      </c>
      <c r="K1" s="66" t="s">
        <v>1005</v>
      </c>
      <c r="L1" s="66" t="s">
        <v>1006</v>
      </c>
      <c r="M1" s="66" t="s">
        <v>1007</v>
      </c>
      <c r="N1" s="66" t="s">
        <v>1008</v>
      </c>
      <c r="O1" s="66">
        <v>2017</v>
      </c>
      <c r="P1" s="66" t="s">
        <v>1009</v>
      </c>
      <c r="Q1" s="66" t="s">
        <v>1010</v>
      </c>
      <c r="R1" s="66" t="s">
        <v>1011</v>
      </c>
      <c r="S1" s="66" t="s">
        <v>1012</v>
      </c>
      <c r="T1" s="66" t="s">
        <v>1013</v>
      </c>
      <c r="U1" s="66" t="s">
        <v>1014</v>
      </c>
    </row>
    <row r="2" spans="1:21">
      <c r="A2" s="68" t="s">
        <v>150</v>
      </c>
      <c r="B2" s="68"/>
      <c r="C2" s="68"/>
      <c r="D2" s="68"/>
      <c r="E2" s="68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</row>
    <row r="3" spans="1:21">
      <c r="A3" s="70" t="s">
        <v>151</v>
      </c>
      <c r="B3" s="70"/>
      <c r="C3" s="71">
        <f>cpi_june!E$2+regional_rent_relative_tuik!P5</f>
        <v>191.32</v>
      </c>
      <c r="D3" s="71">
        <f>cpi_june!E$3+regional_rent_relative_tuik!P5</f>
        <v>219.88</v>
      </c>
      <c r="E3" s="71">
        <f>cpi_june!E$4+regional_rent_relative_tuik!P5</f>
        <v>252.91</v>
      </c>
      <c r="F3" s="71">
        <f>cpi_june!E$5+regional_rent_relative_tuik!P5</f>
        <v>281.46000000000004</v>
      </c>
      <c r="G3" s="71">
        <f>cpi_june!E$6+regional_rent_relative_tuik!P5</f>
        <v>301.68</v>
      </c>
      <c r="H3" s="71">
        <f>cpi_june!E$7+regional_rent_relative_tuik!P5</f>
        <v>312.27999999999997</v>
      </c>
      <c r="I3" s="71">
        <f>cpi_june!E$8+regional_rent_relative_tuik!P5</f>
        <v>323.89</v>
      </c>
      <c r="J3" s="71">
        <f>cpi_june!E$9+regional_rent_relative_tuik!P5</f>
        <v>337.05</v>
      </c>
      <c r="K3" s="71">
        <f>cpi_june!E$10+regional_rent_relative_tuik!P5</f>
        <v>354.75</v>
      </c>
      <c r="L3" s="71">
        <f>cpi_june!E$11+regional_rent_relative_tuik!P5</f>
        <v>375.48</v>
      </c>
      <c r="M3" s="71">
        <f>cpi_june!E$12+regional_rent_relative_tuik!P5</f>
        <v>399.78</v>
      </c>
      <c r="N3" s="71">
        <f>cpi_june!E$13+regional_rent_relative_tuik!P5</f>
        <v>430.66</v>
      </c>
      <c r="O3" s="71">
        <f>cpi_june!E$14+regional_rent_relative_tuik!P5</f>
        <v>464.2</v>
      </c>
      <c r="P3" s="71">
        <f>cpi_june!E$15+regional_rent_relative_tuik!P5</f>
        <v>504.04</v>
      </c>
      <c r="Q3" s="71">
        <f>cpi_june!E$16+regional_rent_relative_tuik!P5</f>
        <v>550.36</v>
      </c>
      <c r="R3" s="71">
        <f>cpi_june!E$17+regional_rent_relative_tuik!P5</f>
        <v>596.49</v>
      </c>
      <c r="S3" s="71">
        <f>cpi_june!E$18+regional_rent_relative_tuik!P5</f>
        <v>650.78</v>
      </c>
      <c r="T3" s="71">
        <f>cpi_june!E$19+regional_rent_relative_tuik!P5</f>
        <v>787.75</v>
      </c>
      <c r="U3" s="71">
        <f>cpi_june!E$20+regional_rent_relative_tuik!P5</f>
        <v>1347.74</v>
      </c>
    </row>
    <row r="4" spans="1:21">
      <c r="A4" s="70" t="s">
        <v>152</v>
      </c>
      <c r="B4" s="70"/>
      <c r="C4" s="71">
        <f>cpi_june!E$2+regional_rent_relative_tuik!P6</f>
        <v>142.32</v>
      </c>
      <c r="D4" s="71">
        <f>cpi_june!E$3+regional_rent_relative_tuik!P6</f>
        <v>170.88</v>
      </c>
      <c r="E4" s="71">
        <f>cpi_june!E$4+regional_rent_relative_tuik!P6</f>
        <v>203.91</v>
      </c>
      <c r="F4" s="71">
        <f>cpi_june!E$5+regional_rent_relative_tuik!P6</f>
        <v>232.46</v>
      </c>
      <c r="G4" s="71">
        <f>cpi_june!E$6+regional_rent_relative_tuik!P6</f>
        <v>252.68</v>
      </c>
      <c r="H4" s="71">
        <f>cpi_june!E$7+regional_rent_relative_tuik!P6</f>
        <v>263.27999999999997</v>
      </c>
      <c r="I4" s="71">
        <f>cpi_june!E$8+regional_rent_relative_tuik!P6</f>
        <v>274.89</v>
      </c>
      <c r="J4" s="71">
        <f>cpi_june!E$9+regional_rent_relative_tuik!P6</f>
        <v>288.05</v>
      </c>
      <c r="K4" s="71">
        <f>cpi_june!E$10+regional_rent_relative_tuik!P6</f>
        <v>305.75</v>
      </c>
      <c r="L4" s="71">
        <f>cpi_june!E$11+regional_rent_relative_tuik!P6</f>
        <v>326.48</v>
      </c>
      <c r="M4" s="71">
        <f>cpi_june!E$12+regional_rent_relative_tuik!P6</f>
        <v>350.78</v>
      </c>
      <c r="N4" s="71">
        <f>cpi_june!E$13+regional_rent_relative_tuik!P6</f>
        <v>381.66</v>
      </c>
      <c r="O4" s="71">
        <f>cpi_june!E$14+regional_rent_relative_tuik!P6</f>
        <v>415.2</v>
      </c>
      <c r="P4" s="71">
        <f>cpi_june!E$15+regional_rent_relative_tuik!P6</f>
        <v>455.04</v>
      </c>
      <c r="Q4" s="71">
        <f>cpi_june!E$16+regional_rent_relative_tuik!P6</f>
        <v>501.36</v>
      </c>
      <c r="R4" s="71">
        <f>cpi_june!E$17+regional_rent_relative_tuik!P6</f>
        <v>547.49</v>
      </c>
      <c r="S4" s="71">
        <f>cpi_june!E$18+regional_rent_relative_tuik!P6</f>
        <v>601.78</v>
      </c>
      <c r="T4" s="71">
        <f>cpi_june!E$19+regional_rent_relative_tuik!P6</f>
        <v>738.75</v>
      </c>
      <c r="U4" s="71">
        <f>cpi_june!E$20+regional_rent_relative_tuik!P6</f>
        <v>1298.74</v>
      </c>
    </row>
    <row r="5" spans="1:21">
      <c r="A5" s="70" t="s">
        <v>153</v>
      </c>
      <c r="B5" s="70"/>
      <c r="C5" s="71">
        <f>cpi_june!E$2+regional_rent_relative_tuik!P7</f>
        <v>138.32</v>
      </c>
      <c r="D5" s="71">
        <f>cpi_june!E$3+regional_rent_relative_tuik!P7</f>
        <v>166.88</v>
      </c>
      <c r="E5" s="71">
        <f>cpi_june!E$4+regional_rent_relative_tuik!P7</f>
        <v>199.91</v>
      </c>
      <c r="F5" s="71">
        <f>cpi_june!E$5+regional_rent_relative_tuik!P7</f>
        <v>228.46</v>
      </c>
      <c r="G5" s="71">
        <f>cpi_june!E$6+regional_rent_relative_tuik!P7</f>
        <v>248.68</v>
      </c>
      <c r="H5" s="71">
        <f>cpi_june!E$7+regional_rent_relative_tuik!P7</f>
        <v>259.27999999999997</v>
      </c>
      <c r="I5" s="71">
        <f>cpi_june!E$8+regional_rent_relative_tuik!P7</f>
        <v>270.89</v>
      </c>
      <c r="J5" s="71">
        <f>cpi_june!E$9+regional_rent_relative_tuik!P7</f>
        <v>284.05</v>
      </c>
      <c r="K5" s="71">
        <f>cpi_june!E$10+regional_rent_relative_tuik!P7</f>
        <v>301.75</v>
      </c>
      <c r="L5" s="71">
        <f>cpi_june!E$11+regional_rent_relative_tuik!P7</f>
        <v>322.48</v>
      </c>
      <c r="M5" s="71">
        <f>cpi_june!E$12+regional_rent_relative_tuik!P7</f>
        <v>346.78</v>
      </c>
      <c r="N5" s="71">
        <f>cpi_june!E$13+regional_rent_relative_tuik!P7</f>
        <v>377.66</v>
      </c>
      <c r="O5" s="71">
        <f>cpi_june!E$14+regional_rent_relative_tuik!P7</f>
        <v>411.2</v>
      </c>
      <c r="P5" s="71">
        <f>cpi_june!E$15+regional_rent_relative_tuik!P7</f>
        <v>451.04</v>
      </c>
      <c r="Q5" s="71">
        <f>cpi_june!E$16+regional_rent_relative_tuik!P7</f>
        <v>497.36</v>
      </c>
      <c r="R5" s="71">
        <f>cpi_june!E$17+regional_rent_relative_tuik!P7</f>
        <v>543.49</v>
      </c>
      <c r="S5" s="71">
        <f>cpi_june!E$18+regional_rent_relative_tuik!P7</f>
        <v>597.78</v>
      </c>
      <c r="T5" s="71">
        <f>cpi_june!E$19+regional_rent_relative_tuik!P7</f>
        <v>734.75</v>
      </c>
      <c r="U5" s="71">
        <f>cpi_june!E$20+regional_rent_relative_tuik!P7</f>
        <v>1294.74</v>
      </c>
    </row>
    <row r="6" spans="1:21">
      <c r="A6" s="70" t="s">
        <v>154</v>
      </c>
      <c r="B6" s="70"/>
      <c r="C6" s="71">
        <f>cpi_june!E$2+regional_rent_relative_tuik!P8</f>
        <v>168.32</v>
      </c>
      <c r="D6" s="71">
        <f>cpi_june!E$3+regional_rent_relative_tuik!P8</f>
        <v>196.88</v>
      </c>
      <c r="E6" s="71">
        <f>cpi_june!E$4+regional_rent_relative_tuik!P8</f>
        <v>229.91</v>
      </c>
      <c r="F6" s="71">
        <f>cpi_june!E$5+regional_rent_relative_tuik!P8</f>
        <v>258.46000000000004</v>
      </c>
      <c r="G6" s="71">
        <f>cpi_june!E$6+regional_rent_relative_tuik!P8</f>
        <v>278.68</v>
      </c>
      <c r="H6" s="71">
        <f>cpi_june!E$7+regional_rent_relative_tuik!P8</f>
        <v>289.27999999999997</v>
      </c>
      <c r="I6" s="71">
        <f>cpi_june!E$8+regional_rent_relative_tuik!P8</f>
        <v>300.89</v>
      </c>
      <c r="J6" s="71">
        <f>cpi_june!E$9+regional_rent_relative_tuik!P8</f>
        <v>314.05</v>
      </c>
      <c r="K6" s="71">
        <f>cpi_june!E$10+regional_rent_relative_tuik!P8</f>
        <v>331.75</v>
      </c>
      <c r="L6" s="71">
        <f>cpi_june!E$11+regional_rent_relative_tuik!P8</f>
        <v>352.48</v>
      </c>
      <c r="M6" s="71">
        <f>cpi_june!E$12+regional_rent_relative_tuik!P8</f>
        <v>376.78</v>
      </c>
      <c r="N6" s="71">
        <f>cpi_june!E$13+regional_rent_relative_tuik!P8</f>
        <v>407.66</v>
      </c>
      <c r="O6" s="71">
        <f>cpi_june!E$14+regional_rent_relative_tuik!P8</f>
        <v>441.2</v>
      </c>
      <c r="P6" s="71">
        <f>cpi_june!E$15+regional_rent_relative_tuik!P8</f>
        <v>481.04</v>
      </c>
      <c r="Q6" s="71">
        <f>cpi_june!E$16+regional_rent_relative_tuik!P8</f>
        <v>527.36</v>
      </c>
      <c r="R6" s="71">
        <f>cpi_june!E$17+regional_rent_relative_tuik!P8</f>
        <v>573.49</v>
      </c>
      <c r="S6" s="71">
        <f>cpi_june!E$18+regional_rent_relative_tuik!P8</f>
        <v>627.78</v>
      </c>
      <c r="T6" s="71">
        <f>cpi_june!E$19+regional_rent_relative_tuik!P8</f>
        <v>764.75</v>
      </c>
      <c r="U6" s="71">
        <f>cpi_june!E$20+regional_rent_relative_tuik!P8</f>
        <v>1324.74</v>
      </c>
    </row>
    <row r="7" spans="1:21">
      <c r="A7" s="70" t="s">
        <v>155</v>
      </c>
      <c r="B7" s="70"/>
      <c r="C7" s="71">
        <f>cpi_june!E$2+regional_rent_relative_tuik!P9</f>
        <v>148.32</v>
      </c>
      <c r="D7" s="71">
        <f>cpi_june!E$3+regional_rent_relative_tuik!P9</f>
        <v>176.88</v>
      </c>
      <c r="E7" s="71">
        <f>cpi_june!E$4+regional_rent_relative_tuik!P9</f>
        <v>209.91</v>
      </c>
      <c r="F7" s="71">
        <f>cpi_june!E$5+regional_rent_relative_tuik!P9</f>
        <v>238.46</v>
      </c>
      <c r="G7" s="71">
        <f>cpi_june!E$6+regional_rent_relative_tuik!P9</f>
        <v>258.68</v>
      </c>
      <c r="H7" s="71">
        <f>cpi_june!E$7+regional_rent_relative_tuik!P9</f>
        <v>269.27999999999997</v>
      </c>
      <c r="I7" s="71">
        <f>cpi_june!E$8+regional_rent_relative_tuik!P9</f>
        <v>280.89</v>
      </c>
      <c r="J7" s="71">
        <f>cpi_june!E$9+regional_rent_relative_tuik!P9</f>
        <v>294.05</v>
      </c>
      <c r="K7" s="71">
        <f>cpi_june!E$10+regional_rent_relative_tuik!P9</f>
        <v>311.75</v>
      </c>
      <c r="L7" s="71">
        <f>cpi_june!E$11+regional_rent_relative_tuik!P9</f>
        <v>332.48</v>
      </c>
      <c r="M7" s="71">
        <f>cpi_june!E$12+regional_rent_relative_tuik!P9</f>
        <v>356.78</v>
      </c>
      <c r="N7" s="71">
        <f>cpi_june!E$13+regional_rent_relative_tuik!P9</f>
        <v>387.66</v>
      </c>
      <c r="O7" s="71">
        <f>cpi_june!E$14+regional_rent_relative_tuik!P9</f>
        <v>421.2</v>
      </c>
      <c r="P7" s="71">
        <f>cpi_june!E$15+regional_rent_relative_tuik!P9</f>
        <v>461.04</v>
      </c>
      <c r="Q7" s="71">
        <f>cpi_june!E$16+regional_rent_relative_tuik!P9</f>
        <v>507.36</v>
      </c>
      <c r="R7" s="71">
        <f>cpi_june!E$17+regional_rent_relative_tuik!P9</f>
        <v>553.49</v>
      </c>
      <c r="S7" s="71">
        <f>cpi_june!E$18+regional_rent_relative_tuik!P9</f>
        <v>607.78</v>
      </c>
      <c r="T7" s="71">
        <f>cpi_june!E$19+regional_rent_relative_tuik!P9</f>
        <v>744.75</v>
      </c>
      <c r="U7" s="71">
        <f>cpi_june!E$20+regional_rent_relative_tuik!P9</f>
        <v>1304.74</v>
      </c>
    </row>
    <row r="8" spans="1:21">
      <c r="A8" s="70" t="s">
        <v>156</v>
      </c>
      <c r="B8" s="70"/>
      <c r="C8" s="71">
        <f>cpi_june!E$2+regional_rent_relative_tuik!P10</f>
        <v>136.32</v>
      </c>
      <c r="D8" s="71">
        <f>cpi_june!E$3+regional_rent_relative_tuik!P10</f>
        <v>164.88</v>
      </c>
      <c r="E8" s="71">
        <f>cpi_june!E$4+regional_rent_relative_tuik!P10</f>
        <v>197.91</v>
      </c>
      <c r="F8" s="71">
        <f>cpi_june!E$5+regional_rent_relative_tuik!P10</f>
        <v>226.46</v>
      </c>
      <c r="G8" s="71">
        <f>cpi_june!E$6+regional_rent_relative_tuik!P10</f>
        <v>246.68</v>
      </c>
      <c r="H8" s="71">
        <f>cpi_june!E$7+regional_rent_relative_tuik!P10</f>
        <v>257.27999999999997</v>
      </c>
      <c r="I8" s="71">
        <f>cpi_june!E$8+regional_rent_relative_tuik!P10</f>
        <v>268.89</v>
      </c>
      <c r="J8" s="71">
        <f>cpi_june!E$9+regional_rent_relative_tuik!P10</f>
        <v>282.05</v>
      </c>
      <c r="K8" s="71">
        <f>cpi_june!E$10+regional_rent_relative_tuik!P10</f>
        <v>299.75</v>
      </c>
      <c r="L8" s="71">
        <f>cpi_june!E$11+regional_rent_relative_tuik!P10</f>
        <v>320.48</v>
      </c>
      <c r="M8" s="71">
        <f>cpi_june!E$12+regional_rent_relative_tuik!P10</f>
        <v>344.78</v>
      </c>
      <c r="N8" s="71">
        <f>cpi_june!E$13+regional_rent_relative_tuik!P10</f>
        <v>375.66</v>
      </c>
      <c r="O8" s="71">
        <f>cpi_june!E$14+regional_rent_relative_tuik!P10</f>
        <v>409.2</v>
      </c>
      <c r="P8" s="71">
        <f>cpi_june!E$15+regional_rent_relative_tuik!P10</f>
        <v>449.04</v>
      </c>
      <c r="Q8" s="71">
        <f>cpi_june!E$16+regional_rent_relative_tuik!P10</f>
        <v>495.36</v>
      </c>
      <c r="R8" s="71">
        <f>cpi_june!E$17+regional_rent_relative_tuik!P10</f>
        <v>541.49</v>
      </c>
      <c r="S8" s="71">
        <f>cpi_june!E$18+regional_rent_relative_tuik!P10</f>
        <v>595.78</v>
      </c>
      <c r="T8" s="71">
        <f>cpi_june!E$19+regional_rent_relative_tuik!P10</f>
        <v>732.75</v>
      </c>
      <c r="U8" s="71">
        <f>cpi_june!E$20+regional_rent_relative_tuik!P10</f>
        <v>1292.74</v>
      </c>
    </row>
    <row r="9" spans="1:21">
      <c r="A9" s="70" t="s">
        <v>157</v>
      </c>
      <c r="B9" s="70"/>
      <c r="C9" s="71">
        <f>cpi_june!E$2+regional_rent_relative_tuik!P11</f>
        <v>144.32</v>
      </c>
      <c r="D9" s="71">
        <f>cpi_june!E$3+regional_rent_relative_tuik!P11</f>
        <v>172.88</v>
      </c>
      <c r="E9" s="71">
        <f>cpi_june!E$4+regional_rent_relative_tuik!P11</f>
        <v>205.91</v>
      </c>
      <c r="F9" s="71">
        <f>cpi_june!E$5+regional_rent_relative_tuik!P11</f>
        <v>234.46</v>
      </c>
      <c r="G9" s="71">
        <f>cpi_june!E$6+regional_rent_relative_tuik!P11</f>
        <v>254.68</v>
      </c>
      <c r="H9" s="71">
        <f>cpi_june!E$7+regional_rent_relative_tuik!P11</f>
        <v>265.27999999999997</v>
      </c>
      <c r="I9" s="71">
        <f>cpi_june!E$8+regional_rent_relative_tuik!P11</f>
        <v>276.89</v>
      </c>
      <c r="J9" s="71">
        <f>cpi_june!E$9+regional_rent_relative_tuik!P11</f>
        <v>290.05</v>
      </c>
      <c r="K9" s="71">
        <f>cpi_june!E$10+regional_rent_relative_tuik!P11</f>
        <v>307.75</v>
      </c>
      <c r="L9" s="71">
        <f>cpi_june!E$11+regional_rent_relative_tuik!P11</f>
        <v>328.48</v>
      </c>
      <c r="M9" s="71">
        <f>cpi_june!E$12+regional_rent_relative_tuik!P11</f>
        <v>352.78</v>
      </c>
      <c r="N9" s="71">
        <f>cpi_june!E$13+regional_rent_relative_tuik!P11</f>
        <v>383.66</v>
      </c>
      <c r="O9" s="71">
        <f>cpi_june!E$14+regional_rent_relative_tuik!P11</f>
        <v>417.2</v>
      </c>
      <c r="P9" s="71">
        <f>cpi_june!E$15+regional_rent_relative_tuik!P11</f>
        <v>457.04</v>
      </c>
      <c r="Q9" s="71">
        <f>cpi_june!E$16+regional_rent_relative_tuik!P11</f>
        <v>503.36</v>
      </c>
      <c r="R9" s="71">
        <f>cpi_june!E$17+regional_rent_relative_tuik!P11</f>
        <v>549.49</v>
      </c>
      <c r="S9" s="71">
        <f>cpi_june!E$18+regional_rent_relative_tuik!P11</f>
        <v>603.78</v>
      </c>
      <c r="T9" s="71">
        <f>cpi_june!E$19+regional_rent_relative_tuik!P11</f>
        <v>740.75</v>
      </c>
      <c r="U9" s="71">
        <f>cpi_june!E$20+regional_rent_relative_tuik!P11</f>
        <v>1300.74</v>
      </c>
    </row>
    <row r="10" spans="1:21">
      <c r="A10" s="70" t="s">
        <v>158</v>
      </c>
      <c r="B10" s="70"/>
      <c r="C10" s="71">
        <f>cpi_june!E$2+regional_rent_relative_tuik!P12</f>
        <v>145.32</v>
      </c>
      <c r="D10" s="71">
        <f>cpi_june!E$3+regional_rent_relative_tuik!P12</f>
        <v>173.88</v>
      </c>
      <c r="E10" s="71">
        <f>cpi_june!E$4+regional_rent_relative_tuik!P12</f>
        <v>206.91</v>
      </c>
      <c r="F10" s="71">
        <f>cpi_june!E$5+regional_rent_relative_tuik!P12</f>
        <v>235.46</v>
      </c>
      <c r="G10" s="71">
        <f>cpi_june!E$6+regional_rent_relative_tuik!P12</f>
        <v>255.68</v>
      </c>
      <c r="H10" s="71">
        <f>cpi_june!E$7+regional_rent_relative_tuik!P12</f>
        <v>266.27999999999997</v>
      </c>
      <c r="I10" s="71">
        <f>cpi_june!E$8+regional_rent_relative_tuik!P12</f>
        <v>277.89</v>
      </c>
      <c r="J10" s="71">
        <f>cpi_june!E$9+regional_rent_relative_tuik!P12</f>
        <v>291.05</v>
      </c>
      <c r="K10" s="71">
        <f>cpi_june!E$10+regional_rent_relative_tuik!P12</f>
        <v>308.75</v>
      </c>
      <c r="L10" s="71">
        <f>cpi_june!E$11+regional_rent_relative_tuik!P12</f>
        <v>329.48</v>
      </c>
      <c r="M10" s="71">
        <f>cpi_june!E$12+regional_rent_relative_tuik!P12</f>
        <v>353.78</v>
      </c>
      <c r="N10" s="71">
        <f>cpi_june!E$13+regional_rent_relative_tuik!P12</f>
        <v>384.66</v>
      </c>
      <c r="O10" s="71">
        <f>cpi_june!E$14+regional_rent_relative_tuik!P12</f>
        <v>418.2</v>
      </c>
      <c r="P10" s="71">
        <f>cpi_june!E$15+regional_rent_relative_tuik!P12</f>
        <v>458.04</v>
      </c>
      <c r="Q10" s="71">
        <f>cpi_june!E$16+regional_rent_relative_tuik!P12</f>
        <v>504.36</v>
      </c>
      <c r="R10" s="71">
        <f>cpi_june!E$17+regional_rent_relative_tuik!P12</f>
        <v>550.49</v>
      </c>
      <c r="S10" s="71">
        <f>cpi_june!E$18+regional_rent_relative_tuik!P12</f>
        <v>604.78</v>
      </c>
      <c r="T10" s="71">
        <f>cpi_june!E$19+regional_rent_relative_tuik!P12</f>
        <v>741.75</v>
      </c>
      <c r="U10" s="71">
        <f>cpi_june!E$20+regional_rent_relative_tuik!P12</f>
        <v>1301.74</v>
      </c>
    </row>
    <row r="11" spans="1:21">
      <c r="A11" s="70" t="s">
        <v>159</v>
      </c>
      <c r="B11" s="70"/>
      <c r="C11" s="71">
        <f>cpi_june!E$2+regional_rent_relative_tuik!P13</f>
        <v>161.32</v>
      </c>
      <c r="D11" s="71">
        <f>cpi_june!E$3+regional_rent_relative_tuik!P13</f>
        <v>189.88</v>
      </c>
      <c r="E11" s="71">
        <f>cpi_june!E$4+regional_rent_relative_tuik!P13</f>
        <v>222.91</v>
      </c>
      <c r="F11" s="71">
        <f>cpi_june!E$5+regional_rent_relative_tuik!P13</f>
        <v>251.46</v>
      </c>
      <c r="G11" s="71">
        <f>cpi_june!E$6+regional_rent_relative_tuik!P13</f>
        <v>271.68</v>
      </c>
      <c r="H11" s="71">
        <f>cpi_june!E$7+regional_rent_relative_tuik!P13</f>
        <v>282.27999999999997</v>
      </c>
      <c r="I11" s="71">
        <f>cpi_june!E$8+regional_rent_relative_tuik!P13</f>
        <v>293.89</v>
      </c>
      <c r="J11" s="71">
        <f>cpi_june!E$9+regional_rent_relative_tuik!P13</f>
        <v>307.05</v>
      </c>
      <c r="K11" s="71">
        <f>cpi_june!E$10+regional_rent_relative_tuik!P13</f>
        <v>324.75</v>
      </c>
      <c r="L11" s="71">
        <f>cpi_june!E$11+regional_rent_relative_tuik!P13</f>
        <v>345.48</v>
      </c>
      <c r="M11" s="71">
        <f>cpi_june!E$12+regional_rent_relative_tuik!P13</f>
        <v>369.78</v>
      </c>
      <c r="N11" s="71">
        <f>cpi_june!E$13+regional_rent_relative_tuik!P13</f>
        <v>400.66</v>
      </c>
      <c r="O11" s="71">
        <f>cpi_june!E$14+regional_rent_relative_tuik!P13</f>
        <v>434.2</v>
      </c>
      <c r="P11" s="71">
        <f>cpi_june!E$15+regional_rent_relative_tuik!P13</f>
        <v>474.04</v>
      </c>
      <c r="Q11" s="71">
        <f>cpi_june!E$16+regional_rent_relative_tuik!P13</f>
        <v>520.36</v>
      </c>
      <c r="R11" s="71">
        <f>cpi_june!E$17+regional_rent_relative_tuik!P13</f>
        <v>566.49</v>
      </c>
      <c r="S11" s="71">
        <f>cpi_june!E$18+regional_rent_relative_tuik!P13</f>
        <v>620.78</v>
      </c>
      <c r="T11" s="71">
        <f>cpi_june!E$19+regional_rent_relative_tuik!P13</f>
        <v>757.75</v>
      </c>
      <c r="U11" s="71">
        <f>cpi_june!E$20+regional_rent_relative_tuik!P13</f>
        <v>1317.74</v>
      </c>
    </row>
    <row r="12" spans="1:21">
      <c r="A12" s="70" t="s">
        <v>160</v>
      </c>
      <c r="B12" s="70"/>
      <c r="C12" s="71">
        <f>cpi_june!E$2+regional_rent_relative_tuik!P14</f>
        <v>143.32</v>
      </c>
      <c r="D12" s="71">
        <f>cpi_june!E$3+regional_rent_relative_tuik!P14</f>
        <v>171.88</v>
      </c>
      <c r="E12" s="71">
        <f>cpi_june!E$4+regional_rent_relative_tuik!P14</f>
        <v>204.91</v>
      </c>
      <c r="F12" s="71">
        <f>cpi_june!E$5+regional_rent_relative_tuik!P14</f>
        <v>233.46</v>
      </c>
      <c r="G12" s="71">
        <f>cpi_june!E$6+regional_rent_relative_tuik!P14</f>
        <v>253.68</v>
      </c>
      <c r="H12" s="71">
        <f>cpi_june!E$7+regional_rent_relative_tuik!P14</f>
        <v>264.27999999999997</v>
      </c>
      <c r="I12" s="71">
        <f>cpi_june!E$8+regional_rent_relative_tuik!P14</f>
        <v>275.89</v>
      </c>
      <c r="J12" s="71">
        <f>cpi_june!E$9+regional_rent_relative_tuik!P14</f>
        <v>289.05</v>
      </c>
      <c r="K12" s="71">
        <f>cpi_june!E$10+regional_rent_relative_tuik!P14</f>
        <v>306.75</v>
      </c>
      <c r="L12" s="71">
        <f>cpi_june!E$11+regional_rent_relative_tuik!P14</f>
        <v>327.48</v>
      </c>
      <c r="M12" s="71">
        <f>cpi_june!E$12+regional_rent_relative_tuik!P14</f>
        <v>351.78</v>
      </c>
      <c r="N12" s="71">
        <f>cpi_june!E$13+regional_rent_relative_tuik!P14</f>
        <v>382.66</v>
      </c>
      <c r="O12" s="71">
        <f>cpi_june!E$14+regional_rent_relative_tuik!P14</f>
        <v>416.2</v>
      </c>
      <c r="P12" s="71">
        <f>cpi_june!E$15+regional_rent_relative_tuik!P14</f>
        <v>456.04</v>
      </c>
      <c r="Q12" s="71">
        <f>cpi_june!E$16+regional_rent_relative_tuik!P14</f>
        <v>502.36</v>
      </c>
      <c r="R12" s="71">
        <f>cpi_june!E$17+regional_rent_relative_tuik!P14</f>
        <v>548.49</v>
      </c>
      <c r="S12" s="71">
        <f>cpi_june!E$18+regional_rent_relative_tuik!P14</f>
        <v>602.78</v>
      </c>
      <c r="T12" s="71">
        <f>cpi_june!E$19+regional_rent_relative_tuik!P14</f>
        <v>739.75</v>
      </c>
      <c r="U12" s="71">
        <f>cpi_june!E$20+regional_rent_relative_tuik!P14</f>
        <v>1299.74</v>
      </c>
    </row>
    <row r="13" spans="1:21">
      <c r="A13" s="70" t="s">
        <v>161</v>
      </c>
      <c r="B13" s="70"/>
      <c r="C13" s="71">
        <f>cpi_june!E$2+regional_rent_relative_tuik!P15</f>
        <v>138.32</v>
      </c>
      <c r="D13" s="71">
        <f>cpi_june!E$3+regional_rent_relative_tuik!P15</f>
        <v>166.88</v>
      </c>
      <c r="E13" s="71">
        <f>cpi_june!E$4+regional_rent_relative_tuik!P15</f>
        <v>199.91</v>
      </c>
      <c r="F13" s="71">
        <f>cpi_june!E$5+regional_rent_relative_tuik!P15</f>
        <v>228.46</v>
      </c>
      <c r="G13" s="71">
        <f>cpi_june!E$6+regional_rent_relative_tuik!P15</f>
        <v>248.68</v>
      </c>
      <c r="H13" s="71">
        <f>cpi_june!E$7+regional_rent_relative_tuik!P15</f>
        <v>259.27999999999997</v>
      </c>
      <c r="I13" s="71">
        <f>cpi_june!E$8+regional_rent_relative_tuik!P15</f>
        <v>270.89</v>
      </c>
      <c r="J13" s="71">
        <f>cpi_june!E$9+regional_rent_relative_tuik!P15</f>
        <v>284.05</v>
      </c>
      <c r="K13" s="71">
        <f>cpi_june!E$10+regional_rent_relative_tuik!P15</f>
        <v>301.75</v>
      </c>
      <c r="L13" s="71">
        <f>cpi_june!E$11+regional_rent_relative_tuik!P15</f>
        <v>322.48</v>
      </c>
      <c r="M13" s="71">
        <f>cpi_june!E$12+regional_rent_relative_tuik!P15</f>
        <v>346.78</v>
      </c>
      <c r="N13" s="71">
        <f>cpi_june!E$13+regional_rent_relative_tuik!P15</f>
        <v>377.66</v>
      </c>
      <c r="O13" s="71">
        <f>cpi_june!E$14+regional_rent_relative_tuik!P15</f>
        <v>411.2</v>
      </c>
      <c r="P13" s="71">
        <f>cpi_june!E$15+regional_rent_relative_tuik!P15</f>
        <v>451.04</v>
      </c>
      <c r="Q13" s="71">
        <f>cpi_june!E$16+regional_rent_relative_tuik!P15</f>
        <v>497.36</v>
      </c>
      <c r="R13" s="71">
        <f>cpi_june!E$17+regional_rent_relative_tuik!P15</f>
        <v>543.49</v>
      </c>
      <c r="S13" s="71">
        <f>cpi_june!E$18+regional_rent_relative_tuik!P15</f>
        <v>597.78</v>
      </c>
      <c r="T13" s="71">
        <f>cpi_june!E$19+regional_rent_relative_tuik!P15</f>
        <v>734.75</v>
      </c>
      <c r="U13" s="71">
        <f>cpi_june!E$20+regional_rent_relative_tuik!P15</f>
        <v>1294.74</v>
      </c>
    </row>
    <row r="14" spans="1:21">
      <c r="A14" s="70" t="s">
        <v>162</v>
      </c>
      <c r="B14" s="70"/>
      <c r="C14" s="71">
        <f>cpi_june!E$2+regional_rent_relative_tuik!P16</f>
        <v>150.32</v>
      </c>
      <c r="D14" s="71">
        <f>cpi_june!E$3+regional_rent_relative_tuik!P16</f>
        <v>178.88</v>
      </c>
      <c r="E14" s="71">
        <f>cpi_june!E$4+regional_rent_relative_tuik!P16</f>
        <v>211.91</v>
      </c>
      <c r="F14" s="71">
        <f>cpi_june!E$5+regional_rent_relative_tuik!P16</f>
        <v>240.46</v>
      </c>
      <c r="G14" s="71">
        <f>cpi_june!E$6+regional_rent_relative_tuik!P16</f>
        <v>260.68</v>
      </c>
      <c r="H14" s="71">
        <f>cpi_june!E$7+regional_rent_relative_tuik!P16</f>
        <v>271.27999999999997</v>
      </c>
      <c r="I14" s="71">
        <f>cpi_june!E$8+regional_rent_relative_tuik!P16</f>
        <v>282.89</v>
      </c>
      <c r="J14" s="71">
        <f>cpi_june!E$9+regional_rent_relative_tuik!P16</f>
        <v>296.05</v>
      </c>
      <c r="K14" s="71">
        <f>cpi_june!E$10+regional_rent_relative_tuik!P16</f>
        <v>313.75</v>
      </c>
      <c r="L14" s="71">
        <f>cpi_june!E$11+regional_rent_relative_tuik!P16</f>
        <v>334.48</v>
      </c>
      <c r="M14" s="71">
        <f>cpi_june!E$12+regional_rent_relative_tuik!P16</f>
        <v>358.78</v>
      </c>
      <c r="N14" s="71">
        <f>cpi_june!E$13+regional_rent_relative_tuik!P16</f>
        <v>389.66</v>
      </c>
      <c r="O14" s="71">
        <f>cpi_june!E$14+regional_rent_relative_tuik!P16</f>
        <v>423.2</v>
      </c>
      <c r="P14" s="71">
        <f>cpi_june!E$15+regional_rent_relative_tuik!P16</f>
        <v>463.04</v>
      </c>
      <c r="Q14" s="71">
        <f>cpi_june!E$16+regional_rent_relative_tuik!P16</f>
        <v>509.36</v>
      </c>
      <c r="R14" s="71">
        <f>cpi_june!E$17+regional_rent_relative_tuik!P16</f>
        <v>555.49</v>
      </c>
      <c r="S14" s="71">
        <f>cpi_june!E$18+regional_rent_relative_tuik!P16</f>
        <v>609.78</v>
      </c>
      <c r="T14" s="71">
        <f>cpi_june!E$19+regional_rent_relative_tuik!P16</f>
        <v>746.75</v>
      </c>
      <c r="U14" s="71">
        <f>cpi_june!E$20+regional_rent_relative_tuik!P16</f>
        <v>1306.74</v>
      </c>
    </row>
    <row r="15" spans="1:21">
      <c r="A15" s="70" t="s">
        <v>163</v>
      </c>
      <c r="B15" s="70"/>
      <c r="C15" s="71">
        <f>cpi_june!E$2+regional_rent_relative_tuik!P17</f>
        <v>133.32</v>
      </c>
      <c r="D15" s="71">
        <f>cpi_june!E$3+regional_rent_relative_tuik!P17</f>
        <v>161.88</v>
      </c>
      <c r="E15" s="71">
        <f>cpi_june!E$4+regional_rent_relative_tuik!P17</f>
        <v>194.91</v>
      </c>
      <c r="F15" s="71">
        <f>cpi_june!E$5+regional_rent_relative_tuik!P17</f>
        <v>223.46</v>
      </c>
      <c r="G15" s="71">
        <f>cpi_june!E$6+regional_rent_relative_tuik!P17</f>
        <v>243.68</v>
      </c>
      <c r="H15" s="71">
        <f>cpi_june!E$7+regional_rent_relative_tuik!P17</f>
        <v>254.27999999999997</v>
      </c>
      <c r="I15" s="71">
        <f>cpi_june!E$8+regional_rent_relative_tuik!P17</f>
        <v>265.89</v>
      </c>
      <c r="J15" s="71">
        <f>cpi_june!E$9+regional_rent_relative_tuik!P17</f>
        <v>279.05</v>
      </c>
      <c r="K15" s="71">
        <f>cpi_june!E$10+regional_rent_relative_tuik!P17</f>
        <v>296.75</v>
      </c>
      <c r="L15" s="71">
        <f>cpi_june!E$11+regional_rent_relative_tuik!P17</f>
        <v>317.48</v>
      </c>
      <c r="M15" s="71">
        <f>cpi_june!E$12+regional_rent_relative_tuik!P17</f>
        <v>341.78</v>
      </c>
      <c r="N15" s="71">
        <f>cpi_june!E$13+regional_rent_relative_tuik!P17</f>
        <v>372.66</v>
      </c>
      <c r="O15" s="71">
        <f>cpi_june!E$14+regional_rent_relative_tuik!P17</f>
        <v>406.2</v>
      </c>
      <c r="P15" s="71">
        <f>cpi_june!E$15+regional_rent_relative_tuik!P17</f>
        <v>446.04</v>
      </c>
      <c r="Q15" s="71">
        <f>cpi_june!E$16+regional_rent_relative_tuik!P17</f>
        <v>492.36</v>
      </c>
      <c r="R15" s="71">
        <f>cpi_june!E$17+regional_rent_relative_tuik!P17</f>
        <v>538.49</v>
      </c>
      <c r="S15" s="71">
        <f>cpi_june!E$18+regional_rent_relative_tuik!P17</f>
        <v>592.78</v>
      </c>
      <c r="T15" s="71">
        <f>cpi_june!E$19+regional_rent_relative_tuik!P17</f>
        <v>729.75</v>
      </c>
      <c r="U15" s="71">
        <f>cpi_june!E$20+regional_rent_relative_tuik!P17</f>
        <v>1289.74</v>
      </c>
    </row>
    <row r="16" spans="1:21">
      <c r="A16" s="70" t="s">
        <v>164</v>
      </c>
      <c r="B16" s="70"/>
      <c r="C16" s="71">
        <f>cpi_june!E$2+regional_rent_relative_tuik!P18</f>
        <v>127.32</v>
      </c>
      <c r="D16" s="71">
        <f>cpi_june!E$3+regional_rent_relative_tuik!P18</f>
        <v>155.88</v>
      </c>
      <c r="E16" s="71">
        <f>cpi_june!E$4+regional_rent_relative_tuik!P18</f>
        <v>188.91</v>
      </c>
      <c r="F16" s="71">
        <f>cpi_june!E$5+regional_rent_relative_tuik!P18</f>
        <v>217.46</v>
      </c>
      <c r="G16" s="71">
        <f>cpi_june!E$6+regional_rent_relative_tuik!P18</f>
        <v>237.68</v>
      </c>
      <c r="H16" s="71">
        <f>cpi_june!E$7+regional_rent_relative_tuik!P18</f>
        <v>248.27999999999997</v>
      </c>
      <c r="I16" s="71">
        <f>cpi_june!E$8+regional_rent_relative_tuik!P18</f>
        <v>259.89</v>
      </c>
      <c r="J16" s="71">
        <f>cpi_june!E$9+regional_rent_relative_tuik!P18</f>
        <v>273.05</v>
      </c>
      <c r="K16" s="71">
        <f>cpi_june!E$10+regional_rent_relative_tuik!P18</f>
        <v>290.75</v>
      </c>
      <c r="L16" s="71">
        <f>cpi_june!E$11+regional_rent_relative_tuik!P18</f>
        <v>311.48</v>
      </c>
      <c r="M16" s="71">
        <f>cpi_june!E$12+regional_rent_relative_tuik!P18</f>
        <v>335.78</v>
      </c>
      <c r="N16" s="71">
        <f>cpi_june!E$13+regional_rent_relative_tuik!P18</f>
        <v>366.66</v>
      </c>
      <c r="O16" s="71">
        <f>cpi_june!E$14+regional_rent_relative_tuik!P18</f>
        <v>400.2</v>
      </c>
      <c r="P16" s="71">
        <f>cpi_june!E$15+regional_rent_relative_tuik!P18</f>
        <v>440.04</v>
      </c>
      <c r="Q16" s="71">
        <f>cpi_june!E$16+regional_rent_relative_tuik!P18</f>
        <v>486.36</v>
      </c>
      <c r="R16" s="71">
        <f>cpi_june!E$17+regional_rent_relative_tuik!P18</f>
        <v>532.49</v>
      </c>
      <c r="S16" s="71">
        <f>cpi_june!E$18+regional_rent_relative_tuik!P18</f>
        <v>586.78</v>
      </c>
      <c r="T16" s="71">
        <f>cpi_june!E$19+regional_rent_relative_tuik!P18</f>
        <v>723.75</v>
      </c>
      <c r="U16" s="71">
        <f>cpi_june!E$20+regional_rent_relative_tuik!P18</f>
        <v>1283.74</v>
      </c>
    </row>
    <row r="17" spans="1:21">
      <c r="A17" s="70" t="s">
        <v>165</v>
      </c>
      <c r="B17" s="70"/>
      <c r="C17" s="71">
        <f>cpi_june!E$2+regional_rent_relative_tuik!P19</f>
        <v>132.32</v>
      </c>
      <c r="D17" s="71">
        <f>cpi_june!E$3+regional_rent_relative_tuik!P19</f>
        <v>160.88</v>
      </c>
      <c r="E17" s="71">
        <f>cpi_june!E$4+regional_rent_relative_tuik!P19</f>
        <v>193.91</v>
      </c>
      <c r="F17" s="71">
        <f>cpi_june!E$5+regional_rent_relative_tuik!P19</f>
        <v>222.46</v>
      </c>
      <c r="G17" s="71">
        <f>cpi_june!E$6+regional_rent_relative_tuik!P19</f>
        <v>242.68</v>
      </c>
      <c r="H17" s="71">
        <f>cpi_june!E$7+regional_rent_relative_tuik!P19</f>
        <v>253.27999999999997</v>
      </c>
      <c r="I17" s="71">
        <f>cpi_june!E$8+regional_rent_relative_tuik!P19</f>
        <v>264.89</v>
      </c>
      <c r="J17" s="71">
        <f>cpi_june!E$9+regional_rent_relative_tuik!P19</f>
        <v>278.05</v>
      </c>
      <c r="K17" s="71">
        <f>cpi_june!E$10+regional_rent_relative_tuik!P19</f>
        <v>295.75</v>
      </c>
      <c r="L17" s="71">
        <f>cpi_june!E$11+regional_rent_relative_tuik!P19</f>
        <v>316.48</v>
      </c>
      <c r="M17" s="71">
        <f>cpi_june!E$12+regional_rent_relative_tuik!P19</f>
        <v>340.78</v>
      </c>
      <c r="N17" s="71">
        <f>cpi_june!E$13+regional_rent_relative_tuik!P19</f>
        <v>371.66</v>
      </c>
      <c r="O17" s="71">
        <f>cpi_june!E$14+regional_rent_relative_tuik!P19</f>
        <v>405.2</v>
      </c>
      <c r="P17" s="71">
        <f>cpi_june!E$15+regional_rent_relative_tuik!P19</f>
        <v>445.04</v>
      </c>
      <c r="Q17" s="71">
        <f>cpi_june!E$16+regional_rent_relative_tuik!P19</f>
        <v>491.36</v>
      </c>
      <c r="R17" s="71">
        <f>cpi_june!E$17+regional_rent_relative_tuik!P19</f>
        <v>537.49</v>
      </c>
      <c r="S17" s="71">
        <f>cpi_june!E$18+regional_rent_relative_tuik!P19</f>
        <v>591.78</v>
      </c>
      <c r="T17" s="71">
        <f>cpi_june!E$19+regional_rent_relative_tuik!P19</f>
        <v>728.75</v>
      </c>
      <c r="U17" s="71">
        <f>cpi_june!E$20+regional_rent_relative_tuik!P19</f>
        <v>1288.74</v>
      </c>
    </row>
    <row r="18" spans="1:21">
      <c r="A18" s="70" t="s">
        <v>166</v>
      </c>
      <c r="B18" s="70"/>
      <c r="C18" s="71">
        <f>cpi_june!E$2+regional_rent_relative_tuik!P20</f>
        <v>137.32</v>
      </c>
      <c r="D18" s="71">
        <f>cpi_june!E$3+regional_rent_relative_tuik!P20</f>
        <v>165.88</v>
      </c>
      <c r="E18" s="71">
        <f>cpi_june!E$4+regional_rent_relative_tuik!P20</f>
        <v>198.91</v>
      </c>
      <c r="F18" s="71">
        <f>cpi_june!E$5+regional_rent_relative_tuik!P20</f>
        <v>227.46</v>
      </c>
      <c r="G18" s="71">
        <f>cpi_june!E$6+regional_rent_relative_tuik!P20</f>
        <v>247.68</v>
      </c>
      <c r="H18" s="71">
        <f>cpi_june!E$7+regional_rent_relative_tuik!P20</f>
        <v>258.27999999999997</v>
      </c>
      <c r="I18" s="71">
        <f>cpi_june!E$8+regional_rent_relative_tuik!P20</f>
        <v>269.89</v>
      </c>
      <c r="J18" s="71">
        <f>cpi_june!E$9+regional_rent_relative_tuik!P20</f>
        <v>283.05</v>
      </c>
      <c r="K18" s="71">
        <f>cpi_june!E$10+regional_rent_relative_tuik!P20</f>
        <v>300.75</v>
      </c>
      <c r="L18" s="71">
        <f>cpi_june!E$11+regional_rent_relative_tuik!P20</f>
        <v>321.48</v>
      </c>
      <c r="M18" s="71">
        <f>cpi_june!E$12+regional_rent_relative_tuik!P20</f>
        <v>345.78</v>
      </c>
      <c r="N18" s="71">
        <f>cpi_june!E$13+regional_rent_relative_tuik!P20</f>
        <v>376.66</v>
      </c>
      <c r="O18" s="71">
        <f>cpi_june!E$14+regional_rent_relative_tuik!P20</f>
        <v>410.2</v>
      </c>
      <c r="P18" s="71">
        <f>cpi_june!E$15+regional_rent_relative_tuik!P20</f>
        <v>450.04</v>
      </c>
      <c r="Q18" s="71">
        <f>cpi_june!E$16+regional_rent_relative_tuik!P20</f>
        <v>496.36</v>
      </c>
      <c r="R18" s="71">
        <f>cpi_june!E$17+regional_rent_relative_tuik!P20</f>
        <v>542.49</v>
      </c>
      <c r="S18" s="71">
        <f>cpi_june!E$18+regional_rent_relative_tuik!P20</f>
        <v>596.78</v>
      </c>
      <c r="T18" s="71">
        <f>cpi_june!E$19+regional_rent_relative_tuik!P20</f>
        <v>733.75</v>
      </c>
      <c r="U18" s="71">
        <f>cpi_june!E$20+regional_rent_relative_tuik!P20</f>
        <v>1293.74</v>
      </c>
    </row>
    <row r="19" spans="1:21">
      <c r="A19" s="70" t="s">
        <v>167</v>
      </c>
      <c r="B19" s="70"/>
      <c r="C19" s="71">
        <f>cpi_june!E$2+regional_rent_relative_tuik!P21</f>
        <v>135.32</v>
      </c>
      <c r="D19" s="71">
        <f>cpi_june!E$3+regional_rent_relative_tuik!P21</f>
        <v>163.88</v>
      </c>
      <c r="E19" s="71">
        <f>cpi_june!E$4+regional_rent_relative_tuik!P21</f>
        <v>196.91</v>
      </c>
      <c r="F19" s="71">
        <f>cpi_june!E$5+regional_rent_relative_tuik!P21</f>
        <v>225.46</v>
      </c>
      <c r="G19" s="71">
        <f>cpi_june!E$6+regional_rent_relative_tuik!P21</f>
        <v>245.68</v>
      </c>
      <c r="H19" s="71">
        <f>cpi_june!E$7+regional_rent_relative_tuik!P21</f>
        <v>256.27999999999997</v>
      </c>
      <c r="I19" s="71">
        <f>cpi_june!E$8+regional_rent_relative_tuik!P21</f>
        <v>267.89</v>
      </c>
      <c r="J19" s="71">
        <f>cpi_june!E$9+regional_rent_relative_tuik!P21</f>
        <v>281.05</v>
      </c>
      <c r="K19" s="71">
        <f>cpi_june!E$10+regional_rent_relative_tuik!P21</f>
        <v>298.75</v>
      </c>
      <c r="L19" s="71">
        <f>cpi_june!E$11+regional_rent_relative_tuik!P21</f>
        <v>319.48</v>
      </c>
      <c r="M19" s="71">
        <f>cpi_june!E$12+regional_rent_relative_tuik!P21</f>
        <v>343.78</v>
      </c>
      <c r="N19" s="71">
        <f>cpi_june!E$13+regional_rent_relative_tuik!P21</f>
        <v>374.66</v>
      </c>
      <c r="O19" s="71">
        <f>cpi_june!E$14+regional_rent_relative_tuik!P21</f>
        <v>408.2</v>
      </c>
      <c r="P19" s="71">
        <f>cpi_june!E$15+regional_rent_relative_tuik!P21</f>
        <v>448.04</v>
      </c>
      <c r="Q19" s="71">
        <f>cpi_june!E$16+regional_rent_relative_tuik!P21</f>
        <v>494.36</v>
      </c>
      <c r="R19" s="71">
        <f>cpi_june!E$17+regional_rent_relative_tuik!P21</f>
        <v>540.49</v>
      </c>
      <c r="S19" s="71">
        <f>cpi_june!E$18+regional_rent_relative_tuik!P21</f>
        <v>594.78</v>
      </c>
      <c r="T19" s="71">
        <f>cpi_june!E$19+regional_rent_relative_tuik!P21</f>
        <v>731.75</v>
      </c>
      <c r="U19" s="71">
        <f>cpi_june!E$20+regional_rent_relative_tuik!P21</f>
        <v>1291.74</v>
      </c>
    </row>
    <row r="20" spans="1:21">
      <c r="A20" s="70" t="s">
        <v>168</v>
      </c>
      <c r="B20" s="70"/>
      <c r="C20" s="71">
        <f>cpi_june!E$2+regional_rent_relative_tuik!P22</f>
        <v>135.32</v>
      </c>
      <c r="D20" s="71">
        <f>cpi_june!E$3+regional_rent_relative_tuik!P22</f>
        <v>163.88</v>
      </c>
      <c r="E20" s="71">
        <f>cpi_june!E$4+regional_rent_relative_tuik!P22</f>
        <v>196.91</v>
      </c>
      <c r="F20" s="71">
        <f>cpi_june!E$5+regional_rent_relative_tuik!P22</f>
        <v>225.46</v>
      </c>
      <c r="G20" s="71">
        <f>cpi_june!E$6+regional_rent_relative_tuik!P22</f>
        <v>245.68</v>
      </c>
      <c r="H20" s="71">
        <f>cpi_june!E$7+regional_rent_relative_tuik!P22</f>
        <v>256.27999999999997</v>
      </c>
      <c r="I20" s="71">
        <f>cpi_june!E$8+regional_rent_relative_tuik!P22</f>
        <v>267.89</v>
      </c>
      <c r="J20" s="71">
        <f>cpi_june!E$9+regional_rent_relative_tuik!P22</f>
        <v>281.05</v>
      </c>
      <c r="K20" s="71">
        <f>cpi_june!E$10+regional_rent_relative_tuik!P22</f>
        <v>298.75</v>
      </c>
      <c r="L20" s="71">
        <f>cpi_june!E$11+regional_rent_relative_tuik!P22</f>
        <v>319.48</v>
      </c>
      <c r="M20" s="71">
        <f>cpi_june!E$12+regional_rent_relative_tuik!P22</f>
        <v>343.78</v>
      </c>
      <c r="N20" s="71">
        <f>cpi_june!E$13+regional_rent_relative_tuik!P22</f>
        <v>374.66</v>
      </c>
      <c r="O20" s="71">
        <f>cpi_june!E$14+regional_rent_relative_tuik!P22</f>
        <v>408.2</v>
      </c>
      <c r="P20" s="71">
        <f>cpi_june!E$15+regional_rent_relative_tuik!P22</f>
        <v>448.04</v>
      </c>
      <c r="Q20" s="71">
        <f>cpi_june!E$16+regional_rent_relative_tuik!P22</f>
        <v>494.36</v>
      </c>
      <c r="R20" s="71">
        <f>cpi_june!E$17+regional_rent_relative_tuik!P22</f>
        <v>540.49</v>
      </c>
      <c r="S20" s="71">
        <f>cpi_june!E$18+regional_rent_relative_tuik!P22</f>
        <v>594.78</v>
      </c>
      <c r="T20" s="71">
        <f>cpi_june!E$19+regional_rent_relative_tuik!P22</f>
        <v>731.75</v>
      </c>
      <c r="U20" s="71">
        <f>cpi_june!E$20+regional_rent_relative_tuik!P22</f>
        <v>1291.74</v>
      </c>
    </row>
    <row r="21" spans="1:21">
      <c r="A21" s="70" t="s">
        <v>169</v>
      </c>
      <c r="B21" s="70"/>
      <c r="C21" s="71">
        <f>cpi_june!E$2+regional_rent_relative_tuik!P23</f>
        <v>143.32</v>
      </c>
      <c r="D21" s="71">
        <f>cpi_june!E$3+regional_rent_relative_tuik!P23</f>
        <v>171.88</v>
      </c>
      <c r="E21" s="71">
        <f>cpi_june!E$4+regional_rent_relative_tuik!P23</f>
        <v>204.91</v>
      </c>
      <c r="F21" s="71">
        <f>cpi_june!E$5+regional_rent_relative_tuik!P23</f>
        <v>233.46</v>
      </c>
      <c r="G21" s="71">
        <f>cpi_june!E$6+regional_rent_relative_tuik!P23</f>
        <v>253.68</v>
      </c>
      <c r="H21" s="71">
        <f>cpi_june!E$7+regional_rent_relative_tuik!P23</f>
        <v>264.27999999999997</v>
      </c>
      <c r="I21" s="71">
        <f>cpi_june!E$8+regional_rent_relative_tuik!P23</f>
        <v>275.89</v>
      </c>
      <c r="J21" s="71">
        <f>cpi_june!E$9+regional_rent_relative_tuik!P23</f>
        <v>289.05</v>
      </c>
      <c r="K21" s="71">
        <f>cpi_june!E$10+regional_rent_relative_tuik!P23</f>
        <v>306.75</v>
      </c>
      <c r="L21" s="71">
        <f>cpi_june!E$11+regional_rent_relative_tuik!P23</f>
        <v>327.48</v>
      </c>
      <c r="M21" s="71">
        <f>cpi_june!E$12+regional_rent_relative_tuik!P23</f>
        <v>351.78</v>
      </c>
      <c r="N21" s="71">
        <f>cpi_june!E$13+regional_rent_relative_tuik!P23</f>
        <v>382.66</v>
      </c>
      <c r="O21" s="71">
        <f>cpi_june!E$14+regional_rent_relative_tuik!P23</f>
        <v>416.2</v>
      </c>
      <c r="P21" s="71">
        <f>cpi_june!E$15+regional_rent_relative_tuik!P23</f>
        <v>456.04</v>
      </c>
      <c r="Q21" s="71">
        <f>cpi_june!E$16+regional_rent_relative_tuik!P23</f>
        <v>502.36</v>
      </c>
      <c r="R21" s="71">
        <f>cpi_june!E$17+regional_rent_relative_tuik!P23</f>
        <v>548.49</v>
      </c>
      <c r="S21" s="71">
        <f>cpi_june!E$18+regional_rent_relative_tuik!P23</f>
        <v>602.78</v>
      </c>
      <c r="T21" s="71">
        <f>cpi_june!E$19+regional_rent_relative_tuik!P23</f>
        <v>739.75</v>
      </c>
      <c r="U21" s="71">
        <f>cpi_june!E$20+regional_rent_relative_tuik!P23</f>
        <v>1299.74</v>
      </c>
    </row>
    <row r="22" spans="1:21">
      <c r="A22" s="70" t="s">
        <v>170</v>
      </c>
      <c r="B22" s="70"/>
      <c r="C22" s="71">
        <f>cpi_june!E$2+regional_rent_relative_tuik!P24</f>
        <v>131.32</v>
      </c>
      <c r="D22" s="71">
        <f>cpi_june!E$3+regional_rent_relative_tuik!P24</f>
        <v>159.88</v>
      </c>
      <c r="E22" s="71">
        <f>cpi_june!E$4+regional_rent_relative_tuik!P24</f>
        <v>192.91</v>
      </c>
      <c r="F22" s="71">
        <f>cpi_june!E$5+regional_rent_relative_tuik!P24</f>
        <v>221.46</v>
      </c>
      <c r="G22" s="71">
        <f>cpi_june!E$6+regional_rent_relative_tuik!P24</f>
        <v>241.68</v>
      </c>
      <c r="H22" s="71">
        <f>cpi_june!E$7+regional_rent_relative_tuik!P24</f>
        <v>252.27999999999997</v>
      </c>
      <c r="I22" s="71">
        <f>cpi_june!E$8+regional_rent_relative_tuik!P24</f>
        <v>263.89</v>
      </c>
      <c r="J22" s="71">
        <f>cpi_june!E$9+regional_rent_relative_tuik!P24</f>
        <v>277.05</v>
      </c>
      <c r="K22" s="71">
        <f>cpi_june!E$10+regional_rent_relative_tuik!P24</f>
        <v>294.75</v>
      </c>
      <c r="L22" s="71">
        <f>cpi_june!E$11+regional_rent_relative_tuik!P24</f>
        <v>315.48</v>
      </c>
      <c r="M22" s="71">
        <f>cpi_june!E$12+regional_rent_relative_tuik!P24</f>
        <v>339.78</v>
      </c>
      <c r="N22" s="71">
        <f>cpi_june!E$13+regional_rent_relative_tuik!P24</f>
        <v>370.66</v>
      </c>
      <c r="O22" s="71">
        <f>cpi_june!E$14+regional_rent_relative_tuik!P24</f>
        <v>404.2</v>
      </c>
      <c r="P22" s="71">
        <f>cpi_june!E$15+regional_rent_relative_tuik!P24</f>
        <v>444.04</v>
      </c>
      <c r="Q22" s="71">
        <f>cpi_june!E$16+regional_rent_relative_tuik!P24</f>
        <v>490.36</v>
      </c>
      <c r="R22" s="71">
        <f>cpi_june!E$17+regional_rent_relative_tuik!P24</f>
        <v>536.49</v>
      </c>
      <c r="S22" s="71">
        <f>cpi_june!E$18+regional_rent_relative_tuik!P24</f>
        <v>590.78</v>
      </c>
      <c r="T22" s="71">
        <f>cpi_june!E$19+regional_rent_relative_tuik!P24</f>
        <v>727.75</v>
      </c>
      <c r="U22" s="71">
        <f>cpi_june!E$20+regional_rent_relative_tuik!P24</f>
        <v>1287.74</v>
      </c>
    </row>
    <row r="23" spans="1:21">
      <c r="A23" s="70" t="s">
        <v>171</v>
      </c>
      <c r="B23" s="70"/>
      <c r="C23" s="71">
        <f>cpi_june!E$2+regional_rent_relative_tuik!P25</f>
        <v>129.32</v>
      </c>
      <c r="D23" s="71">
        <f>cpi_june!E$3+regional_rent_relative_tuik!P25</f>
        <v>157.88</v>
      </c>
      <c r="E23" s="71">
        <f>cpi_june!E$4+regional_rent_relative_tuik!P25</f>
        <v>190.91</v>
      </c>
      <c r="F23" s="71">
        <f>cpi_june!E$5+regional_rent_relative_tuik!P25</f>
        <v>219.46</v>
      </c>
      <c r="G23" s="71">
        <f>cpi_june!E$6+regional_rent_relative_tuik!P25</f>
        <v>239.68</v>
      </c>
      <c r="H23" s="71">
        <f>cpi_june!E$7+regional_rent_relative_tuik!P25</f>
        <v>250.27999999999997</v>
      </c>
      <c r="I23" s="71">
        <f>cpi_june!E$8+regional_rent_relative_tuik!P25</f>
        <v>261.89</v>
      </c>
      <c r="J23" s="71">
        <f>cpi_june!E$9+regional_rent_relative_tuik!P25</f>
        <v>275.05</v>
      </c>
      <c r="K23" s="71">
        <f>cpi_june!E$10+regional_rent_relative_tuik!P25</f>
        <v>292.75</v>
      </c>
      <c r="L23" s="71">
        <f>cpi_june!E$11+regional_rent_relative_tuik!P25</f>
        <v>313.48</v>
      </c>
      <c r="M23" s="71">
        <f>cpi_june!E$12+regional_rent_relative_tuik!P25</f>
        <v>337.78</v>
      </c>
      <c r="N23" s="71">
        <f>cpi_june!E$13+regional_rent_relative_tuik!P25</f>
        <v>368.66</v>
      </c>
      <c r="O23" s="71">
        <f>cpi_june!E$14+regional_rent_relative_tuik!P25</f>
        <v>402.2</v>
      </c>
      <c r="P23" s="71">
        <f>cpi_june!E$15+regional_rent_relative_tuik!P25</f>
        <v>442.04</v>
      </c>
      <c r="Q23" s="71">
        <f>cpi_june!E$16+regional_rent_relative_tuik!P25</f>
        <v>488.36</v>
      </c>
      <c r="R23" s="71">
        <f>cpi_june!E$17+regional_rent_relative_tuik!P25</f>
        <v>534.49</v>
      </c>
      <c r="S23" s="71">
        <f>cpi_june!E$18+regional_rent_relative_tuik!P25</f>
        <v>588.78</v>
      </c>
      <c r="T23" s="71">
        <f>cpi_june!E$19+regional_rent_relative_tuik!P25</f>
        <v>725.75</v>
      </c>
      <c r="U23" s="71">
        <f>cpi_june!E$20+regional_rent_relative_tuik!P25</f>
        <v>1285.74</v>
      </c>
    </row>
    <row r="24" spans="1:21">
      <c r="A24" s="70" t="s">
        <v>172</v>
      </c>
      <c r="B24" s="70"/>
      <c r="C24" s="71">
        <f>cpi_june!E$2+regional_rent_relative_tuik!P26</f>
        <v>131.32</v>
      </c>
      <c r="D24" s="71">
        <f>cpi_june!E$3+regional_rent_relative_tuik!P26</f>
        <v>159.88</v>
      </c>
      <c r="E24" s="71">
        <f>cpi_june!E$4+regional_rent_relative_tuik!P26</f>
        <v>192.91</v>
      </c>
      <c r="F24" s="71">
        <f>cpi_june!E$5+regional_rent_relative_tuik!P26</f>
        <v>221.46</v>
      </c>
      <c r="G24" s="71">
        <f>cpi_june!E$6+regional_rent_relative_tuik!P26</f>
        <v>241.68</v>
      </c>
      <c r="H24" s="71">
        <f>cpi_june!E$7+regional_rent_relative_tuik!P26</f>
        <v>252.27999999999997</v>
      </c>
      <c r="I24" s="71">
        <f>cpi_june!E$8+regional_rent_relative_tuik!P26</f>
        <v>263.89</v>
      </c>
      <c r="J24" s="71">
        <f>cpi_june!E$9+regional_rent_relative_tuik!P26</f>
        <v>277.05</v>
      </c>
      <c r="K24" s="71">
        <f>cpi_june!E$10+regional_rent_relative_tuik!P26</f>
        <v>294.75</v>
      </c>
      <c r="L24" s="71">
        <f>cpi_june!E$11+regional_rent_relative_tuik!P26</f>
        <v>315.48</v>
      </c>
      <c r="M24" s="71">
        <f>cpi_june!E$12+regional_rent_relative_tuik!P26</f>
        <v>339.78</v>
      </c>
      <c r="N24" s="71">
        <f>cpi_june!E$13+regional_rent_relative_tuik!P26</f>
        <v>370.66</v>
      </c>
      <c r="O24" s="71">
        <f>cpi_june!E$14+regional_rent_relative_tuik!P26</f>
        <v>404.2</v>
      </c>
      <c r="P24" s="71">
        <f>cpi_june!E$15+regional_rent_relative_tuik!P26</f>
        <v>444.04</v>
      </c>
      <c r="Q24" s="71">
        <f>cpi_june!E$16+regional_rent_relative_tuik!P26</f>
        <v>490.36</v>
      </c>
      <c r="R24" s="71">
        <f>cpi_june!E$17+regional_rent_relative_tuik!P26</f>
        <v>536.49</v>
      </c>
      <c r="S24" s="71">
        <f>cpi_june!E$18+regional_rent_relative_tuik!P26</f>
        <v>590.78</v>
      </c>
      <c r="T24" s="71">
        <f>cpi_june!E$19+regional_rent_relative_tuik!P26</f>
        <v>727.75</v>
      </c>
      <c r="U24" s="71">
        <f>cpi_june!E$20+regional_rent_relative_tuik!P26</f>
        <v>1287.74</v>
      </c>
    </row>
    <row r="25" spans="1:21">
      <c r="A25" s="70" t="s">
        <v>173</v>
      </c>
      <c r="B25" s="70"/>
      <c r="C25" s="71">
        <f>cpi_june!E$2+regional_rent_relative_tuik!P27</f>
        <v>129.32</v>
      </c>
      <c r="D25" s="71">
        <f>cpi_june!E$3+regional_rent_relative_tuik!P27</f>
        <v>157.88</v>
      </c>
      <c r="E25" s="71">
        <f>cpi_june!E$4+regional_rent_relative_tuik!P27</f>
        <v>190.91</v>
      </c>
      <c r="F25" s="71">
        <f>cpi_june!E$5+regional_rent_relative_tuik!P27</f>
        <v>219.46</v>
      </c>
      <c r="G25" s="71">
        <f>cpi_june!E$6+regional_rent_relative_tuik!P27</f>
        <v>239.68</v>
      </c>
      <c r="H25" s="71">
        <f>cpi_june!E$7+regional_rent_relative_tuik!P27</f>
        <v>250.27999999999997</v>
      </c>
      <c r="I25" s="71">
        <f>cpi_june!E$8+regional_rent_relative_tuik!P27</f>
        <v>261.89</v>
      </c>
      <c r="J25" s="71">
        <f>cpi_june!E$9+regional_rent_relative_tuik!P27</f>
        <v>275.05</v>
      </c>
      <c r="K25" s="71">
        <f>cpi_june!E$10+regional_rent_relative_tuik!P27</f>
        <v>292.75</v>
      </c>
      <c r="L25" s="71">
        <f>cpi_june!E$11+regional_rent_relative_tuik!P27</f>
        <v>313.48</v>
      </c>
      <c r="M25" s="71">
        <f>cpi_june!E$12+regional_rent_relative_tuik!P27</f>
        <v>337.78</v>
      </c>
      <c r="N25" s="71">
        <f>cpi_june!E$13+regional_rent_relative_tuik!P27</f>
        <v>368.66</v>
      </c>
      <c r="O25" s="71">
        <f>cpi_june!E$14+regional_rent_relative_tuik!P27</f>
        <v>402.2</v>
      </c>
      <c r="P25" s="71">
        <f>cpi_june!E$15+regional_rent_relative_tuik!P27</f>
        <v>442.04</v>
      </c>
      <c r="Q25" s="71">
        <f>cpi_june!E$16+regional_rent_relative_tuik!P27</f>
        <v>488.36</v>
      </c>
      <c r="R25" s="71">
        <f>cpi_june!E$17+regional_rent_relative_tuik!P27</f>
        <v>534.49</v>
      </c>
      <c r="S25" s="71">
        <f>cpi_june!E$18+regional_rent_relative_tuik!P27</f>
        <v>588.78</v>
      </c>
      <c r="T25" s="71">
        <f>cpi_june!E$19+regional_rent_relative_tuik!P27</f>
        <v>725.75</v>
      </c>
      <c r="U25" s="71">
        <f>cpi_june!E$20+regional_rent_relative_tuik!P27</f>
        <v>1285.74</v>
      </c>
    </row>
    <row r="26" spans="1:21">
      <c r="A26" s="70" t="s">
        <v>174</v>
      </c>
      <c r="B26" s="70"/>
      <c r="C26" s="71">
        <f>cpi_june!E$2+regional_rent_relative_tuik!P28</f>
        <v>142.32</v>
      </c>
      <c r="D26" s="71">
        <f>cpi_june!E$3+regional_rent_relative_tuik!P28</f>
        <v>170.88</v>
      </c>
      <c r="E26" s="71">
        <f>cpi_june!E$4+regional_rent_relative_tuik!P28</f>
        <v>203.91</v>
      </c>
      <c r="F26" s="71">
        <f>cpi_june!E$5+regional_rent_relative_tuik!P28</f>
        <v>232.46</v>
      </c>
      <c r="G26" s="71">
        <f>cpi_june!E$6+regional_rent_relative_tuik!P28</f>
        <v>252.68</v>
      </c>
      <c r="H26" s="71">
        <f>cpi_june!E$7+regional_rent_relative_tuik!P28</f>
        <v>263.27999999999997</v>
      </c>
      <c r="I26" s="71">
        <f>cpi_june!E$8+regional_rent_relative_tuik!P28</f>
        <v>274.89</v>
      </c>
      <c r="J26" s="71">
        <f>cpi_june!E$9+regional_rent_relative_tuik!P28</f>
        <v>288.05</v>
      </c>
      <c r="K26" s="71">
        <f>cpi_june!E$10+regional_rent_relative_tuik!P28</f>
        <v>305.75</v>
      </c>
      <c r="L26" s="71">
        <f>cpi_june!E$11+regional_rent_relative_tuik!P28</f>
        <v>326.48</v>
      </c>
      <c r="M26" s="71">
        <f>cpi_june!E$12+regional_rent_relative_tuik!P28</f>
        <v>350.78</v>
      </c>
      <c r="N26" s="71">
        <f>cpi_june!E$13+regional_rent_relative_tuik!P28</f>
        <v>381.66</v>
      </c>
      <c r="O26" s="71">
        <f>cpi_june!E$14+regional_rent_relative_tuik!P28</f>
        <v>415.2</v>
      </c>
      <c r="P26" s="71">
        <f>cpi_june!E$15+regional_rent_relative_tuik!P28</f>
        <v>455.04</v>
      </c>
      <c r="Q26" s="71">
        <f>cpi_june!E$16+regional_rent_relative_tuik!P28</f>
        <v>501.36</v>
      </c>
      <c r="R26" s="71">
        <f>cpi_june!E$17+regional_rent_relative_tuik!P28</f>
        <v>547.49</v>
      </c>
      <c r="S26" s="71">
        <f>cpi_june!E$18+regional_rent_relative_tuik!P28</f>
        <v>601.78</v>
      </c>
      <c r="T26" s="71">
        <f>cpi_june!E$19+regional_rent_relative_tuik!P28</f>
        <v>738.75</v>
      </c>
      <c r="U26" s="71">
        <f>cpi_june!E$20+regional_rent_relative_tuik!P28</f>
        <v>1298.74</v>
      </c>
    </row>
    <row r="27" spans="1:21">
      <c r="A27" s="70" t="s">
        <v>175</v>
      </c>
      <c r="B27" s="70"/>
      <c r="C27" s="71">
        <f>cpi_june!E$2+regional_rent_relative_tuik!P29</f>
        <v>135.32</v>
      </c>
      <c r="D27" s="71">
        <f>cpi_june!E$3+regional_rent_relative_tuik!P29</f>
        <v>163.88</v>
      </c>
      <c r="E27" s="71">
        <f>cpi_june!E$4+regional_rent_relative_tuik!P29</f>
        <v>196.91</v>
      </c>
      <c r="F27" s="71">
        <f>cpi_june!E$5+regional_rent_relative_tuik!P29</f>
        <v>225.46</v>
      </c>
      <c r="G27" s="71">
        <f>cpi_june!E$6+regional_rent_relative_tuik!P29</f>
        <v>245.68</v>
      </c>
      <c r="H27" s="71">
        <f>cpi_june!E$7+regional_rent_relative_tuik!P29</f>
        <v>256.27999999999997</v>
      </c>
      <c r="I27" s="71">
        <f>cpi_june!E$8+regional_rent_relative_tuik!P29</f>
        <v>267.89</v>
      </c>
      <c r="J27" s="71">
        <f>cpi_june!E$9+regional_rent_relative_tuik!P29</f>
        <v>281.05</v>
      </c>
      <c r="K27" s="71">
        <f>cpi_june!E$10+regional_rent_relative_tuik!P29</f>
        <v>298.75</v>
      </c>
      <c r="L27" s="71">
        <f>cpi_june!E$11+regional_rent_relative_tuik!P29</f>
        <v>319.48</v>
      </c>
      <c r="M27" s="71">
        <f>cpi_june!E$12+regional_rent_relative_tuik!P29</f>
        <v>343.78</v>
      </c>
      <c r="N27" s="71">
        <f>cpi_june!E$13+regional_rent_relative_tuik!P29</f>
        <v>374.66</v>
      </c>
      <c r="O27" s="71">
        <f>cpi_june!E$14+regional_rent_relative_tuik!P29</f>
        <v>408.2</v>
      </c>
      <c r="P27" s="71">
        <f>cpi_june!E$15+regional_rent_relative_tuik!P29</f>
        <v>448.04</v>
      </c>
      <c r="Q27" s="71">
        <f>cpi_june!E$16+regional_rent_relative_tuik!P29</f>
        <v>494.36</v>
      </c>
      <c r="R27" s="71">
        <f>cpi_june!E$17+regional_rent_relative_tuik!P29</f>
        <v>540.49</v>
      </c>
      <c r="S27" s="71">
        <f>cpi_june!E$18+regional_rent_relative_tuik!P29</f>
        <v>594.78</v>
      </c>
      <c r="T27" s="71">
        <f>cpi_june!E$19+regional_rent_relative_tuik!P29</f>
        <v>731.75</v>
      </c>
      <c r="U27" s="71">
        <f>cpi_june!E$20+regional_rent_relative_tuik!P29</f>
        <v>1291.74</v>
      </c>
    </row>
    <row r="28" spans="1:21" ht="17" thickBot="1">
      <c r="A28" s="72" t="s">
        <v>176</v>
      </c>
      <c r="B28" s="72"/>
      <c r="C28" s="71">
        <f>cpi_june!E$2+regional_rent_relative_tuik!P30</f>
        <v>126.32</v>
      </c>
      <c r="D28" s="71">
        <f>cpi_june!E$3+regional_rent_relative_tuik!P30</f>
        <v>154.88</v>
      </c>
      <c r="E28" s="71">
        <f>cpi_june!E$4+regional_rent_relative_tuik!P30</f>
        <v>187.91</v>
      </c>
      <c r="F28" s="71">
        <f>cpi_june!E$5+regional_rent_relative_tuik!P30</f>
        <v>216.46</v>
      </c>
      <c r="G28" s="71">
        <f>cpi_june!E$6+regional_rent_relative_tuik!P30</f>
        <v>236.68</v>
      </c>
      <c r="H28" s="71">
        <f>cpi_june!E$7+regional_rent_relative_tuik!P30</f>
        <v>247.27999999999997</v>
      </c>
      <c r="I28" s="71">
        <f>cpi_june!E$8+regional_rent_relative_tuik!P30</f>
        <v>258.89</v>
      </c>
      <c r="J28" s="71">
        <f>cpi_june!E$9+regional_rent_relative_tuik!P30</f>
        <v>272.05</v>
      </c>
      <c r="K28" s="71">
        <f>cpi_june!E$10+regional_rent_relative_tuik!P30</f>
        <v>289.75</v>
      </c>
      <c r="L28" s="71">
        <f>cpi_june!E$11+regional_rent_relative_tuik!P30</f>
        <v>310.48</v>
      </c>
      <c r="M28" s="71">
        <f>cpi_june!E$12+regional_rent_relative_tuik!P30</f>
        <v>334.78</v>
      </c>
      <c r="N28" s="71">
        <f>cpi_june!E$13+regional_rent_relative_tuik!P30</f>
        <v>365.66</v>
      </c>
      <c r="O28" s="71">
        <f>cpi_june!E$14+regional_rent_relative_tuik!P30</f>
        <v>399.2</v>
      </c>
      <c r="P28" s="71">
        <f>cpi_june!E$15+regional_rent_relative_tuik!P30</f>
        <v>439.04</v>
      </c>
      <c r="Q28" s="71">
        <f>cpi_june!E$16+regional_rent_relative_tuik!P30</f>
        <v>485.36</v>
      </c>
      <c r="R28" s="71">
        <f>cpi_june!E$17+regional_rent_relative_tuik!P30</f>
        <v>531.49</v>
      </c>
      <c r="S28" s="71">
        <f>cpi_june!E$18+regional_rent_relative_tuik!P30</f>
        <v>585.78</v>
      </c>
      <c r="T28" s="71">
        <f>cpi_june!E$19+regional_rent_relative_tuik!P30</f>
        <v>722.75</v>
      </c>
      <c r="U28" s="71">
        <f>cpi_june!E$20+regional_rent_relative_tuik!P30</f>
        <v>1282.74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B7357-78FA-B646-AD70-E13ACB1D369C}">
  <dimension ref="A1:F21"/>
  <sheetViews>
    <sheetView zoomScale="111" workbookViewId="0">
      <selection activeCell="E2" sqref="E2"/>
    </sheetView>
  </sheetViews>
  <sheetFormatPr baseColWidth="10" defaultRowHeight="16"/>
  <sheetData>
    <row r="1" spans="1:6">
      <c r="A1" s="77" t="s">
        <v>0</v>
      </c>
      <c r="C1" t="s">
        <v>16</v>
      </c>
      <c r="D1" t="s">
        <v>1053</v>
      </c>
      <c r="E1" t="s">
        <v>1054</v>
      </c>
    </row>
    <row r="2" spans="1:6">
      <c r="A2" s="41">
        <v>2005</v>
      </c>
      <c r="B2" s="54" t="s">
        <v>987</v>
      </c>
      <c r="C2" s="55" t="s">
        <v>988</v>
      </c>
      <c r="D2" s="56">
        <v>116.81</v>
      </c>
      <c r="E2" s="53">
        <v>141.32</v>
      </c>
      <c r="F2">
        <f>E2/D2</f>
        <v>1.2098279256912934</v>
      </c>
    </row>
    <row r="3" spans="1:6">
      <c r="A3" s="41">
        <v>2006</v>
      </c>
      <c r="B3" s="54" t="s">
        <v>987</v>
      </c>
      <c r="C3" s="55" t="s">
        <v>988</v>
      </c>
      <c r="D3" s="56">
        <v>128.63</v>
      </c>
      <c r="E3" s="53">
        <v>169.88</v>
      </c>
      <c r="F3">
        <f t="shared" ref="F3:F21" si="0">E3/D3</f>
        <v>1.3206872424784266</v>
      </c>
    </row>
    <row r="4" spans="1:6">
      <c r="A4" s="41">
        <v>2007</v>
      </c>
      <c r="B4" s="54" t="s">
        <v>987</v>
      </c>
      <c r="C4" s="55" t="s">
        <v>988</v>
      </c>
      <c r="D4" s="56">
        <v>139.69</v>
      </c>
      <c r="E4" s="53">
        <v>202.91</v>
      </c>
      <c r="F4">
        <f t="shared" si="0"/>
        <v>1.4525735557305461</v>
      </c>
    </row>
    <row r="5" spans="1:6">
      <c r="A5" s="41">
        <v>2008</v>
      </c>
      <c r="B5" s="54" t="s">
        <v>987</v>
      </c>
      <c r="C5" s="55" t="s">
        <v>988</v>
      </c>
      <c r="D5" s="52">
        <v>154.51</v>
      </c>
      <c r="E5" s="53">
        <v>231.46</v>
      </c>
      <c r="F5">
        <f t="shared" si="0"/>
        <v>1.4980260177334801</v>
      </c>
    </row>
    <row r="6" spans="1:6">
      <c r="A6" s="41">
        <v>2009</v>
      </c>
      <c r="B6" s="54" t="s">
        <v>987</v>
      </c>
      <c r="C6" s="55" t="s">
        <v>988</v>
      </c>
      <c r="D6" s="52">
        <v>163.37</v>
      </c>
      <c r="E6" s="53">
        <v>251.68</v>
      </c>
      <c r="F6">
        <f t="shared" si="0"/>
        <v>1.5405521209524393</v>
      </c>
    </row>
    <row r="7" spans="1:6">
      <c r="A7" s="41">
        <v>2010</v>
      </c>
      <c r="B7" s="54" t="s">
        <v>987</v>
      </c>
      <c r="C7" s="55" t="s">
        <v>988</v>
      </c>
      <c r="D7" s="52">
        <v>177.04</v>
      </c>
      <c r="E7" s="53">
        <v>262.27999999999997</v>
      </c>
      <c r="F7">
        <f t="shared" si="0"/>
        <v>1.4814731134206958</v>
      </c>
    </row>
    <row r="8" spans="1:6">
      <c r="A8" s="41">
        <v>2011</v>
      </c>
      <c r="B8" s="54" t="s">
        <v>987</v>
      </c>
      <c r="C8" s="55" t="s">
        <v>988</v>
      </c>
      <c r="D8" s="52">
        <v>188.08</v>
      </c>
      <c r="E8" s="53">
        <v>273.89</v>
      </c>
      <c r="F8">
        <f t="shared" si="0"/>
        <v>1.4562420246703529</v>
      </c>
    </row>
    <row r="9" spans="1:6">
      <c r="A9" s="41">
        <v>2012</v>
      </c>
      <c r="B9" s="54" t="s">
        <v>987</v>
      </c>
      <c r="C9" s="55" t="s">
        <v>988</v>
      </c>
      <c r="D9" s="52">
        <v>204.76</v>
      </c>
      <c r="E9" s="53">
        <v>287.05</v>
      </c>
      <c r="F9">
        <f t="shared" si="0"/>
        <v>1.4018851338151983</v>
      </c>
    </row>
    <row r="10" spans="1:6">
      <c r="A10" s="41">
        <v>2013</v>
      </c>
      <c r="B10" s="54" t="s">
        <v>987</v>
      </c>
      <c r="C10" s="55" t="s">
        <v>988</v>
      </c>
      <c r="D10" s="56">
        <v>221.75</v>
      </c>
      <c r="E10" s="53">
        <v>304.75</v>
      </c>
      <c r="F10">
        <f t="shared" si="0"/>
        <v>1.3742953776775648</v>
      </c>
    </row>
    <row r="11" spans="1:6">
      <c r="A11" s="41">
        <v>2014</v>
      </c>
      <c r="B11" s="54" t="s">
        <v>987</v>
      </c>
      <c r="C11" s="55" t="s">
        <v>988</v>
      </c>
      <c r="D11" s="56">
        <v>242.07</v>
      </c>
      <c r="E11" s="53">
        <v>325.48</v>
      </c>
      <c r="F11">
        <f t="shared" si="0"/>
        <v>1.344569752550915</v>
      </c>
    </row>
    <row r="12" spans="1:6">
      <c r="A12" s="41">
        <v>2015</v>
      </c>
      <c r="B12" s="54" t="s">
        <v>987</v>
      </c>
      <c r="C12" s="50" t="s">
        <v>988</v>
      </c>
      <c r="D12" s="56">
        <v>259.51</v>
      </c>
      <c r="E12" s="53">
        <v>349.78</v>
      </c>
      <c r="F12">
        <f t="shared" si="0"/>
        <v>1.3478478671342145</v>
      </c>
    </row>
    <row r="13" spans="1:6">
      <c r="A13" s="41">
        <v>2016</v>
      </c>
      <c r="B13" s="54" t="s">
        <v>987</v>
      </c>
      <c r="C13" s="50" t="s">
        <v>988</v>
      </c>
      <c r="D13" s="56">
        <v>279.33</v>
      </c>
      <c r="E13" s="53">
        <v>380.66</v>
      </c>
      <c r="F13">
        <f t="shared" si="0"/>
        <v>1.3627608921347512</v>
      </c>
    </row>
    <row r="14" spans="1:6">
      <c r="A14" s="41">
        <v>2017</v>
      </c>
      <c r="B14" s="54" t="s">
        <v>987</v>
      </c>
      <c r="C14" s="50" t="s">
        <v>988</v>
      </c>
      <c r="D14" s="57">
        <v>309.77999999999997</v>
      </c>
      <c r="E14" s="58">
        <v>414.2</v>
      </c>
      <c r="F14">
        <f t="shared" si="0"/>
        <v>1.3370779262702563</v>
      </c>
    </row>
    <row r="15" spans="1:6">
      <c r="A15" s="41">
        <v>2018</v>
      </c>
      <c r="B15" s="54" t="s">
        <v>987</v>
      </c>
      <c r="C15" s="50" t="s">
        <v>988</v>
      </c>
      <c r="D15" s="57">
        <v>357.44</v>
      </c>
      <c r="E15" s="58">
        <v>454.04</v>
      </c>
      <c r="F15">
        <f t="shared" si="0"/>
        <v>1.2702551477170994</v>
      </c>
    </row>
    <row r="16" spans="1:6">
      <c r="A16" s="41">
        <v>2019</v>
      </c>
      <c r="B16" s="54" t="s">
        <v>987</v>
      </c>
      <c r="C16" s="50" t="s">
        <v>988</v>
      </c>
      <c r="D16" s="57">
        <v>413.63</v>
      </c>
      <c r="E16" s="58">
        <v>500.36</v>
      </c>
      <c r="F16">
        <f t="shared" si="0"/>
        <v>1.2096801489253681</v>
      </c>
    </row>
    <row r="17" spans="1:6">
      <c r="A17" s="41">
        <v>2020</v>
      </c>
      <c r="B17" s="54" t="s">
        <v>987</v>
      </c>
      <c r="C17" s="50" t="s">
        <v>988</v>
      </c>
      <c r="D17" s="57">
        <v>465.84</v>
      </c>
      <c r="E17" s="58">
        <v>546.49</v>
      </c>
      <c r="F17">
        <f t="shared" si="0"/>
        <v>1.1731281126567064</v>
      </c>
    </row>
    <row r="18" spans="1:6">
      <c r="A18" s="41">
        <v>2021</v>
      </c>
      <c r="B18" s="54" t="s">
        <v>987</v>
      </c>
      <c r="C18" s="50" t="s">
        <v>988</v>
      </c>
      <c r="D18" s="57">
        <v>547.48</v>
      </c>
      <c r="E18" s="58">
        <v>600.78</v>
      </c>
      <c r="F18">
        <f t="shared" si="0"/>
        <v>1.0973551545261926</v>
      </c>
    </row>
    <row r="19" spans="1:6">
      <c r="A19" s="41">
        <v>2022</v>
      </c>
      <c r="B19" s="54" t="s">
        <v>987</v>
      </c>
      <c r="C19" s="50" t="s">
        <v>988</v>
      </c>
      <c r="D19" s="57">
        <v>977.9</v>
      </c>
      <c r="E19" s="58">
        <v>737.75</v>
      </c>
      <c r="F19">
        <f t="shared" si="0"/>
        <v>0.75442274261171904</v>
      </c>
    </row>
    <row r="20" spans="1:6">
      <c r="A20" s="41">
        <v>2023</v>
      </c>
      <c r="B20" s="54" t="s">
        <v>987</v>
      </c>
      <c r="C20" s="50" t="s">
        <v>988</v>
      </c>
      <c r="D20" s="57">
        <v>1351.59</v>
      </c>
      <c r="E20" s="58">
        <v>1297.74</v>
      </c>
      <c r="F20">
        <f t="shared" si="0"/>
        <v>0.96015803609082639</v>
      </c>
    </row>
    <row r="21" spans="1:6">
      <c r="A21" s="41">
        <v>2024</v>
      </c>
      <c r="B21" s="54" t="s">
        <v>987</v>
      </c>
      <c r="C21" s="50" t="s">
        <v>988</v>
      </c>
      <c r="D21" s="57">
        <v>2319.29</v>
      </c>
      <c r="E21" s="58">
        <v>2902.27</v>
      </c>
      <c r="F21">
        <f t="shared" si="0"/>
        <v>1.2513614080171087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2971F-EE22-8945-AD0B-4BA71873F1F0}">
  <dimension ref="A1:KG466"/>
  <sheetViews>
    <sheetView topLeftCell="A161" workbookViewId="0">
      <selection activeCell="CB4" sqref="CB4"/>
    </sheetView>
  </sheetViews>
  <sheetFormatPr baseColWidth="10" defaultColWidth="0" defaultRowHeight="13"/>
  <cols>
    <col min="1" max="1" width="5" style="30" bestFit="1" customWidth="1"/>
    <col min="2" max="2" width="8.83203125" style="30" bestFit="1" customWidth="1"/>
    <col min="3" max="3" width="10" style="30" bestFit="1" customWidth="1"/>
    <col min="4" max="4" width="9.33203125" style="30" bestFit="1" customWidth="1"/>
    <col min="5" max="5" width="15" style="30" hidden="1" customWidth="1"/>
    <col min="6" max="6" width="15.5" style="30" hidden="1" customWidth="1"/>
    <col min="7" max="7" width="14.1640625" style="30" hidden="1" customWidth="1"/>
    <col min="8" max="8" width="15.6640625" style="30" hidden="1" customWidth="1"/>
    <col min="9" max="9" width="14.1640625" style="30" hidden="1" customWidth="1"/>
    <col min="10" max="10" width="7.83203125" style="30" hidden="1" customWidth="1"/>
    <col min="11" max="11" width="11.5" style="30" hidden="1" customWidth="1"/>
    <col min="12" max="12" width="16.83203125" style="30" hidden="1" customWidth="1"/>
    <col min="13" max="13" width="13.5" style="30" hidden="1" customWidth="1"/>
    <col min="14" max="14" width="11.1640625" style="30" hidden="1" customWidth="1"/>
    <col min="15" max="15" width="14.5" style="30" hidden="1" customWidth="1"/>
    <col min="16" max="16" width="15.6640625" style="30" hidden="1" customWidth="1"/>
    <col min="17" max="17" width="7.5" style="30" hidden="1" customWidth="1"/>
    <col min="18" max="18" width="15.5" style="30" hidden="1" customWidth="1"/>
    <col min="19" max="19" width="11.5" style="30" hidden="1" customWidth="1"/>
    <col min="20" max="20" width="9.5" style="30" hidden="1" customWidth="1"/>
    <col min="21" max="21" width="10" style="30" hidden="1" customWidth="1"/>
    <col min="22" max="22" width="10.6640625" style="30" hidden="1" customWidth="1"/>
    <col min="23" max="23" width="13" style="30" hidden="1" customWidth="1"/>
    <col min="24" max="24" width="15" style="30" hidden="1" customWidth="1"/>
    <col min="25" max="26" width="15.6640625" style="30" hidden="1" customWidth="1"/>
    <col min="27" max="27" width="15.33203125" style="30" hidden="1" customWidth="1"/>
    <col min="28" max="28" width="12.83203125" style="30" hidden="1" customWidth="1"/>
    <col min="29" max="29" width="12.1640625" style="30" hidden="1" customWidth="1"/>
    <col min="30" max="30" width="15.5" style="30" hidden="1" customWidth="1"/>
    <col min="31" max="31" width="15.33203125" style="30" hidden="1" customWidth="1"/>
    <col min="32" max="32" width="13.83203125" style="30" hidden="1" customWidth="1"/>
    <col min="33" max="33" width="15.6640625" style="30" hidden="1" customWidth="1"/>
    <col min="34" max="34" width="14.1640625" style="30" hidden="1" customWidth="1"/>
    <col min="35" max="35" width="14.5" style="30" hidden="1" customWidth="1"/>
    <col min="36" max="36" width="13.5" style="30" hidden="1" customWidth="1"/>
    <col min="37" max="37" width="13.83203125" style="30" hidden="1" customWidth="1"/>
    <col min="38" max="38" width="11.5" style="30" hidden="1" customWidth="1"/>
    <col min="39" max="39" width="10.6640625" style="30" hidden="1" customWidth="1"/>
    <col min="40" max="41" width="15.6640625" style="30" hidden="1" customWidth="1"/>
    <col min="42" max="42" width="15.5" style="30" hidden="1" customWidth="1"/>
    <col min="43" max="43" width="14.5" style="30" hidden="1" customWidth="1"/>
    <col min="44" max="44" width="15.5" style="30" hidden="1" customWidth="1"/>
    <col min="45" max="45" width="14.5" style="30" hidden="1" customWidth="1"/>
    <col min="46" max="46" width="15.6640625" style="30" hidden="1" customWidth="1"/>
    <col min="47" max="47" width="13.6640625" style="30" hidden="1" customWidth="1"/>
    <col min="48" max="48" width="12.6640625" style="30" hidden="1" customWidth="1"/>
    <col min="49" max="49" width="13.6640625" style="30" hidden="1" customWidth="1"/>
    <col min="50" max="50" width="11.1640625" style="30" hidden="1" customWidth="1"/>
    <col min="51" max="51" width="15.6640625" style="30" hidden="1" customWidth="1"/>
    <col min="52" max="52" width="10.6640625" style="30" hidden="1" customWidth="1"/>
    <col min="53" max="53" width="15" style="30" hidden="1" customWidth="1"/>
    <col min="54" max="54" width="15.6640625" style="30" hidden="1" customWidth="1"/>
    <col min="55" max="55" width="16" style="30" hidden="1" customWidth="1"/>
    <col min="56" max="56" width="12.33203125" style="30" hidden="1" customWidth="1"/>
    <col min="57" max="57" width="11.33203125" style="30" hidden="1" customWidth="1"/>
    <col min="58" max="59" width="15.33203125" style="30" hidden="1" customWidth="1"/>
    <col min="60" max="79" width="12.6640625" style="30" hidden="1" customWidth="1"/>
    <col min="80" max="80" width="12.6640625" style="33" customWidth="1"/>
    <col min="81" max="95" width="12.6640625" style="30" hidden="1" customWidth="1"/>
    <col min="96" max="96" width="13.83203125" style="30" hidden="1" customWidth="1"/>
    <col min="97" max="135" width="12.6640625" style="30" hidden="1" customWidth="1"/>
    <col min="136" max="136" width="13.5" style="30" hidden="1" customWidth="1"/>
    <col min="137" max="137" width="12.6640625" style="30" hidden="1" customWidth="1"/>
    <col min="138" max="138" width="13.83203125" style="30" hidden="1" customWidth="1"/>
    <col min="139" max="139" width="13.6640625" style="30" hidden="1" customWidth="1"/>
    <col min="140" max="147" width="12.6640625" style="30" hidden="1" customWidth="1"/>
    <col min="148" max="292" width="15.5" style="30" hidden="1" customWidth="1"/>
    <col min="293" max="293" width="0" style="30" hidden="1" customWidth="1"/>
    <col min="294" max="16384" width="9.1640625" style="30" hidden="1"/>
  </cols>
  <sheetData>
    <row r="1" spans="1:293">
      <c r="A1" s="32" t="s">
        <v>185</v>
      </c>
      <c r="B1" s="32"/>
    </row>
    <row r="2" spans="1:293" ht="14" thickBot="1">
      <c r="A2" s="34" t="s">
        <v>186</v>
      </c>
      <c r="B2" s="34"/>
    </row>
    <row r="3" spans="1:293" s="41" customFormat="1" ht="12">
      <c r="A3" s="35"/>
      <c r="B3" s="36"/>
      <c r="C3" s="36"/>
      <c r="D3" s="37" t="s">
        <v>187</v>
      </c>
      <c r="E3" s="37" t="s">
        <v>188</v>
      </c>
      <c r="F3" s="38" t="s">
        <v>189</v>
      </c>
      <c r="G3" s="38" t="s">
        <v>190</v>
      </c>
      <c r="H3" s="38" t="s">
        <v>191</v>
      </c>
      <c r="I3" s="38" t="s">
        <v>192</v>
      </c>
      <c r="J3" s="38" t="s">
        <v>193</v>
      </c>
      <c r="K3" s="38" t="s">
        <v>194</v>
      </c>
      <c r="L3" s="38" t="s">
        <v>195</v>
      </c>
      <c r="M3" s="38" t="s">
        <v>196</v>
      </c>
      <c r="N3" s="38" t="s">
        <v>197</v>
      </c>
      <c r="O3" s="38" t="s">
        <v>198</v>
      </c>
      <c r="P3" s="38" t="s">
        <v>199</v>
      </c>
      <c r="Q3" s="37" t="s">
        <v>200</v>
      </c>
      <c r="R3" s="38" t="s">
        <v>201</v>
      </c>
      <c r="S3" s="38" t="s">
        <v>202</v>
      </c>
      <c r="T3" s="38" t="s">
        <v>203</v>
      </c>
      <c r="U3" s="38" t="s">
        <v>204</v>
      </c>
      <c r="V3" s="38" t="s">
        <v>205</v>
      </c>
      <c r="W3" s="38" t="s">
        <v>206</v>
      </c>
      <c r="X3" s="38" t="s">
        <v>207</v>
      </c>
      <c r="Y3" s="38" t="s">
        <v>208</v>
      </c>
      <c r="Z3" s="38" t="s">
        <v>209</v>
      </c>
      <c r="AA3" s="38" t="s">
        <v>210</v>
      </c>
      <c r="AB3" s="38" t="s">
        <v>211</v>
      </c>
      <c r="AC3" s="38" t="s">
        <v>212</v>
      </c>
      <c r="AD3" s="38" t="s">
        <v>213</v>
      </c>
      <c r="AE3" s="38" t="s">
        <v>214</v>
      </c>
      <c r="AF3" s="38" t="s">
        <v>215</v>
      </c>
      <c r="AG3" s="38" t="s">
        <v>216</v>
      </c>
      <c r="AH3" s="38" t="s">
        <v>217</v>
      </c>
      <c r="AI3" s="38" t="s">
        <v>218</v>
      </c>
      <c r="AJ3" s="38" t="s">
        <v>219</v>
      </c>
      <c r="AK3" s="38" t="s">
        <v>220</v>
      </c>
      <c r="AL3" s="38" t="s">
        <v>221</v>
      </c>
      <c r="AM3" s="38" t="s">
        <v>222</v>
      </c>
      <c r="AN3" s="38" t="s">
        <v>223</v>
      </c>
      <c r="AO3" s="38" t="s">
        <v>224</v>
      </c>
      <c r="AP3" s="38" t="s">
        <v>225</v>
      </c>
      <c r="AQ3" s="38" t="s">
        <v>226</v>
      </c>
      <c r="AR3" s="38" t="s">
        <v>227</v>
      </c>
      <c r="AS3" s="38" t="s">
        <v>228</v>
      </c>
      <c r="AT3" s="38" t="s">
        <v>229</v>
      </c>
      <c r="AU3" s="38" t="s">
        <v>230</v>
      </c>
      <c r="AV3" s="38" t="s">
        <v>231</v>
      </c>
      <c r="AW3" s="38" t="s">
        <v>232</v>
      </c>
      <c r="AX3" s="38" t="s">
        <v>233</v>
      </c>
      <c r="AY3" s="38" t="s">
        <v>234</v>
      </c>
      <c r="AZ3" s="38" t="s">
        <v>235</v>
      </c>
      <c r="BA3" s="38" t="s">
        <v>236</v>
      </c>
      <c r="BB3" s="38" t="s">
        <v>237</v>
      </c>
      <c r="BC3" s="38" t="s">
        <v>238</v>
      </c>
      <c r="BD3" s="38" t="s">
        <v>239</v>
      </c>
      <c r="BE3" s="38" t="s">
        <v>240</v>
      </c>
      <c r="BF3" s="38" t="s">
        <v>241</v>
      </c>
      <c r="BG3" s="38" t="s">
        <v>242</v>
      </c>
      <c r="BH3" s="38" t="s">
        <v>243</v>
      </c>
      <c r="BI3" s="38" t="s">
        <v>244</v>
      </c>
      <c r="BJ3" s="38" t="s">
        <v>245</v>
      </c>
      <c r="BK3" s="38" t="s">
        <v>246</v>
      </c>
      <c r="BL3" s="38" t="s">
        <v>247</v>
      </c>
      <c r="BM3" s="38" t="s">
        <v>248</v>
      </c>
      <c r="BN3" s="38" t="s">
        <v>249</v>
      </c>
      <c r="BO3" s="38" t="s">
        <v>250</v>
      </c>
      <c r="BP3" s="38" t="s">
        <v>251</v>
      </c>
      <c r="BQ3" s="38" t="s">
        <v>252</v>
      </c>
      <c r="BR3" s="38" t="s">
        <v>253</v>
      </c>
      <c r="BS3" s="38" t="s">
        <v>254</v>
      </c>
      <c r="BT3" s="38" t="s">
        <v>255</v>
      </c>
      <c r="BU3" s="38" t="s">
        <v>256</v>
      </c>
      <c r="BV3" s="38" t="s">
        <v>257</v>
      </c>
      <c r="BW3" s="38" t="s">
        <v>258</v>
      </c>
      <c r="BX3" s="38" t="s">
        <v>259</v>
      </c>
      <c r="BY3" s="38" t="s">
        <v>260</v>
      </c>
      <c r="BZ3" s="38" t="s">
        <v>261</v>
      </c>
      <c r="CA3" s="38" t="s">
        <v>262</v>
      </c>
      <c r="CB3" s="39" t="s">
        <v>263</v>
      </c>
      <c r="CC3" s="38" t="s">
        <v>264</v>
      </c>
      <c r="CD3" s="38" t="s">
        <v>265</v>
      </c>
      <c r="CE3" s="38" t="s">
        <v>266</v>
      </c>
      <c r="CF3" s="38" t="s">
        <v>267</v>
      </c>
      <c r="CG3" s="38" t="s">
        <v>268</v>
      </c>
      <c r="CH3" s="38" t="s">
        <v>269</v>
      </c>
      <c r="CI3" s="38" t="s">
        <v>270</v>
      </c>
      <c r="CJ3" s="38" t="s">
        <v>271</v>
      </c>
      <c r="CK3" s="38" t="s">
        <v>272</v>
      </c>
      <c r="CL3" s="38" t="s">
        <v>273</v>
      </c>
      <c r="CM3" s="38" t="s">
        <v>274</v>
      </c>
      <c r="CN3" s="38" t="s">
        <v>275</v>
      </c>
      <c r="CO3" s="38" t="s">
        <v>276</v>
      </c>
      <c r="CP3" s="38" t="s">
        <v>277</v>
      </c>
      <c r="CQ3" s="38" t="s">
        <v>278</v>
      </c>
      <c r="CR3" s="38" t="s">
        <v>279</v>
      </c>
      <c r="CS3" s="38" t="s">
        <v>280</v>
      </c>
      <c r="CT3" s="38" t="s">
        <v>281</v>
      </c>
      <c r="CU3" s="38" t="s">
        <v>282</v>
      </c>
      <c r="CV3" s="38" t="s">
        <v>283</v>
      </c>
      <c r="CW3" s="38" t="s">
        <v>284</v>
      </c>
      <c r="CX3" s="38" t="s">
        <v>285</v>
      </c>
      <c r="CY3" s="38" t="s">
        <v>286</v>
      </c>
      <c r="CZ3" s="38" t="s">
        <v>287</v>
      </c>
      <c r="DA3" s="38" t="s">
        <v>288</v>
      </c>
      <c r="DB3" s="38" t="s">
        <v>289</v>
      </c>
      <c r="DC3" s="38" t="s">
        <v>290</v>
      </c>
      <c r="DD3" s="38" t="s">
        <v>291</v>
      </c>
      <c r="DE3" s="38" t="s">
        <v>292</v>
      </c>
      <c r="DF3" s="38" t="s">
        <v>293</v>
      </c>
      <c r="DG3" s="38" t="s">
        <v>294</v>
      </c>
      <c r="DH3" s="38" t="s">
        <v>295</v>
      </c>
      <c r="DI3" s="38" t="s">
        <v>296</v>
      </c>
      <c r="DJ3" s="38" t="s">
        <v>297</v>
      </c>
      <c r="DK3" s="38" t="s">
        <v>298</v>
      </c>
      <c r="DL3" s="38" t="s">
        <v>299</v>
      </c>
      <c r="DM3" s="38" t="s">
        <v>300</v>
      </c>
      <c r="DN3" s="38" t="s">
        <v>301</v>
      </c>
      <c r="DO3" s="38" t="s">
        <v>302</v>
      </c>
      <c r="DP3" s="38" t="s">
        <v>303</v>
      </c>
      <c r="DQ3" s="38" t="s">
        <v>304</v>
      </c>
      <c r="DR3" s="38" t="s">
        <v>305</v>
      </c>
      <c r="DS3" s="38" t="s">
        <v>306</v>
      </c>
      <c r="DT3" s="40" t="s">
        <v>307</v>
      </c>
      <c r="DU3" s="38" t="s">
        <v>308</v>
      </c>
      <c r="DV3" s="38" t="s">
        <v>309</v>
      </c>
      <c r="DW3" s="38" t="s">
        <v>310</v>
      </c>
      <c r="DX3" s="38" t="s">
        <v>311</v>
      </c>
      <c r="DY3" s="38" t="s">
        <v>312</v>
      </c>
      <c r="DZ3" s="38" t="s">
        <v>313</v>
      </c>
      <c r="EA3" s="38" t="s">
        <v>314</v>
      </c>
      <c r="EB3" s="38" t="s">
        <v>315</v>
      </c>
      <c r="EC3" s="38" t="s">
        <v>316</v>
      </c>
      <c r="ED3" s="38" t="s">
        <v>317</v>
      </c>
      <c r="EE3" s="38" t="s">
        <v>318</v>
      </c>
      <c r="EF3" s="38" t="s">
        <v>319</v>
      </c>
      <c r="EG3" s="38" t="s">
        <v>320</v>
      </c>
      <c r="EH3" s="38" t="s">
        <v>321</v>
      </c>
      <c r="EI3" s="38" t="s">
        <v>322</v>
      </c>
      <c r="EJ3" s="38" t="s">
        <v>323</v>
      </c>
      <c r="EK3" s="38" t="s">
        <v>324</v>
      </c>
      <c r="EL3" s="38" t="s">
        <v>325</v>
      </c>
      <c r="EM3" s="38" t="s">
        <v>326</v>
      </c>
      <c r="EN3" s="38" t="s">
        <v>327</v>
      </c>
      <c r="EO3" s="38" t="s">
        <v>328</v>
      </c>
      <c r="EP3" s="38" t="s">
        <v>329</v>
      </c>
      <c r="EQ3" s="38" t="s">
        <v>330</v>
      </c>
      <c r="ER3" s="38" t="s">
        <v>331</v>
      </c>
      <c r="ES3" s="38" t="s">
        <v>332</v>
      </c>
      <c r="ET3" s="38" t="s">
        <v>333</v>
      </c>
      <c r="EU3" s="38" t="s">
        <v>334</v>
      </c>
      <c r="EV3" s="38" t="s">
        <v>335</v>
      </c>
      <c r="EW3" s="38" t="s">
        <v>336</v>
      </c>
      <c r="EX3" s="38" t="s">
        <v>337</v>
      </c>
      <c r="EY3" s="38" t="s">
        <v>338</v>
      </c>
      <c r="EZ3" s="38" t="s">
        <v>339</v>
      </c>
      <c r="FA3" s="38" t="s">
        <v>340</v>
      </c>
      <c r="FB3" s="38" t="s">
        <v>341</v>
      </c>
      <c r="FC3" s="38" t="s">
        <v>342</v>
      </c>
      <c r="FD3" s="38" t="s">
        <v>343</v>
      </c>
      <c r="FE3" s="38" t="s">
        <v>344</v>
      </c>
      <c r="FF3" s="38" t="s">
        <v>345</v>
      </c>
      <c r="FG3" s="38" t="s">
        <v>346</v>
      </c>
      <c r="FH3" s="38" t="s">
        <v>347</v>
      </c>
      <c r="FI3" s="38" t="s">
        <v>348</v>
      </c>
      <c r="FJ3" s="38" t="s">
        <v>349</v>
      </c>
      <c r="FK3" s="38" t="s">
        <v>350</v>
      </c>
      <c r="FL3" s="38" t="s">
        <v>351</v>
      </c>
      <c r="FM3" s="38" t="s">
        <v>352</v>
      </c>
      <c r="FN3" s="38" t="s">
        <v>353</v>
      </c>
      <c r="FO3" s="38" t="s">
        <v>354</v>
      </c>
      <c r="FP3" s="38" t="s">
        <v>355</v>
      </c>
      <c r="FQ3" s="38" t="s">
        <v>356</v>
      </c>
      <c r="FR3" s="38" t="s">
        <v>357</v>
      </c>
      <c r="FS3" s="38" t="s">
        <v>358</v>
      </c>
      <c r="FT3" s="38" t="s">
        <v>359</v>
      </c>
      <c r="FU3" s="38" t="s">
        <v>360</v>
      </c>
      <c r="FV3" s="38" t="s">
        <v>361</v>
      </c>
      <c r="FW3" s="38" t="s">
        <v>362</v>
      </c>
      <c r="FX3" s="38" t="s">
        <v>363</v>
      </c>
      <c r="FY3" s="38" t="s">
        <v>364</v>
      </c>
      <c r="FZ3" s="38" t="s">
        <v>365</v>
      </c>
      <c r="GA3" s="38" t="s">
        <v>366</v>
      </c>
      <c r="GB3" s="38" t="s">
        <v>367</v>
      </c>
      <c r="GC3" s="38" t="s">
        <v>368</v>
      </c>
      <c r="GD3" s="38" t="s">
        <v>369</v>
      </c>
      <c r="GE3" s="38" t="s">
        <v>370</v>
      </c>
      <c r="GF3" s="38" t="s">
        <v>371</v>
      </c>
      <c r="GG3" s="38" t="s">
        <v>372</v>
      </c>
      <c r="GH3" s="38" t="s">
        <v>373</v>
      </c>
      <c r="GI3" s="38" t="s">
        <v>374</v>
      </c>
      <c r="GJ3" s="38" t="s">
        <v>375</v>
      </c>
      <c r="GK3" s="38" t="s">
        <v>376</v>
      </c>
      <c r="GL3" s="38" t="s">
        <v>377</v>
      </c>
      <c r="GM3" s="38" t="s">
        <v>378</v>
      </c>
      <c r="GN3" s="38" t="s">
        <v>379</v>
      </c>
      <c r="GO3" s="38" t="s">
        <v>380</v>
      </c>
      <c r="GP3" s="38" t="s">
        <v>381</v>
      </c>
      <c r="GQ3" s="38" t="s">
        <v>382</v>
      </c>
      <c r="GR3" s="38" t="s">
        <v>383</v>
      </c>
      <c r="GS3" s="38" t="s">
        <v>384</v>
      </c>
      <c r="GT3" s="38" t="s">
        <v>385</v>
      </c>
      <c r="GU3" s="38" t="s">
        <v>386</v>
      </c>
      <c r="GV3" s="38" t="s">
        <v>387</v>
      </c>
      <c r="GW3" s="38" t="s">
        <v>388</v>
      </c>
      <c r="GX3" s="38" t="s">
        <v>389</v>
      </c>
      <c r="GY3" s="38" t="s">
        <v>390</v>
      </c>
      <c r="GZ3" s="38" t="s">
        <v>391</v>
      </c>
      <c r="HA3" s="38" t="s">
        <v>392</v>
      </c>
      <c r="HB3" s="38" t="s">
        <v>393</v>
      </c>
      <c r="HC3" s="38" t="s">
        <v>394</v>
      </c>
      <c r="HD3" s="38" t="s">
        <v>395</v>
      </c>
      <c r="HE3" s="38" t="s">
        <v>396</v>
      </c>
      <c r="HF3" s="38" t="s">
        <v>397</v>
      </c>
      <c r="HG3" s="38" t="s">
        <v>398</v>
      </c>
      <c r="HH3" s="38" t="s">
        <v>399</v>
      </c>
      <c r="HI3" s="38" t="s">
        <v>400</v>
      </c>
      <c r="HJ3" s="38" t="s">
        <v>401</v>
      </c>
      <c r="HK3" s="38" t="s">
        <v>402</v>
      </c>
      <c r="HL3" s="38" t="s">
        <v>403</v>
      </c>
      <c r="HM3" s="38" t="s">
        <v>404</v>
      </c>
      <c r="HN3" s="38" t="s">
        <v>405</v>
      </c>
      <c r="HO3" s="38" t="s">
        <v>406</v>
      </c>
      <c r="HP3" s="38" t="s">
        <v>407</v>
      </c>
      <c r="HQ3" s="38" t="s">
        <v>408</v>
      </c>
      <c r="HR3" s="38" t="s">
        <v>409</v>
      </c>
      <c r="HS3" s="38" t="s">
        <v>410</v>
      </c>
      <c r="HT3" s="38" t="s">
        <v>411</v>
      </c>
      <c r="HU3" s="38" t="s">
        <v>412</v>
      </c>
      <c r="HV3" s="38" t="s">
        <v>413</v>
      </c>
      <c r="HW3" s="38" t="s">
        <v>414</v>
      </c>
      <c r="HX3" s="38" t="s">
        <v>415</v>
      </c>
      <c r="HY3" s="38" t="s">
        <v>416</v>
      </c>
      <c r="HZ3" s="38" t="s">
        <v>417</v>
      </c>
      <c r="IA3" s="38" t="s">
        <v>418</v>
      </c>
      <c r="IB3" s="38" t="s">
        <v>419</v>
      </c>
      <c r="IC3" s="38" t="s">
        <v>420</v>
      </c>
      <c r="ID3" s="38" t="s">
        <v>421</v>
      </c>
      <c r="IE3" s="38" t="s">
        <v>422</v>
      </c>
      <c r="IF3" s="38" t="s">
        <v>423</v>
      </c>
      <c r="IG3" s="38" t="s">
        <v>424</v>
      </c>
      <c r="IH3" s="38" t="s">
        <v>425</v>
      </c>
      <c r="II3" s="38" t="s">
        <v>426</v>
      </c>
      <c r="IJ3" s="38" t="s">
        <v>427</v>
      </c>
      <c r="IK3" s="38" t="s">
        <v>428</v>
      </c>
      <c r="IL3" s="38" t="s">
        <v>429</v>
      </c>
      <c r="IM3" s="38" t="s">
        <v>430</v>
      </c>
      <c r="IN3" s="38" t="s">
        <v>431</v>
      </c>
      <c r="IO3" s="38" t="s">
        <v>432</v>
      </c>
      <c r="IP3" s="38" t="s">
        <v>433</v>
      </c>
      <c r="IQ3" s="38" t="s">
        <v>434</v>
      </c>
      <c r="IR3" s="38" t="s">
        <v>435</v>
      </c>
      <c r="IS3" s="38" t="s">
        <v>436</v>
      </c>
      <c r="IT3" s="38" t="s">
        <v>437</v>
      </c>
      <c r="IU3" s="38" t="s">
        <v>438</v>
      </c>
      <c r="IV3" s="38" t="s">
        <v>439</v>
      </c>
      <c r="IW3" s="38" t="s">
        <v>440</v>
      </c>
      <c r="IX3" s="38" t="s">
        <v>441</v>
      </c>
      <c r="IY3" s="38" t="s">
        <v>442</v>
      </c>
      <c r="IZ3" s="38" t="s">
        <v>443</v>
      </c>
      <c r="JA3" s="38" t="s">
        <v>444</v>
      </c>
      <c r="JB3" s="38" t="s">
        <v>445</v>
      </c>
      <c r="JC3" s="38" t="s">
        <v>446</v>
      </c>
      <c r="JD3" s="38" t="s">
        <v>447</v>
      </c>
      <c r="JE3" s="38" t="s">
        <v>448</v>
      </c>
      <c r="JF3" s="38" t="s">
        <v>449</v>
      </c>
      <c r="JG3" s="38" t="s">
        <v>450</v>
      </c>
      <c r="JH3" s="38" t="s">
        <v>451</v>
      </c>
      <c r="JI3" s="38" t="s">
        <v>452</v>
      </c>
      <c r="JJ3" s="38" t="s">
        <v>453</v>
      </c>
      <c r="JK3" s="38" t="s">
        <v>454</v>
      </c>
      <c r="JL3" s="38" t="s">
        <v>455</v>
      </c>
      <c r="JM3" s="38" t="s">
        <v>456</v>
      </c>
      <c r="JN3" s="38" t="s">
        <v>457</v>
      </c>
      <c r="JO3" s="38" t="s">
        <v>458</v>
      </c>
      <c r="JP3" s="38" t="s">
        <v>459</v>
      </c>
      <c r="JQ3" s="38" t="s">
        <v>460</v>
      </c>
      <c r="JR3" s="38" t="s">
        <v>461</v>
      </c>
      <c r="JS3" s="38" t="s">
        <v>462</v>
      </c>
      <c r="JT3" s="38" t="s">
        <v>463</v>
      </c>
      <c r="JU3" s="38" t="s">
        <v>464</v>
      </c>
      <c r="JV3" s="38" t="s">
        <v>465</v>
      </c>
      <c r="JW3" s="38" t="s">
        <v>466</v>
      </c>
      <c r="JX3" s="38" t="s">
        <v>467</v>
      </c>
      <c r="JY3" s="38" t="s">
        <v>468</v>
      </c>
      <c r="JZ3" s="38" t="s">
        <v>469</v>
      </c>
      <c r="KA3" s="38" t="s">
        <v>470</v>
      </c>
      <c r="KB3" s="38" t="s">
        <v>471</v>
      </c>
      <c r="KC3" s="38" t="s">
        <v>472</v>
      </c>
      <c r="KD3" s="38" t="s">
        <v>473</v>
      </c>
      <c r="KE3" s="38" t="s">
        <v>474</v>
      </c>
      <c r="KF3" s="38" t="s">
        <v>475</v>
      </c>
    </row>
    <row r="4" spans="1:293" s="45" customFormat="1" ht="91">
      <c r="A4" s="42" t="s">
        <v>476</v>
      </c>
      <c r="B4" s="99" t="s">
        <v>477</v>
      </c>
      <c r="C4" s="99"/>
      <c r="D4" s="43" t="s">
        <v>478</v>
      </c>
      <c r="E4" s="43" t="s">
        <v>479</v>
      </c>
      <c r="F4" s="43" t="s">
        <v>480</v>
      </c>
      <c r="G4" s="43" t="s">
        <v>481</v>
      </c>
      <c r="H4" s="43" t="s">
        <v>482</v>
      </c>
      <c r="I4" s="43" t="s">
        <v>483</v>
      </c>
      <c r="J4" s="43" t="s">
        <v>484</v>
      </c>
      <c r="K4" s="43" t="s">
        <v>485</v>
      </c>
      <c r="L4" s="43" t="s">
        <v>486</v>
      </c>
      <c r="M4" s="43" t="s">
        <v>487</v>
      </c>
      <c r="N4" s="43" t="s">
        <v>488</v>
      </c>
      <c r="O4" s="43" t="s">
        <v>489</v>
      </c>
      <c r="P4" s="43" t="s">
        <v>490</v>
      </c>
      <c r="Q4" s="43" t="s">
        <v>491</v>
      </c>
      <c r="R4" s="43" t="s">
        <v>492</v>
      </c>
      <c r="S4" s="43" t="s">
        <v>493</v>
      </c>
      <c r="T4" s="43" t="s">
        <v>494</v>
      </c>
      <c r="U4" s="43" t="s">
        <v>495</v>
      </c>
      <c r="V4" s="43" t="s">
        <v>496</v>
      </c>
      <c r="W4" s="43" t="s">
        <v>497</v>
      </c>
      <c r="X4" s="43" t="s">
        <v>498</v>
      </c>
      <c r="Y4" s="43" t="s">
        <v>499</v>
      </c>
      <c r="Z4" s="43" t="s">
        <v>500</v>
      </c>
      <c r="AA4" s="43" t="s">
        <v>501</v>
      </c>
      <c r="AB4" s="43" t="s">
        <v>502</v>
      </c>
      <c r="AC4" s="43" t="s">
        <v>503</v>
      </c>
      <c r="AD4" s="43" t="s">
        <v>504</v>
      </c>
      <c r="AE4" s="43" t="s">
        <v>505</v>
      </c>
      <c r="AF4" s="43" t="s">
        <v>506</v>
      </c>
      <c r="AG4" s="43" t="s">
        <v>507</v>
      </c>
      <c r="AH4" s="43" t="s">
        <v>508</v>
      </c>
      <c r="AI4" s="43" t="s">
        <v>509</v>
      </c>
      <c r="AJ4" s="43" t="s">
        <v>510</v>
      </c>
      <c r="AK4" s="43" t="s">
        <v>511</v>
      </c>
      <c r="AL4" s="43" t="s">
        <v>512</v>
      </c>
      <c r="AM4" s="43" t="s">
        <v>513</v>
      </c>
      <c r="AN4" s="43" t="s">
        <v>514</v>
      </c>
      <c r="AO4" s="43" t="s">
        <v>515</v>
      </c>
      <c r="AP4" s="43" t="s">
        <v>516</v>
      </c>
      <c r="AQ4" s="43" t="s">
        <v>517</v>
      </c>
      <c r="AR4" s="43" t="s">
        <v>518</v>
      </c>
      <c r="AS4" s="43" t="s">
        <v>519</v>
      </c>
      <c r="AT4" s="43" t="s">
        <v>520</v>
      </c>
      <c r="AU4" s="43" t="s">
        <v>521</v>
      </c>
      <c r="AV4" s="43" t="s">
        <v>522</v>
      </c>
      <c r="AW4" s="43" t="s">
        <v>523</v>
      </c>
      <c r="AX4" s="43" t="s">
        <v>524</v>
      </c>
      <c r="AY4" s="43" t="s">
        <v>525</v>
      </c>
      <c r="AZ4" s="43" t="s">
        <v>526</v>
      </c>
      <c r="BA4" s="43" t="s">
        <v>527</v>
      </c>
      <c r="BB4" s="43" t="s">
        <v>528</v>
      </c>
      <c r="BC4" s="43" t="s">
        <v>529</v>
      </c>
      <c r="BD4" s="43" t="s">
        <v>530</v>
      </c>
      <c r="BE4" s="43" t="s">
        <v>531</v>
      </c>
      <c r="BF4" s="43" t="s">
        <v>532</v>
      </c>
      <c r="BG4" s="43" t="s">
        <v>533</v>
      </c>
      <c r="BH4" s="43" t="s">
        <v>534</v>
      </c>
      <c r="BI4" s="43" t="s">
        <v>535</v>
      </c>
      <c r="BJ4" s="43" t="s">
        <v>536</v>
      </c>
      <c r="BK4" s="43" t="s">
        <v>537</v>
      </c>
      <c r="BL4" s="43" t="s">
        <v>538</v>
      </c>
      <c r="BM4" s="43" t="s">
        <v>539</v>
      </c>
      <c r="BN4" s="43" t="s">
        <v>540</v>
      </c>
      <c r="BO4" s="43" t="s">
        <v>541</v>
      </c>
      <c r="BP4" s="43" t="s">
        <v>542</v>
      </c>
      <c r="BQ4" s="43" t="s">
        <v>543</v>
      </c>
      <c r="BR4" s="43" t="s">
        <v>544</v>
      </c>
      <c r="BS4" s="43" t="s">
        <v>545</v>
      </c>
      <c r="BT4" s="43" t="s">
        <v>546</v>
      </c>
      <c r="BU4" s="43" t="s">
        <v>547</v>
      </c>
      <c r="BV4" s="43" t="s">
        <v>494</v>
      </c>
      <c r="BW4" s="43" t="s">
        <v>548</v>
      </c>
      <c r="BX4" s="43" t="s">
        <v>549</v>
      </c>
      <c r="BY4" s="43" t="s">
        <v>550</v>
      </c>
      <c r="BZ4" s="43" t="s">
        <v>551</v>
      </c>
      <c r="CA4" s="43" t="s">
        <v>552</v>
      </c>
      <c r="CB4" s="44" t="s">
        <v>553</v>
      </c>
      <c r="CC4" s="43" t="s">
        <v>554</v>
      </c>
      <c r="CD4" s="43" t="s">
        <v>555</v>
      </c>
      <c r="CE4" s="43" t="s">
        <v>556</v>
      </c>
      <c r="CF4" s="43" t="s">
        <v>557</v>
      </c>
      <c r="CG4" s="43" t="s">
        <v>558</v>
      </c>
      <c r="CH4" s="43" t="s">
        <v>559</v>
      </c>
      <c r="CI4" s="43" t="s">
        <v>560</v>
      </c>
      <c r="CJ4" s="43" t="s">
        <v>502</v>
      </c>
      <c r="CK4" s="43" t="s">
        <v>561</v>
      </c>
      <c r="CL4" s="43" t="s">
        <v>562</v>
      </c>
      <c r="CM4" s="43" t="s">
        <v>563</v>
      </c>
      <c r="CN4" s="43" t="s">
        <v>504</v>
      </c>
      <c r="CO4" s="43" t="s">
        <v>564</v>
      </c>
      <c r="CP4" s="43" t="s">
        <v>565</v>
      </c>
      <c r="CQ4" s="43" t="s">
        <v>566</v>
      </c>
      <c r="CR4" s="43" t="s">
        <v>567</v>
      </c>
      <c r="CS4" s="43" t="s">
        <v>568</v>
      </c>
      <c r="CT4" s="43" t="s">
        <v>569</v>
      </c>
      <c r="CU4" s="43" t="s">
        <v>570</v>
      </c>
      <c r="CV4" s="43" t="s">
        <v>571</v>
      </c>
      <c r="CW4" s="43" t="s">
        <v>572</v>
      </c>
      <c r="CX4" s="43" t="s">
        <v>573</v>
      </c>
      <c r="CY4" s="43" t="s">
        <v>574</v>
      </c>
      <c r="CZ4" s="43" t="s">
        <v>575</v>
      </c>
      <c r="DA4" s="43" t="s">
        <v>576</v>
      </c>
      <c r="DB4" s="43" t="s">
        <v>577</v>
      </c>
      <c r="DC4" s="43" t="s">
        <v>578</v>
      </c>
      <c r="DD4" s="43" t="s">
        <v>579</v>
      </c>
      <c r="DE4" s="43" t="s">
        <v>580</v>
      </c>
      <c r="DF4" s="43" t="s">
        <v>581</v>
      </c>
      <c r="DG4" s="43" t="s">
        <v>582</v>
      </c>
      <c r="DH4" s="43" t="s">
        <v>583</v>
      </c>
      <c r="DI4" s="43" t="s">
        <v>584</v>
      </c>
      <c r="DJ4" s="43" t="s">
        <v>585</v>
      </c>
      <c r="DK4" s="43" t="s">
        <v>513</v>
      </c>
      <c r="DL4" s="43" t="s">
        <v>514</v>
      </c>
      <c r="DM4" s="43" t="s">
        <v>515</v>
      </c>
      <c r="DN4" s="43" t="s">
        <v>586</v>
      </c>
      <c r="DO4" s="43" t="s">
        <v>587</v>
      </c>
      <c r="DP4" s="43" t="s">
        <v>588</v>
      </c>
      <c r="DQ4" s="43" t="s">
        <v>589</v>
      </c>
      <c r="DR4" s="43" t="s">
        <v>590</v>
      </c>
      <c r="DS4" s="43" t="s">
        <v>591</v>
      </c>
      <c r="DT4" s="43" t="s">
        <v>592</v>
      </c>
      <c r="DU4" s="43" t="s">
        <v>593</v>
      </c>
      <c r="DV4" s="43" t="s">
        <v>594</v>
      </c>
      <c r="DW4" s="43" t="s">
        <v>595</v>
      </c>
      <c r="DX4" s="43" t="s">
        <v>596</v>
      </c>
      <c r="DY4" s="43" t="s">
        <v>597</v>
      </c>
      <c r="DZ4" s="43" t="s">
        <v>598</v>
      </c>
      <c r="EA4" s="43" t="s">
        <v>599</v>
      </c>
      <c r="EB4" s="43" t="s">
        <v>521</v>
      </c>
      <c r="EC4" s="43" t="s">
        <v>522</v>
      </c>
      <c r="ED4" s="43" t="s">
        <v>523</v>
      </c>
      <c r="EE4" s="43" t="s">
        <v>524</v>
      </c>
      <c r="EF4" s="43" t="s">
        <v>525</v>
      </c>
      <c r="EG4" s="43" t="s">
        <v>600</v>
      </c>
      <c r="EH4" s="43" t="s">
        <v>527</v>
      </c>
      <c r="EI4" s="43" t="s">
        <v>601</v>
      </c>
      <c r="EJ4" s="43" t="s">
        <v>602</v>
      </c>
      <c r="EK4" s="43" t="s">
        <v>603</v>
      </c>
      <c r="EL4" s="43" t="s">
        <v>604</v>
      </c>
      <c r="EM4" s="43" t="s">
        <v>605</v>
      </c>
      <c r="EN4" s="43" t="s">
        <v>530</v>
      </c>
      <c r="EO4" s="43" t="s">
        <v>606</v>
      </c>
      <c r="EP4" s="43" t="s">
        <v>607</v>
      </c>
      <c r="EQ4" s="43" t="s">
        <v>608</v>
      </c>
      <c r="ER4" s="43" t="s">
        <v>609</v>
      </c>
      <c r="ES4" s="43" t="s">
        <v>533</v>
      </c>
      <c r="ET4" s="43" t="s">
        <v>610</v>
      </c>
      <c r="EU4" s="43" t="s">
        <v>611</v>
      </c>
      <c r="EV4" s="43" t="s">
        <v>612</v>
      </c>
      <c r="EW4" s="43" t="s">
        <v>613</v>
      </c>
      <c r="EX4" s="43" t="s">
        <v>614</v>
      </c>
      <c r="EY4" s="43" t="s">
        <v>615</v>
      </c>
      <c r="EZ4" s="43" t="s">
        <v>616</v>
      </c>
      <c r="FA4" s="43" t="s">
        <v>617</v>
      </c>
      <c r="FB4" s="43" t="s">
        <v>618</v>
      </c>
      <c r="FC4" s="43" t="s">
        <v>619</v>
      </c>
      <c r="FD4" s="43" t="s">
        <v>620</v>
      </c>
      <c r="FE4" s="43" t="s">
        <v>621</v>
      </c>
      <c r="FF4" s="43" t="s">
        <v>622</v>
      </c>
      <c r="FG4" s="43" t="s">
        <v>623</v>
      </c>
      <c r="FH4" s="43" t="s">
        <v>624</v>
      </c>
      <c r="FI4" s="43" t="s">
        <v>625</v>
      </c>
      <c r="FJ4" s="43" t="s">
        <v>626</v>
      </c>
      <c r="FK4" s="43" t="s">
        <v>627</v>
      </c>
      <c r="FL4" s="43" t="s">
        <v>628</v>
      </c>
      <c r="FM4" s="43" t="s">
        <v>629</v>
      </c>
      <c r="FN4" s="43" t="s">
        <v>630</v>
      </c>
      <c r="FO4" s="43" t="s">
        <v>631</v>
      </c>
      <c r="FP4" s="43" t="s">
        <v>632</v>
      </c>
      <c r="FQ4" s="43" t="s">
        <v>633</v>
      </c>
      <c r="FR4" s="43" t="s">
        <v>634</v>
      </c>
      <c r="FS4" s="43" t="s">
        <v>635</v>
      </c>
      <c r="FT4" s="43" t="s">
        <v>636</v>
      </c>
      <c r="FU4" s="43" t="s">
        <v>637</v>
      </c>
      <c r="FV4" s="43" t="s">
        <v>638</v>
      </c>
      <c r="FW4" s="43" t="s">
        <v>639</v>
      </c>
      <c r="FX4" s="43" t="s">
        <v>640</v>
      </c>
      <c r="FY4" s="43" t="s">
        <v>641</v>
      </c>
      <c r="FZ4" s="43" t="s">
        <v>642</v>
      </c>
      <c r="GA4" s="43" t="s">
        <v>643</v>
      </c>
      <c r="GB4" s="43" t="s">
        <v>644</v>
      </c>
      <c r="GC4" s="43" t="s">
        <v>645</v>
      </c>
      <c r="GD4" s="43" t="s">
        <v>646</v>
      </c>
      <c r="GE4" s="43" t="s">
        <v>647</v>
      </c>
      <c r="GF4" s="43" t="s">
        <v>546</v>
      </c>
      <c r="GG4" s="43" t="s">
        <v>547</v>
      </c>
      <c r="GH4" s="43" t="s">
        <v>648</v>
      </c>
      <c r="GI4" s="43" t="s">
        <v>649</v>
      </c>
      <c r="GJ4" s="43" t="s">
        <v>650</v>
      </c>
      <c r="GK4" s="43" t="s">
        <v>651</v>
      </c>
      <c r="GL4" s="43" t="s">
        <v>652</v>
      </c>
      <c r="GM4" s="43" t="s">
        <v>653</v>
      </c>
      <c r="GN4" s="43" t="s">
        <v>654</v>
      </c>
      <c r="GO4" s="43" t="s">
        <v>655</v>
      </c>
      <c r="GP4" s="43" t="s">
        <v>656</v>
      </c>
      <c r="GQ4" s="43" t="s">
        <v>657</v>
      </c>
      <c r="GR4" s="43" t="s">
        <v>658</v>
      </c>
      <c r="GS4" s="43" t="s">
        <v>497</v>
      </c>
      <c r="GT4" s="43" t="s">
        <v>554</v>
      </c>
      <c r="GU4" s="43" t="s">
        <v>555</v>
      </c>
      <c r="GV4" s="43" t="s">
        <v>556</v>
      </c>
      <c r="GW4" s="43" t="s">
        <v>659</v>
      </c>
      <c r="GX4" s="43" t="s">
        <v>660</v>
      </c>
      <c r="GY4" s="43" t="s">
        <v>661</v>
      </c>
      <c r="GZ4" s="43" t="s">
        <v>662</v>
      </c>
      <c r="HA4" s="43" t="s">
        <v>663</v>
      </c>
      <c r="HB4" s="43" t="s">
        <v>664</v>
      </c>
      <c r="HC4" s="43" t="s">
        <v>665</v>
      </c>
      <c r="HD4" s="43" t="s">
        <v>666</v>
      </c>
      <c r="HE4" s="43" t="s">
        <v>667</v>
      </c>
      <c r="HF4" s="43" t="s">
        <v>668</v>
      </c>
      <c r="HG4" s="43" t="s">
        <v>669</v>
      </c>
      <c r="HH4" s="43" t="s">
        <v>670</v>
      </c>
      <c r="HI4" s="43" t="s">
        <v>671</v>
      </c>
      <c r="HJ4" s="43" t="s">
        <v>562</v>
      </c>
      <c r="HK4" s="43" t="s">
        <v>563</v>
      </c>
      <c r="HL4" s="43" t="s">
        <v>672</v>
      </c>
      <c r="HM4" s="43" t="s">
        <v>673</v>
      </c>
      <c r="HN4" s="43" t="s">
        <v>674</v>
      </c>
      <c r="HO4" s="43" t="s">
        <v>675</v>
      </c>
      <c r="HP4" s="43" t="s">
        <v>676</v>
      </c>
      <c r="HQ4" s="43" t="s">
        <v>677</v>
      </c>
      <c r="HR4" s="43" t="s">
        <v>678</v>
      </c>
      <c r="HS4" s="43" t="s">
        <v>679</v>
      </c>
      <c r="HT4" s="43" t="s">
        <v>680</v>
      </c>
      <c r="HU4" s="43" t="s">
        <v>567</v>
      </c>
      <c r="HV4" s="43" t="s">
        <v>681</v>
      </c>
      <c r="HW4" s="43" t="s">
        <v>682</v>
      </c>
      <c r="HX4" s="43" t="s">
        <v>683</v>
      </c>
      <c r="HY4" s="43" t="s">
        <v>684</v>
      </c>
      <c r="HZ4" s="43" t="s">
        <v>685</v>
      </c>
      <c r="IA4" s="43" t="s">
        <v>686</v>
      </c>
      <c r="IB4" s="43" t="s">
        <v>687</v>
      </c>
      <c r="IC4" s="43" t="s">
        <v>688</v>
      </c>
      <c r="ID4" s="43" t="s">
        <v>689</v>
      </c>
      <c r="IE4" s="43" t="s">
        <v>575</v>
      </c>
      <c r="IF4" s="43" t="s">
        <v>576</v>
      </c>
      <c r="IG4" s="43" t="s">
        <v>577</v>
      </c>
      <c r="IH4" s="43" t="s">
        <v>690</v>
      </c>
      <c r="II4" s="43" t="s">
        <v>579</v>
      </c>
      <c r="IJ4" s="43" t="s">
        <v>691</v>
      </c>
      <c r="IK4" s="43" t="s">
        <v>692</v>
      </c>
      <c r="IL4" s="43" t="s">
        <v>693</v>
      </c>
      <c r="IM4" s="43" t="s">
        <v>694</v>
      </c>
      <c r="IN4" s="43" t="s">
        <v>695</v>
      </c>
      <c r="IO4" s="43" t="s">
        <v>696</v>
      </c>
      <c r="IP4" s="43" t="s">
        <v>583</v>
      </c>
      <c r="IQ4" s="43" t="s">
        <v>697</v>
      </c>
      <c r="IR4" s="43" t="s">
        <v>698</v>
      </c>
      <c r="IS4" s="43" t="s">
        <v>513</v>
      </c>
      <c r="IT4" s="43" t="s">
        <v>699</v>
      </c>
      <c r="IU4" s="43" t="s">
        <v>700</v>
      </c>
      <c r="IV4" s="43" t="s">
        <v>701</v>
      </c>
      <c r="IW4" s="43" t="s">
        <v>702</v>
      </c>
      <c r="IX4" s="43" t="s">
        <v>703</v>
      </c>
      <c r="IY4" s="43" t="s">
        <v>704</v>
      </c>
      <c r="IZ4" s="43" t="s">
        <v>590</v>
      </c>
      <c r="JA4" s="43" t="s">
        <v>591</v>
      </c>
      <c r="JB4" s="43" t="s">
        <v>705</v>
      </c>
      <c r="JC4" s="43" t="s">
        <v>593</v>
      </c>
      <c r="JD4" s="43" t="s">
        <v>594</v>
      </c>
      <c r="JE4" s="43" t="s">
        <v>706</v>
      </c>
      <c r="JF4" s="43" t="s">
        <v>707</v>
      </c>
      <c r="JG4" s="43" t="s">
        <v>596</v>
      </c>
      <c r="JH4" s="43" t="s">
        <v>597</v>
      </c>
      <c r="JI4" s="43" t="s">
        <v>598</v>
      </c>
      <c r="JJ4" s="43" t="s">
        <v>708</v>
      </c>
      <c r="JK4" s="43" t="s">
        <v>521</v>
      </c>
      <c r="JL4" s="43" t="s">
        <v>522</v>
      </c>
      <c r="JM4" s="43" t="s">
        <v>523</v>
      </c>
      <c r="JN4" s="43" t="s">
        <v>524</v>
      </c>
      <c r="JO4" s="43" t="s">
        <v>709</v>
      </c>
      <c r="JP4" s="43" t="s">
        <v>710</v>
      </c>
      <c r="JQ4" s="43" t="s">
        <v>711</v>
      </c>
      <c r="JR4" s="43" t="s">
        <v>712</v>
      </c>
      <c r="JS4" s="43" t="s">
        <v>713</v>
      </c>
      <c r="JT4" s="43" t="s">
        <v>714</v>
      </c>
      <c r="JU4" s="43" t="s">
        <v>715</v>
      </c>
      <c r="JV4" s="43" t="s">
        <v>602</v>
      </c>
      <c r="JW4" s="43" t="s">
        <v>716</v>
      </c>
      <c r="JX4" s="43" t="s">
        <v>717</v>
      </c>
      <c r="JY4" s="43" t="s">
        <v>718</v>
      </c>
      <c r="JZ4" s="43" t="s">
        <v>719</v>
      </c>
      <c r="KA4" s="43" t="s">
        <v>720</v>
      </c>
      <c r="KB4" s="43" t="s">
        <v>606</v>
      </c>
      <c r="KC4" s="43" t="s">
        <v>607</v>
      </c>
      <c r="KD4" s="43" t="s">
        <v>608</v>
      </c>
      <c r="KE4" s="43" t="s">
        <v>721</v>
      </c>
      <c r="KF4" s="43" t="s">
        <v>722</v>
      </c>
    </row>
    <row r="5" spans="1:293" s="45" customFormat="1" ht="79" thickBot="1">
      <c r="A5" s="46" t="s">
        <v>723</v>
      </c>
      <c r="B5" s="100" t="s">
        <v>724</v>
      </c>
      <c r="C5" s="100"/>
      <c r="D5" s="47" t="s">
        <v>725</v>
      </c>
      <c r="E5" s="47" t="s">
        <v>726</v>
      </c>
      <c r="F5" s="47" t="s">
        <v>727</v>
      </c>
      <c r="G5" s="47" t="s">
        <v>728</v>
      </c>
      <c r="H5" s="47" t="s">
        <v>729</v>
      </c>
      <c r="I5" s="47" t="s">
        <v>730</v>
      </c>
      <c r="J5" s="47" t="s">
        <v>731</v>
      </c>
      <c r="K5" s="47" t="s">
        <v>732</v>
      </c>
      <c r="L5" s="47" t="s">
        <v>733</v>
      </c>
      <c r="M5" s="47" t="s">
        <v>734</v>
      </c>
      <c r="N5" s="47" t="s">
        <v>735</v>
      </c>
      <c r="O5" s="47" t="s">
        <v>736</v>
      </c>
      <c r="P5" s="47" t="s">
        <v>737</v>
      </c>
      <c r="Q5" s="47" t="s">
        <v>738</v>
      </c>
      <c r="R5" s="47" t="s">
        <v>739</v>
      </c>
      <c r="S5" s="47" t="s">
        <v>740</v>
      </c>
      <c r="T5" s="47" t="s">
        <v>741</v>
      </c>
      <c r="U5" s="47" t="s">
        <v>742</v>
      </c>
      <c r="V5" s="47" t="s">
        <v>743</v>
      </c>
      <c r="W5" s="47" t="s">
        <v>744</v>
      </c>
      <c r="X5" s="47" t="s">
        <v>745</v>
      </c>
      <c r="Y5" s="47" t="s">
        <v>746</v>
      </c>
      <c r="Z5" s="47" t="s">
        <v>747</v>
      </c>
      <c r="AA5" s="47" t="s">
        <v>748</v>
      </c>
      <c r="AB5" s="47" t="s">
        <v>749</v>
      </c>
      <c r="AC5" s="47" t="s">
        <v>750</v>
      </c>
      <c r="AD5" s="47" t="s">
        <v>751</v>
      </c>
      <c r="AE5" s="47" t="s">
        <v>752</v>
      </c>
      <c r="AF5" s="47" t="s">
        <v>753</v>
      </c>
      <c r="AG5" s="47" t="s">
        <v>754</v>
      </c>
      <c r="AH5" s="47" t="s">
        <v>755</v>
      </c>
      <c r="AI5" s="47" t="s">
        <v>756</v>
      </c>
      <c r="AJ5" s="47" t="s">
        <v>757</v>
      </c>
      <c r="AK5" s="47" t="s">
        <v>758</v>
      </c>
      <c r="AL5" s="47" t="s">
        <v>759</v>
      </c>
      <c r="AM5" s="47" t="s">
        <v>760</v>
      </c>
      <c r="AN5" s="47" t="s">
        <v>761</v>
      </c>
      <c r="AO5" s="47" t="s">
        <v>762</v>
      </c>
      <c r="AP5" s="47" t="s">
        <v>763</v>
      </c>
      <c r="AQ5" s="47" t="s">
        <v>764</v>
      </c>
      <c r="AR5" s="47" t="s">
        <v>765</v>
      </c>
      <c r="AS5" s="47" t="s">
        <v>766</v>
      </c>
      <c r="AT5" s="47" t="s">
        <v>767</v>
      </c>
      <c r="AU5" s="47" t="s">
        <v>768</v>
      </c>
      <c r="AV5" s="47" t="s">
        <v>769</v>
      </c>
      <c r="AW5" s="47" t="s">
        <v>770</v>
      </c>
      <c r="AX5" s="47" t="s">
        <v>771</v>
      </c>
      <c r="AY5" s="47" t="s">
        <v>772</v>
      </c>
      <c r="AZ5" s="47" t="s">
        <v>773</v>
      </c>
      <c r="BA5" s="47" t="s">
        <v>774</v>
      </c>
      <c r="BB5" s="47" t="s">
        <v>775</v>
      </c>
      <c r="BC5" s="47" t="s">
        <v>776</v>
      </c>
      <c r="BD5" s="47" t="s">
        <v>777</v>
      </c>
      <c r="BE5" s="47" t="s">
        <v>778</v>
      </c>
      <c r="BF5" s="47" t="s">
        <v>779</v>
      </c>
      <c r="BG5" s="47" t="s">
        <v>780</v>
      </c>
      <c r="BH5" s="47" t="s">
        <v>781</v>
      </c>
      <c r="BI5" s="47" t="s">
        <v>782</v>
      </c>
      <c r="BJ5" s="47" t="s">
        <v>783</v>
      </c>
      <c r="BK5" s="47" t="s">
        <v>784</v>
      </c>
      <c r="BL5" s="47" t="s">
        <v>785</v>
      </c>
      <c r="BM5" s="47" t="s">
        <v>786</v>
      </c>
      <c r="BN5" s="47" t="s">
        <v>787</v>
      </c>
      <c r="BO5" s="47" t="s">
        <v>788</v>
      </c>
      <c r="BP5" s="47" t="s">
        <v>789</v>
      </c>
      <c r="BQ5" s="47" t="s">
        <v>790</v>
      </c>
      <c r="BR5" s="47" t="s">
        <v>791</v>
      </c>
      <c r="BS5" s="47" t="s">
        <v>792</v>
      </c>
      <c r="BT5" s="47" t="s">
        <v>793</v>
      </c>
      <c r="BU5" s="47" t="s">
        <v>794</v>
      </c>
      <c r="BV5" s="47" t="s">
        <v>741</v>
      </c>
      <c r="BW5" s="47" t="s">
        <v>795</v>
      </c>
      <c r="BX5" s="47" t="s">
        <v>796</v>
      </c>
      <c r="BY5" s="47" t="s">
        <v>797</v>
      </c>
      <c r="BZ5" s="47" t="s">
        <v>798</v>
      </c>
      <c r="CA5" s="47" t="s">
        <v>799</v>
      </c>
      <c r="CB5" s="48" t="s">
        <v>800</v>
      </c>
      <c r="CC5" s="47" t="s">
        <v>801</v>
      </c>
      <c r="CD5" s="47" t="s">
        <v>802</v>
      </c>
      <c r="CE5" s="47" t="s">
        <v>803</v>
      </c>
      <c r="CF5" s="47" t="s">
        <v>804</v>
      </c>
      <c r="CG5" s="47" t="s">
        <v>805</v>
      </c>
      <c r="CH5" s="47" t="s">
        <v>806</v>
      </c>
      <c r="CI5" s="47" t="s">
        <v>807</v>
      </c>
      <c r="CJ5" s="47" t="s">
        <v>749</v>
      </c>
      <c r="CK5" s="47" t="s">
        <v>808</v>
      </c>
      <c r="CL5" s="47" t="s">
        <v>809</v>
      </c>
      <c r="CM5" s="47" t="s">
        <v>810</v>
      </c>
      <c r="CN5" s="47" t="s">
        <v>751</v>
      </c>
      <c r="CO5" s="47" t="s">
        <v>811</v>
      </c>
      <c r="CP5" s="47" t="s">
        <v>812</v>
      </c>
      <c r="CQ5" s="47" t="s">
        <v>813</v>
      </c>
      <c r="CR5" s="47" t="s">
        <v>814</v>
      </c>
      <c r="CS5" s="47" t="s">
        <v>815</v>
      </c>
      <c r="CT5" s="47" t="s">
        <v>816</v>
      </c>
      <c r="CU5" s="47" t="s">
        <v>817</v>
      </c>
      <c r="CV5" s="47" t="s">
        <v>818</v>
      </c>
      <c r="CW5" s="47" t="s">
        <v>819</v>
      </c>
      <c r="CX5" s="47" t="s">
        <v>756</v>
      </c>
      <c r="CY5" s="47" t="s">
        <v>820</v>
      </c>
      <c r="CZ5" s="47" t="s">
        <v>821</v>
      </c>
      <c r="DA5" s="47" t="s">
        <v>822</v>
      </c>
      <c r="DB5" s="47" t="s">
        <v>823</v>
      </c>
      <c r="DC5" s="47" t="s">
        <v>824</v>
      </c>
      <c r="DD5" s="47" t="s">
        <v>825</v>
      </c>
      <c r="DE5" s="47" t="s">
        <v>826</v>
      </c>
      <c r="DF5" s="47" t="s">
        <v>827</v>
      </c>
      <c r="DG5" s="47" t="s">
        <v>828</v>
      </c>
      <c r="DH5" s="47" t="s">
        <v>829</v>
      </c>
      <c r="DI5" s="47" t="s">
        <v>830</v>
      </c>
      <c r="DJ5" s="47" t="s">
        <v>831</v>
      </c>
      <c r="DK5" s="47" t="s">
        <v>760</v>
      </c>
      <c r="DL5" s="47" t="s">
        <v>761</v>
      </c>
      <c r="DM5" s="47" t="s">
        <v>762</v>
      </c>
      <c r="DN5" s="47" t="s">
        <v>832</v>
      </c>
      <c r="DO5" s="47" t="s">
        <v>833</v>
      </c>
      <c r="DP5" s="47" t="s">
        <v>834</v>
      </c>
      <c r="DQ5" s="47" t="s">
        <v>835</v>
      </c>
      <c r="DR5" s="47" t="s">
        <v>836</v>
      </c>
      <c r="DS5" s="47" t="s">
        <v>837</v>
      </c>
      <c r="DT5" s="47" t="s">
        <v>838</v>
      </c>
      <c r="DU5" s="47" t="s">
        <v>839</v>
      </c>
      <c r="DV5" s="47" t="s">
        <v>840</v>
      </c>
      <c r="DW5" s="47" t="s">
        <v>841</v>
      </c>
      <c r="DX5" s="47" t="s">
        <v>842</v>
      </c>
      <c r="DY5" s="47" t="s">
        <v>843</v>
      </c>
      <c r="DZ5" s="47" t="s">
        <v>844</v>
      </c>
      <c r="EA5" s="47" t="s">
        <v>845</v>
      </c>
      <c r="EB5" s="47" t="s">
        <v>768</v>
      </c>
      <c r="EC5" s="47" t="s">
        <v>769</v>
      </c>
      <c r="ED5" s="47" t="s">
        <v>770</v>
      </c>
      <c r="EE5" s="47" t="s">
        <v>771</v>
      </c>
      <c r="EF5" s="47" t="s">
        <v>772</v>
      </c>
      <c r="EG5" s="47" t="s">
        <v>773</v>
      </c>
      <c r="EH5" s="47" t="s">
        <v>774</v>
      </c>
      <c r="EI5" s="47" t="s">
        <v>846</v>
      </c>
      <c r="EJ5" s="47" t="s">
        <v>847</v>
      </c>
      <c r="EK5" s="47" t="s">
        <v>848</v>
      </c>
      <c r="EL5" s="47" t="s">
        <v>849</v>
      </c>
      <c r="EM5" s="47" t="s">
        <v>850</v>
      </c>
      <c r="EN5" s="47" t="s">
        <v>777</v>
      </c>
      <c r="EO5" s="47" t="s">
        <v>851</v>
      </c>
      <c r="EP5" s="47" t="s">
        <v>852</v>
      </c>
      <c r="EQ5" s="47" t="s">
        <v>853</v>
      </c>
      <c r="ER5" s="47" t="s">
        <v>854</v>
      </c>
      <c r="ES5" s="47" t="s">
        <v>780</v>
      </c>
      <c r="ET5" s="47" t="s">
        <v>855</v>
      </c>
      <c r="EU5" s="47" t="s">
        <v>856</v>
      </c>
      <c r="EV5" s="47" t="s">
        <v>857</v>
      </c>
      <c r="EW5" s="47" t="s">
        <v>858</v>
      </c>
      <c r="EX5" s="47" t="s">
        <v>859</v>
      </c>
      <c r="EY5" s="47" t="s">
        <v>860</v>
      </c>
      <c r="EZ5" s="47" t="s">
        <v>861</v>
      </c>
      <c r="FA5" s="47" t="s">
        <v>862</v>
      </c>
      <c r="FB5" s="47" t="s">
        <v>863</v>
      </c>
      <c r="FC5" s="47" t="s">
        <v>864</v>
      </c>
      <c r="FD5" s="47" t="s">
        <v>865</v>
      </c>
      <c r="FE5" s="47" t="s">
        <v>866</v>
      </c>
      <c r="FF5" s="47" t="s">
        <v>867</v>
      </c>
      <c r="FG5" s="47" t="s">
        <v>868</v>
      </c>
      <c r="FH5" s="47" t="s">
        <v>869</v>
      </c>
      <c r="FI5" s="47" t="s">
        <v>870</v>
      </c>
      <c r="FJ5" s="47" t="s">
        <v>871</v>
      </c>
      <c r="FK5" s="47" t="s">
        <v>872</v>
      </c>
      <c r="FL5" s="47" t="s">
        <v>873</v>
      </c>
      <c r="FM5" s="47" t="s">
        <v>874</v>
      </c>
      <c r="FN5" s="47" t="s">
        <v>875</v>
      </c>
      <c r="FO5" s="47" t="s">
        <v>876</v>
      </c>
      <c r="FP5" s="47" t="s">
        <v>877</v>
      </c>
      <c r="FQ5" s="47" t="s">
        <v>878</v>
      </c>
      <c r="FR5" s="47" t="s">
        <v>879</v>
      </c>
      <c r="FS5" s="47" t="s">
        <v>880</v>
      </c>
      <c r="FT5" s="47" t="s">
        <v>881</v>
      </c>
      <c r="FU5" s="47" t="s">
        <v>882</v>
      </c>
      <c r="FV5" s="47" t="s">
        <v>883</v>
      </c>
      <c r="FW5" s="47" t="s">
        <v>884</v>
      </c>
      <c r="FX5" s="47" t="s">
        <v>885</v>
      </c>
      <c r="FY5" s="47" t="s">
        <v>886</v>
      </c>
      <c r="FZ5" s="47" t="s">
        <v>887</v>
      </c>
      <c r="GA5" s="47" t="s">
        <v>888</v>
      </c>
      <c r="GB5" s="47" t="s">
        <v>889</v>
      </c>
      <c r="GC5" s="47" t="s">
        <v>890</v>
      </c>
      <c r="GD5" s="47" t="s">
        <v>891</v>
      </c>
      <c r="GE5" s="47" t="s">
        <v>892</v>
      </c>
      <c r="GF5" s="47" t="s">
        <v>893</v>
      </c>
      <c r="GG5" s="47" t="s">
        <v>794</v>
      </c>
      <c r="GH5" s="47" t="s">
        <v>894</v>
      </c>
      <c r="GI5" s="47" t="s">
        <v>895</v>
      </c>
      <c r="GJ5" s="47" t="s">
        <v>896</v>
      </c>
      <c r="GK5" s="47" t="s">
        <v>897</v>
      </c>
      <c r="GL5" s="47" t="s">
        <v>898</v>
      </c>
      <c r="GM5" s="47" t="s">
        <v>899</v>
      </c>
      <c r="GN5" s="47" t="s">
        <v>900</v>
      </c>
      <c r="GO5" s="47" t="s">
        <v>901</v>
      </c>
      <c r="GP5" s="47" t="s">
        <v>902</v>
      </c>
      <c r="GQ5" s="47" t="s">
        <v>903</v>
      </c>
      <c r="GR5" s="47" t="s">
        <v>904</v>
      </c>
      <c r="GS5" s="47" t="s">
        <v>800</v>
      </c>
      <c r="GT5" s="47" t="s">
        <v>801</v>
      </c>
      <c r="GU5" s="47" t="s">
        <v>802</v>
      </c>
      <c r="GV5" s="47" t="s">
        <v>803</v>
      </c>
      <c r="GW5" s="47" t="s">
        <v>905</v>
      </c>
      <c r="GX5" s="47" t="s">
        <v>906</v>
      </c>
      <c r="GY5" s="47" t="s">
        <v>907</v>
      </c>
      <c r="GZ5" s="47" t="s">
        <v>908</v>
      </c>
      <c r="HA5" s="47" t="s">
        <v>909</v>
      </c>
      <c r="HB5" s="47" t="s">
        <v>910</v>
      </c>
      <c r="HC5" s="47" t="s">
        <v>911</v>
      </c>
      <c r="HD5" s="47" t="s">
        <v>912</v>
      </c>
      <c r="HE5" s="47" t="s">
        <v>913</v>
      </c>
      <c r="HF5" s="47" t="s">
        <v>914</v>
      </c>
      <c r="HG5" s="47" t="s">
        <v>915</v>
      </c>
      <c r="HH5" s="47" t="s">
        <v>916</v>
      </c>
      <c r="HI5" s="47" t="s">
        <v>917</v>
      </c>
      <c r="HJ5" s="47" t="s">
        <v>918</v>
      </c>
      <c r="HK5" s="47" t="s">
        <v>810</v>
      </c>
      <c r="HL5" s="47" t="s">
        <v>919</v>
      </c>
      <c r="HM5" s="47" t="s">
        <v>920</v>
      </c>
      <c r="HN5" s="47" t="s">
        <v>921</v>
      </c>
      <c r="HO5" s="47" t="s">
        <v>922</v>
      </c>
      <c r="HP5" s="47" t="s">
        <v>923</v>
      </c>
      <c r="HQ5" s="47" t="s">
        <v>924</v>
      </c>
      <c r="HR5" s="47" t="s">
        <v>925</v>
      </c>
      <c r="HS5" s="47" t="s">
        <v>926</v>
      </c>
      <c r="HT5" s="47" t="s">
        <v>927</v>
      </c>
      <c r="HU5" s="47" t="s">
        <v>814</v>
      </c>
      <c r="HV5" s="47" t="s">
        <v>928</v>
      </c>
      <c r="HW5" s="47" t="s">
        <v>929</v>
      </c>
      <c r="HX5" s="47" t="s">
        <v>930</v>
      </c>
      <c r="HY5" s="47" t="s">
        <v>931</v>
      </c>
      <c r="HZ5" s="47" t="s">
        <v>818</v>
      </c>
      <c r="IA5" s="47" t="s">
        <v>932</v>
      </c>
      <c r="IB5" s="47" t="s">
        <v>756</v>
      </c>
      <c r="IC5" s="47" t="s">
        <v>933</v>
      </c>
      <c r="ID5" s="47" t="s">
        <v>934</v>
      </c>
      <c r="IE5" s="47" t="s">
        <v>821</v>
      </c>
      <c r="IF5" s="47" t="s">
        <v>822</v>
      </c>
      <c r="IG5" s="47" t="s">
        <v>935</v>
      </c>
      <c r="IH5" s="47" t="s">
        <v>936</v>
      </c>
      <c r="II5" s="47" t="s">
        <v>937</v>
      </c>
      <c r="IJ5" s="47" t="s">
        <v>938</v>
      </c>
      <c r="IK5" s="47" t="s">
        <v>939</v>
      </c>
      <c r="IL5" s="47" t="s">
        <v>940</v>
      </c>
      <c r="IM5" s="47" t="s">
        <v>941</v>
      </c>
      <c r="IN5" s="47" t="s">
        <v>942</v>
      </c>
      <c r="IO5" s="47" t="s">
        <v>943</v>
      </c>
      <c r="IP5" s="47" t="s">
        <v>944</v>
      </c>
      <c r="IQ5" s="47" t="s">
        <v>945</v>
      </c>
      <c r="IR5" s="47" t="s">
        <v>946</v>
      </c>
      <c r="IS5" s="47" t="s">
        <v>760</v>
      </c>
      <c r="IT5" s="47" t="s">
        <v>947</v>
      </c>
      <c r="IU5" s="47" t="s">
        <v>948</v>
      </c>
      <c r="IV5" s="47" t="s">
        <v>949</v>
      </c>
      <c r="IW5" s="47" t="s">
        <v>950</v>
      </c>
      <c r="IX5" s="47" t="s">
        <v>951</v>
      </c>
      <c r="IY5" s="47" t="s">
        <v>952</v>
      </c>
      <c r="IZ5" s="47" t="s">
        <v>953</v>
      </c>
      <c r="JA5" s="47" t="s">
        <v>954</v>
      </c>
      <c r="JB5" s="47" t="s">
        <v>955</v>
      </c>
      <c r="JC5" s="47" t="s">
        <v>839</v>
      </c>
      <c r="JD5" s="47" t="s">
        <v>840</v>
      </c>
      <c r="JE5" s="47" t="s">
        <v>956</v>
      </c>
      <c r="JF5" s="47" t="s">
        <v>957</v>
      </c>
      <c r="JG5" s="47" t="s">
        <v>958</v>
      </c>
      <c r="JH5" s="47" t="s">
        <v>843</v>
      </c>
      <c r="JI5" s="47" t="s">
        <v>959</v>
      </c>
      <c r="JJ5" s="47" t="s">
        <v>845</v>
      </c>
      <c r="JK5" s="47" t="s">
        <v>960</v>
      </c>
      <c r="JL5" s="47" t="s">
        <v>961</v>
      </c>
      <c r="JM5" s="47" t="s">
        <v>770</v>
      </c>
      <c r="JN5" s="47" t="s">
        <v>771</v>
      </c>
      <c r="JO5" s="47" t="s">
        <v>962</v>
      </c>
      <c r="JP5" s="47" t="s">
        <v>963</v>
      </c>
      <c r="JQ5" s="47" t="s">
        <v>964</v>
      </c>
      <c r="JR5" s="47" t="s">
        <v>965</v>
      </c>
      <c r="JS5" s="47" t="s">
        <v>966</v>
      </c>
      <c r="JT5" s="47" t="s">
        <v>967</v>
      </c>
      <c r="JU5" s="47" t="s">
        <v>968</v>
      </c>
      <c r="JV5" s="47" t="s">
        <v>847</v>
      </c>
      <c r="JW5" s="47" t="s">
        <v>969</v>
      </c>
      <c r="JX5" s="47" t="s">
        <v>849</v>
      </c>
      <c r="JY5" s="47" t="s">
        <v>970</v>
      </c>
      <c r="JZ5" s="47" t="s">
        <v>971</v>
      </c>
      <c r="KA5" s="47" t="s">
        <v>972</v>
      </c>
      <c r="KB5" s="47" t="s">
        <v>851</v>
      </c>
      <c r="KC5" s="47" t="s">
        <v>973</v>
      </c>
      <c r="KD5" s="47" t="s">
        <v>974</v>
      </c>
      <c r="KE5" s="47" t="s">
        <v>975</v>
      </c>
      <c r="KF5" s="47" t="s">
        <v>976</v>
      </c>
      <c r="KG5" s="43"/>
    </row>
    <row r="6" spans="1:293" s="41" customFormat="1" ht="12">
      <c r="A6" s="41">
        <v>2005</v>
      </c>
      <c r="B6" s="49" t="s">
        <v>977</v>
      </c>
      <c r="C6" s="50" t="s">
        <v>978</v>
      </c>
      <c r="D6" s="51">
        <v>114.48557944692479</v>
      </c>
      <c r="E6" s="51">
        <v>111.95444811225764</v>
      </c>
      <c r="F6" s="51">
        <v>121.95386353452245</v>
      </c>
      <c r="G6" s="51">
        <v>110.77344238590378</v>
      </c>
      <c r="H6" s="51">
        <v>115.50849030710229</v>
      </c>
      <c r="I6" s="51">
        <v>111.39875902553669</v>
      </c>
      <c r="J6" s="51">
        <v>112.8403267552529</v>
      </c>
      <c r="K6" s="51">
        <v>117.99134873624222</v>
      </c>
      <c r="L6" s="51">
        <v>103.99316584669407</v>
      </c>
      <c r="M6" s="51">
        <v>113.37378677300505</v>
      </c>
      <c r="N6" s="51">
        <v>130.87015195369437</v>
      </c>
      <c r="O6" s="51">
        <v>124.4360809449378</v>
      </c>
      <c r="P6" s="51">
        <v>114.34234564736781</v>
      </c>
      <c r="Q6" s="51">
        <v>111.71753872099272</v>
      </c>
      <c r="R6" s="51">
        <v>115.22717145877292</v>
      </c>
      <c r="S6" s="51">
        <v>134.45823574512229</v>
      </c>
      <c r="T6" s="51">
        <v>121.03147415412424</v>
      </c>
      <c r="U6" s="51">
        <v>109.61467020472938</v>
      </c>
      <c r="V6" s="51">
        <v>114.08787920092999</v>
      </c>
      <c r="W6" s="51">
        <v>133.13529369214365</v>
      </c>
      <c r="X6" s="51">
        <v>112.68483867306975</v>
      </c>
      <c r="Y6" s="51">
        <v>110.99516990959077</v>
      </c>
      <c r="Z6" s="51">
        <v>109.32074542568394</v>
      </c>
      <c r="AA6" s="51">
        <v>125.4268913939833</v>
      </c>
      <c r="AB6" s="51">
        <v>110.99823982988163</v>
      </c>
      <c r="AC6" s="51">
        <v>93.911993553419251</v>
      </c>
      <c r="AD6" s="51">
        <v>117.42913019320109</v>
      </c>
      <c r="AE6" s="51">
        <v>116.05103808103595</v>
      </c>
      <c r="AF6" s="51">
        <v>106.64512905116932</v>
      </c>
      <c r="AG6" s="51">
        <v>96.150500865213829</v>
      </c>
      <c r="AH6" s="51">
        <v>129.25591064229522</v>
      </c>
      <c r="AI6" s="51">
        <v>121.87732499780725</v>
      </c>
      <c r="AJ6" s="51">
        <v>100.50703382131104</v>
      </c>
      <c r="AK6" s="51">
        <v>124.99658844502504</v>
      </c>
      <c r="AL6" s="51">
        <v>123.79944513530383</v>
      </c>
      <c r="AM6" s="51">
        <v>125.49019607843138</v>
      </c>
      <c r="AN6" s="51">
        <v>87.784961334254234</v>
      </c>
      <c r="AO6" s="51">
        <v>105.58949442578717</v>
      </c>
      <c r="AP6" s="51">
        <v>91.097736466447913</v>
      </c>
      <c r="AQ6" s="51">
        <v>115.82589598098754</v>
      </c>
      <c r="AR6" s="51">
        <v>120.98777561918867</v>
      </c>
      <c r="AS6" s="51">
        <v>129.85666646961249</v>
      </c>
      <c r="AT6" s="51">
        <v>121.89368061746772</v>
      </c>
      <c r="AU6" s="51">
        <v>111.52183230757495</v>
      </c>
      <c r="AV6" s="51">
        <v>133.36682635175529</v>
      </c>
      <c r="AW6" s="51">
        <v>131.171560319104</v>
      </c>
      <c r="AX6" s="51">
        <v>129.66598467289148</v>
      </c>
      <c r="AY6" s="51">
        <v>129.64214809928532</v>
      </c>
      <c r="AZ6" s="51">
        <v>126.00356509821185</v>
      </c>
      <c r="BA6" s="51">
        <v>122.44799861911271</v>
      </c>
      <c r="BB6" s="51">
        <v>112.80744059091796</v>
      </c>
      <c r="BC6" s="51">
        <v>111.88920800758366</v>
      </c>
      <c r="BD6" s="51">
        <v>131.30442391819417</v>
      </c>
      <c r="BE6" s="51">
        <v>127.13795568149783</v>
      </c>
      <c r="BF6" s="51">
        <v>124.54397630638297</v>
      </c>
      <c r="BG6" s="51">
        <v>139.74654172274916</v>
      </c>
      <c r="BH6" s="52">
        <v>110.1</v>
      </c>
      <c r="BI6" s="52">
        <v>107.99</v>
      </c>
      <c r="BJ6" s="52">
        <v>115.03</v>
      </c>
      <c r="BK6" s="52">
        <v>120.11</v>
      </c>
      <c r="BL6" s="52">
        <v>106.28</v>
      </c>
      <c r="BM6" s="52">
        <v>90.73</v>
      </c>
      <c r="BN6" s="52">
        <v>122.88</v>
      </c>
      <c r="BO6" s="52">
        <v>116.57</v>
      </c>
      <c r="BP6" s="52">
        <v>116.88</v>
      </c>
      <c r="BQ6" s="52">
        <v>123.59</v>
      </c>
      <c r="BR6" s="52">
        <v>106.74</v>
      </c>
      <c r="BS6" s="52">
        <v>140.93</v>
      </c>
      <c r="BT6" s="52">
        <v>123.77</v>
      </c>
      <c r="BU6" s="52">
        <v>126.03</v>
      </c>
      <c r="BV6" s="52">
        <v>121.03</v>
      </c>
      <c r="BW6" s="52">
        <v>109.19</v>
      </c>
      <c r="BX6" s="52">
        <v>111.87</v>
      </c>
      <c r="BY6" s="52">
        <v>128.77000000000001</v>
      </c>
      <c r="BZ6" s="52">
        <v>114.04</v>
      </c>
      <c r="CA6" s="52">
        <v>121.29</v>
      </c>
      <c r="CB6" s="53">
        <v>133.13999999999999</v>
      </c>
      <c r="CC6" s="52">
        <v>112.68</v>
      </c>
      <c r="CD6" s="52">
        <v>110.3</v>
      </c>
      <c r="CE6" s="52">
        <v>99.95</v>
      </c>
      <c r="CF6" s="52">
        <v>111.73</v>
      </c>
      <c r="CG6" s="52">
        <v>118.34</v>
      </c>
      <c r="CH6" s="52">
        <v>126.72</v>
      </c>
      <c r="CI6" s="52">
        <v>119.99</v>
      </c>
      <c r="CJ6" s="52">
        <v>111</v>
      </c>
      <c r="CK6" s="52">
        <v>88.69</v>
      </c>
      <c r="CL6" s="52">
        <v>100.82</v>
      </c>
      <c r="CM6" s="52">
        <v>131.16999999999999</v>
      </c>
      <c r="CN6" s="52">
        <v>117.43</v>
      </c>
      <c r="CO6" s="52">
        <v>116.05</v>
      </c>
      <c r="CP6" s="52">
        <v>99.12</v>
      </c>
      <c r="CQ6" s="52">
        <v>126.14</v>
      </c>
      <c r="CR6" s="52">
        <v>93.76</v>
      </c>
      <c r="CS6" s="52">
        <v>117.87</v>
      </c>
      <c r="CT6" s="52">
        <v>108.31</v>
      </c>
      <c r="CU6" s="52">
        <v>148.37</v>
      </c>
      <c r="CV6" s="52">
        <v>119.17</v>
      </c>
      <c r="CW6" s="52">
        <v>99.41</v>
      </c>
      <c r="CX6" s="52">
        <v>121.88</v>
      </c>
      <c r="CY6" s="52">
        <v>100.39</v>
      </c>
      <c r="CZ6" s="52">
        <v>0</v>
      </c>
      <c r="DA6" s="52">
        <v>104.77</v>
      </c>
      <c r="DB6" s="52">
        <v>110.17</v>
      </c>
      <c r="DC6" s="52">
        <v>125.78</v>
      </c>
      <c r="DD6" s="52">
        <v>123.77</v>
      </c>
      <c r="DE6" s="52">
        <v>127.88</v>
      </c>
      <c r="DF6" s="52">
        <v>124.23</v>
      </c>
      <c r="DG6" s="52">
        <v>125.54</v>
      </c>
      <c r="DH6" s="52">
        <v>85.47</v>
      </c>
      <c r="DI6" s="52">
        <v>87.63</v>
      </c>
      <c r="DJ6" s="52">
        <v>129.94</v>
      </c>
      <c r="DK6" s="52">
        <v>125.49</v>
      </c>
      <c r="DL6" s="52">
        <v>87.78</v>
      </c>
      <c r="DM6" s="52">
        <v>105.59</v>
      </c>
      <c r="DN6" s="52">
        <v>76.88</v>
      </c>
      <c r="DO6" s="52">
        <v>108.31</v>
      </c>
      <c r="DP6" s="52">
        <v>133.33000000000001</v>
      </c>
      <c r="DQ6" s="52">
        <v>115.83</v>
      </c>
      <c r="DR6" s="52">
        <v>122.07</v>
      </c>
      <c r="DS6" s="52">
        <v>115.04</v>
      </c>
      <c r="DT6" s="52"/>
      <c r="DU6" s="52">
        <v>123.87</v>
      </c>
      <c r="DV6" s="52">
        <v>126.97</v>
      </c>
      <c r="DW6" s="52">
        <v>117.5</v>
      </c>
      <c r="DX6" s="52">
        <v>165.02</v>
      </c>
      <c r="DY6" s="52">
        <v>134.19999999999999</v>
      </c>
      <c r="DZ6" s="52">
        <v>115.85</v>
      </c>
      <c r="EA6" s="52">
        <v>113.04</v>
      </c>
      <c r="EB6" s="52">
        <v>111.52</v>
      </c>
      <c r="EC6" s="52">
        <v>133.37</v>
      </c>
      <c r="ED6" s="52">
        <v>131.16999999999999</v>
      </c>
      <c r="EE6" s="52">
        <v>129.66999999999999</v>
      </c>
      <c r="EF6" s="52">
        <v>129.63999999999999</v>
      </c>
      <c r="EG6" s="52">
        <v>126</v>
      </c>
      <c r="EH6" s="52">
        <v>122.45</v>
      </c>
      <c r="EI6" s="52">
        <v>133.44999999999999</v>
      </c>
      <c r="EJ6" s="52">
        <v>103.26</v>
      </c>
      <c r="EK6" s="52">
        <v>106.15</v>
      </c>
      <c r="EL6" s="52">
        <v>106.56</v>
      </c>
      <c r="EM6" s="52">
        <v>124.89</v>
      </c>
      <c r="EN6" s="52">
        <v>131.30000000000001</v>
      </c>
      <c r="EO6" s="52">
        <v>124.19</v>
      </c>
      <c r="EP6" s="52">
        <v>126.26</v>
      </c>
      <c r="EQ6" s="52">
        <v>129.28</v>
      </c>
      <c r="ER6" s="52">
        <v>124.54</v>
      </c>
      <c r="ES6" s="52">
        <v>139.75</v>
      </c>
      <c r="ET6" s="52">
        <v>120.08</v>
      </c>
      <c r="EU6" s="52">
        <v>108.06</v>
      </c>
      <c r="EV6" s="52">
        <v>107.11</v>
      </c>
      <c r="EW6" s="52">
        <v>122.53</v>
      </c>
      <c r="EX6" s="52">
        <v>99.42</v>
      </c>
      <c r="EY6" s="52">
        <v>113.38</v>
      </c>
      <c r="EZ6" s="52">
        <v>114.31</v>
      </c>
      <c r="FA6" s="52">
        <v>111.4</v>
      </c>
      <c r="FB6" s="52">
        <v>90.63</v>
      </c>
      <c r="FC6" s="52">
        <v>119.45</v>
      </c>
      <c r="FD6" s="52">
        <v>117.54</v>
      </c>
      <c r="FE6" s="52">
        <v>115.03</v>
      </c>
      <c r="FF6" s="52"/>
      <c r="FG6" s="52">
        <v>119.03</v>
      </c>
      <c r="FH6" s="52">
        <v>117.84</v>
      </c>
      <c r="FI6" s="52">
        <v>122.44</v>
      </c>
      <c r="FJ6" s="52">
        <v>118.82</v>
      </c>
      <c r="FK6" s="52">
        <v>127.31</v>
      </c>
      <c r="FL6" s="52">
        <v>102.5</v>
      </c>
      <c r="FM6" s="52">
        <v>105.09</v>
      </c>
      <c r="FN6" s="52">
        <v>84.95</v>
      </c>
      <c r="FO6" s="52">
        <v>122.62</v>
      </c>
      <c r="FP6" s="52">
        <v>127.07</v>
      </c>
      <c r="FQ6" s="52">
        <v>78.34</v>
      </c>
      <c r="FR6" s="52">
        <v>137.04</v>
      </c>
      <c r="FS6" s="52">
        <v>128.13999999999999</v>
      </c>
      <c r="FT6" s="52">
        <v>115.01</v>
      </c>
      <c r="FU6" s="52">
        <v>115.61</v>
      </c>
      <c r="FV6" s="52">
        <v>122.63</v>
      </c>
      <c r="FW6" s="52">
        <v>114.83</v>
      </c>
      <c r="FX6" s="52">
        <v>116.88</v>
      </c>
      <c r="FY6" s="52">
        <v>115.87</v>
      </c>
      <c r="FZ6" s="52">
        <v>124.33</v>
      </c>
      <c r="GA6" s="52">
        <v>123.71</v>
      </c>
      <c r="GB6" s="52">
        <v>104.2</v>
      </c>
      <c r="GC6" s="52">
        <v>106.76</v>
      </c>
      <c r="GD6" s="52">
        <v>111.25</v>
      </c>
      <c r="GE6" s="52">
        <v>140.93</v>
      </c>
      <c r="GF6" s="52">
        <v>123.77</v>
      </c>
      <c r="GG6" s="52">
        <v>126.03</v>
      </c>
      <c r="GH6" s="52">
        <v>121.13</v>
      </c>
      <c r="GI6" s="52">
        <v>108.93</v>
      </c>
      <c r="GJ6" s="52">
        <v>109.07</v>
      </c>
      <c r="GK6" s="52">
        <v>109.37</v>
      </c>
      <c r="GL6" s="52">
        <v>120.92</v>
      </c>
      <c r="GM6" s="52">
        <v>111.87</v>
      </c>
      <c r="GN6" s="52">
        <v>128.77000000000001</v>
      </c>
      <c r="GO6" s="52">
        <v>113.4</v>
      </c>
      <c r="GP6" s="52">
        <v>116.22</v>
      </c>
      <c r="GQ6" s="52">
        <v>111.49</v>
      </c>
      <c r="GR6" s="52">
        <v>121.29</v>
      </c>
      <c r="GS6" s="52">
        <v>133.13999999999999</v>
      </c>
      <c r="GT6" s="52">
        <v>112.68</v>
      </c>
      <c r="GU6" s="52">
        <v>110.3</v>
      </c>
      <c r="GV6" s="52">
        <v>99.95</v>
      </c>
      <c r="GW6" s="52">
        <v>110.57</v>
      </c>
      <c r="GX6" s="52">
        <v>112.33</v>
      </c>
      <c r="GY6" s="52">
        <v>118.34</v>
      </c>
      <c r="GZ6" s="52">
        <v>119.94</v>
      </c>
      <c r="HA6" s="52">
        <v>134.22999999999999</v>
      </c>
      <c r="HB6" s="52">
        <v>124.56</v>
      </c>
      <c r="HC6" s="52">
        <v>119.99</v>
      </c>
      <c r="HD6" s="52">
        <v>111</v>
      </c>
      <c r="HE6" s="52">
        <v>76.7</v>
      </c>
      <c r="HF6" s="52">
        <v>79.400000000000006</v>
      </c>
      <c r="HG6" s="52">
        <v>84.77</v>
      </c>
      <c r="HH6" s="52">
        <v>114.55</v>
      </c>
      <c r="HI6" s="52">
        <v>88.36</v>
      </c>
      <c r="HJ6" s="52">
        <v>100.82</v>
      </c>
      <c r="HK6" s="52">
        <v>131.16999999999999</v>
      </c>
      <c r="HL6" s="52">
        <v>115.21</v>
      </c>
      <c r="HM6" s="52">
        <v>122.73</v>
      </c>
      <c r="HN6" s="52">
        <v>118.24</v>
      </c>
      <c r="HO6" s="52">
        <v>111.62</v>
      </c>
      <c r="HP6" s="52">
        <v>120.26</v>
      </c>
      <c r="HQ6" s="52">
        <v>97.42</v>
      </c>
      <c r="HR6" s="52">
        <v>114</v>
      </c>
      <c r="HS6" s="52">
        <v>126.19</v>
      </c>
      <c r="HT6" s="52">
        <v>123.89</v>
      </c>
      <c r="HU6" s="52">
        <v>93.76</v>
      </c>
      <c r="HV6" s="52">
        <v>117.87</v>
      </c>
      <c r="HW6" s="52">
        <v>108.83</v>
      </c>
      <c r="HX6" s="52">
        <v>107.2</v>
      </c>
      <c r="HY6" s="52">
        <v>148.37</v>
      </c>
      <c r="HZ6" s="52">
        <v>119.17</v>
      </c>
      <c r="IA6" s="52">
        <v>96.25</v>
      </c>
      <c r="IB6" s="52">
        <v>121.88</v>
      </c>
      <c r="IC6" s="52">
        <v>0</v>
      </c>
      <c r="ID6" s="52">
        <v>100.39</v>
      </c>
      <c r="IE6" s="52">
        <v>0</v>
      </c>
      <c r="IF6" s="52">
        <v>104.77</v>
      </c>
      <c r="IG6" s="52">
        <v>110.17</v>
      </c>
      <c r="IH6" s="52">
        <v>125.78</v>
      </c>
      <c r="II6" s="52">
        <v>123.77</v>
      </c>
      <c r="IJ6" s="52">
        <v>127.88</v>
      </c>
      <c r="IK6" s="52">
        <v>125.91</v>
      </c>
      <c r="IL6" s="52">
        <v>119.68</v>
      </c>
      <c r="IM6" s="52">
        <v>128.72999999999999</v>
      </c>
      <c r="IN6" s="52">
        <v>122.32</v>
      </c>
      <c r="IO6" s="52">
        <v>114.55</v>
      </c>
      <c r="IP6" s="52">
        <v>85.47</v>
      </c>
      <c r="IQ6" s="52">
        <v>87.63</v>
      </c>
      <c r="IR6" s="52">
        <v>129.94</v>
      </c>
      <c r="IS6" s="52">
        <v>125.49</v>
      </c>
      <c r="IT6" s="52">
        <v>87.78</v>
      </c>
      <c r="IU6" s="52">
        <v>105.59</v>
      </c>
      <c r="IV6" s="52">
        <v>76.349999999999994</v>
      </c>
      <c r="IW6" s="52">
        <v>108.31</v>
      </c>
      <c r="IX6" s="52">
        <v>133.33000000000001</v>
      </c>
      <c r="IY6" s="52">
        <v>115.83</v>
      </c>
      <c r="IZ6" s="52">
        <v>122.07</v>
      </c>
      <c r="JA6" s="52">
        <v>115.04</v>
      </c>
      <c r="JB6" s="52"/>
      <c r="JC6" s="52">
        <v>123.87</v>
      </c>
      <c r="JD6" s="52">
        <v>126.97</v>
      </c>
      <c r="JE6" s="52">
        <v>116.31</v>
      </c>
      <c r="JF6" s="52">
        <v>117.91</v>
      </c>
      <c r="JG6" s="52">
        <v>165.02</v>
      </c>
      <c r="JH6" s="52">
        <v>134.19999999999999</v>
      </c>
      <c r="JI6" s="52">
        <v>115.85</v>
      </c>
      <c r="JJ6" s="52">
        <v>113.04</v>
      </c>
      <c r="JK6" s="52">
        <v>111.52</v>
      </c>
      <c r="JL6" s="52">
        <v>133.37</v>
      </c>
      <c r="JM6" s="52">
        <v>131.16999999999999</v>
      </c>
      <c r="JN6" s="52">
        <v>129.66999999999999</v>
      </c>
      <c r="JO6" s="52">
        <v>129.63999999999999</v>
      </c>
      <c r="JP6" s="52">
        <v>128.44</v>
      </c>
      <c r="JQ6" s="52">
        <v>120.31</v>
      </c>
      <c r="JR6" s="52">
        <v>117.8</v>
      </c>
      <c r="JS6" s="52">
        <v>128.4</v>
      </c>
      <c r="JT6" s="52">
        <v>138.44</v>
      </c>
      <c r="JU6" s="52">
        <v>128.54</v>
      </c>
      <c r="JV6" s="52">
        <v>103.26</v>
      </c>
      <c r="JW6" s="52">
        <v>106.15</v>
      </c>
      <c r="JX6" s="52">
        <v>106.56</v>
      </c>
      <c r="JY6" s="52">
        <v>125.4</v>
      </c>
      <c r="JZ6" s="52">
        <v>123.64</v>
      </c>
      <c r="KA6" s="52">
        <v>131.30000000000001</v>
      </c>
      <c r="KB6" s="52">
        <v>124.19</v>
      </c>
      <c r="KC6" s="52">
        <v>126.26</v>
      </c>
      <c r="KD6" s="52">
        <v>129.28</v>
      </c>
      <c r="KE6" s="52">
        <v>124.54</v>
      </c>
      <c r="KF6" s="52">
        <v>139.75</v>
      </c>
    </row>
    <row r="7" spans="1:293" s="41" customFormat="1" ht="12">
      <c r="A7" s="41">
        <v>2005</v>
      </c>
      <c r="B7" s="54" t="s">
        <v>979</v>
      </c>
      <c r="C7" s="55" t="s">
        <v>980</v>
      </c>
      <c r="D7" s="51">
        <v>114.51307178559806</v>
      </c>
      <c r="E7" s="51">
        <v>112.92027393305813</v>
      </c>
      <c r="F7" s="51">
        <v>124.33063604974549</v>
      </c>
      <c r="G7" s="51">
        <v>103.12807204767853</v>
      </c>
      <c r="H7" s="51">
        <v>116.11247353681375</v>
      </c>
      <c r="I7" s="51">
        <v>112.23774600458216</v>
      </c>
      <c r="J7" s="51">
        <v>112.38279409767657</v>
      </c>
      <c r="K7" s="51">
        <v>118.58192677231136</v>
      </c>
      <c r="L7" s="51">
        <v>104.17062232053073</v>
      </c>
      <c r="M7" s="51">
        <v>113.06910744485027</v>
      </c>
      <c r="N7" s="51">
        <v>130.31324423012799</v>
      </c>
      <c r="O7" s="51">
        <v>126.28103366502729</v>
      </c>
      <c r="P7" s="51">
        <v>113.11501414862178</v>
      </c>
      <c r="Q7" s="51">
        <v>112.74543791531778</v>
      </c>
      <c r="R7" s="51">
        <v>115.27556295333507</v>
      </c>
      <c r="S7" s="51">
        <v>157.06596381611678</v>
      </c>
      <c r="T7" s="51">
        <v>122.05826503761908</v>
      </c>
      <c r="U7" s="51">
        <v>101.85257494760096</v>
      </c>
      <c r="V7" s="51">
        <v>106.78098522443283</v>
      </c>
      <c r="W7" s="51">
        <v>134.78756734884763</v>
      </c>
      <c r="X7" s="51">
        <v>114.02122736708554</v>
      </c>
      <c r="Y7" s="51">
        <v>110.81982420106466</v>
      </c>
      <c r="Z7" s="51">
        <v>109.65575722296425</v>
      </c>
      <c r="AA7" s="51">
        <v>126.75329273273739</v>
      </c>
      <c r="AB7" s="51">
        <v>110.55464134740288</v>
      </c>
      <c r="AC7" s="51">
        <v>95.414724559213994</v>
      </c>
      <c r="AD7" s="51">
        <v>118.02722723085817</v>
      </c>
      <c r="AE7" s="51">
        <v>116.98541499252303</v>
      </c>
      <c r="AF7" s="51">
        <v>106.95694832423061</v>
      </c>
      <c r="AG7" s="51">
        <v>95.563488753106171</v>
      </c>
      <c r="AH7" s="51">
        <v>126.52388475478134</v>
      </c>
      <c r="AI7" s="51">
        <v>130.36260306177601</v>
      </c>
      <c r="AJ7" s="51">
        <v>101.26307327690886</v>
      </c>
      <c r="AK7" s="51">
        <v>125.60646978270823</v>
      </c>
      <c r="AL7" s="51">
        <v>124.21820353019842</v>
      </c>
      <c r="AM7" s="51">
        <v>125.49019607843138</v>
      </c>
      <c r="AN7" s="51">
        <v>89.466130215044984</v>
      </c>
      <c r="AO7" s="51">
        <v>105.58969000859153</v>
      </c>
      <c r="AP7" s="51">
        <v>90.66782952306977</v>
      </c>
      <c r="AQ7" s="51">
        <v>115.36378661348027</v>
      </c>
      <c r="AR7" s="51">
        <v>122.41622966271203</v>
      </c>
      <c r="AS7" s="51">
        <v>132.04023801741633</v>
      </c>
      <c r="AT7" s="51">
        <v>120.26120726505768</v>
      </c>
      <c r="AU7" s="51">
        <v>110.47406892937585</v>
      </c>
      <c r="AV7" s="51">
        <v>132.85864331399097</v>
      </c>
      <c r="AW7" s="51">
        <v>132.6451698719992</v>
      </c>
      <c r="AX7" s="51">
        <v>129.66598467289148</v>
      </c>
      <c r="AY7" s="51">
        <v>125.29382491475853</v>
      </c>
      <c r="AZ7" s="51">
        <v>128.18103352286633</v>
      </c>
      <c r="BA7" s="51">
        <v>123.87448653393271</v>
      </c>
      <c r="BB7" s="51">
        <v>113.9133832775121</v>
      </c>
      <c r="BC7" s="51">
        <v>108.22814665398944</v>
      </c>
      <c r="BD7" s="51">
        <v>129.70419508926568</v>
      </c>
      <c r="BE7" s="51">
        <v>130.53121951358023</v>
      </c>
      <c r="BF7" s="51">
        <v>126.5860437810431</v>
      </c>
      <c r="BG7" s="51">
        <v>139.87789394117283</v>
      </c>
      <c r="BH7" s="52">
        <v>110.23</v>
      </c>
      <c r="BI7" s="52">
        <v>109.69</v>
      </c>
      <c r="BJ7" s="52">
        <v>126.31</v>
      </c>
      <c r="BK7" s="52">
        <v>120.49</v>
      </c>
      <c r="BL7" s="52">
        <v>106.73</v>
      </c>
      <c r="BM7" s="52">
        <v>94.36</v>
      </c>
      <c r="BN7" s="52">
        <v>122.9</v>
      </c>
      <c r="BO7" s="52">
        <v>116.96</v>
      </c>
      <c r="BP7" s="52">
        <v>117.57</v>
      </c>
      <c r="BQ7" s="52">
        <v>123.72</v>
      </c>
      <c r="BR7" s="52">
        <v>106.72</v>
      </c>
      <c r="BS7" s="52">
        <v>169.85</v>
      </c>
      <c r="BT7" s="52">
        <v>131.44</v>
      </c>
      <c r="BU7" s="52">
        <v>142.57</v>
      </c>
      <c r="BV7" s="52">
        <v>122.06</v>
      </c>
      <c r="BW7" s="52">
        <v>100.79</v>
      </c>
      <c r="BX7" s="52">
        <v>110.44</v>
      </c>
      <c r="BY7" s="52">
        <v>131.13999999999999</v>
      </c>
      <c r="BZ7" s="52">
        <v>106.66</v>
      </c>
      <c r="CA7" s="52">
        <v>122.83</v>
      </c>
      <c r="CB7" s="53">
        <v>134.79</v>
      </c>
      <c r="CC7" s="52">
        <v>114.02</v>
      </c>
      <c r="CD7" s="52">
        <v>110.11</v>
      </c>
      <c r="CE7" s="52">
        <v>99.92</v>
      </c>
      <c r="CF7" s="52">
        <v>112.88</v>
      </c>
      <c r="CG7" s="52">
        <v>117.7</v>
      </c>
      <c r="CH7" s="52">
        <v>128.21</v>
      </c>
      <c r="CI7" s="52">
        <v>120.63</v>
      </c>
      <c r="CJ7" s="52">
        <v>110.55</v>
      </c>
      <c r="CK7" s="52">
        <v>90.44</v>
      </c>
      <c r="CL7" s="52">
        <v>101.03</v>
      </c>
      <c r="CM7" s="52">
        <v>131.16999999999999</v>
      </c>
      <c r="CN7" s="52">
        <v>118.03</v>
      </c>
      <c r="CO7" s="52">
        <v>116.99</v>
      </c>
      <c r="CP7" s="52">
        <v>99.3</v>
      </c>
      <c r="CQ7" s="52">
        <v>126.84</v>
      </c>
      <c r="CR7" s="52">
        <v>93.33</v>
      </c>
      <c r="CS7" s="52">
        <v>118.17</v>
      </c>
      <c r="CT7" s="52">
        <v>106.34</v>
      </c>
      <c r="CU7" s="52">
        <v>148.77000000000001</v>
      </c>
      <c r="CV7" s="52">
        <v>117.72</v>
      </c>
      <c r="CW7" s="52">
        <v>91.97</v>
      </c>
      <c r="CX7" s="52">
        <v>130.36000000000001</v>
      </c>
      <c r="CY7" s="52">
        <v>100.96</v>
      </c>
      <c r="CZ7" s="52">
        <v>0</v>
      </c>
      <c r="DA7" s="52">
        <v>114.58</v>
      </c>
      <c r="DB7" s="52">
        <v>111.44</v>
      </c>
      <c r="DC7" s="52">
        <v>126.24</v>
      </c>
      <c r="DD7" s="52">
        <v>125.38</v>
      </c>
      <c r="DE7" s="52">
        <v>129.29</v>
      </c>
      <c r="DF7" s="52">
        <v>127.34</v>
      </c>
      <c r="DG7" s="52">
        <v>125.95</v>
      </c>
      <c r="DH7" s="52">
        <v>84.46</v>
      </c>
      <c r="DI7" s="52">
        <v>87.63</v>
      </c>
      <c r="DJ7" s="52">
        <v>130.74</v>
      </c>
      <c r="DK7" s="52">
        <v>125.49</v>
      </c>
      <c r="DL7" s="52">
        <v>89.47</v>
      </c>
      <c r="DM7" s="52">
        <v>105.59</v>
      </c>
      <c r="DN7" s="52">
        <v>76.989999999999995</v>
      </c>
      <c r="DO7" s="52">
        <v>107.23</v>
      </c>
      <c r="DP7" s="52">
        <v>129.6</v>
      </c>
      <c r="DQ7" s="52">
        <v>115.36</v>
      </c>
      <c r="DR7" s="52">
        <v>122.76</v>
      </c>
      <c r="DS7" s="52">
        <v>117.35</v>
      </c>
      <c r="DT7" s="52"/>
      <c r="DU7" s="52">
        <v>126.56</v>
      </c>
      <c r="DV7" s="52">
        <v>131.56</v>
      </c>
      <c r="DW7" s="52">
        <v>118.8</v>
      </c>
      <c r="DX7" s="52">
        <v>165.02</v>
      </c>
      <c r="DY7" s="52">
        <v>133.6</v>
      </c>
      <c r="DZ7" s="52">
        <v>111.3</v>
      </c>
      <c r="EA7" s="52">
        <v>113.09</v>
      </c>
      <c r="EB7" s="52">
        <v>110.47</v>
      </c>
      <c r="EC7" s="52">
        <v>132.86000000000001</v>
      </c>
      <c r="ED7" s="52">
        <v>132.65</v>
      </c>
      <c r="EE7" s="52">
        <v>129.66999999999999</v>
      </c>
      <c r="EF7" s="52">
        <v>125.29</v>
      </c>
      <c r="EG7" s="52">
        <v>128.18</v>
      </c>
      <c r="EH7" s="52">
        <v>123.87</v>
      </c>
      <c r="EI7" s="52">
        <v>135.1</v>
      </c>
      <c r="EJ7" s="52">
        <v>105.15</v>
      </c>
      <c r="EK7" s="52">
        <v>107.07</v>
      </c>
      <c r="EL7" s="52">
        <v>101.73</v>
      </c>
      <c r="EM7" s="52">
        <v>124.23</v>
      </c>
      <c r="EN7" s="52">
        <v>129.69999999999999</v>
      </c>
      <c r="EO7" s="52">
        <v>125.9</v>
      </c>
      <c r="EP7" s="52">
        <v>126.26</v>
      </c>
      <c r="EQ7" s="52">
        <v>134.1</v>
      </c>
      <c r="ER7" s="52">
        <v>126.59</v>
      </c>
      <c r="ES7" s="52">
        <v>139.88</v>
      </c>
      <c r="ET7" s="52">
        <v>120.87</v>
      </c>
      <c r="EU7" s="52">
        <v>108.49</v>
      </c>
      <c r="EV7" s="52">
        <v>106.85</v>
      </c>
      <c r="EW7" s="52">
        <v>123.56</v>
      </c>
      <c r="EX7" s="52">
        <v>100.08</v>
      </c>
      <c r="EY7" s="52">
        <v>113.03</v>
      </c>
      <c r="EZ7" s="52">
        <v>115.62</v>
      </c>
      <c r="FA7" s="52">
        <v>118.71</v>
      </c>
      <c r="FB7" s="52">
        <v>88.03</v>
      </c>
      <c r="FC7" s="52">
        <v>120.3</v>
      </c>
      <c r="FD7" s="52">
        <v>119.14</v>
      </c>
      <c r="FE7" s="52">
        <v>126.31</v>
      </c>
      <c r="FF7" s="52"/>
      <c r="FG7" s="52">
        <v>121.54</v>
      </c>
      <c r="FH7" s="52">
        <v>119.2</v>
      </c>
      <c r="FI7" s="52">
        <v>122.79</v>
      </c>
      <c r="FJ7" s="52">
        <v>115.6</v>
      </c>
      <c r="FK7" s="52">
        <v>127.72</v>
      </c>
      <c r="FL7" s="52">
        <v>102.72</v>
      </c>
      <c r="FM7" s="52">
        <v>105.6</v>
      </c>
      <c r="FN7" s="52">
        <v>88.61</v>
      </c>
      <c r="FO7" s="52">
        <v>125.53</v>
      </c>
      <c r="FP7" s="52">
        <v>126.15</v>
      </c>
      <c r="FQ7" s="52">
        <v>77.37</v>
      </c>
      <c r="FR7" s="52">
        <v>140.25</v>
      </c>
      <c r="FS7" s="52">
        <v>131.38</v>
      </c>
      <c r="FT7" s="52">
        <v>115.14</v>
      </c>
      <c r="FU7" s="52">
        <v>114.89</v>
      </c>
      <c r="FV7" s="52">
        <v>123.91</v>
      </c>
      <c r="FW7" s="52">
        <v>118.26</v>
      </c>
      <c r="FX7" s="52">
        <v>117.57</v>
      </c>
      <c r="FY7" s="52">
        <v>116.29</v>
      </c>
      <c r="FZ7" s="52">
        <v>124.41</v>
      </c>
      <c r="GA7" s="52">
        <v>124.54</v>
      </c>
      <c r="GB7" s="52">
        <v>103.39</v>
      </c>
      <c r="GC7" s="52">
        <v>106.97</v>
      </c>
      <c r="GD7" s="52">
        <v>111.55</v>
      </c>
      <c r="GE7" s="52">
        <v>169.85</v>
      </c>
      <c r="GF7" s="52">
        <v>131.44</v>
      </c>
      <c r="GG7" s="52">
        <v>142.57</v>
      </c>
      <c r="GH7" s="52">
        <v>122.16</v>
      </c>
      <c r="GI7" s="52">
        <v>101.33</v>
      </c>
      <c r="GJ7" s="52">
        <v>100.48</v>
      </c>
      <c r="GK7" s="52">
        <v>98.95</v>
      </c>
      <c r="GL7" s="52">
        <v>118.93</v>
      </c>
      <c r="GM7" s="52">
        <v>110.44</v>
      </c>
      <c r="GN7" s="52">
        <v>131.13999999999999</v>
      </c>
      <c r="GO7" s="52">
        <v>106.23</v>
      </c>
      <c r="GP7" s="52">
        <v>107.9</v>
      </c>
      <c r="GQ7" s="52">
        <v>105.33</v>
      </c>
      <c r="GR7" s="52">
        <v>122.83</v>
      </c>
      <c r="GS7" s="52">
        <v>134.79</v>
      </c>
      <c r="GT7" s="52">
        <v>114.02</v>
      </c>
      <c r="GU7" s="52">
        <v>110.11</v>
      </c>
      <c r="GV7" s="52">
        <v>99.92</v>
      </c>
      <c r="GW7" s="52">
        <v>110.26</v>
      </c>
      <c r="GX7" s="52">
        <v>114.29</v>
      </c>
      <c r="GY7" s="52">
        <v>117.7</v>
      </c>
      <c r="GZ7" s="52">
        <v>120.19</v>
      </c>
      <c r="HA7" s="52">
        <v>135.11000000000001</v>
      </c>
      <c r="HB7" s="52">
        <v>126.53</v>
      </c>
      <c r="HC7" s="52">
        <v>120.63</v>
      </c>
      <c r="HD7" s="52">
        <v>110.55</v>
      </c>
      <c r="HE7" s="52">
        <v>78.87</v>
      </c>
      <c r="HF7" s="52">
        <v>82.76</v>
      </c>
      <c r="HG7" s="52">
        <v>84.69</v>
      </c>
      <c r="HH7" s="52">
        <v>114.64</v>
      </c>
      <c r="HI7" s="52">
        <v>88.96</v>
      </c>
      <c r="HJ7" s="52">
        <v>101.03</v>
      </c>
      <c r="HK7" s="52">
        <v>131.16999999999999</v>
      </c>
      <c r="HL7" s="52">
        <v>115.24</v>
      </c>
      <c r="HM7" s="52">
        <v>124.5</v>
      </c>
      <c r="HN7" s="52">
        <v>119.09</v>
      </c>
      <c r="HO7" s="52">
        <v>112.24</v>
      </c>
      <c r="HP7" s="52">
        <v>121.51</v>
      </c>
      <c r="HQ7" s="52">
        <v>97.53</v>
      </c>
      <c r="HR7" s="52">
        <v>115.04</v>
      </c>
      <c r="HS7" s="52">
        <v>126.87</v>
      </c>
      <c r="HT7" s="52">
        <v>124.95</v>
      </c>
      <c r="HU7" s="52">
        <v>93.33</v>
      </c>
      <c r="HV7" s="52">
        <v>118.17</v>
      </c>
      <c r="HW7" s="52">
        <v>106.97</v>
      </c>
      <c r="HX7" s="52">
        <v>104.98</v>
      </c>
      <c r="HY7" s="52">
        <v>148.77000000000001</v>
      </c>
      <c r="HZ7" s="52">
        <v>117.72</v>
      </c>
      <c r="IA7" s="52">
        <v>88.03</v>
      </c>
      <c r="IB7" s="52">
        <v>130.36000000000001</v>
      </c>
      <c r="IC7" s="52">
        <v>0</v>
      </c>
      <c r="ID7" s="52">
        <v>100.96</v>
      </c>
      <c r="IE7" s="52">
        <v>0</v>
      </c>
      <c r="IF7" s="52">
        <v>114.58</v>
      </c>
      <c r="IG7" s="52">
        <v>111.44</v>
      </c>
      <c r="IH7" s="52">
        <v>126.24</v>
      </c>
      <c r="II7" s="52">
        <v>125.38</v>
      </c>
      <c r="IJ7" s="52">
        <v>129.29</v>
      </c>
      <c r="IK7" s="52">
        <v>128.63999999999999</v>
      </c>
      <c r="IL7" s="52">
        <v>123.67</v>
      </c>
      <c r="IM7" s="52">
        <v>129.18</v>
      </c>
      <c r="IN7" s="52">
        <v>124</v>
      </c>
      <c r="IO7" s="52">
        <v>114.38</v>
      </c>
      <c r="IP7" s="52">
        <v>84.46</v>
      </c>
      <c r="IQ7" s="52">
        <v>87.63</v>
      </c>
      <c r="IR7" s="52">
        <v>130.74</v>
      </c>
      <c r="IS7" s="52">
        <v>125.49</v>
      </c>
      <c r="IT7" s="52">
        <v>89.47</v>
      </c>
      <c r="IU7" s="52">
        <v>105.59</v>
      </c>
      <c r="IV7" s="52">
        <v>76.83</v>
      </c>
      <c r="IW7" s="52">
        <v>107.23</v>
      </c>
      <c r="IX7" s="52">
        <v>129.6</v>
      </c>
      <c r="IY7" s="52">
        <v>115.36</v>
      </c>
      <c r="IZ7" s="52">
        <v>122.76</v>
      </c>
      <c r="JA7" s="52">
        <v>117.35</v>
      </c>
      <c r="JB7" s="52"/>
      <c r="JC7" s="52">
        <v>126.56</v>
      </c>
      <c r="JD7" s="52">
        <v>131.56</v>
      </c>
      <c r="JE7" s="52">
        <v>118.81</v>
      </c>
      <c r="JF7" s="52">
        <v>118.75</v>
      </c>
      <c r="JG7" s="52">
        <v>165.02</v>
      </c>
      <c r="JH7" s="52">
        <v>133.6</v>
      </c>
      <c r="JI7" s="52">
        <v>111.3</v>
      </c>
      <c r="JJ7" s="52">
        <v>113.09</v>
      </c>
      <c r="JK7" s="52">
        <v>110.47</v>
      </c>
      <c r="JL7" s="52">
        <v>132.86000000000001</v>
      </c>
      <c r="JM7" s="52">
        <v>132.65</v>
      </c>
      <c r="JN7" s="52">
        <v>129.66999999999999</v>
      </c>
      <c r="JO7" s="52">
        <v>125.29</v>
      </c>
      <c r="JP7" s="52">
        <v>130.33000000000001</v>
      </c>
      <c r="JQ7" s="52">
        <v>123.09</v>
      </c>
      <c r="JR7" s="52">
        <v>118.38</v>
      </c>
      <c r="JS7" s="52">
        <v>131</v>
      </c>
      <c r="JT7" s="52">
        <v>140.54</v>
      </c>
      <c r="JU7" s="52">
        <v>129.77000000000001</v>
      </c>
      <c r="JV7" s="52">
        <v>105.15</v>
      </c>
      <c r="JW7" s="52">
        <v>107.07</v>
      </c>
      <c r="JX7" s="52">
        <v>101.73</v>
      </c>
      <c r="JY7" s="52">
        <v>124.47</v>
      </c>
      <c r="JZ7" s="52">
        <v>123.6</v>
      </c>
      <c r="KA7" s="52">
        <v>129.69999999999999</v>
      </c>
      <c r="KB7" s="52">
        <v>125.9</v>
      </c>
      <c r="KC7" s="52">
        <v>126.26</v>
      </c>
      <c r="KD7" s="52">
        <v>134.1</v>
      </c>
      <c r="KE7" s="52">
        <v>126.59</v>
      </c>
      <c r="KF7" s="52">
        <v>139.88</v>
      </c>
    </row>
    <row r="8" spans="1:293" s="41" customFormat="1" ht="12">
      <c r="A8" s="41">
        <v>2005</v>
      </c>
      <c r="B8" s="54" t="s">
        <v>981</v>
      </c>
      <c r="C8" s="55" t="s">
        <v>982</v>
      </c>
      <c r="D8" s="51">
        <v>114.81</v>
      </c>
      <c r="E8" s="51">
        <v>113.03</v>
      </c>
      <c r="F8" s="51">
        <v>124.53</v>
      </c>
      <c r="G8" s="51">
        <v>99.69</v>
      </c>
      <c r="H8" s="51">
        <v>117.37</v>
      </c>
      <c r="I8" s="51">
        <v>112.15</v>
      </c>
      <c r="J8" s="51">
        <v>113.38</v>
      </c>
      <c r="K8" s="51">
        <v>119.42</v>
      </c>
      <c r="L8" s="51">
        <v>104.43</v>
      </c>
      <c r="M8" s="51">
        <v>111.89</v>
      </c>
      <c r="N8" s="51">
        <v>130.18</v>
      </c>
      <c r="O8" s="51">
        <v>129.26</v>
      </c>
      <c r="P8" s="51">
        <v>114.66</v>
      </c>
      <c r="Q8" s="51">
        <v>112.85</v>
      </c>
      <c r="R8" s="51">
        <v>115.51</v>
      </c>
      <c r="S8" s="51">
        <v>160.19999999999999</v>
      </c>
      <c r="T8" s="51">
        <v>122.06</v>
      </c>
      <c r="U8" s="51">
        <v>97.89</v>
      </c>
      <c r="V8" s="51">
        <v>104.85</v>
      </c>
      <c r="W8" s="51">
        <v>136.22999999999999</v>
      </c>
      <c r="X8" s="51">
        <v>114.83</v>
      </c>
      <c r="Y8" s="51">
        <v>111.06</v>
      </c>
      <c r="Z8" s="51">
        <v>111.21</v>
      </c>
      <c r="AA8" s="51">
        <v>126</v>
      </c>
      <c r="AB8" s="51">
        <v>109.84</v>
      </c>
      <c r="AC8" s="51">
        <v>95.84</v>
      </c>
      <c r="AD8" s="51">
        <v>117.94</v>
      </c>
      <c r="AE8" s="51">
        <v>117.69</v>
      </c>
      <c r="AF8" s="51">
        <v>107.2</v>
      </c>
      <c r="AG8" s="51">
        <v>96.21</v>
      </c>
      <c r="AH8" s="51">
        <v>125.98</v>
      </c>
      <c r="AI8" s="51">
        <v>138.55000000000001</v>
      </c>
      <c r="AJ8" s="51">
        <v>100.9</v>
      </c>
      <c r="AK8" s="51">
        <v>127.64</v>
      </c>
      <c r="AL8" s="51">
        <v>124.89</v>
      </c>
      <c r="AM8" s="51">
        <v>125.49</v>
      </c>
      <c r="AN8" s="51">
        <v>91.92</v>
      </c>
      <c r="AO8" s="51">
        <v>105.59</v>
      </c>
      <c r="AP8" s="51">
        <v>92.64</v>
      </c>
      <c r="AQ8" s="51">
        <v>113.24</v>
      </c>
      <c r="AR8" s="51">
        <v>123.16</v>
      </c>
      <c r="AS8" s="51">
        <v>132.85</v>
      </c>
      <c r="AT8" s="51">
        <v>113.97</v>
      </c>
      <c r="AU8" s="51">
        <v>108.63</v>
      </c>
      <c r="AV8" s="51">
        <v>132.93</v>
      </c>
      <c r="AW8" s="51">
        <v>132.63999999999999</v>
      </c>
      <c r="AX8" s="51">
        <v>129.66999999999999</v>
      </c>
      <c r="AY8" s="51">
        <v>124.32</v>
      </c>
      <c r="AZ8" s="51">
        <v>129.63999999999999</v>
      </c>
      <c r="BA8" s="51">
        <v>128.77000000000001</v>
      </c>
      <c r="BB8" s="51">
        <v>115.35</v>
      </c>
      <c r="BC8" s="51">
        <v>109.95</v>
      </c>
      <c r="BD8" s="51">
        <v>130.61000000000001</v>
      </c>
      <c r="BE8" s="51">
        <v>128.74</v>
      </c>
      <c r="BF8" s="51">
        <v>126.59</v>
      </c>
      <c r="BG8" s="51">
        <v>142.35</v>
      </c>
      <c r="BH8" s="52">
        <v>110.52</v>
      </c>
      <c r="BI8" s="52">
        <v>110.87</v>
      </c>
      <c r="BJ8" s="52">
        <v>131.83000000000001</v>
      </c>
      <c r="BK8" s="52">
        <v>120.31</v>
      </c>
      <c r="BL8" s="52">
        <v>106.58</v>
      </c>
      <c r="BM8" s="52">
        <v>95.92</v>
      </c>
      <c r="BN8" s="52">
        <v>120.17</v>
      </c>
      <c r="BO8" s="52">
        <v>117.61</v>
      </c>
      <c r="BP8" s="52">
        <v>118.38</v>
      </c>
      <c r="BQ8" s="52">
        <v>123.84</v>
      </c>
      <c r="BR8" s="52">
        <v>107.04</v>
      </c>
      <c r="BS8" s="52">
        <v>170.17</v>
      </c>
      <c r="BT8" s="52">
        <v>143.68</v>
      </c>
      <c r="BU8" s="52">
        <v>147.69999999999999</v>
      </c>
      <c r="BV8" s="52">
        <v>122.06</v>
      </c>
      <c r="BW8" s="52">
        <v>96.49</v>
      </c>
      <c r="BX8" s="52">
        <v>109.9</v>
      </c>
      <c r="BY8" s="52">
        <v>132.97999999999999</v>
      </c>
      <c r="BZ8" s="52">
        <v>104.71</v>
      </c>
      <c r="CA8" s="52">
        <v>124.56</v>
      </c>
      <c r="CB8" s="53">
        <v>136.22999999999999</v>
      </c>
      <c r="CC8" s="52">
        <v>114.83</v>
      </c>
      <c r="CD8" s="52">
        <v>110.35</v>
      </c>
      <c r="CE8" s="52">
        <v>99.93</v>
      </c>
      <c r="CF8" s="52">
        <v>116.9</v>
      </c>
      <c r="CG8" s="52">
        <v>116.95</v>
      </c>
      <c r="CH8" s="52">
        <v>127.02</v>
      </c>
      <c r="CI8" s="52">
        <v>121.67</v>
      </c>
      <c r="CJ8" s="52">
        <v>109.84</v>
      </c>
      <c r="CK8" s="52">
        <v>91.33</v>
      </c>
      <c r="CL8" s="52">
        <v>97.28</v>
      </c>
      <c r="CM8" s="52">
        <v>131.91</v>
      </c>
      <c r="CN8" s="52">
        <v>117.94</v>
      </c>
      <c r="CO8" s="52">
        <v>117.69</v>
      </c>
      <c r="CP8" s="52">
        <v>99.11</v>
      </c>
      <c r="CQ8" s="52">
        <v>128.5</v>
      </c>
      <c r="CR8" s="52">
        <v>93.33</v>
      </c>
      <c r="CS8" s="52">
        <v>119.33</v>
      </c>
      <c r="CT8" s="52">
        <v>111.9</v>
      </c>
      <c r="CU8" s="52">
        <v>152.07</v>
      </c>
      <c r="CV8" s="52">
        <v>115.76</v>
      </c>
      <c r="CW8" s="52">
        <v>87.2</v>
      </c>
      <c r="CX8" s="52">
        <v>138.55000000000001</v>
      </c>
      <c r="CY8" s="52">
        <v>100.64</v>
      </c>
      <c r="CZ8" s="52">
        <v>0</v>
      </c>
      <c r="DA8" s="52">
        <v>112.35</v>
      </c>
      <c r="DB8" s="52">
        <v>111.88</v>
      </c>
      <c r="DC8" s="52">
        <v>128.59</v>
      </c>
      <c r="DD8" s="52">
        <v>125.23</v>
      </c>
      <c r="DE8" s="52">
        <v>130.51</v>
      </c>
      <c r="DF8" s="52">
        <v>129.19</v>
      </c>
      <c r="DG8" s="52">
        <v>126.67</v>
      </c>
      <c r="DH8" s="52">
        <v>84.19</v>
      </c>
      <c r="DI8" s="52">
        <v>86.63</v>
      </c>
      <c r="DJ8" s="52">
        <v>131.16</v>
      </c>
      <c r="DK8" s="52">
        <v>125.49</v>
      </c>
      <c r="DL8" s="52">
        <v>91.92</v>
      </c>
      <c r="DM8" s="52">
        <v>105.59</v>
      </c>
      <c r="DN8" s="52">
        <v>81.94</v>
      </c>
      <c r="DO8" s="52">
        <v>94.44</v>
      </c>
      <c r="DP8" s="52">
        <v>128.93</v>
      </c>
      <c r="DQ8" s="52">
        <v>113.24</v>
      </c>
      <c r="DR8" s="52">
        <v>123.45</v>
      </c>
      <c r="DS8" s="52">
        <v>117.26</v>
      </c>
      <c r="DT8" s="52"/>
      <c r="DU8" s="52">
        <v>128.36000000000001</v>
      </c>
      <c r="DV8" s="52">
        <v>133.75</v>
      </c>
      <c r="DW8" s="52">
        <v>118.93</v>
      </c>
      <c r="DX8" s="52">
        <v>165.02</v>
      </c>
      <c r="DY8" s="52">
        <v>120.12</v>
      </c>
      <c r="DZ8" s="52">
        <v>106.75</v>
      </c>
      <c r="EA8" s="52">
        <v>113.12</v>
      </c>
      <c r="EB8" s="52">
        <v>108.63</v>
      </c>
      <c r="EC8" s="52">
        <v>132.93</v>
      </c>
      <c r="ED8" s="52">
        <v>132.63999999999999</v>
      </c>
      <c r="EE8" s="52">
        <v>129.66999999999999</v>
      </c>
      <c r="EF8" s="52">
        <v>124.32</v>
      </c>
      <c r="EG8" s="52">
        <v>129.63999999999999</v>
      </c>
      <c r="EH8" s="52">
        <v>128.77000000000001</v>
      </c>
      <c r="EI8" s="52">
        <v>139.16</v>
      </c>
      <c r="EJ8" s="52">
        <v>101.79</v>
      </c>
      <c r="EK8" s="52">
        <v>107.92</v>
      </c>
      <c r="EL8" s="52">
        <v>103.83</v>
      </c>
      <c r="EM8" s="52">
        <v>124.99</v>
      </c>
      <c r="EN8" s="52">
        <v>130.61000000000001</v>
      </c>
      <c r="EO8" s="52">
        <v>127.38</v>
      </c>
      <c r="EP8" s="52">
        <v>126.26</v>
      </c>
      <c r="EQ8" s="52">
        <v>129.79</v>
      </c>
      <c r="ER8" s="52">
        <v>126.59</v>
      </c>
      <c r="ES8" s="52">
        <v>142.35</v>
      </c>
      <c r="ET8" s="52">
        <v>121.41</v>
      </c>
      <c r="EU8" s="52">
        <v>108.81</v>
      </c>
      <c r="EV8" s="52">
        <v>107.04</v>
      </c>
      <c r="EW8" s="52">
        <v>124.13</v>
      </c>
      <c r="EX8" s="52">
        <v>100.36</v>
      </c>
      <c r="EY8" s="52">
        <v>112.54</v>
      </c>
      <c r="EZ8" s="52">
        <v>115.77</v>
      </c>
      <c r="FA8" s="52">
        <v>120.36</v>
      </c>
      <c r="FB8" s="52">
        <v>90.79</v>
      </c>
      <c r="FC8" s="52">
        <v>120.9</v>
      </c>
      <c r="FD8" s="52">
        <v>118.01</v>
      </c>
      <c r="FE8" s="52">
        <v>131.83000000000001</v>
      </c>
      <c r="FF8" s="52"/>
      <c r="FG8" s="52">
        <v>122.64</v>
      </c>
      <c r="FH8" s="52">
        <v>118.31</v>
      </c>
      <c r="FI8" s="52">
        <v>123.41</v>
      </c>
      <c r="FJ8" s="52">
        <v>112.8</v>
      </c>
      <c r="FK8" s="52">
        <v>127.86</v>
      </c>
      <c r="FL8" s="52">
        <v>102.89</v>
      </c>
      <c r="FM8" s="52">
        <v>105.35</v>
      </c>
      <c r="FN8" s="52">
        <v>90.03</v>
      </c>
      <c r="FO8" s="52">
        <v>127.94</v>
      </c>
      <c r="FP8" s="52">
        <v>121.55</v>
      </c>
      <c r="FQ8" s="52">
        <v>75.97</v>
      </c>
      <c r="FR8" s="52">
        <v>142.1</v>
      </c>
      <c r="FS8" s="52">
        <v>132.93</v>
      </c>
      <c r="FT8" s="52">
        <v>115.28</v>
      </c>
      <c r="FU8" s="52">
        <v>116.4</v>
      </c>
      <c r="FV8" s="52">
        <v>125.14</v>
      </c>
      <c r="FW8" s="52">
        <v>119.8</v>
      </c>
      <c r="FX8" s="52">
        <v>118.38</v>
      </c>
      <c r="FY8" s="52">
        <v>117.57</v>
      </c>
      <c r="FZ8" s="52">
        <v>124.4</v>
      </c>
      <c r="GA8" s="52">
        <v>125.51</v>
      </c>
      <c r="GB8" s="52">
        <v>104.14</v>
      </c>
      <c r="GC8" s="52">
        <v>107.11</v>
      </c>
      <c r="GD8" s="52">
        <v>111.99</v>
      </c>
      <c r="GE8" s="52">
        <v>170.17</v>
      </c>
      <c r="GF8" s="52">
        <v>143.68</v>
      </c>
      <c r="GG8" s="52">
        <v>147.69999999999999</v>
      </c>
      <c r="GH8" s="52">
        <v>122.16</v>
      </c>
      <c r="GI8" s="52">
        <v>96.75</v>
      </c>
      <c r="GJ8" s="52">
        <v>95.54</v>
      </c>
      <c r="GK8" s="52">
        <v>96.76</v>
      </c>
      <c r="GL8" s="52">
        <v>117.55</v>
      </c>
      <c r="GM8" s="52">
        <v>109.9</v>
      </c>
      <c r="GN8" s="52">
        <v>132.97999999999999</v>
      </c>
      <c r="GO8" s="52">
        <v>105.2</v>
      </c>
      <c r="GP8" s="52">
        <v>103.84</v>
      </c>
      <c r="GQ8" s="52">
        <v>104.84</v>
      </c>
      <c r="GR8" s="52">
        <v>124.56</v>
      </c>
      <c r="GS8" s="52">
        <v>136.22999999999999</v>
      </c>
      <c r="GT8" s="52">
        <v>114.83</v>
      </c>
      <c r="GU8" s="52">
        <v>110.35</v>
      </c>
      <c r="GV8" s="52">
        <v>99.93</v>
      </c>
      <c r="GW8" s="52">
        <v>115.35</v>
      </c>
      <c r="GX8" s="52">
        <v>117.72</v>
      </c>
      <c r="GY8" s="52">
        <v>116.95</v>
      </c>
      <c r="GZ8" s="52">
        <v>120.53</v>
      </c>
      <c r="HA8" s="52">
        <v>131.96</v>
      </c>
      <c r="HB8" s="52">
        <v>125.91</v>
      </c>
      <c r="HC8" s="52">
        <v>121.67</v>
      </c>
      <c r="HD8" s="52">
        <v>109.84</v>
      </c>
      <c r="HE8" s="52">
        <v>78.72</v>
      </c>
      <c r="HF8" s="52">
        <v>82.78</v>
      </c>
      <c r="HG8" s="52">
        <v>84.63</v>
      </c>
      <c r="HH8" s="52">
        <v>114.7</v>
      </c>
      <c r="HI8" s="52">
        <v>98.26</v>
      </c>
      <c r="HJ8" s="52">
        <v>97.28</v>
      </c>
      <c r="HK8" s="52">
        <v>131.91</v>
      </c>
      <c r="HL8" s="52">
        <v>114.77</v>
      </c>
      <c r="HM8" s="52">
        <v>124.29</v>
      </c>
      <c r="HN8" s="52">
        <v>119.36</v>
      </c>
      <c r="HO8" s="52">
        <v>112.94</v>
      </c>
      <c r="HP8" s="52">
        <v>122.21</v>
      </c>
      <c r="HQ8" s="52">
        <v>97.22</v>
      </c>
      <c r="HR8" s="52">
        <v>116.05</v>
      </c>
      <c r="HS8" s="52">
        <v>128.51</v>
      </c>
      <c r="HT8" s="52">
        <v>127.91</v>
      </c>
      <c r="HU8" s="52">
        <v>93.33</v>
      </c>
      <c r="HV8" s="52">
        <v>119.33</v>
      </c>
      <c r="HW8" s="52">
        <v>115.45</v>
      </c>
      <c r="HX8" s="52">
        <v>104.37</v>
      </c>
      <c r="HY8" s="52">
        <v>152.07</v>
      </c>
      <c r="HZ8" s="52">
        <v>115.76</v>
      </c>
      <c r="IA8" s="52">
        <v>82.79</v>
      </c>
      <c r="IB8" s="52">
        <v>138.55000000000001</v>
      </c>
      <c r="IC8" s="52">
        <v>0</v>
      </c>
      <c r="ID8" s="52">
        <v>100.64</v>
      </c>
      <c r="IE8" s="52">
        <v>0</v>
      </c>
      <c r="IF8" s="52">
        <v>112.35</v>
      </c>
      <c r="IG8" s="52">
        <v>111.88</v>
      </c>
      <c r="IH8" s="52">
        <v>128.59</v>
      </c>
      <c r="II8" s="52">
        <v>125.23</v>
      </c>
      <c r="IJ8" s="52">
        <v>130.51</v>
      </c>
      <c r="IK8" s="52">
        <v>129.61000000000001</v>
      </c>
      <c r="IL8" s="52">
        <v>127.66</v>
      </c>
      <c r="IM8" s="52">
        <v>130.18</v>
      </c>
      <c r="IN8" s="52">
        <v>124.43</v>
      </c>
      <c r="IO8" s="52">
        <v>114.12</v>
      </c>
      <c r="IP8" s="52">
        <v>84.19</v>
      </c>
      <c r="IQ8" s="52">
        <v>86.63</v>
      </c>
      <c r="IR8" s="52">
        <v>131.16</v>
      </c>
      <c r="IS8" s="52">
        <v>125.49</v>
      </c>
      <c r="IT8" s="52">
        <v>91.92</v>
      </c>
      <c r="IU8" s="52">
        <v>105.59</v>
      </c>
      <c r="IV8" s="52">
        <v>82.74</v>
      </c>
      <c r="IW8" s="52">
        <v>94.44</v>
      </c>
      <c r="IX8" s="52">
        <v>128.93</v>
      </c>
      <c r="IY8" s="52">
        <v>113.24</v>
      </c>
      <c r="IZ8" s="52">
        <v>123.45</v>
      </c>
      <c r="JA8" s="52">
        <v>117.26</v>
      </c>
      <c r="JB8" s="52"/>
      <c r="JC8" s="52">
        <v>128.36000000000001</v>
      </c>
      <c r="JD8" s="52">
        <v>133.75</v>
      </c>
      <c r="JE8" s="52">
        <v>119.09</v>
      </c>
      <c r="JF8" s="52">
        <v>118.81</v>
      </c>
      <c r="JG8" s="52">
        <v>165.02</v>
      </c>
      <c r="JH8" s="52">
        <v>120.12</v>
      </c>
      <c r="JI8" s="52">
        <v>106.75</v>
      </c>
      <c r="JJ8" s="52">
        <v>113.12</v>
      </c>
      <c r="JK8" s="52">
        <v>108.63</v>
      </c>
      <c r="JL8" s="52">
        <v>132.93</v>
      </c>
      <c r="JM8" s="52">
        <v>132.63999999999999</v>
      </c>
      <c r="JN8" s="52">
        <v>129.66999999999999</v>
      </c>
      <c r="JO8" s="52">
        <v>124.32</v>
      </c>
      <c r="JP8" s="52">
        <v>131.74</v>
      </c>
      <c r="JQ8" s="52">
        <v>124.67</v>
      </c>
      <c r="JR8" s="52">
        <v>123.25</v>
      </c>
      <c r="JS8" s="52">
        <v>135.91999999999999</v>
      </c>
      <c r="JT8" s="52">
        <v>144.52000000000001</v>
      </c>
      <c r="JU8" s="52">
        <v>133.9</v>
      </c>
      <c r="JV8" s="52">
        <v>101.79</v>
      </c>
      <c r="JW8" s="52">
        <v>107.92</v>
      </c>
      <c r="JX8" s="52">
        <v>103.83</v>
      </c>
      <c r="JY8" s="52">
        <v>125.79</v>
      </c>
      <c r="JZ8" s="52">
        <v>123.03</v>
      </c>
      <c r="KA8" s="52">
        <v>130.61000000000001</v>
      </c>
      <c r="KB8" s="52">
        <v>127.38</v>
      </c>
      <c r="KC8" s="52">
        <v>126.26</v>
      </c>
      <c r="KD8" s="52">
        <v>129.79</v>
      </c>
      <c r="KE8" s="52">
        <v>126.59</v>
      </c>
      <c r="KF8" s="52">
        <v>142.35</v>
      </c>
    </row>
    <row r="9" spans="1:293" s="41" customFormat="1" ht="12">
      <c r="A9" s="41">
        <v>2005</v>
      </c>
      <c r="B9" s="54" t="s">
        <v>983</v>
      </c>
      <c r="C9" s="55" t="s">
        <v>984</v>
      </c>
      <c r="D9" s="52">
        <v>115.63</v>
      </c>
      <c r="E9" s="52">
        <v>111.94</v>
      </c>
      <c r="F9" s="52">
        <v>124.6</v>
      </c>
      <c r="G9" s="52">
        <v>108.26</v>
      </c>
      <c r="H9" s="52">
        <v>117.82</v>
      </c>
      <c r="I9" s="52">
        <v>112.82</v>
      </c>
      <c r="J9" s="52">
        <v>114.17</v>
      </c>
      <c r="K9" s="52">
        <v>121.91</v>
      </c>
      <c r="L9" s="52">
        <v>104.19</v>
      </c>
      <c r="M9" s="52">
        <v>111</v>
      </c>
      <c r="N9" s="52">
        <v>130.06</v>
      </c>
      <c r="O9" s="52">
        <v>130.47999999999999</v>
      </c>
      <c r="P9" s="52">
        <v>115.84</v>
      </c>
      <c r="Q9" s="52">
        <v>111.65</v>
      </c>
      <c r="R9" s="52">
        <v>116.05</v>
      </c>
      <c r="S9" s="52">
        <v>161.32</v>
      </c>
      <c r="T9" s="52">
        <v>122.06</v>
      </c>
      <c r="U9" s="52">
        <v>105.61</v>
      </c>
      <c r="V9" s="52">
        <v>115.87</v>
      </c>
      <c r="W9" s="52">
        <v>137.22</v>
      </c>
      <c r="X9" s="52">
        <v>115.3</v>
      </c>
      <c r="Y9" s="52">
        <v>105.29</v>
      </c>
      <c r="Z9" s="52">
        <v>113.35</v>
      </c>
      <c r="AA9" s="52">
        <v>127.15</v>
      </c>
      <c r="AB9" s="52">
        <v>110.26</v>
      </c>
      <c r="AC9" s="52">
        <v>96.87</v>
      </c>
      <c r="AD9" s="52">
        <v>117.63</v>
      </c>
      <c r="AE9" s="52">
        <v>118.41</v>
      </c>
      <c r="AF9" s="52">
        <v>107.45</v>
      </c>
      <c r="AG9" s="52">
        <v>96.2</v>
      </c>
      <c r="AH9" s="52">
        <v>128.11000000000001</v>
      </c>
      <c r="AI9" s="52">
        <v>138.6</v>
      </c>
      <c r="AJ9" s="52">
        <v>102.86</v>
      </c>
      <c r="AK9" s="52">
        <v>132.69</v>
      </c>
      <c r="AL9" s="52">
        <v>125.28</v>
      </c>
      <c r="AM9" s="52">
        <v>125.49</v>
      </c>
      <c r="AN9" s="52">
        <v>89.61</v>
      </c>
      <c r="AO9" s="52">
        <v>105.6</v>
      </c>
      <c r="AP9" s="52">
        <v>91.35</v>
      </c>
      <c r="AQ9" s="52">
        <v>113.05</v>
      </c>
      <c r="AR9" s="52">
        <v>124.65</v>
      </c>
      <c r="AS9" s="52">
        <v>132.78</v>
      </c>
      <c r="AT9" s="52">
        <v>114.46</v>
      </c>
      <c r="AU9" s="52">
        <v>106.36</v>
      </c>
      <c r="AV9" s="52">
        <v>132.83000000000001</v>
      </c>
      <c r="AW9" s="52">
        <v>132.65</v>
      </c>
      <c r="AX9" s="52">
        <v>129.66999999999999</v>
      </c>
      <c r="AY9" s="52">
        <v>123.27</v>
      </c>
      <c r="AZ9" s="52">
        <v>130.21</v>
      </c>
      <c r="BA9" s="52">
        <v>130.81</v>
      </c>
      <c r="BB9" s="52">
        <v>116.16</v>
      </c>
      <c r="BC9" s="52">
        <v>111.71</v>
      </c>
      <c r="BD9" s="52">
        <v>131.08000000000001</v>
      </c>
      <c r="BE9" s="52">
        <v>123.83</v>
      </c>
      <c r="BF9" s="52">
        <v>128.68</v>
      </c>
      <c r="BG9" s="52">
        <v>144.01</v>
      </c>
      <c r="BH9" s="52">
        <v>110.34</v>
      </c>
      <c r="BI9" s="52">
        <v>115.47</v>
      </c>
      <c r="BJ9" s="52">
        <v>122.2</v>
      </c>
      <c r="BK9" s="52">
        <v>118.65</v>
      </c>
      <c r="BL9" s="52">
        <v>106.02</v>
      </c>
      <c r="BM9" s="52">
        <v>97.28</v>
      </c>
      <c r="BN9" s="52">
        <v>109.68</v>
      </c>
      <c r="BO9" s="52">
        <v>118.11</v>
      </c>
      <c r="BP9" s="52">
        <v>120.13</v>
      </c>
      <c r="BQ9" s="52">
        <v>124.57</v>
      </c>
      <c r="BR9" s="52">
        <v>107.42</v>
      </c>
      <c r="BS9" s="52">
        <v>170.49</v>
      </c>
      <c r="BT9" s="52">
        <v>149.47999999999999</v>
      </c>
      <c r="BU9" s="52">
        <v>148.85</v>
      </c>
      <c r="BV9" s="52">
        <v>122.06</v>
      </c>
      <c r="BW9" s="52">
        <v>104.78</v>
      </c>
      <c r="BX9" s="52">
        <v>112.03</v>
      </c>
      <c r="BY9" s="52">
        <v>133.19</v>
      </c>
      <c r="BZ9" s="52">
        <v>115.8</v>
      </c>
      <c r="CA9" s="52">
        <v>125.44</v>
      </c>
      <c r="CB9" s="53">
        <v>137.22</v>
      </c>
      <c r="CC9" s="52">
        <v>115.29</v>
      </c>
      <c r="CD9" s="52">
        <v>104.27</v>
      </c>
      <c r="CE9" s="52">
        <v>101.62</v>
      </c>
      <c r="CF9" s="52">
        <v>119.87</v>
      </c>
      <c r="CG9" s="52">
        <v>116.43</v>
      </c>
      <c r="CH9" s="52">
        <v>128.6</v>
      </c>
      <c r="CI9" s="52">
        <v>121.07</v>
      </c>
      <c r="CJ9" s="52">
        <v>110.26</v>
      </c>
      <c r="CK9" s="52">
        <v>92.43</v>
      </c>
      <c r="CL9" s="52">
        <v>97.76</v>
      </c>
      <c r="CM9" s="52">
        <v>132.66</v>
      </c>
      <c r="CN9" s="52">
        <v>117.63</v>
      </c>
      <c r="CO9" s="52">
        <v>118.41</v>
      </c>
      <c r="CP9" s="52">
        <v>98.6</v>
      </c>
      <c r="CQ9" s="52">
        <v>131.16999999999999</v>
      </c>
      <c r="CR9" s="52">
        <v>93.28</v>
      </c>
      <c r="CS9" s="52">
        <v>118.31</v>
      </c>
      <c r="CT9" s="52">
        <v>112.31</v>
      </c>
      <c r="CU9" s="52">
        <v>156.15</v>
      </c>
      <c r="CV9" s="52">
        <v>116.1</v>
      </c>
      <c r="CW9" s="52">
        <v>87.61</v>
      </c>
      <c r="CX9" s="52">
        <v>138.6</v>
      </c>
      <c r="CY9" s="52">
        <v>102.74</v>
      </c>
      <c r="CZ9" s="52">
        <v>0</v>
      </c>
      <c r="DA9" s="52">
        <v>107.31</v>
      </c>
      <c r="DB9" s="52">
        <v>111.41</v>
      </c>
      <c r="DC9" s="52">
        <v>134.44</v>
      </c>
      <c r="DD9" s="52">
        <v>126.47</v>
      </c>
      <c r="DE9" s="52">
        <v>130.4</v>
      </c>
      <c r="DF9" s="52">
        <v>129.47999999999999</v>
      </c>
      <c r="DG9" s="52">
        <v>126.7</v>
      </c>
      <c r="DH9" s="52">
        <v>91.75</v>
      </c>
      <c r="DI9" s="52">
        <v>86.85</v>
      </c>
      <c r="DJ9" s="52">
        <v>132.63999999999999</v>
      </c>
      <c r="DK9" s="52">
        <v>125.49</v>
      </c>
      <c r="DL9" s="52">
        <v>89.61</v>
      </c>
      <c r="DM9" s="52">
        <v>105.6</v>
      </c>
      <c r="DN9" s="52">
        <v>79.900000000000006</v>
      </c>
      <c r="DO9" s="52">
        <v>96.16</v>
      </c>
      <c r="DP9" s="52">
        <v>130.85</v>
      </c>
      <c r="DQ9" s="52">
        <v>113.05</v>
      </c>
      <c r="DR9" s="52">
        <v>125.29</v>
      </c>
      <c r="DS9" s="52">
        <v>117.43</v>
      </c>
      <c r="DT9" s="52"/>
      <c r="DU9" s="52">
        <v>130.21</v>
      </c>
      <c r="DV9" s="52">
        <v>133.63999999999999</v>
      </c>
      <c r="DW9" s="52">
        <v>118.86</v>
      </c>
      <c r="DX9" s="52">
        <v>165.02</v>
      </c>
      <c r="DY9" s="52">
        <v>121.65</v>
      </c>
      <c r="DZ9" s="52">
        <v>106.75</v>
      </c>
      <c r="EA9" s="52">
        <v>112.92</v>
      </c>
      <c r="EB9" s="52">
        <v>106.36</v>
      </c>
      <c r="EC9" s="52">
        <v>132.83000000000001</v>
      </c>
      <c r="ED9" s="52">
        <v>132.65</v>
      </c>
      <c r="EE9" s="52">
        <v>129.66999999999999</v>
      </c>
      <c r="EF9" s="52">
        <v>123.27</v>
      </c>
      <c r="EG9" s="52">
        <v>130.21</v>
      </c>
      <c r="EH9" s="52">
        <v>130.81</v>
      </c>
      <c r="EI9" s="52">
        <v>141.01</v>
      </c>
      <c r="EJ9" s="52">
        <v>101.8</v>
      </c>
      <c r="EK9" s="52">
        <v>108.46</v>
      </c>
      <c r="EL9" s="52">
        <v>106.22</v>
      </c>
      <c r="EM9" s="52">
        <v>125.11</v>
      </c>
      <c r="EN9" s="52">
        <v>131.08000000000001</v>
      </c>
      <c r="EO9" s="52">
        <v>128.11000000000001</v>
      </c>
      <c r="EP9" s="52">
        <v>119.78</v>
      </c>
      <c r="EQ9" s="52">
        <v>120.74</v>
      </c>
      <c r="ER9" s="52">
        <v>128.68</v>
      </c>
      <c r="ES9" s="52">
        <v>144.01</v>
      </c>
      <c r="ET9" s="52">
        <v>122.72</v>
      </c>
      <c r="EU9" s="52">
        <v>108.36</v>
      </c>
      <c r="EV9" s="52">
        <v>106.7</v>
      </c>
      <c r="EW9" s="52">
        <v>124.42</v>
      </c>
      <c r="EX9" s="52">
        <v>99.56</v>
      </c>
      <c r="EY9" s="52">
        <v>112.51</v>
      </c>
      <c r="EZ9" s="52">
        <v>115.24</v>
      </c>
      <c r="FA9" s="52">
        <v>119.77</v>
      </c>
      <c r="FB9" s="52">
        <v>107.88</v>
      </c>
      <c r="FC9" s="52">
        <v>120.77</v>
      </c>
      <c r="FD9" s="52">
        <v>117.45</v>
      </c>
      <c r="FE9" s="52">
        <v>122.2</v>
      </c>
      <c r="FF9" s="52"/>
      <c r="FG9" s="52">
        <v>122.31</v>
      </c>
      <c r="FH9" s="52">
        <v>118.25</v>
      </c>
      <c r="FI9" s="52">
        <v>122.92</v>
      </c>
      <c r="FJ9" s="52">
        <v>105.54</v>
      </c>
      <c r="FK9" s="52">
        <v>128.82</v>
      </c>
      <c r="FL9" s="52">
        <v>102.47</v>
      </c>
      <c r="FM9" s="52">
        <v>104.62</v>
      </c>
      <c r="FN9" s="52">
        <v>91.31</v>
      </c>
      <c r="FO9" s="52">
        <v>129.72</v>
      </c>
      <c r="FP9" s="52">
        <v>104.56</v>
      </c>
      <c r="FQ9" s="52">
        <v>76.55</v>
      </c>
      <c r="FR9" s="52">
        <v>142.09</v>
      </c>
      <c r="FS9" s="52">
        <v>133.63999999999999</v>
      </c>
      <c r="FT9" s="52">
        <v>115.35</v>
      </c>
      <c r="FU9" s="52">
        <v>117.18</v>
      </c>
      <c r="FV9" s="52">
        <v>126.34</v>
      </c>
      <c r="FW9" s="52">
        <v>121.65</v>
      </c>
      <c r="FX9" s="52">
        <v>120.13</v>
      </c>
      <c r="FY9" s="52">
        <v>118.48</v>
      </c>
      <c r="FZ9" s="52">
        <v>125.1</v>
      </c>
      <c r="GA9" s="52">
        <v>126.35</v>
      </c>
      <c r="GB9" s="52">
        <v>105.42</v>
      </c>
      <c r="GC9" s="52">
        <v>107.03</v>
      </c>
      <c r="GD9" s="52">
        <v>112.97</v>
      </c>
      <c r="GE9" s="52">
        <v>170.49</v>
      </c>
      <c r="GF9" s="52">
        <v>149.47999999999999</v>
      </c>
      <c r="GG9" s="52">
        <v>148.85</v>
      </c>
      <c r="GH9" s="52">
        <v>122.16</v>
      </c>
      <c r="GI9" s="52">
        <v>106.25</v>
      </c>
      <c r="GJ9" s="52">
        <v>102.89</v>
      </c>
      <c r="GK9" s="52">
        <v>104.58</v>
      </c>
      <c r="GL9" s="52">
        <v>121.43</v>
      </c>
      <c r="GM9" s="52">
        <v>112.03</v>
      </c>
      <c r="GN9" s="52">
        <v>133.19</v>
      </c>
      <c r="GO9" s="52">
        <v>117.39</v>
      </c>
      <c r="GP9" s="52">
        <v>116.61</v>
      </c>
      <c r="GQ9" s="52">
        <v>110.23</v>
      </c>
      <c r="GR9" s="52">
        <v>125.44</v>
      </c>
      <c r="GS9" s="52">
        <v>137.22</v>
      </c>
      <c r="GT9" s="52">
        <v>115.29</v>
      </c>
      <c r="GU9" s="52">
        <v>104.27</v>
      </c>
      <c r="GV9" s="52">
        <v>101.62</v>
      </c>
      <c r="GW9" s="52">
        <v>114.37</v>
      </c>
      <c r="GX9" s="52">
        <v>122.86</v>
      </c>
      <c r="GY9" s="52">
        <v>116.43</v>
      </c>
      <c r="GZ9" s="52">
        <v>122.8</v>
      </c>
      <c r="HA9" s="52">
        <v>134.27000000000001</v>
      </c>
      <c r="HB9" s="52">
        <v>127.06</v>
      </c>
      <c r="HC9" s="52">
        <v>121.07</v>
      </c>
      <c r="HD9" s="52">
        <v>110.26</v>
      </c>
      <c r="HE9" s="52">
        <v>79.81</v>
      </c>
      <c r="HF9" s="52">
        <v>83.38</v>
      </c>
      <c r="HG9" s="52">
        <v>87.22</v>
      </c>
      <c r="HH9" s="52">
        <v>115.39</v>
      </c>
      <c r="HI9" s="52">
        <v>99.74</v>
      </c>
      <c r="HJ9" s="52">
        <v>97.76</v>
      </c>
      <c r="HK9" s="52">
        <v>132.66</v>
      </c>
      <c r="HL9" s="52">
        <v>114.16</v>
      </c>
      <c r="HM9" s="52">
        <v>124.47</v>
      </c>
      <c r="HN9" s="52">
        <v>119.2</v>
      </c>
      <c r="HO9" s="52">
        <v>113.89</v>
      </c>
      <c r="HP9" s="52">
        <v>122.69</v>
      </c>
      <c r="HQ9" s="52">
        <v>96.68</v>
      </c>
      <c r="HR9" s="52">
        <v>115.8</v>
      </c>
      <c r="HS9" s="52">
        <v>131.21</v>
      </c>
      <c r="HT9" s="52">
        <v>129.32</v>
      </c>
      <c r="HU9" s="52">
        <v>93.28</v>
      </c>
      <c r="HV9" s="52">
        <v>118.31</v>
      </c>
      <c r="HW9" s="52">
        <v>116.65</v>
      </c>
      <c r="HX9" s="52">
        <v>103.1</v>
      </c>
      <c r="HY9" s="52">
        <v>156.15</v>
      </c>
      <c r="HZ9" s="52">
        <v>116.1</v>
      </c>
      <c r="IA9" s="52">
        <v>83.17</v>
      </c>
      <c r="IB9" s="52">
        <v>138.6</v>
      </c>
      <c r="IC9" s="52">
        <v>0</v>
      </c>
      <c r="ID9" s="52">
        <v>102.74</v>
      </c>
      <c r="IE9" s="52">
        <v>0</v>
      </c>
      <c r="IF9" s="52">
        <v>107.31</v>
      </c>
      <c r="IG9" s="52">
        <v>111.41</v>
      </c>
      <c r="IH9" s="52">
        <v>134.44</v>
      </c>
      <c r="II9" s="52">
        <v>126.47</v>
      </c>
      <c r="IJ9" s="52">
        <v>130.4</v>
      </c>
      <c r="IK9" s="52">
        <v>130.02000000000001</v>
      </c>
      <c r="IL9" s="52">
        <v>127.66</v>
      </c>
      <c r="IM9" s="52">
        <v>131.05000000000001</v>
      </c>
      <c r="IN9" s="52">
        <v>122.1</v>
      </c>
      <c r="IO9" s="52">
        <v>111.87</v>
      </c>
      <c r="IP9" s="52">
        <v>91.75</v>
      </c>
      <c r="IQ9" s="52">
        <v>86.85</v>
      </c>
      <c r="IR9" s="52">
        <v>132.63999999999999</v>
      </c>
      <c r="IS9" s="52">
        <v>125.49</v>
      </c>
      <c r="IT9" s="52">
        <v>89.61</v>
      </c>
      <c r="IU9" s="52">
        <v>105.6</v>
      </c>
      <c r="IV9" s="52">
        <v>80.11</v>
      </c>
      <c r="IW9" s="52">
        <v>96.16</v>
      </c>
      <c r="IX9" s="52">
        <v>130.85</v>
      </c>
      <c r="IY9" s="52">
        <v>113.05</v>
      </c>
      <c r="IZ9" s="52">
        <v>125.29</v>
      </c>
      <c r="JA9" s="52">
        <v>117.43</v>
      </c>
      <c r="JB9" s="52"/>
      <c r="JC9" s="52">
        <v>130.21</v>
      </c>
      <c r="JD9" s="52">
        <v>133.63999999999999</v>
      </c>
      <c r="JE9" s="52">
        <v>119.68</v>
      </c>
      <c r="JF9" s="52">
        <v>118.49</v>
      </c>
      <c r="JG9" s="52">
        <v>165.02</v>
      </c>
      <c r="JH9" s="52">
        <v>121.65</v>
      </c>
      <c r="JI9" s="52">
        <v>106.75</v>
      </c>
      <c r="JJ9" s="52">
        <v>112.92</v>
      </c>
      <c r="JK9" s="52">
        <v>106.36</v>
      </c>
      <c r="JL9" s="52">
        <v>132.83000000000001</v>
      </c>
      <c r="JM9" s="52">
        <v>132.65</v>
      </c>
      <c r="JN9" s="52">
        <v>129.66999999999999</v>
      </c>
      <c r="JO9" s="52">
        <v>123.27</v>
      </c>
      <c r="JP9" s="52">
        <v>132.69</v>
      </c>
      <c r="JQ9" s="52">
        <v>124.4</v>
      </c>
      <c r="JR9" s="52">
        <v>126.16</v>
      </c>
      <c r="JS9" s="52">
        <v>136.72</v>
      </c>
      <c r="JT9" s="52">
        <v>146.44</v>
      </c>
      <c r="JU9" s="52">
        <v>135.69</v>
      </c>
      <c r="JV9" s="52">
        <v>101.8</v>
      </c>
      <c r="JW9" s="52">
        <v>108.46</v>
      </c>
      <c r="JX9" s="52">
        <v>106.22</v>
      </c>
      <c r="JY9" s="52">
        <v>126.44</v>
      </c>
      <c r="JZ9" s="52">
        <v>121.91</v>
      </c>
      <c r="KA9" s="52">
        <v>131.08000000000001</v>
      </c>
      <c r="KB9" s="52">
        <v>128.11000000000001</v>
      </c>
      <c r="KC9" s="52">
        <v>119.78</v>
      </c>
      <c r="KD9" s="52">
        <v>120.74</v>
      </c>
      <c r="KE9" s="52">
        <v>128.68</v>
      </c>
      <c r="KF9" s="52">
        <v>144.01</v>
      </c>
    </row>
    <row r="10" spans="1:293" s="41" customFormat="1" ht="12">
      <c r="A10" s="41">
        <v>2005</v>
      </c>
      <c r="B10" s="54" t="s">
        <v>985</v>
      </c>
      <c r="C10" s="55" t="s">
        <v>986</v>
      </c>
      <c r="D10" s="56">
        <v>116.69</v>
      </c>
      <c r="E10" s="56">
        <v>111.95</v>
      </c>
      <c r="F10" s="56">
        <v>124.6</v>
      </c>
      <c r="G10" s="56">
        <v>117.82</v>
      </c>
      <c r="H10" s="56">
        <v>117.47</v>
      </c>
      <c r="I10" s="56">
        <v>113.48</v>
      </c>
      <c r="J10" s="56">
        <v>114.27</v>
      </c>
      <c r="K10" s="56">
        <v>122.12</v>
      </c>
      <c r="L10" s="56">
        <v>105.05</v>
      </c>
      <c r="M10" s="56">
        <v>115.51</v>
      </c>
      <c r="N10" s="56">
        <v>130.53</v>
      </c>
      <c r="O10" s="56">
        <v>131.69999999999999</v>
      </c>
      <c r="P10" s="56">
        <v>115.9</v>
      </c>
      <c r="Q10" s="56">
        <v>111.63</v>
      </c>
      <c r="R10" s="56">
        <v>116.51</v>
      </c>
      <c r="S10" s="56">
        <v>161.36000000000001</v>
      </c>
      <c r="T10" s="56">
        <v>122.06</v>
      </c>
      <c r="U10" s="56">
        <v>117</v>
      </c>
      <c r="V10" s="56">
        <v>120.16</v>
      </c>
      <c r="W10" s="56">
        <v>138.91999999999999</v>
      </c>
      <c r="X10" s="56">
        <v>115.47</v>
      </c>
      <c r="Y10" s="56">
        <v>103.16</v>
      </c>
      <c r="Z10" s="56">
        <v>112.71</v>
      </c>
      <c r="AA10" s="56">
        <v>129.22999999999999</v>
      </c>
      <c r="AB10" s="56">
        <v>110.09</v>
      </c>
      <c r="AC10" s="56">
        <v>96.62</v>
      </c>
      <c r="AD10" s="56">
        <v>117.59</v>
      </c>
      <c r="AE10" s="56">
        <v>118.82</v>
      </c>
      <c r="AF10" s="56">
        <v>107.94</v>
      </c>
      <c r="AG10" s="56">
        <v>96.16</v>
      </c>
      <c r="AH10" s="56">
        <v>128.43</v>
      </c>
      <c r="AI10" s="56">
        <v>138.66999999999999</v>
      </c>
      <c r="AJ10" s="56">
        <v>104.1</v>
      </c>
      <c r="AK10" s="56">
        <v>130.96</v>
      </c>
      <c r="AL10" s="56">
        <v>126.51</v>
      </c>
      <c r="AM10" s="56">
        <v>125.49</v>
      </c>
      <c r="AN10" s="56">
        <v>92.61</v>
      </c>
      <c r="AO10" s="56">
        <v>106.2</v>
      </c>
      <c r="AP10" s="56">
        <v>97.32</v>
      </c>
      <c r="AQ10" s="56">
        <v>114.63</v>
      </c>
      <c r="AR10" s="56">
        <v>125.53</v>
      </c>
      <c r="AS10" s="56">
        <v>133.31</v>
      </c>
      <c r="AT10" s="56">
        <v>117.56</v>
      </c>
      <c r="AU10" s="56">
        <v>113.34</v>
      </c>
      <c r="AV10" s="56">
        <v>132.82</v>
      </c>
      <c r="AW10" s="56">
        <v>132.65</v>
      </c>
      <c r="AX10" s="56">
        <v>129.66999999999999</v>
      </c>
      <c r="AY10" s="56">
        <v>123.64</v>
      </c>
      <c r="AZ10" s="56">
        <v>132.02000000000001</v>
      </c>
      <c r="BA10" s="56">
        <v>131.28</v>
      </c>
      <c r="BB10" s="56">
        <v>116.16</v>
      </c>
      <c r="BC10" s="56">
        <v>111.92</v>
      </c>
      <c r="BD10" s="56">
        <v>131.37</v>
      </c>
      <c r="BE10" s="56">
        <v>122</v>
      </c>
      <c r="BF10" s="56">
        <v>128.66</v>
      </c>
      <c r="BG10" s="56">
        <v>144</v>
      </c>
      <c r="BH10" s="52">
        <v>110.61</v>
      </c>
      <c r="BI10" s="52">
        <v>116.07</v>
      </c>
      <c r="BJ10" s="52">
        <v>135.75</v>
      </c>
      <c r="BK10" s="52">
        <v>115.86</v>
      </c>
      <c r="BL10" s="52">
        <v>105.71</v>
      </c>
      <c r="BM10" s="52">
        <v>114.58</v>
      </c>
      <c r="BN10" s="52">
        <v>97.53</v>
      </c>
      <c r="BO10" s="52">
        <v>118.37</v>
      </c>
      <c r="BP10" s="52">
        <v>120.55</v>
      </c>
      <c r="BQ10" s="52">
        <v>125.8</v>
      </c>
      <c r="BR10" s="52">
        <v>107.21</v>
      </c>
      <c r="BS10" s="52">
        <v>170.55</v>
      </c>
      <c r="BT10" s="52">
        <v>149.76</v>
      </c>
      <c r="BU10" s="52">
        <v>148.80000000000001</v>
      </c>
      <c r="BV10" s="52">
        <v>122.06</v>
      </c>
      <c r="BW10" s="52">
        <v>117.15</v>
      </c>
      <c r="BX10" s="52">
        <v>112.69</v>
      </c>
      <c r="BY10" s="52">
        <v>134.44999999999999</v>
      </c>
      <c r="BZ10" s="52">
        <v>120.11</v>
      </c>
      <c r="CA10" s="52">
        <v>127.08</v>
      </c>
      <c r="CB10" s="53">
        <v>138.91999999999999</v>
      </c>
      <c r="CC10" s="52">
        <v>115.47</v>
      </c>
      <c r="CD10" s="52">
        <v>102.23</v>
      </c>
      <c r="CE10" s="52">
        <v>99.97</v>
      </c>
      <c r="CF10" s="52">
        <v>120.55</v>
      </c>
      <c r="CG10" s="52">
        <v>115.8</v>
      </c>
      <c r="CH10" s="52">
        <v>131</v>
      </c>
      <c r="CI10" s="52">
        <v>121.82</v>
      </c>
      <c r="CJ10" s="52">
        <v>110.09</v>
      </c>
      <c r="CK10" s="52">
        <v>92.14</v>
      </c>
      <c r="CL10" s="52">
        <v>97.66</v>
      </c>
      <c r="CM10" s="52">
        <v>132.72</v>
      </c>
      <c r="CN10" s="52">
        <v>117.59</v>
      </c>
      <c r="CO10" s="52">
        <v>118.82</v>
      </c>
      <c r="CP10" s="52">
        <v>98.39</v>
      </c>
      <c r="CQ10" s="52">
        <v>133.93</v>
      </c>
      <c r="CR10" s="52">
        <v>93.28</v>
      </c>
      <c r="CS10" s="52">
        <v>119.55</v>
      </c>
      <c r="CT10" s="52">
        <v>111.74</v>
      </c>
      <c r="CU10" s="52">
        <v>156.82</v>
      </c>
      <c r="CV10" s="52">
        <v>116.07</v>
      </c>
      <c r="CW10" s="52">
        <v>87.66</v>
      </c>
      <c r="CX10" s="52">
        <v>138.66999999999999</v>
      </c>
      <c r="CY10" s="52">
        <v>104.01</v>
      </c>
      <c r="CZ10" s="52">
        <v>0</v>
      </c>
      <c r="DA10" s="52">
        <v>107.31</v>
      </c>
      <c r="DB10" s="52">
        <v>110.18</v>
      </c>
      <c r="DC10" s="52">
        <v>132.31</v>
      </c>
      <c r="DD10" s="52">
        <v>127.61</v>
      </c>
      <c r="DE10" s="52">
        <v>132.57</v>
      </c>
      <c r="DF10" s="52">
        <v>129.19</v>
      </c>
      <c r="DG10" s="52">
        <v>128.03</v>
      </c>
      <c r="DH10" s="52">
        <v>91.54</v>
      </c>
      <c r="DI10" s="52">
        <v>86.85</v>
      </c>
      <c r="DJ10" s="52">
        <v>135.66</v>
      </c>
      <c r="DK10" s="52">
        <v>125.49</v>
      </c>
      <c r="DL10" s="52">
        <v>92.61</v>
      </c>
      <c r="DM10" s="52">
        <v>106.2</v>
      </c>
      <c r="DN10" s="52">
        <v>87.57</v>
      </c>
      <c r="DO10" s="52">
        <v>103.2</v>
      </c>
      <c r="DP10" s="52">
        <v>133.46</v>
      </c>
      <c r="DQ10" s="52">
        <v>114.63</v>
      </c>
      <c r="DR10" s="52">
        <v>126.15</v>
      </c>
      <c r="DS10" s="52">
        <v>118.23</v>
      </c>
      <c r="DT10" s="52"/>
      <c r="DU10" s="52">
        <v>131.22</v>
      </c>
      <c r="DV10" s="52">
        <v>135.59</v>
      </c>
      <c r="DW10" s="52">
        <v>118.55</v>
      </c>
      <c r="DX10" s="52">
        <v>165.02</v>
      </c>
      <c r="DY10" s="52">
        <v>129.79</v>
      </c>
      <c r="DZ10" s="52">
        <v>106.75</v>
      </c>
      <c r="EA10" s="52">
        <v>113.42</v>
      </c>
      <c r="EB10" s="52">
        <v>113.34</v>
      </c>
      <c r="EC10" s="52">
        <v>132.82</v>
      </c>
      <c r="ED10" s="52">
        <v>132.65</v>
      </c>
      <c r="EE10" s="52">
        <v>129.66999999999999</v>
      </c>
      <c r="EF10" s="52">
        <v>123.64</v>
      </c>
      <c r="EG10" s="52">
        <v>132.02000000000001</v>
      </c>
      <c r="EH10" s="52">
        <v>131.28</v>
      </c>
      <c r="EI10" s="52">
        <v>142.02000000000001</v>
      </c>
      <c r="EJ10" s="52">
        <v>102.34</v>
      </c>
      <c r="EK10" s="52">
        <v>108.16</v>
      </c>
      <c r="EL10" s="52">
        <v>106.22</v>
      </c>
      <c r="EM10" s="52">
        <v>125.84</v>
      </c>
      <c r="EN10" s="52">
        <v>131.37</v>
      </c>
      <c r="EO10" s="52">
        <v>129.22999999999999</v>
      </c>
      <c r="EP10" s="52">
        <v>110.37</v>
      </c>
      <c r="EQ10" s="52">
        <v>117.07</v>
      </c>
      <c r="ER10" s="52">
        <v>128.66</v>
      </c>
      <c r="ES10" s="52">
        <v>144</v>
      </c>
      <c r="ET10" s="52">
        <v>124.22</v>
      </c>
      <c r="EU10" s="52">
        <v>108.56</v>
      </c>
      <c r="EV10" s="52">
        <v>106.69</v>
      </c>
      <c r="EW10" s="52">
        <v>125.28</v>
      </c>
      <c r="EX10" s="52">
        <v>100.02</v>
      </c>
      <c r="EY10" s="52">
        <v>112.27</v>
      </c>
      <c r="EZ10" s="52">
        <v>115.3</v>
      </c>
      <c r="FA10" s="52">
        <v>120.35</v>
      </c>
      <c r="FB10" s="52">
        <v>109.1</v>
      </c>
      <c r="FC10" s="52">
        <v>120.68</v>
      </c>
      <c r="FD10" s="52">
        <v>118.31</v>
      </c>
      <c r="FE10" s="52">
        <v>135.75</v>
      </c>
      <c r="FF10" s="52"/>
      <c r="FG10" s="52">
        <v>120.17</v>
      </c>
      <c r="FH10" s="52">
        <v>116.56</v>
      </c>
      <c r="FI10" s="52">
        <v>122.97</v>
      </c>
      <c r="FJ10" s="52">
        <v>95.15</v>
      </c>
      <c r="FK10" s="52">
        <v>129.11000000000001</v>
      </c>
      <c r="FL10" s="52">
        <v>99.93</v>
      </c>
      <c r="FM10" s="52">
        <v>104.85</v>
      </c>
      <c r="FN10" s="52">
        <v>110.56</v>
      </c>
      <c r="FO10" s="52">
        <v>130.79</v>
      </c>
      <c r="FP10" s="52">
        <v>81.510000000000005</v>
      </c>
      <c r="FQ10" s="52">
        <v>91.8</v>
      </c>
      <c r="FR10" s="52">
        <v>141.85</v>
      </c>
      <c r="FS10" s="52">
        <v>133.82</v>
      </c>
      <c r="FT10" s="52">
        <v>115.28</v>
      </c>
      <c r="FU10" s="52">
        <v>117.63</v>
      </c>
      <c r="FV10" s="52">
        <v>127.28</v>
      </c>
      <c r="FW10" s="52">
        <v>122.61</v>
      </c>
      <c r="FX10" s="52">
        <v>120.55</v>
      </c>
      <c r="FY10" s="52">
        <v>118.53</v>
      </c>
      <c r="FZ10" s="52">
        <v>126.47</v>
      </c>
      <c r="GA10" s="52">
        <v>127.13</v>
      </c>
      <c r="GB10" s="52">
        <v>104.21</v>
      </c>
      <c r="GC10" s="52">
        <v>107.08</v>
      </c>
      <c r="GD10" s="52">
        <v>113.26</v>
      </c>
      <c r="GE10" s="52">
        <v>170.55</v>
      </c>
      <c r="GF10" s="52">
        <v>149.76</v>
      </c>
      <c r="GG10" s="52">
        <v>148.80000000000001</v>
      </c>
      <c r="GH10" s="52">
        <v>122.16</v>
      </c>
      <c r="GI10" s="52">
        <v>116.76</v>
      </c>
      <c r="GJ10" s="52">
        <v>116.79</v>
      </c>
      <c r="GK10" s="52">
        <v>118.73</v>
      </c>
      <c r="GL10" s="52">
        <v>122.04</v>
      </c>
      <c r="GM10" s="52">
        <v>112.69</v>
      </c>
      <c r="GN10" s="52">
        <v>134.44999999999999</v>
      </c>
      <c r="GO10" s="52">
        <v>121.51</v>
      </c>
      <c r="GP10" s="52">
        <v>122.24</v>
      </c>
      <c r="GQ10" s="52">
        <v>112.64</v>
      </c>
      <c r="GR10" s="52">
        <v>127.08</v>
      </c>
      <c r="GS10" s="52">
        <v>138.91999999999999</v>
      </c>
      <c r="GT10" s="52">
        <v>115.47</v>
      </c>
      <c r="GU10" s="52">
        <v>102.23</v>
      </c>
      <c r="GV10" s="52">
        <v>99.97</v>
      </c>
      <c r="GW10" s="52">
        <v>115.52</v>
      </c>
      <c r="GX10" s="52">
        <v>123.28</v>
      </c>
      <c r="GY10" s="52">
        <v>115.8</v>
      </c>
      <c r="GZ10" s="52">
        <v>123.24</v>
      </c>
      <c r="HA10" s="52">
        <v>134.12</v>
      </c>
      <c r="HB10" s="52">
        <v>130.88</v>
      </c>
      <c r="HC10" s="52">
        <v>121.82</v>
      </c>
      <c r="HD10" s="52">
        <v>110.09</v>
      </c>
      <c r="HE10" s="52">
        <v>79.81</v>
      </c>
      <c r="HF10" s="52">
        <v>83.72</v>
      </c>
      <c r="HG10" s="52">
        <v>87.19</v>
      </c>
      <c r="HH10" s="52">
        <v>115.4</v>
      </c>
      <c r="HI10" s="52">
        <v>96.03</v>
      </c>
      <c r="HJ10" s="52">
        <v>97.66</v>
      </c>
      <c r="HK10" s="52">
        <v>132.72</v>
      </c>
      <c r="HL10" s="52">
        <v>114.24</v>
      </c>
      <c r="HM10" s="52">
        <v>124.68</v>
      </c>
      <c r="HN10" s="52">
        <v>119.02</v>
      </c>
      <c r="HO10" s="52">
        <v>114.33</v>
      </c>
      <c r="HP10" s="52">
        <v>123.08</v>
      </c>
      <c r="HQ10" s="52">
        <v>96.4</v>
      </c>
      <c r="HR10" s="52">
        <v>116.39</v>
      </c>
      <c r="HS10" s="52">
        <v>133.97999999999999</v>
      </c>
      <c r="HT10" s="52">
        <v>131.37</v>
      </c>
      <c r="HU10" s="52">
        <v>93.28</v>
      </c>
      <c r="HV10" s="52">
        <v>119.55</v>
      </c>
      <c r="HW10" s="52">
        <v>116.64</v>
      </c>
      <c r="HX10" s="52">
        <v>101.32</v>
      </c>
      <c r="HY10" s="52">
        <v>156.82</v>
      </c>
      <c r="HZ10" s="52">
        <v>116.07</v>
      </c>
      <c r="IA10" s="52">
        <v>83.14</v>
      </c>
      <c r="IB10" s="52">
        <v>138.66999999999999</v>
      </c>
      <c r="IC10" s="52">
        <v>0</v>
      </c>
      <c r="ID10" s="52">
        <v>104.01</v>
      </c>
      <c r="IE10" s="52">
        <v>0</v>
      </c>
      <c r="IF10" s="52">
        <v>107.31</v>
      </c>
      <c r="IG10" s="52">
        <v>110.18</v>
      </c>
      <c r="IH10" s="52">
        <v>132.31</v>
      </c>
      <c r="II10" s="52">
        <v>127.61</v>
      </c>
      <c r="IJ10" s="52">
        <v>132.57</v>
      </c>
      <c r="IK10" s="52">
        <v>129.61000000000001</v>
      </c>
      <c r="IL10" s="52">
        <v>127.66</v>
      </c>
      <c r="IM10" s="52">
        <v>131.99</v>
      </c>
      <c r="IN10" s="52">
        <v>122.59</v>
      </c>
      <c r="IO10" s="52">
        <v>114.99</v>
      </c>
      <c r="IP10" s="52">
        <v>91.54</v>
      </c>
      <c r="IQ10" s="52">
        <v>86.85</v>
      </c>
      <c r="IR10" s="52">
        <v>135.66</v>
      </c>
      <c r="IS10" s="52">
        <v>125.49</v>
      </c>
      <c r="IT10" s="52">
        <v>92.61</v>
      </c>
      <c r="IU10" s="52">
        <v>106.2</v>
      </c>
      <c r="IV10" s="52">
        <v>88.19</v>
      </c>
      <c r="IW10" s="52">
        <v>103.2</v>
      </c>
      <c r="IX10" s="52">
        <v>133.46</v>
      </c>
      <c r="IY10" s="52">
        <v>114.63</v>
      </c>
      <c r="IZ10" s="52">
        <v>126.15</v>
      </c>
      <c r="JA10" s="52">
        <v>118.23</v>
      </c>
      <c r="JB10" s="52"/>
      <c r="JC10" s="52">
        <v>131.22</v>
      </c>
      <c r="JD10" s="52">
        <v>135.59</v>
      </c>
      <c r="JE10" s="52">
        <v>119.42</v>
      </c>
      <c r="JF10" s="52">
        <v>118.16</v>
      </c>
      <c r="JG10" s="52">
        <v>165.02</v>
      </c>
      <c r="JH10" s="52">
        <v>129.79</v>
      </c>
      <c r="JI10" s="52">
        <v>106.75</v>
      </c>
      <c r="JJ10" s="52">
        <v>113.42</v>
      </c>
      <c r="JK10" s="52">
        <v>113.34</v>
      </c>
      <c r="JL10" s="52">
        <v>132.82</v>
      </c>
      <c r="JM10" s="52">
        <v>132.65</v>
      </c>
      <c r="JN10" s="52">
        <v>129.66999999999999</v>
      </c>
      <c r="JO10" s="52">
        <v>123.64</v>
      </c>
      <c r="JP10" s="52">
        <v>134.31</v>
      </c>
      <c r="JQ10" s="52">
        <v>126.62</v>
      </c>
      <c r="JR10" s="52">
        <v>126.94</v>
      </c>
      <c r="JS10" s="52">
        <v>136.72999999999999</v>
      </c>
      <c r="JT10" s="52">
        <v>147.41</v>
      </c>
      <c r="JU10" s="52">
        <v>136.74</v>
      </c>
      <c r="JV10" s="52">
        <v>102.34</v>
      </c>
      <c r="JW10" s="52">
        <v>108.16</v>
      </c>
      <c r="JX10" s="52">
        <v>106.22</v>
      </c>
      <c r="JY10" s="52">
        <v>127.16</v>
      </c>
      <c r="JZ10" s="52">
        <v>122.66</v>
      </c>
      <c r="KA10" s="52">
        <v>131.37</v>
      </c>
      <c r="KB10" s="52">
        <v>129.22999999999999</v>
      </c>
      <c r="KC10" s="52">
        <v>110.37</v>
      </c>
      <c r="KD10" s="52">
        <v>117.07</v>
      </c>
      <c r="KE10" s="52">
        <v>128.66</v>
      </c>
      <c r="KF10" s="52">
        <v>144</v>
      </c>
    </row>
    <row r="11" spans="1:293" s="41" customFormat="1" ht="12">
      <c r="A11" s="41">
        <v>2005</v>
      </c>
      <c r="B11" s="54" t="s">
        <v>987</v>
      </c>
      <c r="C11" s="55" t="s">
        <v>988</v>
      </c>
      <c r="D11" s="56">
        <v>116.81</v>
      </c>
      <c r="E11" s="56">
        <v>110.12</v>
      </c>
      <c r="F11" s="56">
        <v>124.69</v>
      </c>
      <c r="G11" s="56">
        <v>118.78</v>
      </c>
      <c r="H11" s="56">
        <v>118.14</v>
      </c>
      <c r="I11" s="56">
        <v>114.61</v>
      </c>
      <c r="J11" s="56">
        <v>114.39</v>
      </c>
      <c r="K11" s="56">
        <v>122.99</v>
      </c>
      <c r="L11" s="56">
        <v>104.44</v>
      </c>
      <c r="M11" s="56">
        <v>120.14</v>
      </c>
      <c r="N11" s="56">
        <v>134.76</v>
      </c>
      <c r="O11" s="56">
        <v>132.69</v>
      </c>
      <c r="P11" s="56">
        <v>116.86</v>
      </c>
      <c r="Q11" s="56">
        <v>109.66</v>
      </c>
      <c r="R11" s="56">
        <v>116.66</v>
      </c>
      <c r="S11" s="56">
        <v>162.77000000000001</v>
      </c>
      <c r="T11" s="56">
        <v>122.06</v>
      </c>
      <c r="U11" s="56">
        <v>118.21</v>
      </c>
      <c r="V11" s="56">
        <v>120.38</v>
      </c>
      <c r="W11" s="56">
        <v>141.32</v>
      </c>
      <c r="X11" s="56">
        <v>115.94</v>
      </c>
      <c r="Y11" s="56">
        <v>103.53</v>
      </c>
      <c r="Z11" s="56">
        <v>112.83</v>
      </c>
      <c r="AA11" s="56">
        <v>131.54</v>
      </c>
      <c r="AB11" s="56">
        <v>109.53</v>
      </c>
      <c r="AC11" s="56">
        <v>98.03</v>
      </c>
      <c r="AD11" s="56">
        <v>117.47</v>
      </c>
      <c r="AE11" s="56">
        <v>118.84</v>
      </c>
      <c r="AF11" s="56">
        <v>108.63</v>
      </c>
      <c r="AG11" s="56">
        <v>96.03</v>
      </c>
      <c r="AH11" s="56">
        <v>128.91</v>
      </c>
      <c r="AI11" s="56">
        <v>138.79</v>
      </c>
      <c r="AJ11" s="56">
        <v>103.83</v>
      </c>
      <c r="AK11" s="56">
        <v>132.74</v>
      </c>
      <c r="AL11" s="56">
        <v>127.44</v>
      </c>
      <c r="AM11" s="56">
        <v>119.55</v>
      </c>
      <c r="AN11" s="56">
        <v>86.51</v>
      </c>
      <c r="AO11" s="56">
        <v>106.25</v>
      </c>
      <c r="AP11" s="56">
        <v>105.32</v>
      </c>
      <c r="AQ11" s="56">
        <v>114.51</v>
      </c>
      <c r="AR11" s="56">
        <v>125.99</v>
      </c>
      <c r="AS11" s="56">
        <v>134.68</v>
      </c>
      <c r="AT11" s="56">
        <v>119.72</v>
      </c>
      <c r="AU11" s="56">
        <v>119.3</v>
      </c>
      <c r="AV11" s="56">
        <v>140.03</v>
      </c>
      <c r="AW11" s="56">
        <v>143.22999999999999</v>
      </c>
      <c r="AX11" s="56">
        <v>129.66999999999999</v>
      </c>
      <c r="AY11" s="56">
        <v>123.44</v>
      </c>
      <c r="AZ11" s="56">
        <v>133.06</v>
      </c>
      <c r="BA11" s="56">
        <v>132.19999999999999</v>
      </c>
      <c r="BB11" s="56">
        <v>116.76</v>
      </c>
      <c r="BC11" s="56">
        <v>112.99</v>
      </c>
      <c r="BD11" s="56">
        <v>135.88</v>
      </c>
      <c r="BE11" s="56">
        <v>127.27</v>
      </c>
      <c r="BF11" s="56">
        <v>128.66</v>
      </c>
      <c r="BG11" s="56">
        <v>144.01</v>
      </c>
      <c r="BH11" s="52">
        <v>110.83</v>
      </c>
      <c r="BI11" s="52">
        <v>116.26</v>
      </c>
      <c r="BJ11" s="52">
        <v>132.11000000000001</v>
      </c>
      <c r="BK11" s="52">
        <v>114.06</v>
      </c>
      <c r="BL11" s="52">
        <v>105.09</v>
      </c>
      <c r="BM11" s="52">
        <v>106.19</v>
      </c>
      <c r="BN11" s="52">
        <v>92.86</v>
      </c>
      <c r="BO11" s="52">
        <v>118.42</v>
      </c>
      <c r="BP11" s="52">
        <v>121.15</v>
      </c>
      <c r="BQ11" s="52">
        <v>126.68</v>
      </c>
      <c r="BR11" s="52">
        <v>106.72</v>
      </c>
      <c r="BS11" s="52">
        <v>170.64</v>
      </c>
      <c r="BT11" s="52">
        <v>150.63999999999999</v>
      </c>
      <c r="BU11" s="52">
        <v>152.31</v>
      </c>
      <c r="BV11" s="52">
        <v>122.06</v>
      </c>
      <c r="BW11" s="52">
        <v>118.44</v>
      </c>
      <c r="BX11" s="52">
        <v>112.9</v>
      </c>
      <c r="BY11" s="52">
        <v>135.43</v>
      </c>
      <c r="BZ11" s="52">
        <v>120.34</v>
      </c>
      <c r="CA11" s="52">
        <v>126.99</v>
      </c>
      <c r="CB11" s="53">
        <v>141.32</v>
      </c>
      <c r="CC11" s="52">
        <v>115.94</v>
      </c>
      <c r="CD11" s="52">
        <v>102.61</v>
      </c>
      <c r="CE11" s="52">
        <v>99.97</v>
      </c>
      <c r="CF11" s="52">
        <v>120.84</v>
      </c>
      <c r="CG11" s="52">
        <v>115.33</v>
      </c>
      <c r="CH11" s="52">
        <v>133.69999999999999</v>
      </c>
      <c r="CI11" s="52">
        <v>122.53</v>
      </c>
      <c r="CJ11" s="52">
        <v>109.53</v>
      </c>
      <c r="CK11" s="52">
        <v>93.84</v>
      </c>
      <c r="CL11" s="52">
        <v>97.42</v>
      </c>
      <c r="CM11" s="52">
        <v>132.72</v>
      </c>
      <c r="CN11" s="52">
        <v>117.47</v>
      </c>
      <c r="CO11" s="52">
        <v>118.84</v>
      </c>
      <c r="CP11" s="52">
        <v>98.59</v>
      </c>
      <c r="CQ11" s="52">
        <v>136.15</v>
      </c>
      <c r="CR11" s="52">
        <v>93.28</v>
      </c>
      <c r="CS11" s="52">
        <v>120.03</v>
      </c>
      <c r="CT11" s="52">
        <v>110.5</v>
      </c>
      <c r="CU11" s="52">
        <v>157.80000000000001</v>
      </c>
      <c r="CV11" s="52">
        <v>116.12</v>
      </c>
      <c r="CW11" s="52">
        <v>87.67</v>
      </c>
      <c r="CX11" s="52">
        <v>138.79</v>
      </c>
      <c r="CY11" s="52">
        <v>103.73</v>
      </c>
      <c r="CZ11" s="52">
        <v>0</v>
      </c>
      <c r="DA11" s="52">
        <v>107.31</v>
      </c>
      <c r="DB11" s="52">
        <v>109.78</v>
      </c>
      <c r="DC11" s="52">
        <v>134.27000000000001</v>
      </c>
      <c r="DD11" s="52">
        <v>129.1</v>
      </c>
      <c r="DE11" s="52">
        <v>133.66</v>
      </c>
      <c r="DF11" s="52">
        <v>129.19</v>
      </c>
      <c r="DG11" s="52">
        <v>128.9</v>
      </c>
      <c r="DH11" s="52">
        <v>92.81</v>
      </c>
      <c r="DI11" s="52">
        <v>86.88</v>
      </c>
      <c r="DJ11" s="52">
        <v>141.21</v>
      </c>
      <c r="DK11" s="52">
        <v>119.55</v>
      </c>
      <c r="DL11" s="52">
        <v>86.51</v>
      </c>
      <c r="DM11" s="52">
        <v>106.25</v>
      </c>
      <c r="DN11" s="52">
        <v>97.25</v>
      </c>
      <c r="DO11" s="52">
        <v>108.49</v>
      </c>
      <c r="DP11" s="52">
        <v>142.63999999999999</v>
      </c>
      <c r="DQ11" s="52">
        <v>114.51</v>
      </c>
      <c r="DR11" s="52">
        <v>126.8</v>
      </c>
      <c r="DS11" s="52">
        <v>118.34</v>
      </c>
      <c r="DT11" s="52"/>
      <c r="DU11" s="52">
        <v>131.49</v>
      </c>
      <c r="DV11" s="52">
        <v>136.88999999999999</v>
      </c>
      <c r="DW11" s="52">
        <v>120.52</v>
      </c>
      <c r="DX11" s="52">
        <v>165.02</v>
      </c>
      <c r="DY11" s="52">
        <v>135.66999999999999</v>
      </c>
      <c r="DZ11" s="52">
        <v>106.75</v>
      </c>
      <c r="EA11" s="52">
        <v>113.54</v>
      </c>
      <c r="EB11" s="52">
        <v>119.3</v>
      </c>
      <c r="EC11" s="52">
        <v>140.03</v>
      </c>
      <c r="ED11" s="52">
        <v>143.22999999999999</v>
      </c>
      <c r="EE11" s="52">
        <v>129.66999999999999</v>
      </c>
      <c r="EF11" s="52">
        <v>123.44</v>
      </c>
      <c r="EG11" s="52">
        <v>133.06</v>
      </c>
      <c r="EH11" s="52">
        <v>132.19999999999999</v>
      </c>
      <c r="EI11" s="52">
        <v>142.72999999999999</v>
      </c>
      <c r="EJ11" s="52">
        <v>102.88</v>
      </c>
      <c r="EK11" s="52">
        <v>108.73</v>
      </c>
      <c r="EL11" s="52">
        <v>107.35</v>
      </c>
      <c r="EM11" s="52">
        <v>126.78</v>
      </c>
      <c r="EN11" s="52">
        <v>135.88</v>
      </c>
      <c r="EO11" s="52">
        <v>130.35</v>
      </c>
      <c r="EP11" s="52">
        <v>110.36</v>
      </c>
      <c r="EQ11" s="52">
        <v>125.7</v>
      </c>
      <c r="ER11" s="52">
        <v>128.66</v>
      </c>
      <c r="ES11" s="52">
        <v>144.01</v>
      </c>
      <c r="ET11" s="52">
        <v>124.76</v>
      </c>
      <c r="EU11" s="52">
        <v>108.43</v>
      </c>
      <c r="EV11" s="52">
        <v>106.9</v>
      </c>
      <c r="EW11" s="52">
        <v>125.44</v>
      </c>
      <c r="EX11" s="52">
        <v>101.35</v>
      </c>
      <c r="EY11" s="52">
        <v>111.75</v>
      </c>
      <c r="EZ11" s="52">
        <v>115.48</v>
      </c>
      <c r="FA11" s="52">
        <v>118.84</v>
      </c>
      <c r="FB11" s="52">
        <v>110.44</v>
      </c>
      <c r="FC11" s="52">
        <v>119.97</v>
      </c>
      <c r="FD11" s="52">
        <v>119.62</v>
      </c>
      <c r="FE11" s="52">
        <v>132.11000000000001</v>
      </c>
      <c r="FF11" s="52"/>
      <c r="FG11" s="52">
        <v>116.82</v>
      </c>
      <c r="FH11" s="52">
        <v>116.15</v>
      </c>
      <c r="FI11" s="52">
        <v>122.75</v>
      </c>
      <c r="FJ11" s="52">
        <v>90.84</v>
      </c>
      <c r="FK11" s="52">
        <v>127.8</v>
      </c>
      <c r="FL11" s="52">
        <v>99.23</v>
      </c>
      <c r="FM11" s="52">
        <v>104.31</v>
      </c>
      <c r="FN11" s="52">
        <v>101.06</v>
      </c>
      <c r="FO11" s="52">
        <v>131.46</v>
      </c>
      <c r="FP11" s="52">
        <v>65.66</v>
      </c>
      <c r="FQ11" s="52">
        <v>126.94</v>
      </c>
      <c r="FR11" s="52">
        <v>139.19</v>
      </c>
      <c r="FS11" s="52">
        <v>134.03</v>
      </c>
      <c r="FT11" s="52">
        <v>115.13</v>
      </c>
      <c r="FU11" s="52">
        <v>117.61</v>
      </c>
      <c r="FV11" s="52">
        <v>127.97</v>
      </c>
      <c r="FW11" s="52">
        <v>123</v>
      </c>
      <c r="FX11" s="52">
        <v>121.15</v>
      </c>
      <c r="FY11" s="52">
        <v>119.35</v>
      </c>
      <c r="FZ11" s="52">
        <v>127.36</v>
      </c>
      <c r="GA11" s="52">
        <v>127.51</v>
      </c>
      <c r="GB11" s="52">
        <v>103.17</v>
      </c>
      <c r="GC11" s="52">
        <v>106.76</v>
      </c>
      <c r="GD11" s="52">
        <v>112.97</v>
      </c>
      <c r="GE11" s="52">
        <v>170.64</v>
      </c>
      <c r="GF11" s="52">
        <v>150.63999999999999</v>
      </c>
      <c r="GG11" s="52">
        <v>152.31</v>
      </c>
      <c r="GH11" s="52">
        <v>122.16</v>
      </c>
      <c r="GI11" s="52">
        <v>117.66</v>
      </c>
      <c r="GJ11" s="52">
        <v>117.24</v>
      </c>
      <c r="GK11" s="52">
        <v>123.3</v>
      </c>
      <c r="GL11" s="52">
        <v>121.21</v>
      </c>
      <c r="GM11" s="52">
        <v>112.9</v>
      </c>
      <c r="GN11" s="52">
        <v>135.43</v>
      </c>
      <c r="GO11" s="52">
        <v>121.6</v>
      </c>
      <c r="GP11" s="52">
        <v>122.27</v>
      </c>
      <c r="GQ11" s="52">
        <v>113.54</v>
      </c>
      <c r="GR11" s="52">
        <v>126.99</v>
      </c>
      <c r="GS11" s="52">
        <v>141.32</v>
      </c>
      <c r="GT11" s="52">
        <v>115.94</v>
      </c>
      <c r="GU11" s="52">
        <v>102.61</v>
      </c>
      <c r="GV11" s="52">
        <v>99.97</v>
      </c>
      <c r="GW11" s="52">
        <v>115.95</v>
      </c>
      <c r="GX11" s="52">
        <v>123.49</v>
      </c>
      <c r="GY11" s="52">
        <v>115.33</v>
      </c>
      <c r="GZ11" s="52">
        <v>124.36</v>
      </c>
      <c r="HA11" s="52">
        <v>138.55000000000001</v>
      </c>
      <c r="HB11" s="52">
        <v>133.12</v>
      </c>
      <c r="HC11" s="52">
        <v>122.53</v>
      </c>
      <c r="HD11" s="52">
        <v>109.53</v>
      </c>
      <c r="HE11" s="52">
        <v>82.51</v>
      </c>
      <c r="HF11" s="52">
        <v>86.37</v>
      </c>
      <c r="HG11" s="52">
        <v>88.02</v>
      </c>
      <c r="HH11" s="52">
        <v>115.37</v>
      </c>
      <c r="HI11" s="52">
        <v>95.18</v>
      </c>
      <c r="HJ11" s="52">
        <v>97.42</v>
      </c>
      <c r="HK11" s="52">
        <v>132.72</v>
      </c>
      <c r="HL11" s="52">
        <v>114.09</v>
      </c>
      <c r="HM11" s="52">
        <v>124.85</v>
      </c>
      <c r="HN11" s="52">
        <v>118.87</v>
      </c>
      <c r="HO11" s="52">
        <v>114.12</v>
      </c>
      <c r="HP11" s="52">
        <v>123.33</v>
      </c>
      <c r="HQ11" s="52">
        <v>96.65</v>
      </c>
      <c r="HR11" s="52">
        <v>116.12</v>
      </c>
      <c r="HS11" s="52">
        <v>136.22</v>
      </c>
      <c r="HT11" s="52">
        <v>132.72999999999999</v>
      </c>
      <c r="HU11" s="52">
        <v>93.28</v>
      </c>
      <c r="HV11" s="52">
        <v>120.03</v>
      </c>
      <c r="HW11" s="52">
        <v>115.45</v>
      </c>
      <c r="HX11" s="52">
        <v>100</v>
      </c>
      <c r="HY11" s="52">
        <v>157.80000000000001</v>
      </c>
      <c r="HZ11" s="52">
        <v>116.12</v>
      </c>
      <c r="IA11" s="52">
        <v>83.09</v>
      </c>
      <c r="IB11" s="52">
        <v>138.79</v>
      </c>
      <c r="IC11" s="52">
        <v>0</v>
      </c>
      <c r="ID11" s="52">
        <v>103.73</v>
      </c>
      <c r="IE11" s="52">
        <v>0</v>
      </c>
      <c r="IF11" s="52">
        <v>107.31</v>
      </c>
      <c r="IG11" s="52">
        <v>109.78</v>
      </c>
      <c r="IH11" s="52">
        <v>134.27000000000001</v>
      </c>
      <c r="II11" s="52">
        <v>129.1</v>
      </c>
      <c r="IJ11" s="52">
        <v>133.66</v>
      </c>
      <c r="IK11" s="52">
        <v>129.61000000000001</v>
      </c>
      <c r="IL11" s="52">
        <v>127.66</v>
      </c>
      <c r="IM11" s="52">
        <v>132.41999999999999</v>
      </c>
      <c r="IN11" s="52">
        <v>123.38</v>
      </c>
      <c r="IO11" s="52">
        <v>117.55</v>
      </c>
      <c r="IP11" s="52">
        <v>92.81</v>
      </c>
      <c r="IQ11" s="52">
        <v>86.88</v>
      </c>
      <c r="IR11" s="52">
        <v>141.21</v>
      </c>
      <c r="IS11" s="52">
        <v>119.55</v>
      </c>
      <c r="IT11" s="52">
        <v>86.51</v>
      </c>
      <c r="IU11" s="52">
        <v>106.25</v>
      </c>
      <c r="IV11" s="52">
        <v>99.25</v>
      </c>
      <c r="IW11" s="52">
        <v>108.49</v>
      </c>
      <c r="IX11" s="52">
        <v>142.63999999999999</v>
      </c>
      <c r="IY11" s="52">
        <v>114.51</v>
      </c>
      <c r="IZ11" s="52">
        <v>126.8</v>
      </c>
      <c r="JA11" s="52">
        <v>118.34</v>
      </c>
      <c r="JB11" s="52"/>
      <c r="JC11" s="52">
        <v>131.49</v>
      </c>
      <c r="JD11" s="52">
        <v>136.88999999999999</v>
      </c>
      <c r="JE11" s="52">
        <v>119.93</v>
      </c>
      <c r="JF11" s="52">
        <v>120.69</v>
      </c>
      <c r="JG11" s="52">
        <v>165.02</v>
      </c>
      <c r="JH11" s="52">
        <v>135.66999999999999</v>
      </c>
      <c r="JI11" s="52">
        <v>106.75</v>
      </c>
      <c r="JJ11" s="52">
        <v>113.54</v>
      </c>
      <c r="JK11" s="52">
        <v>119.3</v>
      </c>
      <c r="JL11" s="52">
        <v>140.03</v>
      </c>
      <c r="JM11" s="52">
        <v>143.22999999999999</v>
      </c>
      <c r="JN11" s="52">
        <v>129.66999999999999</v>
      </c>
      <c r="JO11" s="52">
        <v>123.44</v>
      </c>
      <c r="JP11" s="52">
        <v>135.32</v>
      </c>
      <c r="JQ11" s="52">
        <v>127.72</v>
      </c>
      <c r="JR11" s="52">
        <v>128.68</v>
      </c>
      <c r="JS11" s="52">
        <v>136.53</v>
      </c>
      <c r="JT11" s="52">
        <v>147.97</v>
      </c>
      <c r="JU11" s="52">
        <v>137.57</v>
      </c>
      <c r="JV11" s="52">
        <v>102.88</v>
      </c>
      <c r="JW11" s="52">
        <v>108.73</v>
      </c>
      <c r="JX11" s="52">
        <v>107.35</v>
      </c>
      <c r="JY11" s="52">
        <v>128</v>
      </c>
      <c r="JZ11" s="52">
        <v>123.82</v>
      </c>
      <c r="KA11" s="52">
        <v>135.88</v>
      </c>
      <c r="KB11" s="52">
        <v>130.35</v>
      </c>
      <c r="KC11" s="52">
        <v>110.36</v>
      </c>
      <c r="KD11" s="52">
        <v>125.7</v>
      </c>
      <c r="KE11" s="52">
        <v>128.66</v>
      </c>
      <c r="KF11" s="52">
        <v>144.01</v>
      </c>
    </row>
    <row r="12" spans="1:293" s="41" customFormat="1" ht="12">
      <c r="A12" s="41">
        <v>2005</v>
      </c>
      <c r="B12" s="54" t="s">
        <v>989</v>
      </c>
      <c r="C12" s="55" t="s">
        <v>990</v>
      </c>
      <c r="D12" s="56">
        <v>116.14</v>
      </c>
      <c r="E12" s="56">
        <v>108.85</v>
      </c>
      <c r="F12" s="56">
        <v>127.15</v>
      </c>
      <c r="G12" s="56">
        <v>109.93</v>
      </c>
      <c r="H12" s="56">
        <v>119.17</v>
      </c>
      <c r="I12" s="56">
        <v>114.26</v>
      </c>
      <c r="J12" s="56">
        <v>112.81</v>
      </c>
      <c r="K12" s="56">
        <v>124.14</v>
      </c>
      <c r="L12" s="56">
        <v>104.27</v>
      </c>
      <c r="M12" s="56">
        <v>121.39</v>
      </c>
      <c r="N12" s="56">
        <v>135.97999999999999</v>
      </c>
      <c r="O12" s="56">
        <v>133.97</v>
      </c>
      <c r="P12" s="56">
        <v>115.85</v>
      </c>
      <c r="Q12" s="56">
        <v>108.24</v>
      </c>
      <c r="R12" s="56">
        <v>117.59</v>
      </c>
      <c r="S12" s="56">
        <v>162.91</v>
      </c>
      <c r="T12" s="56">
        <v>124.67</v>
      </c>
      <c r="U12" s="56">
        <v>108.62</v>
      </c>
      <c r="V12" s="56">
        <v>113.66</v>
      </c>
      <c r="W12" s="56">
        <v>144.04</v>
      </c>
      <c r="X12" s="56">
        <v>116.29</v>
      </c>
      <c r="Y12" s="56">
        <v>102.27</v>
      </c>
      <c r="Z12" s="56">
        <v>113.99</v>
      </c>
      <c r="AA12" s="56">
        <v>132.15</v>
      </c>
      <c r="AB12" s="56">
        <v>109.07</v>
      </c>
      <c r="AC12" s="56">
        <v>95.94</v>
      </c>
      <c r="AD12" s="56">
        <v>117.34</v>
      </c>
      <c r="AE12" s="56">
        <v>118.59</v>
      </c>
      <c r="AF12" s="56">
        <v>108.68</v>
      </c>
      <c r="AG12" s="56">
        <v>92.25</v>
      </c>
      <c r="AH12" s="56">
        <v>130</v>
      </c>
      <c r="AI12" s="56">
        <v>139.51</v>
      </c>
      <c r="AJ12" s="56">
        <v>102.68</v>
      </c>
      <c r="AK12" s="56">
        <v>134.65</v>
      </c>
      <c r="AL12" s="56">
        <v>129.79</v>
      </c>
      <c r="AM12" s="56">
        <v>119.55</v>
      </c>
      <c r="AN12" s="56">
        <v>84.74</v>
      </c>
      <c r="AO12" s="56">
        <v>106.26</v>
      </c>
      <c r="AP12" s="56">
        <v>102.08</v>
      </c>
      <c r="AQ12" s="56">
        <v>114.31</v>
      </c>
      <c r="AR12" s="56">
        <v>125.42</v>
      </c>
      <c r="AS12" s="56">
        <v>134.96</v>
      </c>
      <c r="AT12" s="56">
        <v>120.95</v>
      </c>
      <c r="AU12" s="56">
        <v>124.9</v>
      </c>
      <c r="AV12" s="56">
        <v>141.87</v>
      </c>
      <c r="AW12" s="56">
        <v>146.04</v>
      </c>
      <c r="AX12" s="56">
        <v>129.66999999999999</v>
      </c>
      <c r="AY12" s="56">
        <v>124.12</v>
      </c>
      <c r="AZ12" s="56">
        <v>134.08000000000001</v>
      </c>
      <c r="BA12" s="56">
        <v>133.81</v>
      </c>
      <c r="BB12" s="56">
        <v>116.99</v>
      </c>
      <c r="BC12" s="56">
        <v>110.71</v>
      </c>
      <c r="BD12" s="56">
        <v>136.9</v>
      </c>
      <c r="BE12" s="56">
        <v>126.82</v>
      </c>
      <c r="BF12" s="56">
        <v>128.66</v>
      </c>
      <c r="BG12" s="56">
        <v>144.05000000000001</v>
      </c>
      <c r="BH12" s="52">
        <v>110.78</v>
      </c>
      <c r="BI12" s="52">
        <v>117.89</v>
      </c>
      <c r="BJ12" s="52">
        <v>135.05000000000001</v>
      </c>
      <c r="BK12" s="52">
        <v>113.1</v>
      </c>
      <c r="BL12" s="52">
        <v>104.97</v>
      </c>
      <c r="BM12" s="52">
        <v>95.01</v>
      </c>
      <c r="BN12" s="52">
        <v>90.96</v>
      </c>
      <c r="BO12" s="52">
        <v>118.46</v>
      </c>
      <c r="BP12" s="52">
        <v>121.31</v>
      </c>
      <c r="BQ12" s="52">
        <v>127.88</v>
      </c>
      <c r="BR12" s="52">
        <v>107.39</v>
      </c>
      <c r="BS12" s="52">
        <v>170.66</v>
      </c>
      <c r="BT12" s="52">
        <v>151.62</v>
      </c>
      <c r="BU12" s="52">
        <v>152.44</v>
      </c>
      <c r="BV12" s="52">
        <v>124.67</v>
      </c>
      <c r="BW12" s="52">
        <v>108.05</v>
      </c>
      <c r="BX12" s="52">
        <v>111.7</v>
      </c>
      <c r="BY12" s="52">
        <v>136.41</v>
      </c>
      <c r="BZ12" s="52">
        <v>113.55</v>
      </c>
      <c r="CA12" s="52">
        <v>128.29</v>
      </c>
      <c r="CB12" s="53">
        <v>144.04</v>
      </c>
      <c r="CC12" s="52">
        <v>116.29</v>
      </c>
      <c r="CD12" s="52">
        <v>101.31</v>
      </c>
      <c r="CE12" s="52">
        <v>99.97</v>
      </c>
      <c r="CF12" s="52">
        <v>123.32</v>
      </c>
      <c r="CG12" s="52">
        <v>115.95</v>
      </c>
      <c r="CH12" s="52">
        <v>134.28</v>
      </c>
      <c r="CI12" s="52">
        <v>123.24</v>
      </c>
      <c r="CJ12" s="52">
        <v>109.07</v>
      </c>
      <c r="CK12" s="52">
        <v>91.36</v>
      </c>
      <c r="CL12" s="52">
        <v>96.51</v>
      </c>
      <c r="CM12" s="52">
        <v>134.31</v>
      </c>
      <c r="CN12" s="52">
        <v>117.34</v>
      </c>
      <c r="CO12" s="52">
        <v>118.59</v>
      </c>
      <c r="CP12" s="52">
        <v>98.24</v>
      </c>
      <c r="CQ12" s="52">
        <v>137.51</v>
      </c>
      <c r="CR12" s="52">
        <v>89.06</v>
      </c>
      <c r="CS12" s="52">
        <v>119.93</v>
      </c>
      <c r="CT12" s="52">
        <v>109.69</v>
      </c>
      <c r="CU12" s="52">
        <v>159.49</v>
      </c>
      <c r="CV12" s="52">
        <v>116.84</v>
      </c>
      <c r="CW12" s="52">
        <v>88.11</v>
      </c>
      <c r="CX12" s="52">
        <v>139.51</v>
      </c>
      <c r="CY12" s="52">
        <v>102.6</v>
      </c>
      <c r="CZ12" s="52">
        <v>0</v>
      </c>
      <c r="DA12" s="52">
        <v>105.46</v>
      </c>
      <c r="DB12" s="52">
        <v>110.4</v>
      </c>
      <c r="DC12" s="52">
        <v>136.33000000000001</v>
      </c>
      <c r="DD12" s="52">
        <v>130.38999999999999</v>
      </c>
      <c r="DE12" s="52">
        <v>134.28</v>
      </c>
      <c r="DF12" s="52">
        <v>130.57</v>
      </c>
      <c r="DG12" s="52">
        <v>131.36000000000001</v>
      </c>
      <c r="DH12" s="52">
        <v>93.61</v>
      </c>
      <c r="DI12" s="52">
        <v>86.88</v>
      </c>
      <c r="DJ12" s="52">
        <v>144.63999999999999</v>
      </c>
      <c r="DK12" s="52">
        <v>119.55</v>
      </c>
      <c r="DL12" s="52">
        <v>84.74</v>
      </c>
      <c r="DM12" s="52">
        <v>106.26</v>
      </c>
      <c r="DN12" s="52">
        <v>92.3</v>
      </c>
      <c r="DO12" s="52">
        <v>110.38</v>
      </c>
      <c r="DP12" s="52">
        <v>137.44999999999999</v>
      </c>
      <c r="DQ12" s="52">
        <v>114.31</v>
      </c>
      <c r="DR12" s="52">
        <v>125.84</v>
      </c>
      <c r="DS12" s="52">
        <v>118.36</v>
      </c>
      <c r="DT12" s="52"/>
      <c r="DU12" s="52">
        <v>131.46</v>
      </c>
      <c r="DV12" s="52">
        <v>137.69999999999999</v>
      </c>
      <c r="DW12" s="52">
        <v>120.54</v>
      </c>
      <c r="DX12" s="52">
        <v>165.02</v>
      </c>
      <c r="DY12" s="52">
        <v>138.86000000000001</v>
      </c>
      <c r="DZ12" s="52">
        <v>106.89</v>
      </c>
      <c r="EA12" s="52">
        <v>113.65</v>
      </c>
      <c r="EB12" s="52">
        <v>124.9</v>
      </c>
      <c r="EC12" s="52">
        <v>141.87</v>
      </c>
      <c r="ED12" s="52">
        <v>146.04</v>
      </c>
      <c r="EE12" s="52">
        <v>129.66999999999999</v>
      </c>
      <c r="EF12" s="52">
        <v>124.12</v>
      </c>
      <c r="EG12" s="52">
        <v>134.08000000000001</v>
      </c>
      <c r="EH12" s="52">
        <v>133.81</v>
      </c>
      <c r="EI12" s="52">
        <v>144.36000000000001</v>
      </c>
      <c r="EJ12" s="52">
        <v>103.7</v>
      </c>
      <c r="EK12" s="52">
        <v>108.56</v>
      </c>
      <c r="EL12" s="52">
        <v>104.27</v>
      </c>
      <c r="EM12" s="52">
        <v>126.56</v>
      </c>
      <c r="EN12" s="52">
        <v>136.9</v>
      </c>
      <c r="EO12" s="52">
        <v>132.28</v>
      </c>
      <c r="EP12" s="52">
        <v>110.36</v>
      </c>
      <c r="EQ12" s="52">
        <v>123.45</v>
      </c>
      <c r="ER12" s="52">
        <v>128.66</v>
      </c>
      <c r="ES12" s="52">
        <v>144.05000000000001</v>
      </c>
      <c r="ET12" s="52">
        <v>124.53</v>
      </c>
      <c r="EU12" s="52">
        <v>108.61</v>
      </c>
      <c r="EV12" s="52">
        <v>106.68</v>
      </c>
      <c r="EW12" s="52">
        <v>125.72</v>
      </c>
      <c r="EX12" s="52">
        <v>102.07</v>
      </c>
      <c r="EY12" s="52">
        <v>111.79</v>
      </c>
      <c r="EZ12" s="52">
        <v>115.39</v>
      </c>
      <c r="FA12" s="52">
        <v>117.01</v>
      </c>
      <c r="FB12" s="52">
        <v>117.8</v>
      </c>
      <c r="FC12" s="52">
        <v>118.72</v>
      </c>
      <c r="FD12" s="52">
        <v>119.37</v>
      </c>
      <c r="FE12" s="52">
        <v>135.05000000000001</v>
      </c>
      <c r="FF12" s="52"/>
      <c r="FG12" s="52">
        <v>115.15</v>
      </c>
      <c r="FH12" s="52">
        <v>116.54</v>
      </c>
      <c r="FI12" s="52">
        <v>122.33</v>
      </c>
      <c r="FJ12" s="52">
        <v>88.41</v>
      </c>
      <c r="FK12" s="52">
        <v>129.16</v>
      </c>
      <c r="FL12" s="52">
        <v>99.29</v>
      </c>
      <c r="FM12" s="52">
        <v>104.02</v>
      </c>
      <c r="FN12" s="52">
        <v>88.47</v>
      </c>
      <c r="FO12" s="52">
        <v>131.88999999999999</v>
      </c>
      <c r="FP12" s="52">
        <v>62.13</v>
      </c>
      <c r="FQ12" s="52">
        <v>129.56</v>
      </c>
      <c r="FR12" s="52">
        <v>135.30000000000001</v>
      </c>
      <c r="FS12" s="52">
        <v>134.82</v>
      </c>
      <c r="FT12" s="52">
        <v>115.47</v>
      </c>
      <c r="FU12" s="52">
        <v>117.41</v>
      </c>
      <c r="FV12" s="52">
        <v>128.51</v>
      </c>
      <c r="FW12" s="52">
        <v>118.94</v>
      </c>
      <c r="FX12" s="52">
        <v>121.31</v>
      </c>
      <c r="FY12" s="52">
        <v>120.6</v>
      </c>
      <c r="FZ12" s="52">
        <v>128.59</v>
      </c>
      <c r="GA12" s="52">
        <v>127.41</v>
      </c>
      <c r="GB12" s="52">
        <v>103.7</v>
      </c>
      <c r="GC12" s="52">
        <v>107.53</v>
      </c>
      <c r="GD12" s="52">
        <v>113.39</v>
      </c>
      <c r="GE12" s="52">
        <v>170.66</v>
      </c>
      <c r="GF12" s="52">
        <v>151.62</v>
      </c>
      <c r="GG12" s="52">
        <v>152.44</v>
      </c>
      <c r="GH12" s="52">
        <v>124.81</v>
      </c>
      <c r="GI12" s="52">
        <v>108.22</v>
      </c>
      <c r="GJ12" s="52">
        <v>106.15</v>
      </c>
      <c r="GK12" s="52">
        <v>111.61</v>
      </c>
      <c r="GL12" s="52">
        <v>119.71</v>
      </c>
      <c r="GM12" s="52">
        <v>111.7</v>
      </c>
      <c r="GN12" s="52">
        <v>136.41</v>
      </c>
      <c r="GO12" s="52">
        <v>114.69</v>
      </c>
      <c r="GP12" s="52">
        <v>113.85</v>
      </c>
      <c r="GQ12" s="52">
        <v>109.98</v>
      </c>
      <c r="GR12" s="52">
        <v>128.29</v>
      </c>
      <c r="GS12" s="52">
        <v>144.04</v>
      </c>
      <c r="GT12" s="52">
        <v>116.29</v>
      </c>
      <c r="GU12" s="52">
        <v>101.31</v>
      </c>
      <c r="GV12" s="52">
        <v>99.97</v>
      </c>
      <c r="GW12" s="52">
        <v>121.78</v>
      </c>
      <c r="GX12" s="52">
        <v>124.12</v>
      </c>
      <c r="GY12" s="52">
        <v>115.95</v>
      </c>
      <c r="GZ12" s="52">
        <v>126.05</v>
      </c>
      <c r="HA12" s="52">
        <v>138.61000000000001</v>
      </c>
      <c r="HB12" s="52">
        <v>133.74</v>
      </c>
      <c r="HC12" s="52">
        <v>123.24</v>
      </c>
      <c r="HD12" s="52">
        <v>109.07</v>
      </c>
      <c r="HE12" s="52">
        <v>80.739999999999995</v>
      </c>
      <c r="HF12" s="52">
        <v>82.4</v>
      </c>
      <c r="HG12" s="52">
        <v>86.71</v>
      </c>
      <c r="HH12" s="52">
        <v>113.82</v>
      </c>
      <c r="HI12" s="52">
        <v>91.37</v>
      </c>
      <c r="HJ12" s="52">
        <v>96.51</v>
      </c>
      <c r="HK12" s="52">
        <v>134.31</v>
      </c>
      <c r="HL12" s="52">
        <v>113.71</v>
      </c>
      <c r="HM12" s="52">
        <v>124.89</v>
      </c>
      <c r="HN12" s="52">
        <v>118.93</v>
      </c>
      <c r="HO12" s="52">
        <v>113.52</v>
      </c>
      <c r="HP12" s="52">
        <v>123.45</v>
      </c>
      <c r="HQ12" s="52">
        <v>96.27</v>
      </c>
      <c r="HR12" s="52">
        <v>116.08</v>
      </c>
      <c r="HS12" s="52">
        <v>137.57</v>
      </c>
      <c r="HT12" s="52">
        <v>134.37</v>
      </c>
      <c r="HU12" s="52">
        <v>89.06</v>
      </c>
      <c r="HV12" s="52">
        <v>119.93</v>
      </c>
      <c r="HW12" s="52">
        <v>115.45</v>
      </c>
      <c r="HX12" s="52">
        <v>97.46</v>
      </c>
      <c r="HY12" s="52">
        <v>159.49</v>
      </c>
      <c r="HZ12" s="52">
        <v>116.84</v>
      </c>
      <c r="IA12" s="52">
        <v>83.5</v>
      </c>
      <c r="IB12" s="52">
        <v>139.51</v>
      </c>
      <c r="IC12" s="52">
        <v>0</v>
      </c>
      <c r="ID12" s="52">
        <v>102.6</v>
      </c>
      <c r="IE12" s="52">
        <v>0</v>
      </c>
      <c r="IF12" s="52">
        <v>105.46</v>
      </c>
      <c r="IG12" s="52">
        <v>110.4</v>
      </c>
      <c r="IH12" s="52">
        <v>136.33000000000001</v>
      </c>
      <c r="II12" s="52">
        <v>130.38999999999999</v>
      </c>
      <c r="IJ12" s="52">
        <v>134.28</v>
      </c>
      <c r="IK12" s="52">
        <v>131.55000000000001</v>
      </c>
      <c r="IL12" s="52">
        <v>127.66</v>
      </c>
      <c r="IM12" s="52">
        <v>133.93</v>
      </c>
      <c r="IN12" s="52">
        <v>123.97</v>
      </c>
      <c r="IO12" s="52">
        <v>124.26</v>
      </c>
      <c r="IP12" s="52">
        <v>93.61</v>
      </c>
      <c r="IQ12" s="52">
        <v>86.88</v>
      </c>
      <c r="IR12" s="52">
        <v>144.63999999999999</v>
      </c>
      <c r="IS12" s="52">
        <v>119.55</v>
      </c>
      <c r="IT12" s="52">
        <v>84.74</v>
      </c>
      <c r="IU12" s="52">
        <v>106.26</v>
      </c>
      <c r="IV12" s="52">
        <v>93.41</v>
      </c>
      <c r="IW12" s="52">
        <v>110.38</v>
      </c>
      <c r="IX12" s="52">
        <v>137.44999999999999</v>
      </c>
      <c r="IY12" s="52">
        <v>114.31</v>
      </c>
      <c r="IZ12" s="52">
        <v>125.84</v>
      </c>
      <c r="JA12" s="52">
        <v>118.36</v>
      </c>
      <c r="JB12" s="52"/>
      <c r="JC12" s="52">
        <v>131.46</v>
      </c>
      <c r="JD12" s="52">
        <v>137.69999999999999</v>
      </c>
      <c r="JE12" s="52">
        <v>120.02</v>
      </c>
      <c r="JF12" s="52">
        <v>120.69</v>
      </c>
      <c r="JG12" s="52">
        <v>165.02</v>
      </c>
      <c r="JH12" s="52">
        <v>138.86000000000001</v>
      </c>
      <c r="JI12" s="52">
        <v>106.89</v>
      </c>
      <c r="JJ12" s="52">
        <v>113.65</v>
      </c>
      <c r="JK12" s="52">
        <v>124.9</v>
      </c>
      <c r="JL12" s="52">
        <v>141.87</v>
      </c>
      <c r="JM12" s="52">
        <v>146.04</v>
      </c>
      <c r="JN12" s="52">
        <v>129.66999999999999</v>
      </c>
      <c r="JO12" s="52">
        <v>124.12</v>
      </c>
      <c r="JP12" s="52">
        <v>136.38</v>
      </c>
      <c r="JQ12" s="52">
        <v>128.66999999999999</v>
      </c>
      <c r="JR12" s="52">
        <v>131.56</v>
      </c>
      <c r="JS12" s="52">
        <v>136.32</v>
      </c>
      <c r="JT12" s="52">
        <v>149.05000000000001</v>
      </c>
      <c r="JU12" s="52">
        <v>139.69999999999999</v>
      </c>
      <c r="JV12" s="52">
        <v>103.7</v>
      </c>
      <c r="JW12" s="52">
        <v>108.56</v>
      </c>
      <c r="JX12" s="52">
        <v>104.27</v>
      </c>
      <c r="JY12" s="52">
        <v>127.49</v>
      </c>
      <c r="JZ12" s="52">
        <v>124.28</v>
      </c>
      <c r="KA12" s="52">
        <v>136.9</v>
      </c>
      <c r="KB12" s="52">
        <v>132.28</v>
      </c>
      <c r="KC12" s="52">
        <v>110.36</v>
      </c>
      <c r="KD12" s="52">
        <v>123.45</v>
      </c>
      <c r="KE12" s="52">
        <v>128.66</v>
      </c>
      <c r="KF12" s="52">
        <v>144.05000000000001</v>
      </c>
    </row>
    <row r="13" spans="1:293" s="41" customFormat="1" ht="12">
      <c r="A13" s="41">
        <v>2005</v>
      </c>
      <c r="B13" s="54" t="s">
        <v>991</v>
      </c>
      <c r="C13" s="55" t="s">
        <v>992</v>
      </c>
      <c r="D13" s="56">
        <v>117.13</v>
      </c>
      <c r="E13" s="56">
        <v>108.77</v>
      </c>
      <c r="F13" s="56">
        <v>148.6</v>
      </c>
      <c r="G13" s="56">
        <v>104.36</v>
      </c>
      <c r="H13" s="56">
        <v>120.25</v>
      </c>
      <c r="I13" s="56">
        <v>113.93</v>
      </c>
      <c r="J13" s="56">
        <v>111.16</v>
      </c>
      <c r="K13" s="56">
        <v>125.9</v>
      </c>
      <c r="L13" s="56">
        <v>104.57</v>
      </c>
      <c r="M13" s="56">
        <v>123.04</v>
      </c>
      <c r="N13" s="56">
        <v>136.93</v>
      </c>
      <c r="O13" s="56">
        <v>134.86000000000001</v>
      </c>
      <c r="P13" s="56">
        <v>117.38</v>
      </c>
      <c r="Q13" s="56">
        <v>108.11</v>
      </c>
      <c r="R13" s="56">
        <v>118.28</v>
      </c>
      <c r="S13" s="56">
        <v>162.88</v>
      </c>
      <c r="T13" s="56">
        <v>147.54</v>
      </c>
      <c r="U13" s="56">
        <v>102.94</v>
      </c>
      <c r="V13" s="56">
        <v>108.45</v>
      </c>
      <c r="W13" s="56">
        <v>147.83000000000001</v>
      </c>
      <c r="X13" s="56">
        <v>116.19</v>
      </c>
      <c r="Y13" s="56">
        <v>103.21</v>
      </c>
      <c r="Z13" s="56">
        <v>114.22</v>
      </c>
      <c r="AA13" s="56">
        <v>131.56</v>
      </c>
      <c r="AB13" s="56">
        <v>109.02</v>
      </c>
      <c r="AC13" s="56">
        <v>98.19</v>
      </c>
      <c r="AD13" s="56">
        <v>117.38</v>
      </c>
      <c r="AE13" s="56">
        <v>118.82</v>
      </c>
      <c r="AF13" s="56">
        <v>106.52</v>
      </c>
      <c r="AG13" s="56">
        <v>88.41</v>
      </c>
      <c r="AH13" s="56">
        <v>130.9</v>
      </c>
      <c r="AI13" s="56">
        <v>140.6</v>
      </c>
      <c r="AJ13" s="56">
        <v>102.62</v>
      </c>
      <c r="AK13" s="56">
        <v>136.63999999999999</v>
      </c>
      <c r="AL13" s="56">
        <v>132.83000000000001</v>
      </c>
      <c r="AM13" s="56">
        <v>119.55</v>
      </c>
      <c r="AN13" s="56">
        <v>86.41</v>
      </c>
      <c r="AO13" s="56">
        <v>106.4</v>
      </c>
      <c r="AP13" s="56">
        <v>101.76</v>
      </c>
      <c r="AQ13" s="56">
        <v>115.26</v>
      </c>
      <c r="AR13" s="56">
        <v>124.62</v>
      </c>
      <c r="AS13" s="56">
        <v>136.97999999999999</v>
      </c>
      <c r="AT13" s="56">
        <v>120.29</v>
      </c>
      <c r="AU13" s="56">
        <v>129.68</v>
      </c>
      <c r="AV13" s="56">
        <v>142.69</v>
      </c>
      <c r="AW13" s="56">
        <v>147.33000000000001</v>
      </c>
      <c r="AX13" s="56">
        <v>129.66999999999999</v>
      </c>
      <c r="AY13" s="56">
        <v>126.44</v>
      </c>
      <c r="AZ13" s="56">
        <v>134.87</v>
      </c>
      <c r="BA13" s="56">
        <v>134.83000000000001</v>
      </c>
      <c r="BB13" s="56">
        <v>117.28</v>
      </c>
      <c r="BC13" s="56">
        <v>113.36</v>
      </c>
      <c r="BD13" s="56">
        <v>139.69</v>
      </c>
      <c r="BE13" s="56">
        <v>130.87</v>
      </c>
      <c r="BF13" s="56">
        <v>128.66</v>
      </c>
      <c r="BG13" s="56">
        <v>144.08000000000001</v>
      </c>
      <c r="BH13" s="52">
        <v>111.09</v>
      </c>
      <c r="BI13" s="52">
        <v>122.66</v>
      </c>
      <c r="BJ13" s="52">
        <v>133.86000000000001</v>
      </c>
      <c r="BK13" s="52">
        <v>111.72</v>
      </c>
      <c r="BL13" s="52">
        <v>104.79</v>
      </c>
      <c r="BM13" s="52">
        <v>84.64</v>
      </c>
      <c r="BN13" s="52">
        <v>92.96</v>
      </c>
      <c r="BO13" s="52">
        <v>118.91</v>
      </c>
      <c r="BP13" s="52">
        <v>121.91</v>
      </c>
      <c r="BQ13" s="52">
        <v>129.72999999999999</v>
      </c>
      <c r="BR13" s="52">
        <v>107.06</v>
      </c>
      <c r="BS13" s="52">
        <v>170.68</v>
      </c>
      <c r="BT13" s="52">
        <v>151.9</v>
      </c>
      <c r="BU13" s="52">
        <v>152.25</v>
      </c>
      <c r="BV13" s="52">
        <v>147.54</v>
      </c>
      <c r="BW13" s="52">
        <v>101.92</v>
      </c>
      <c r="BX13" s="52">
        <v>110.17</v>
      </c>
      <c r="BY13" s="52">
        <v>137.93</v>
      </c>
      <c r="BZ13" s="52">
        <v>108.29</v>
      </c>
      <c r="CA13" s="52">
        <v>129.38</v>
      </c>
      <c r="CB13" s="53">
        <v>147.83000000000001</v>
      </c>
      <c r="CC13" s="52">
        <v>116.19</v>
      </c>
      <c r="CD13" s="52">
        <v>102.27</v>
      </c>
      <c r="CE13" s="52">
        <v>99.97</v>
      </c>
      <c r="CF13" s="52">
        <v>123.78</v>
      </c>
      <c r="CG13" s="52">
        <v>115.86</v>
      </c>
      <c r="CH13" s="52">
        <v>133.68</v>
      </c>
      <c r="CI13" s="52">
        <v>122.72</v>
      </c>
      <c r="CJ13" s="52">
        <v>109.02</v>
      </c>
      <c r="CK13" s="52">
        <v>93.33</v>
      </c>
      <c r="CL13" s="52">
        <v>102.22</v>
      </c>
      <c r="CM13" s="52">
        <v>134.31</v>
      </c>
      <c r="CN13" s="52">
        <v>117.38</v>
      </c>
      <c r="CO13" s="52">
        <v>118.82</v>
      </c>
      <c r="CP13" s="52">
        <v>95.06</v>
      </c>
      <c r="CQ13" s="52">
        <v>138.79</v>
      </c>
      <c r="CR13" s="52">
        <v>84.86</v>
      </c>
      <c r="CS13" s="52">
        <v>120.51</v>
      </c>
      <c r="CT13" s="52">
        <v>107.95</v>
      </c>
      <c r="CU13" s="52">
        <v>160.94999999999999</v>
      </c>
      <c r="CV13" s="52">
        <v>117.55</v>
      </c>
      <c r="CW13" s="52">
        <v>88.31</v>
      </c>
      <c r="CX13" s="52">
        <v>140.6</v>
      </c>
      <c r="CY13" s="52">
        <v>102.7</v>
      </c>
      <c r="CZ13" s="52">
        <v>0</v>
      </c>
      <c r="DA13" s="52">
        <v>97.93</v>
      </c>
      <c r="DB13" s="52">
        <v>110.9</v>
      </c>
      <c r="DC13" s="52">
        <v>138.47</v>
      </c>
      <c r="DD13" s="52">
        <v>132.1</v>
      </c>
      <c r="DE13" s="52">
        <v>134.9</v>
      </c>
      <c r="DF13" s="52">
        <v>132.53</v>
      </c>
      <c r="DG13" s="52">
        <v>134.57</v>
      </c>
      <c r="DH13" s="52">
        <v>94.45</v>
      </c>
      <c r="DI13" s="52">
        <v>87.13</v>
      </c>
      <c r="DJ13" s="52">
        <v>147.94999999999999</v>
      </c>
      <c r="DK13" s="52">
        <v>119.55</v>
      </c>
      <c r="DL13" s="52">
        <v>86.41</v>
      </c>
      <c r="DM13" s="52">
        <v>106.4</v>
      </c>
      <c r="DN13" s="52">
        <v>92.82</v>
      </c>
      <c r="DO13" s="52">
        <v>106.82</v>
      </c>
      <c r="DP13" s="52">
        <v>133.34</v>
      </c>
      <c r="DQ13" s="52">
        <v>115.26</v>
      </c>
      <c r="DR13" s="52">
        <v>124.92</v>
      </c>
      <c r="DS13" s="52">
        <v>116.78</v>
      </c>
      <c r="DT13" s="52"/>
      <c r="DU13" s="52">
        <v>131.87</v>
      </c>
      <c r="DV13" s="52">
        <v>143.74</v>
      </c>
      <c r="DW13" s="52">
        <v>120.41</v>
      </c>
      <c r="DX13" s="52">
        <v>165.02</v>
      </c>
      <c r="DY13" s="52">
        <v>137.69999999999999</v>
      </c>
      <c r="DZ13" s="52">
        <v>105.75</v>
      </c>
      <c r="EA13" s="52">
        <v>114.01</v>
      </c>
      <c r="EB13" s="52">
        <v>129.68</v>
      </c>
      <c r="EC13" s="52">
        <v>142.69</v>
      </c>
      <c r="ED13" s="52">
        <v>147.33000000000001</v>
      </c>
      <c r="EE13" s="52">
        <v>129.66999999999999</v>
      </c>
      <c r="EF13" s="52">
        <v>126.44</v>
      </c>
      <c r="EG13" s="52">
        <v>134.87</v>
      </c>
      <c r="EH13" s="52">
        <v>134.83000000000001</v>
      </c>
      <c r="EI13" s="52">
        <v>146.22</v>
      </c>
      <c r="EJ13" s="52">
        <v>99.91</v>
      </c>
      <c r="EK13" s="52">
        <v>108.53</v>
      </c>
      <c r="EL13" s="52">
        <v>107.68</v>
      </c>
      <c r="EM13" s="52">
        <v>127.22</v>
      </c>
      <c r="EN13" s="52">
        <v>139.69</v>
      </c>
      <c r="EO13" s="52">
        <v>133.71</v>
      </c>
      <c r="EP13" s="52">
        <v>110.31</v>
      </c>
      <c r="EQ13" s="52">
        <v>129.63999999999999</v>
      </c>
      <c r="ER13" s="52">
        <v>128.66</v>
      </c>
      <c r="ES13" s="52">
        <v>144.08000000000001</v>
      </c>
      <c r="ET13" s="52">
        <v>124.84</v>
      </c>
      <c r="EU13" s="52">
        <v>108.65</v>
      </c>
      <c r="EV13" s="52">
        <v>106.99</v>
      </c>
      <c r="EW13" s="52">
        <v>126.48</v>
      </c>
      <c r="EX13" s="52">
        <v>102.32</v>
      </c>
      <c r="EY13" s="52">
        <v>111</v>
      </c>
      <c r="EZ13" s="52">
        <v>115.7</v>
      </c>
      <c r="FA13" s="52">
        <v>115.21</v>
      </c>
      <c r="FB13" s="52">
        <v>135.28</v>
      </c>
      <c r="FC13" s="52">
        <v>118.17</v>
      </c>
      <c r="FD13" s="52">
        <v>119.23</v>
      </c>
      <c r="FE13" s="52">
        <v>133.86000000000001</v>
      </c>
      <c r="FF13" s="52"/>
      <c r="FG13" s="52">
        <v>109.28</v>
      </c>
      <c r="FH13" s="52">
        <v>116.8</v>
      </c>
      <c r="FI13" s="52">
        <v>121.69</v>
      </c>
      <c r="FJ13" s="52">
        <v>89.79</v>
      </c>
      <c r="FK13" s="52">
        <v>127.87</v>
      </c>
      <c r="FL13" s="52">
        <v>99.69</v>
      </c>
      <c r="FM13" s="52">
        <v>103.78</v>
      </c>
      <c r="FN13" s="52">
        <v>76.89</v>
      </c>
      <c r="FO13" s="52">
        <v>131.55000000000001</v>
      </c>
      <c r="FP13" s="52">
        <v>66.650000000000006</v>
      </c>
      <c r="FQ13" s="52">
        <v>123.88</v>
      </c>
      <c r="FR13" s="52">
        <v>134.43</v>
      </c>
      <c r="FS13" s="52">
        <v>135.36000000000001</v>
      </c>
      <c r="FT13" s="52">
        <v>115.79</v>
      </c>
      <c r="FU13" s="52">
        <v>117.54</v>
      </c>
      <c r="FV13" s="52">
        <v>129.29</v>
      </c>
      <c r="FW13" s="52">
        <v>120.44</v>
      </c>
      <c r="FX13" s="52">
        <v>121.91</v>
      </c>
      <c r="FY13" s="52">
        <v>121.19</v>
      </c>
      <c r="FZ13" s="52">
        <v>130.59</v>
      </c>
      <c r="GA13" s="52">
        <v>128.25</v>
      </c>
      <c r="GB13" s="52">
        <v>102.77</v>
      </c>
      <c r="GC13" s="52">
        <v>107.58</v>
      </c>
      <c r="GD13" s="52">
        <v>112.22</v>
      </c>
      <c r="GE13" s="52">
        <v>170.68</v>
      </c>
      <c r="GF13" s="52">
        <v>151.9</v>
      </c>
      <c r="GG13" s="52">
        <v>152.25</v>
      </c>
      <c r="GH13" s="52">
        <v>147.26</v>
      </c>
      <c r="GI13" s="52">
        <v>102.79</v>
      </c>
      <c r="GJ13" s="52">
        <v>99.18</v>
      </c>
      <c r="GK13" s="52">
        <v>105.49</v>
      </c>
      <c r="GL13" s="52">
        <v>118.18</v>
      </c>
      <c r="GM13" s="52">
        <v>110.17</v>
      </c>
      <c r="GN13" s="52">
        <v>137.93</v>
      </c>
      <c r="GO13" s="52">
        <v>109.35</v>
      </c>
      <c r="GP13" s="52">
        <v>106.46</v>
      </c>
      <c r="GQ13" s="52">
        <v>108.73</v>
      </c>
      <c r="GR13" s="52">
        <v>129.38</v>
      </c>
      <c r="GS13" s="52">
        <v>147.83000000000001</v>
      </c>
      <c r="GT13" s="52">
        <v>116.19</v>
      </c>
      <c r="GU13" s="52">
        <v>102.27</v>
      </c>
      <c r="GV13" s="52">
        <v>99.97</v>
      </c>
      <c r="GW13" s="52">
        <v>121.84</v>
      </c>
      <c r="GX13" s="52">
        <v>124.81</v>
      </c>
      <c r="GY13" s="52">
        <v>115.86</v>
      </c>
      <c r="GZ13" s="52">
        <v>126.35</v>
      </c>
      <c r="HA13" s="52">
        <v>134.56</v>
      </c>
      <c r="HB13" s="52">
        <v>134.44999999999999</v>
      </c>
      <c r="HC13" s="52">
        <v>122.72</v>
      </c>
      <c r="HD13" s="52">
        <v>109.02</v>
      </c>
      <c r="HE13" s="52">
        <v>82.96</v>
      </c>
      <c r="HF13" s="52">
        <v>84.63</v>
      </c>
      <c r="HG13" s="52">
        <v>87.32</v>
      </c>
      <c r="HH13" s="52">
        <v>114.04</v>
      </c>
      <c r="HI13" s="52">
        <v>95.84</v>
      </c>
      <c r="HJ13" s="52">
        <v>102.22</v>
      </c>
      <c r="HK13" s="52">
        <v>134.31</v>
      </c>
      <c r="HL13" s="52">
        <v>113.85</v>
      </c>
      <c r="HM13" s="52">
        <v>125.28</v>
      </c>
      <c r="HN13" s="52">
        <v>118.81</v>
      </c>
      <c r="HO13" s="52">
        <v>113.41</v>
      </c>
      <c r="HP13" s="52">
        <v>124.01</v>
      </c>
      <c r="HQ13" s="52">
        <v>92.82</v>
      </c>
      <c r="HR13" s="52">
        <v>115.67</v>
      </c>
      <c r="HS13" s="52">
        <v>138.85</v>
      </c>
      <c r="HT13" s="52">
        <v>135.77000000000001</v>
      </c>
      <c r="HU13" s="52">
        <v>84.86</v>
      </c>
      <c r="HV13" s="52">
        <v>120.51</v>
      </c>
      <c r="HW13" s="52">
        <v>113.75</v>
      </c>
      <c r="HX13" s="52">
        <v>95.65</v>
      </c>
      <c r="HY13" s="52">
        <v>160.94999999999999</v>
      </c>
      <c r="HZ13" s="52">
        <v>117.55</v>
      </c>
      <c r="IA13" s="52">
        <v>83.68</v>
      </c>
      <c r="IB13" s="52">
        <v>140.6</v>
      </c>
      <c r="IC13" s="52">
        <v>0</v>
      </c>
      <c r="ID13" s="52">
        <v>102.7</v>
      </c>
      <c r="IE13" s="52">
        <v>0</v>
      </c>
      <c r="IF13" s="52">
        <v>97.93</v>
      </c>
      <c r="IG13" s="52">
        <v>110.9</v>
      </c>
      <c r="IH13" s="52">
        <v>138.47</v>
      </c>
      <c r="II13" s="52">
        <v>132.1</v>
      </c>
      <c r="IJ13" s="52">
        <v>134.9</v>
      </c>
      <c r="IK13" s="52">
        <v>134.41999999999999</v>
      </c>
      <c r="IL13" s="52">
        <v>127.42</v>
      </c>
      <c r="IM13" s="52">
        <v>137.74</v>
      </c>
      <c r="IN13" s="52">
        <v>124.16</v>
      </c>
      <c r="IO13" s="52">
        <v>126.28</v>
      </c>
      <c r="IP13" s="52">
        <v>94.45</v>
      </c>
      <c r="IQ13" s="52">
        <v>87.13</v>
      </c>
      <c r="IR13" s="52">
        <v>147.94999999999999</v>
      </c>
      <c r="IS13" s="52">
        <v>119.55</v>
      </c>
      <c r="IT13" s="52">
        <v>86.41</v>
      </c>
      <c r="IU13" s="52">
        <v>106.4</v>
      </c>
      <c r="IV13" s="52">
        <v>93.58</v>
      </c>
      <c r="IW13" s="52">
        <v>106.82</v>
      </c>
      <c r="IX13" s="52">
        <v>133.34</v>
      </c>
      <c r="IY13" s="52">
        <v>115.26</v>
      </c>
      <c r="IZ13" s="52">
        <v>124.92</v>
      </c>
      <c r="JA13" s="52">
        <v>116.78</v>
      </c>
      <c r="JB13" s="52"/>
      <c r="JC13" s="52">
        <v>131.87</v>
      </c>
      <c r="JD13" s="52">
        <v>143.74</v>
      </c>
      <c r="JE13" s="52">
        <v>119.24</v>
      </c>
      <c r="JF13" s="52">
        <v>120.81</v>
      </c>
      <c r="JG13" s="52">
        <v>165.02</v>
      </c>
      <c r="JH13" s="52">
        <v>137.69999999999999</v>
      </c>
      <c r="JI13" s="52">
        <v>105.75</v>
      </c>
      <c r="JJ13" s="52">
        <v>114.01</v>
      </c>
      <c r="JK13" s="52">
        <v>129.68</v>
      </c>
      <c r="JL13" s="52">
        <v>142.69</v>
      </c>
      <c r="JM13" s="52">
        <v>147.33000000000001</v>
      </c>
      <c r="JN13" s="52">
        <v>129.66999999999999</v>
      </c>
      <c r="JO13" s="52">
        <v>126.44</v>
      </c>
      <c r="JP13" s="52">
        <v>137.38999999999999</v>
      </c>
      <c r="JQ13" s="52">
        <v>128.96</v>
      </c>
      <c r="JR13" s="52">
        <v>132.9</v>
      </c>
      <c r="JS13" s="52">
        <v>136.91</v>
      </c>
      <c r="JT13" s="52">
        <v>150.65</v>
      </c>
      <c r="JU13" s="52">
        <v>141.80000000000001</v>
      </c>
      <c r="JV13" s="52">
        <v>99.91</v>
      </c>
      <c r="JW13" s="52">
        <v>108.53</v>
      </c>
      <c r="JX13" s="52">
        <v>107.68</v>
      </c>
      <c r="JY13" s="52">
        <v>128.37</v>
      </c>
      <c r="JZ13" s="52">
        <v>124.44</v>
      </c>
      <c r="KA13" s="52">
        <v>139.69</v>
      </c>
      <c r="KB13" s="52">
        <v>133.71</v>
      </c>
      <c r="KC13" s="52">
        <v>110.31</v>
      </c>
      <c r="KD13" s="52">
        <v>129.63999999999999</v>
      </c>
      <c r="KE13" s="52">
        <v>128.66</v>
      </c>
      <c r="KF13" s="52">
        <v>144.08000000000001</v>
      </c>
    </row>
    <row r="14" spans="1:293" s="41" customFormat="1" ht="12">
      <c r="A14" s="41">
        <v>2005</v>
      </c>
      <c r="B14" s="54" t="s">
        <v>993</v>
      </c>
      <c r="C14" s="55" t="s">
        <v>994</v>
      </c>
      <c r="D14" s="56">
        <v>118.33</v>
      </c>
      <c r="E14" s="56">
        <v>110.23</v>
      </c>
      <c r="F14" s="56">
        <v>148.6</v>
      </c>
      <c r="G14" s="56">
        <v>105.56</v>
      </c>
      <c r="H14" s="56">
        <v>122.41</v>
      </c>
      <c r="I14" s="56">
        <v>112.33</v>
      </c>
      <c r="J14" s="56">
        <v>111.36</v>
      </c>
      <c r="K14" s="56">
        <v>128.12</v>
      </c>
      <c r="L14" s="56">
        <v>105.13</v>
      </c>
      <c r="M14" s="56">
        <v>119.68</v>
      </c>
      <c r="N14" s="56">
        <v>140.37</v>
      </c>
      <c r="O14" s="56">
        <v>137.06</v>
      </c>
      <c r="P14" s="56">
        <v>119.31</v>
      </c>
      <c r="Q14" s="56">
        <v>109.6</v>
      </c>
      <c r="R14" s="56">
        <v>119.34</v>
      </c>
      <c r="S14" s="56">
        <v>162.83000000000001</v>
      </c>
      <c r="T14" s="56">
        <v>147.54</v>
      </c>
      <c r="U14" s="56">
        <v>103.08</v>
      </c>
      <c r="V14" s="56">
        <v>112.66</v>
      </c>
      <c r="W14" s="56">
        <v>151.30000000000001</v>
      </c>
      <c r="X14" s="56">
        <v>116.18</v>
      </c>
      <c r="Y14" s="56">
        <v>103.71</v>
      </c>
      <c r="Z14" s="56">
        <v>116.68</v>
      </c>
      <c r="AA14" s="56">
        <v>128.61000000000001</v>
      </c>
      <c r="AB14" s="56">
        <v>108.77</v>
      </c>
      <c r="AC14" s="56">
        <v>96.58</v>
      </c>
      <c r="AD14" s="56">
        <v>117.26</v>
      </c>
      <c r="AE14" s="56">
        <v>119</v>
      </c>
      <c r="AF14" s="56">
        <v>105.32</v>
      </c>
      <c r="AG14" s="56">
        <v>88.38</v>
      </c>
      <c r="AH14" s="56">
        <v>131.34</v>
      </c>
      <c r="AI14" s="56">
        <v>141.11000000000001</v>
      </c>
      <c r="AJ14" s="56">
        <v>102.4</v>
      </c>
      <c r="AK14" s="56">
        <v>140.9</v>
      </c>
      <c r="AL14" s="56">
        <v>135.09</v>
      </c>
      <c r="AM14" s="56">
        <v>119.55</v>
      </c>
      <c r="AN14" s="56">
        <v>91.02</v>
      </c>
      <c r="AO14" s="56">
        <v>106.48</v>
      </c>
      <c r="AP14" s="56">
        <v>99.43</v>
      </c>
      <c r="AQ14" s="56">
        <v>116.89</v>
      </c>
      <c r="AR14" s="56">
        <v>125.42</v>
      </c>
      <c r="AS14" s="56">
        <v>140.19</v>
      </c>
      <c r="AT14" s="56">
        <v>123.35</v>
      </c>
      <c r="AU14" s="56">
        <v>117.15</v>
      </c>
      <c r="AV14" s="56">
        <v>143.74</v>
      </c>
      <c r="AW14" s="56">
        <v>147.35</v>
      </c>
      <c r="AX14" s="56">
        <v>137.80000000000001</v>
      </c>
      <c r="AY14" s="56">
        <v>127.71</v>
      </c>
      <c r="AZ14" s="56">
        <v>135.85</v>
      </c>
      <c r="BA14" s="56">
        <v>138.56</v>
      </c>
      <c r="BB14" s="56">
        <v>117.31</v>
      </c>
      <c r="BC14" s="56">
        <v>117.08</v>
      </c>
      <c r="BD14" s="56">
        <v>146</v>
      </c>
      <c r="BE14" s="56">
        <v>132.18</v>
      </c>
      <c r="BF14" s="56">
        <v>128.66</v>
      </c>
      <c r="BG14" s="56">
        <v>144.15</v>
      </c>
      <c r="BH14" s="52">
        <v>111.41</v>
      </c>
      <c r="BI14" s="52">
        <v>120.13</v>
      </c>
      <c r="BJ14" s="52">
        <v>119.12</v>
      </c>
      <c r="BK14" s="52">
        <v>117.6</v>
      </c>
      <c r="BL14" s="52">
        <v>105.03</v>
      </c>
      <c r="BM14" s="52">
        <v>85.98</v>
      </c>
      <c r="BN14" s="52">
        <v>99.82</v>
      </c>
      <c r="BO14" s="52">
        <v>118.99</v>
      </c>
      <c r="BP14" s="52">
        <v>122.1</v>
      </c>
      <c r="BQ14" s="52">
        <v>130.47</v>
      </c>
      <c r="BR14" s="52">
        <v>108.39</v>
      </c>
      <c r="BS14" s="52">
        <v>170.77</v>
      </c>
      <c r="BT14" s="52">
        <v>151.71</v>
      </c>
      <c r="BU14" s="52">
        <v>152.01</v>
      </c>
      <c r="BV14" s="52">
        <v>147.54</v>
      </c>
      <c r="BW14" s="52">
        <v>102.06</v>
      </c>
      <c r="BX14" s="52">
        <v>110.27</v>
      </c>
      <c r="BY14" s="52">
        <v>140.16999999999999</v>
      </c>
      <c r="BZ14" s="52">
        <v>112.53</v>
      </c>
      <c r="CA14" s="52">
        <v>130.36000000000001</v>
      </c>
      <c r="CB14" s="53">
        <v>151.30000000000001</v>
      </c>
      <c r="CC14" s="52">
        <v>116.18</v>
      </c>
      <c r="CD14" s="52">
        <v>102.78</v>
      </c>
      <c r="CE14" s="52">
        <v>99.97</v>
      </c>
      <c r="CF14" s="52">
        <v>129.46</v>
      </c>
      <c r="CG14" s="52">
        <v>116.38</v>
      </c>
      <c r="CH14" s="52">
        <v>130.08000000000001</v>
      </c>
      <c r="CI14" s="52">
        <v>122.44</v>
      </c>
      <c r="CJ14" s="52">
        <v>108.77</v>
      </c>
      <c r="CK14" s="52">
        <v>91.56</v>
      </c>
      <c r="CL14" s="52">
        <v>101.06</v>
      </c>
      <c r="CM14" s="52">
        <v>134.31</v>
      </c>
      <c r="CN14" s="52">
        <v>117.26</v>
      </c>
      <c r="CO14" s="52">
        <v>119</v>
      </c>
      <c r="CP14" s="52">
        <v>93.12</v>
      </c>
      <c r="CQ14" s="52">
        <v>140.03</v>
      </c>
      <c r="CR14" s="52">
        <v>84.9</v>
      </c>
      <c r="CS14" s="52">
        <v>120.31</v>
      </c>
      <c r="CT14" s="52">
        <v>107.44</v>
      </c>
      <c r="CU14" s="52">
        <v>161.85</v>
      </c>
      <c r="CV14" s="52">
        <v>117.37</v>
      </c>
      <c r="CW14" s="52">
        <v>88.45</v>
      </c>
      <c r="CX14" s="52">
        <v>141.11000000000001</v>
      </c>
      <c r="CY14" s="52">
        <v>102.36</v>
      </c>
      <c r="CZ14" s="52">
        <v>0</v>
      </c>
      <c r="DA14" s="52">
        <v>103.25</v>
      </c>
      <c r="DB14" s="52">
        <v>110.8</v>
      </c>
      <c r="DC14" s="52">
        <v>143.28</v>
      </c>
      <c r="DD14" s="52">
        <v>133.76</v>
      </c>
      <c r="DE14" s="52">
        <v>136.47</v>
      </c>
      <c r="DF14" s="52">
        <v>132.93</v>
      </c>
      <c r="DG14" s="52">
        <v>137.09</v>
      </c>
      <c r="DH14" s="52">
        <v>92.08</v>
      </c>
      <c r="DI14" s="52">
        <v>87.38</v>
      </c>
      <c r="DJ14" s="52">
        <v>151.56</v>
      </c>
      <c r="DK14" s="52">
        <v>119.55</v>
      </c>
      <c r="DL14" s="52">
        <v>91.02</v>
      </c>
      <c r="DM14" s="52">
        <v>106.48</v>
      </c>
      <c r="DN14" s="52">
        <v>91.25</v>
      </c>
      <c r="DO14" s="52">
        <v>99.89</v>
      </c>
      <c r="DP14" s="52">
        <v>129.63</v>
      </c>
      <c r="DQ14" s="52">
        <v>116.89</v>
      </c>
      <c r="DR14" s="52">
        <v>125.85</v>
      </c>
      <c r="DS14" s="52">
        <v>116.79</v>
      </c>
      <c r="DT14" s="52"/>
      <c r="DU14" s="52">
        <v>133.09</v>
      </c>
      <c r="DV14" s="52">
        <v>152.69999999999999</v>
      </c>
      <c r="DW14" s="52">
        <v>120.69</v>
      </c>
      <c r="DX14" s="52">
        <v>165.02</v>
      </c>
      <c r="DY14" s="52">
        <v>146.27000000000001</v>
      </c>
      <c r="DZ14" s="52">
        <v>105.75</v>
      </c>
      <c r="EA14" s="52">
        <v>113.9</v>
      </c>
      <c r="EB14" s="52">
        <v>117.15</v>
      </c>
      <c r="EC14" s="52">
        <v>143.74</v>
      </c>
      <c r="ED14" s="52">
        <v>147.35</v>
      </c>
      <c r="EE14" s="52">
        <v>137.80000000000001</v>
      </c>
      <c r="EF14" s="52">
        <v>127.71</v>
      </c>
      <c r="EG14" s="52">
        <v>135.85</v>
      </c>
      <c r="EH14" s="52">
        <v>138.56</v>
      </c>
      <c r="EI14" s="52">
        <v>147.43</v>
      </c>
      <c r="EJ14" s="52">
        <v>100.94</v>
      </c>
      <c r="EK14" s="52">
        <v>108.21</v>
      </c>
      <c r="EL14" s="52">
        <v>111.32</v>
      </c>
      <c r="EM14" s="52">
        <v>131.15</v>
      </c>
      <c r="EN14" s="52">
        <v>146</v>
      </c>
      <c r="EO14" s="52">
        <v>136.82</v>
      </c>
      <c r="EP14" s="52">
        <v>110.36</v>
      </c>
      <c r="EQ14" s="52">
        <v>129.68</v>
      </c>
      <c r="ER14" s="52">
        <v>128.66</v>
      </c>
      <c r="ES14" s="52">
        <v>144.15</v>
      </c>
      <c r="ET14" s="52">
        <v>126.13</v>
      </c>
      <c r="EU14" s="52">
        <v>108.58</v>
      </c>
      <c r="EV14" s="52">
        <v>107.24</v>
      </c>
      <c r="EW14" s="52">
        <v>126.64</v>
      </c>
      <c r="EX14" s="52">
        <v>103.59</v>
      </c>
      <c r="EY14" s="52">
        <v>111.07</v>
      </c>
      <c r="EZ14" s="52">
        <v>116.21</v>
      </c>
      <c r="FA14" s="52">
        <v>114.57</v>
      </c>
      <c r="FB14" s="52">
        <v>126.29</v>
      </c>
      <c r="FC14" s="52">
        <v>118.35</v>
      </c>
      <c r="FD14" s="52">
        <v>120.09</v>
      </c>
      <c r="FE14" s="52">
        <v>119.12</v>
      </c>
      <c r="FF14" s="52"/>
      <c r="FG14" s="52">
        <v>107.74</v>
      </c>
      <c r="FH14" s="52">
        <v>117.6</v>
      </c>
      <c r="FI14" s="52">
        <v>122.23</v>
      </c>
      <c r="FJ14" s="52">
        <v>120.88</v>
      </c>
      <c r="FK14" s="52">
        <v>127.96</v>
      </c>
      <c r="FL14" s="52">
        <v>100.65</v>
      </c>
      <c r="FM14" s="52">
        <v>103.85</v>
      </c>
      <c r="FN14" s="52">
        <v>78.22</v>
      </c>
      <c r="FO14" s="52">
        <v>132.82</v>
      </c>
      <c r="FP14" s="52">
        <v>78.599999999999994</v>
      </c>
      <c r="FQ14" s="52">
        <v>118.18</v>
      </c>
      <c r="FR14" s="52">
        <v>133.58000000000001</v>
      </c>
      <c r="FS14" s="52">
        <v>136.76</v>
      </c>
      <c r="FT14" s="52">
        <v>115.98</v>
      </c>
      <c r="FU14" s="52">
        <v>116.45</v>
      </c>
      <c r="FV14" s="52">
        <v>129.84</v>
      </c>
      <c r="FW14" s="52">
        <v>121.27</v>
      </c>
      <c r="FX14" s="52">
        <v>122.1</v>
      </c>
      <c r="FY14" s="52">
        <v>122.34</v>
      </c>
      <c r="FZ14" s="52">
        <v>131.30000000000001</v>
      </c>
      <c r="GA14" s="52">
        <v>128.07</v>
      </c>
      <c r="GB14" s="52">
        <v>105.15</v>
      </c>
      <c r="GC14" s="52">
        <v>108.82</v>
      </c>
      <c r="GD14" s="52">
        <v>112.09</v>
      </c>
      <c r="GE14" s="52">
        <v>170.77</v>
      </c>
      <c r="GF14" s="52">
        <v>151.71</v>
      </c>
      <c r="GG14" s="52">
        <v>152.01</v>
      </c>
      <c r="GH14" s="52">
        <v>147.26</v>
      </c>
      <c r="GI14" s="52">
        <v>101.07</v>
      </c>
      <c r="GJ14" s="52">
        <v>100.33</v>
      </c>
      <c r="GK14" s="52">
        <v>107.93</v>
      </c>
      <c r="GL14" s="52">
        <v>118.4</v>
      </c>
      <c r="GM14" s="52">
        <v>110.27</v>
      </c>
      <c r="GN14" s="52">
        <v>140.16999999999999</v>
      </c>
      <c r="GO14" s="52">
        <v>113.01</v>
      </c>
      <c r="GP14" s="52">
        <v>110.68</v>
      </c>
      <c r="GQ14" s="52">
        <v>114.38</v>
      </c>
      <c r="GR14" s="52">
        <v>130.36000000000001</v>
      </c>
      <c r="GS14" s="52">
        <v>151.30000000000001</v>
      </c>
      <c r="GT14" s="52">
        <v>116.18</v>
      </c>
      <c r="GU14" s="52">
        <v>102.78</v>
      </c>
      <c r="GV14" s="52">
        <v>99.97</v>
      </c>
      <c r="GW14" s="52">
        <v>127.23</v>
      </c>
      <c r="GX14" s="52">
        <v>130.65</v>
      </c>
      <c r="GY14" s="52">
        <v>116.38</v>
      </c>
      <c r="GZ14" s="52">
        <v>127.04</v>
      </c>
      <c r="HA14" s="52">
        <v>132.13999999999999</v>
      </c>
      <c r="HB14" s="52">
        <v>129.61000000000001</v>
      </c>
      <c r="HC14" s="52">
        <v>122.44</v>
      </c>
      <c r="HD14" s="52">
        <v>108.77</v>
      </c>
      <c r="HE14" s="52">
        <v>81.19</v>
      </c>
      <c r="HF14" s="52">
        <v>82.52</v>
      </c>
      <c r="HG14" s="52">
        <v>85.7</v>
      </c>
      <c r="HH14" s="52">
        <v>114.18</v>
      </c>
      <c r="HI14" s="52">
        <v>91.59</v>
      </c>
      <c r="HJ14" s="52">
        <v>101.06</v>
      </c>
      <c r="HK14" s="52">
        <v>134.31</v>
      </c>
      <c r="HL14" s="52">
        <v>113.74</v>
      </c>
      <c r="HM14" s="52">
        <v>125.05</v>
      </c>
      <c r="HN14" s="52">
        <v>118.71</v>
      </c>
      <c r="HO14" s="52">
        <v>113.22</v>
      </c>
      <c r="HP14" s="52">
        <v>124.56</v>
      </c>
      <c r="HQ14" s="52">
        <v>90.72</v>
      </c>
      <c r="HR14" s="52">
        <v>115.4</v>
      </c>
      <c r="HS14" s="52">
        <v>140.1</v>
      </c>
      <c r="HT14" s="52">
        <v>136.71</v>
      </c>
      <c r="HU14" s="52">
        <v>84.9</v>
      </c>
      <c r="HV14" s="52">
        <v>120.31</v>
      </c>
      <c r="HW14" s="52">
        <v>113.42</v>
      </c>
      <c r="HX14" s="52">
        <v>94.74</v>
      </c>
      <c r="HY14" s="52">
        <v>161.85</v>
      </c>
      <c r="HZ14" s="52">
        <v>117.37</v>
      </c>
      <c r="IA14" s="52">
        <v>83.71</v>
      </c>
      <c r="IB14" s="52">
        <v>141.11000000000001</v>
      </c>
      <c r="IC14" s="52">
        <v>0</v>
      </c>
      <c r="ID14" s="52">
        <v>102.36</v>
      </c>
      <c r="IE14" s="52">
        <v>0</v>
      </c>
      <c r="IF14" s="52">
        <v>103.25</v>
      </c>
      <c r="IG14" s="52">
        <v>110.8</v>
      </c>
      <c r="IH14" s="52">
        <v>143.28</v>
      </c>
      <c r="II14" s="52">
        <v>133.76</v>
      </c>
      <c r="IJ14" s="52">
        <v>136.47</v>
      </c>
      <c r="IK14" s="52">
        <v>134.99</v>
      </c>
      <c r="IL14" s="52">
        <v>127.42</v>
      </c>
      <c r="IM14" s="52">
        <v>140.86000000000001</v>
      </c>
      <c r="IN14" s="52">
        <v>127.19</v>
      </c>
      <c r="IO14" s="52">
        <v>126.35</v>
      </c>
      <c r="IP14" s="52">
        <v>92.08</v>
      </c>
      <c r="IQ14" s="52">
        <v>87.38</v>
      </c>
      <c r="IR14" s="52">
        <v>151.56</v>
      </c>
      <c r="IS14" s="52">
        <v>119.55</v>
      </c>
      <c r="IT14" s="52">
        <v>91.02</v>
      </c>
      <c r="IU14" s="52">
        <v>106.48</v>
      </c>
      <c r="IV14" s="52">
        <v>91.6</v>
      </c>
      <c r="IW14" s="52">
        <v>99.89</v>
      </c>
      <c r="IX14" s="52">
        <v>129.63</v>
      </c>
      <c r="IY14" s="52">
        <v>116.89</v>
      </c>
      <c r="IZ14" s="52">
        <v>125.85</v>
      </c>
      <c r="JA14" s="52">
        <v>116.79</v>
      </c>
      <c r="JB14" s="52"/>
      <c r="JC14" s="52">
        <v>133.09</v>
      </c>
      <c r="JD14" s="52">
        <v>152.69999999999999</v>
      </c>
      <c r="JE14" s="52">
        <v>119.76</v>
      </c>
      <c r="JF14" s="52">
        <v>121</v>
      </c>
      <c r="JG14" s="52">
        <v>165.02</v>
      </c>
      <c r="JH14" s="52">
        <v>146.27000000000001</v>
      </c>
      <c r="JI14" s="52">
        <v>105.75</v>
      </c>
      <c r="JJ14" s="52">
        <v>113.9</v>
      </c>
      <c r="JK14" s="52">
        <v>117.15</v>
      </c>
      <c r="JL14" s="52">
        <v>143.74</v>
      </c>
      <c r="JM14" s="52">
        <v>147.35</v>
      </c>
      <c r="JN14" s="52">
        <v>137.80000000000001</v>
      </c>
      <c r="JO14" s="52">
        <v>127.71</v>
      </c>
      <c r="JP14" s="52">
        <v>138.81</v>
      </c>
      <c r="JQ14" s="52">
        <v>128.97999999999999</v>
      </c>
      <c r="JR14" s="52">
        <v>133.13999999999999</v>
      </c>
      <c r="JS14" s="52">
        <v>145.51</v>
      </c>
      <c r="JT14" s="52">
        <v>152.15</v>
      </c>
      <c r="JU14" s="52">
        <v>142.75</v>
      </c>
      <c r="JV14" s="52">
        <v>100.94</v>
      </c>
      <c r="JW14" s="52">
        <v>108.21</v>
      </c>
      <c r="JX14" s="52">
        <v>111.32</v>
      </c>
      <c r="JY14" s="52">
        <v>133.34</v>
      </c>
      <c r="JZ14" s="52">
        <v>125.86</v>
      </c>
      <c r="KA14" s="52">
        <v>146</v>
      </c>
      <c r="KB14" s="52">
        <v>136.82</v>
      </c>
      <c r="KC14" s="52">
        <v>110.36</v>
      </c>
      <c r="KD14" s="52">
        <v>129.68</v>
      </c>
      <c r="KE14" s="52">
        <v>128.66</v>
      </c>
      <c r="KF14" s="52">
        <v>144.15</v>
      </c>
    </row>
    <row r="15" spans="1:293" s="41" customFormat="1" ht="12">
      <c r="A15" s="41">
        <v>2005</v>
      </c>
      <c r="B15" s="54" t="s">
        <v>995</v>
      </c>
      <c r="C15" s="55" t="s">
        <v>996</v>
      </c>
      <c r="D15" s="56">
        <v>120.45</v>
      </c>
      <c r="E15" s="56">
        <v>112.71</v>
      </c>
      <c r="F15" s="56">
        <v>148.61000000000001</v>
      </c>
      <c r="G15" s="56">
        <v>113.21</v>
      </c>
      <c r="H15" s="56">
        <v>124.21</v>
      </c>
      <c r="I15" s="56">
        <v>114.43</v>
      </c>
      <c r="J15" s="56">
        <v>111.53</v>
      </c>
      <c r="K15" s="56">
        <v>128.63999999999999</v>
      </c>
      <c r="L15" s="56">
        <v>106.36</v>
      </c>
      <c r="M15" s="56">
        <v>118.96</v>
      </c>
      <c r="N15" s="56">
        <v>140.49</v>
      </c>
      <c r="O15" s="56">
        <v>139.29</v>
      </c>
      <c r="P15" s="56">
        <v>121.34</v>
      </c>
      <c r="Q15" s="56">
        <v>112.21</v>
      </c>
      <c r="R15" s="56">
        <v>119.9</v>
      </c>
      <c r="S15" s="56">
        <v>163.04</v>
      </c>
      <c r="T15" s="56">
        <v>147.54</v>
      </c>
      <c r="U15" s="56">
        <v>111.17</v>
      </c>
      <c r="V15" s="56">
        <v>119.04</v>
      </c>
      <c r="W15" s="56">
        <v>154</v>
      </c>
      <c r="X15" s="56">
        <v>116.18</v>
      </c>
      <c r="Y15" s="56">
        <v>103.94</v>
      </c>
      <c r="Z15" s="56">
        <v>118.85</v>
      </c>
      <c r="AA15" s="56">
        <v>133.51</v>
      </c>
      <c r="AB15" s="56">
        <v>110.31</v>
      </c>
      <c r="AC15" s="56">
        <v>99.08</v>
      </c>
      <c r="AD15" s="56">
        <v>117.34</v>
      </c>
      <c r="AE15" s="56">
        <v>119.28</v>
      </c>
      <c r="AF15" s="56">
        <v>105.36</v>
      </c>
      <c r="AG15" s="56">
        <v>88.37</v>
      </c>
      <c r="AH15" s="56">
        <v>131.62</v>
      </c>
      <c r="AI15" s="56">
        <v>141.77000000000001</v>
      </c>
      <c r="AJ15" s="56">
        <v>102.54</v>
      </c>
      <c r="AK15" s="56">
        <v>141.55000000000001</v>
      </c>
      <c r="AL15" s="56">
        <v>135.82</v>
      </c>
      <c r="AM15" s="56">
        <v>119.55</v>
      </c>
      <c r="AN15" s="56">
        <v>91.5</v>
      </c>
      <c r="AO15" s="56">
        <v>107.8</v>
      </c>
      <c r="AP15" s="56">
        <v>97.77</v>
      </c>
      <c r="AQ15" s="56">
        <v>117.94</v>
      </c>
      <c r="AR15" s="56">
        <v>126.25</v>
      </c>
      <c r="AS15" s="56">
        <v>140.61000000000001</v>
      </c>
      <c r="AT15" s="56">
        <v>127.65</v>
      </c>
      <c r="AU15" s="56">
        <v>113.11</v>
      </c>
      <c r="AV15" s="56">
        <v>144.16</v>
      </c>
      <c r="AW15" s="56">
        <v>147.44</v>
      </c>
      <c r="AX15" s="56">
        <v>137.80000000000001</v>
      </c>
      <c r="AY15" s="56">
        <v>130.56</v>
      </c>
      <c r="AZ15" s="56">
        <v>137.88999999999999</v>
      </c>
      <c r="BA15" s="56">
        <v>141.04</v>
      </c>
      <c r="BB15" s="56">
        <v>117.85</v>
      </c>
      <c r="BC15" s="56">
        <v>120.83</v>
      </c>
      <c r="BD15" s="56">
        <v>146.94999999999999</v>
      </c>
      <c r="BE15" s="56">
        <v>130.54</v>
      </c>
      <c r="BF15" s="56">
        <v>128.66</v>
      </c>
      <c r="BG15" s="56">
        <v>144.22999999999999</v>
      </c>
      <c r="BH15" s="52">
        <v>111.8</v>
      </c>
      <c r="BI15" s="52">
        <v>115.51</v>
      </c>
      <c r="BJ15" s="52">
        <v>118.71</v>
      </c>
      <c r="BK15" s="52">
        <v>116.05</v>
      </c>
      <c r="BL15" s="52">
        <v>105.77</v>
      </c>
      <c r="BM15" s="52">
        <v>94.45</v>
      </c>
      <c r="BN15" s="52">
        <v>114.48</v>
      </c>
      <c r="BO15" s="52">
        <v>118.97</v>
      </c>
      <c r="BP15" s="52">
        <v>121.89</v>
      </c>
      <c r="BQ15" s="52">
        <v>131.28</v>
      </c>
      <c r="BR15" s="52">
        <v>108.73</v>
      </c>
      <c r="BS15" s="52">
        <v>170.87</v>
      </c>
      <c r="BT15" s="52">
        <v>153.34</v>
      </c>
      <c r="BU15" s="52">
        <v>152.04</v>
      </c>
      <c r="BV15" s="52">
        <v>147.54</v>
      </c>
      <c r="BW15" s="52">
        <v>110.73</v>
      </c>
      <c r="BX15" s="52">
        <v>112.78</v>
      </c>
      <c r="BY15" s="52">
        <v>141.01</v>
      </c>
      <c r="BZ15" s="52">
        <v>118.94</v>
      </c>
      <c r="CA15" s="52">
        <v>132.1</v>
      </c>
      <c r="CB15" s="53">
        <v>154</v>
      </c>
      <c r="CC15" s="52">
        <v>116.18</v>
      </c>
      <c r="CD15" s="52">
        <v>103.01</v>
      </c>
      <c r="CE15" s="52">
        <v>99.97</v>
      </c>
      <c r="CF15" s="52">
        <v>134.84</v>
      </c>
      <c r="CG15" s="52">
        <v>117.49</v>
      </c>
      <c r="CH15" s="52">
        <v>136.61000000000001</v>
      </c>
      <c r="CI15" s="52">
        <v>120.63</v>
      </c>
      <c r="CJ15" s="52">
        <v>110.31</v>
      </c>
      <c r="CK15" s="52">
        <v>93.81</v>
      </c>
      <c r="CL15" s="52">
        <v>102.83</v>
      </c>
      <c r="CM15" s="52">
        <v>140.75</v>
      </c>
      <c r="CN15" s="52">
        <v>117.34</v>
      </c>
      <c r="CO15" s="52">
        <v>119.28</v>
      </c>
      <c r="CP15" s="52">
        <v>92.71</v>
      </c>
      <c r="CQ15" s="52">
        <v>141.52000000000001</v>
      </c>
      <c r="CR15" s="52">
        <v>84.93</v>
      </c>
      <c r="CS15" s="52">
        <v>120.64</v>
      </c>
      <c r="CT15" s="52">
        <v>107.08</v>
      </c>
      <c r="CU15" s="52">
        <v>162.19999999999999</v>
      </c>
      <c r="CV15" s="52">
        <v>117.29</v>
      </c>
      <c r="CW15" s="52">
        <v>88.83</v>
      </c>
      <c r="CX15" s="52">
        <v>141.77000000000001</v>
      </c>
      <c r="CY15" s="52">
        <v>102.59</v>
      </c>
      <c r="CZ15" s="52">
        <v>0</v>
      </c>
      <c r="DA15" s="52">
        <v>99.17</v>
      </c>
      <c r="DB15" s="52">
        <v>112.26</v>
      </c>
      <c r="DC15" s="52">
        <v>143.74</v>
      </c>
      <c r="DD15" s="52">
        <v>135.61000000000001</v>
      </c>
      <c r="DE15" s="52">
        <v>138.29</v>
      </c>
      <c r="DF15" s="52">
        <v>136.13</v>
      </c>
      <c r="DG15" s="52">
        <v>137.97999999999999</v>
      </c>
      <c r="DH15" s="52">
        <v>85.99</v>
      </c>
      <c r="DI15" s="52">
        <v>94.97</v>
      </c>
      <c r="DJ15" s="52">
        <v>152.62</v>
      </c>
      <c r="DK15" s="52">
        <v>119.55</v>
      </c>
      <c r="DL15" s="52">
        <v>91.5</v>
      </c>
      <c r="DM15" s="52">
        <v>107.8</v>
      </c>
      <c r="DN15" s="52">
        <v>89.06</v>
      </c>
      <c r="DO15" s="52">
        <v>101.71</v>
      </c>
      <c r="DP15" s="52">
        <v>129.88999999999999</v>
      </c>
      <c r="DQ15" s="52">
        <v>117.94</v>
      </c>
      <c r="DR15" s="52">
        <v>126.94</v>
      </c>
      <c r="DS15" s="52">
        <v>117.92</v>
      </c>
      <c r="DT15" s="52"/>
      <c r="DU15" s="52">
        <v>132.88</v>
      </c>
      <c r="DV15" s="52">
        <v>153.56</v>
      </c>
      <c r="DW15" s="52">
        <v>120.97</v>
      </c>
      <c r="DX15" s="52">
        <v>165.02</v>
      </c>
      <c r="DY15" s="52">
        <v>157.65</v>
      </c>
      <c r="DZ15" s="52">
        <v>106.65</v>
      </c>
      <c r="EA15" s="52">
        <v>113.61</v>
      </c>
      <c r="EB15" s="52">
        <v>113.11</v>
      </c>
      <c r="EC15" s="52">
        <v>144.16</v>
      </c>
      <c r="ED15" s="52">
        <v>147.44</v>
      </c>
      <c r="EE15" s="52">
        <v>137.80000000000001</v>
      </c>
      <c r="EF15" s="52">
        <v>130.56</v>
      </c>
      <c r="EG15" s="52">
        <v>137.88999999999999</v>
      </c>
      <c r="EH15" s="52">
        <v>141.04</v>
      </c>
      <c r="EI15" s="52">
        <v>148.96</v>
      </c>
      <c r="EJ15" s="52">
        <v>101.83</v>
      </c>
      <c r="EK15" s="52">
        <v>108.47</v>
      </c>
      <c r="EL15" s="52">
        <v>115.88</v>
      </c>
      <c r="EM15" s="52">
        <v>132.78</v>
      </c>
      <c r="EN15" s="52">
        <v>146.94999999999999</v>
      </c>
      <c r="EO15" s="52">
        <v>137.74</v>
      </c>
      <c r="EP15" s="52">
        <v>110.36</v>
      </c>
      <c r="EQ15" s="52">
        <v>126.05</v>
      </c>
      <c r="ER15" s="52">
        <v>128.66</v>
      </c>
      <c r="ES15" s="52">
        <v>144.22999999999999</v>
      </c>
      <c r="ET15" s="52">
        <v>125.71</v>
      </c>
      <c r="EU15" s="52">
        <v>109.05</v>
      </c>
      <c r="EV15" s="52">
        <v>107.64</v>
      </c>
      <c r="EW15" s="52">
        <v>126.87</v>
      </c>
      <c r="EX15" s="52">
        <v>105.37</v>
      </c>
      <c r="EY15" s="52">
        <v>110.72</v>
      </c>
      <c r="EZ15" s="52">
        <v>118.88</v>
      </c>
      <c r="FA15" s="52">
        <v>115.03</v>
      </c>
      <c r="FB15" s="52">
        <v>106.68</v>
      </c>
      <c r="FC15" s="52">
        <v>118.42</v>
      </c>
      <c r="FD15" s="52">
        <v>120.13</v>
      </c>
      <c r="FE15" s="52">
        <v>118.71</v>
      </c>
      <c r="FF15" s="52"/>
      <c r="FG15" s="52">
        <v>109.34</v>
      </c>
      <c r="FH15" s="52">
        <v>118.07</v>
      </c>
      <c r="FI15" s="52">
        <v>122.41</v>
      </c>
      <c r="FJ15" s="52">
        <v>109.84</v>
      </c>
      <c r="FK15" s="52">
        <v>128.47</v>
      </c>
      <c r="FL15" s="52">
        <v>100.85</v>
      </c>
      <c r="FM15" s="52">
        <v>104.73</v>
      </c>
      <c r="FN15" s="52">
        <v>87.68</v>
      </c>
      <c r="FO15" s="52">
        <v>133.13</v>
      </c>
      <c r="FP15" s="52">
        <v>100.93</v>
      </c>
      <c r="FQ15" s="52">
        <v>121.41</v>
      </c>
      <c r="FR15" s="52">
        <v>135.09</v>
      </c>
      <c r="FS15" s="52">
        <v>136.74</v>
      </c>
      <c r="FT15" s="52">
        <v>115.76</v>
      </c>
      <c r="FU15" s="52">
        <v>116.51</v>
      </c>
      <c r="FV15" s="52">
        <v>130.47999999999999</v>
      </c>
      <c r="FW15" s="52">
        <v>120.93</v>
      </c>
      <c r="FX15" s="52">
        <v>121.89</v>
      </c>
      <c r="FY15" s="52">
        <v>122.49</v>
      </c>
      <c r="FZ15" s="52">
        <v>132.19</v>
      </c>
      <c r="GA15" s="52">
        <v>128.1</v>
      </c>
      <c r="GB15" s="52">
        <v>104.57</v>
      </c>
      <c r="GC15" s="52">
        <v>109.53</v>
      </c>
      <c r="GD15" s="52">
        <v>112.27</v>
      </c>
      <c r="GE15" s="52">
        <v>170.87</v>
      </c>
      <c r="GF15" s="52">
        <v>153.34</v>
      </c>
      <c r="GG15" s="52">
        <v>152.04</v>
      </c>
      <c r="GH15" s="52">
        <v>147.26</v>
      </c>
      <c r="GI15" s="52">
        <v>111.42</v>
      </c>
      <c r="GJ15" s="52">
        <v>110.13</v>
      </c>
      <c r="GK15" s="52">
        <v>109.68</v>
      </c>
      <c r="GL15" s="52">
        <v>121.47</v>
      </c>
      <c r="GM15" s="52">
        <v>112.78</v>
      </c>
      <c r="GN15" s="52">
        <v>141.01</v>
      </c>
      <c r="GO15" s="52">
        <v>119.34</v>
      </c>
      <c r="GP15" s="52">
        <v>120.09</v>
      </c>
      <c r="GQ15" s="52">
        <v>115.69</v>
      </c>
      <c r="GR15" s="52">
        <v>132.1</v>
      </c>
      <c r="GS15" s="52">
        <v>154</v>
      </c>
      <c r="GT15" s="52">
        <v>116.18</v>
      </c>
      <c r="GU15" s="52">
        <v>103.01</v>
      </c>
      <c r="GV15" s="52">
        <v>99.97</v>
      </c>
      <c r="GW15" s="52">
        <v>127.31</v>
      </c>
      <c r="GX15" s="52">
        <v>138.94</v>
      </c>
      <c r="GY15" s="52">
        <v>117.49</v>
      </c>
      <c r="GZ15" s="52">
        <v>127.98</v>
      </c>
      <c r="HA15" s="52">
        <v>143.34</v>
      </c>
      <c r="HB15" s="52">
        <v>135.1</v>
      </c>
      <c r="HC15" s="52">
        <v>120.63</v>
      </c>
      <c r="HD15" s="52">
        <v>110.31</v>
      </c>
      <c r="HE15" s="52">
        <v>82.86</v>
      </c>
      <c r="HF15" s="52">
        <v>86.19</v>
      </c>
      <c r="HG15" s="52">
        <v>89.01</v>
      </c>
      <c r="HH15" s="52">
        <v>115.49</v>
      </c>
      <c r="HI15" s="52">
        <v>92.79</v>
      </c>
      <c r="HJ15" s="52">
        <v>102.83</v>
      </c>
      <c r="HK15" s="52">
        <v>140.75</v>
      </c>
      <c r="HL15" s="52">
        <v>113.53</v>
      </c>
      <c r="HM15" s="52">
        <v>124.66</v>
      </c>
      <c r="HN15" s="52">
        <v>119.12</v>
      </c>
      <c r="HO15" s="52">
        <v>113.34</v>
      </c>
      <c r="HP15" s="52">
        <v>125</v>
      </c>
      <c r="HQ15" s="52">
        <v>90.29</v>
      </c>
      <c r="HR15" s="52">
        <v>115.18</v>
      </c>
      <c r="HS15" s="52">
        <v>141.58000000000001</v>
      </c>
      <c r="HT15" s="52">
        <v>138.82</v>
      </c>
      <c r="HU15" s="52">
        <v>84.93</v>
      </c>
      <c r="HV15" s="52">
        <v>120.64</v>
      </c>
      <c r="HW15" s="52">
        <v>112.79</v>
      </c>
      <c r="HX15" s="52">
        <v>94.96</v>
      </c>
      <c r="HY15" s="52">
        <v>162.19999999999999</v>
      </c>
      <c r="HZ15" s="52">
        <v>117.29</v>
      </c>
      <c r="IA15" s="52">
        <v>83.98</v>
      </c>
      <c r="IB15" s="52">
        <v>141.77000000000001</v>
      </c>
      <c r="IC15" s="52">
        <v>0</v>
      </c>
      <c r="ID15" s="52">
        <v>102.59</v>
      </c>
      <c r="IE15" s="52">
        <v>0</v>
      </c>
      <c r="IF15" s="52">
        <v>99.17</v>
      </c>
      <c r="IG15" s="52">
        <v>112.26</v>
      </c>
      <c r="IH15" s="52">
        <v>143.74</v>
      </c>
      <c r="II15" s="52">
        <v>135.61000000000001</v>
      </c>
      <c r="IJ15" s="52">
        <v>138.29</v>
      </c>
      <c r="IK15" s="52">
        <v>139.49</v>
      </c>
      <c r="IL15" s="52">
        <v>127.42</v>
      </c>
      <c r="IM15" s="52">
        <v>142.25</v>
      </c>
      <c r="IN15" s="52">
        <v>127.86</v>
      </c>
      <c r="IO15" s="52">
        <v>125.48</v>
      </c>
      <c r="IP15" s="52">
        <v>85.99</v>
      </c>
      <c r="IQ15" s="52">
        <v>94.97</v>
      </c>
      <c r="IR15" s="52">
        <v>152.62</v>
      </c>
      <c r="IS15" s="52">
        <v>119.55</v>
      </c>
      <c r="IT15" s="52">
        <v>91.5</v>
      </c>
      <c r="IU15" s="52">
        <v>107.8</v>
      </c>
      <c r="IV15" s="52">
        <v>90.59</v>
      </c>
      <c r="IW15" s="52">
        <v>101.71</v>
      </c>
      <c r="IX15" s="52">
        <v>129.88999999999999</v>
      </c>
      <c r="IY15" s="52">
        <v>117.94</v>
      </c>
      <c r="IZ15" s="52">
        <v>126.94</v>
      </c>
      <c r="JA15" s="52">
        <v>117.92</v>
      </c>
      <c r="JB15" s="52"/>
      <c r="JC15" s="52">
        <v>132.88</v>
      </c>
      <c r="JD15" s="52">
        <v>153.56</v>
      </c>
      <c r="JE15" s="52">
        <v>119.35</v>
      </c>
      <c r="JF15" s="52">
        <v>121.53</v>
      </c>
      <c r="JG15" s="52">
        <v>165.02</v>
      </c>
      <c r="JH15" s="52">
        <v>157.65</v>
      </c>
      <c r="JI15" s="52">
        <v>106.65</v>
      </c>
      <c r="JJ15" s="52">
        <v>113.61</v>
      </c>
      <c r="JK15" s="52">
        <v>113.11</v>
      </c>
      <c r="JL15" s="52">
        <v>144.16</v>
      </c>
      <c r="JM15" s="52">
        <v>147.44</v>
      </c>
      <c r="JN15" s="52">
        <v>137.80000000000001</v>
      </c>
      <c r="JO15" s="52">
        <v>130.56</v>
      </c>
      <c r="JP15" s="52">
        <v>140.6</v>
      </c>
      <c r="JQ15" s="52">
        <v>131.56</v>
      </c>
      <c r="JR15" s="52">
        <v>133.86000000000001</v>
      </c>
      <c r="JS15" s="52">
        <v>150.44999999999999</v>
      </c>
      <c r="JT15" s="52">
        <v>153.72</v>
      </c>
      <c r="JU15" s="52">
        <v>144.22</v>
      </c>
      <c r="JV15" s="52">
        <v>101.83</v>
      </c>
      <c r="JW15" s="52">
        <v>108.47</v>
      </c>
      <c r="JX15" s="52">
        <v>115.88</v>
      </c>
      <c r="JY15" s="52">
        <v>134.22999999999999</v>
      </c>
      <c r="JZ15" s="52">
        <v>129.27000000000001</v>
      </c>
      <c r="KA15" s="52">
        <v>146.94999999999999</v>
      </c>
      <c r="KB15" s="52">
        <v>137.74</v>
      </c>
      <c r="KC15" s="52">
        <v>110.36</v>
      </c>
      <c r="KD15" s="52">
        <v>126.05</v>
      </c>
      <c r="KE15" s="52">
        <v>128.66</v>
      </c>
      <c r="KF15" s="52">
        <v>144.22999999999999</v>
      </c>
    </row>
    <row r="16" spans="1:293" s="41" customFormat="1" ht="12">
      <c r="A16" s="41">
        <v>2005</v>
      </c>
      <c r="B16" s="54" t="s">
        <v>997</v>
      </c>
      <c r="C16" s="55" t="s">
        <v>998</v>
      </c>
      <c r="D16" s="56">
        <v>122.14</v>
      </c>
      <c r="E16" s="56">
        <v>116.39</v>
      </c>
      <c r="F16" s="56">
        <v>148.62</v>
      </c>
      <c r="G16" s="56">
        <v>117.21</v>
      </c>
      <c r="H16" s="56">
        <v>125.51</v>
      </c>
      <c r="I16" s="56">
        <v>115.4</v>
      </c>
      <c r="J16" s="56">
        <v>111.65</v>
      </c>
      <c r="K16" s="56">
        <v>127.58</v>
      </c>
      <c r="L16" s="56">
        <v>106.14</v>
      </c>
      <c r="M16" s="56">
        <v>118.05</v>
      </c>
      <c r="N16" s="56">
        <v>140.69</v>
      </c>
      <c r="O16" s="56">
        <v>140.57</v>
      </c>
      <c r="P16" s="56">
        <v>122.47</v>
      </c>
      <c r="Q16" s="56">
        <v>116.11</v>
      </c>
      <c r="R16" s="56">
        <v>120.3</v>
      </c>
      <c r="S16" s="56">
        <v>163.15</v>
      </c>
      <c r="T16" s="56">
        <v>147.54</v>
      </c>
      <c r="U16" s="56">
        <v>114.87</v>
      </c>
      <c r="V16" s="56">
        <v>123.94</v>
      </c>
      <c r="W16" s="56">
        <v>155.80000000000001</v>
      </c>
      <c r="X16" s="56">
        <v>116.47</v>
      </c>
      <c r="Y16" s="56">
        <v>104.07</v>
      </c>
      <c r="Z16" s="56">
        <v>120.44</v>
      </c>
      <c r="AA16" s="56">
        <v>136.05000000000001</v>
      </c>
      <c r="AB16" s="56">
        <v>110.29</v>
      </c>
      <c r="AC16" s="56">
        <v>98.88</v>
      </c>
      <c r="AD16" s="56">
        <v>117.42</v>
      </c>
      <c r="AE16" s="56">
        <v>119.36</v>
      </c>
      <c r="AF16" s="56">
        <v>106.32</v>
      </c>
      <c r="AG16" s="56">
        <v>88.33</v>
      </c>
      <c r="AH16" s="56">
        <v>131.9</v>
      </c>
      <c r="AI16" s="56">
        <v>142.16999999999999</v>
      </c>
      <c r="AJ16" s="56">
        <v>102.82</v>
      </c>
      <c r="AK16" s="56">
        <v>137.63</v>
      </c>
      <c r="AL16" s="56">
        <v>136.44</v>
      </c>
      <c r="AM16" s="56">
        <v>119.55</v>
      </c>
      <c r="AN16" s="56">
        <v>90.2</v>
      </c>
      <c r="AO16" s="56">
        <v>107.71</v>
      </c>
      <c r="AP16" s="56">
        <v>97.57</v>
      </c>
      <c r="AQ16" s="56">
        <v>117.67</v>
      </c>
      <c r="AR16" s="56">
        <v>126.48</v>
      </c>
      <c r="AS16" s="56">
        <v>140.75</v>
      </c>
      <c r="AT16" s="56">
        <v>128.5</v>
      </c>
      <c r="AU16" s="56">
        <v>109.79</v>
      </c>
      <c r="AV16" s="56">
        <v>144.15</v>
      </c>
      <c r="AW16" s="56">
        <v>147.81</v>
      </c>
      <c r="AX16" s="56">
        <v>137.80000000000001</v>
      </c>
      <c r="AY16" s="56">
        <v>132.38</v>
      </c>
      <c r="AZ16" s="56">
        <v>139.43</v>
      </c>
      <c r="BA16" s="56">
        <v>142</v>
      </c>
      <c r="BB16" s="56">
        <v>118.15</v>
      </c>
      <c r="BC16" s="56">
        <v>122.59</v>
      </c>
      <c r="BD16" s="56">
        <v>147.03</v>
      </c>
      <c r="BE16" s="56">
        <v>135.38</v>
      </c>
      <c r="BF16" s="56">
        <v>135.43</v>
      </c>
      <c r="BG16" s="56">
        <v>144.25</v>
      </c>
      <c r="BH16" s="52">
        <v>112.19</v>
      </c>
      <c r="BI16" s="52">
        <v>112.78</v>
      </c>
      <c r="BJ16" s="52">
        <v>99.72</v>
      </c>
      <c r="BK16" s="52">
        <v>112.42</v>
      </c>
      <c r="BL16" s="52">
        <v>107.18</v>
      </c>
      <c r="BM16" s="52">
        <v>104.92</v>
      </c>
      <c r="BN16" s="52">
        <v>136.53</v>
      </c>
      <c r="BO16" s="52">
        <v>118.57</v>
      </c>
      <c r="BP16" s="52">
        <v>123.11</v>
      </c>
      <c r="BQ16" s="52">
        <v>131.69</v>
      </c>
      <c r="BR16" s="52">
        <v>109.12</v>
      </c>
      <c r="BS16" s="52">
        <v>170.88</v>
      </c>
      <c r="BT16" s="52">
        <v>153.6</v>
      </c>
      <c r="BU16" s="52">
        <v>152.28</v>
      </c>
      <c r="BV16" s="52">
        <v>147.54</v>
      </c>
      <c r="BW16" s="52">
        <v>114.68</v>
      </c>
      <c r="BX16" s="52">
        <v>114.12</v>
      </c>
      <c r="BY16" s="52">
        <v>141.71</v>
      </c>
      <c r="BZ16" s="52">
        <v>123.86</v>
      </c>
      <c r="CA16" s="52">
        <v>134.44999999999999</v>
      </c>
      <c r="CB16" s="53">
        <v>155.80000000000001</v>
      </c>
      <c r="CC16" s="52">
        <v>116.47</v>
      </c>
      <c r="CD16" s="52">
        <v>103.15</v>
      </c>
      <c r="CE16" s="52">
        <v>99.97</v>
      </c>
      <c r="CF16" s="52">
        <v>138.24</v>
      </c>
      <c r="CG16" s="52">
        <v>120.64</v>
      </c>
      <c r="CH16" s="52">
        <v>139.66999999999999</v>
      </c>
      <c r="CI16" s="52">
        <v>121.08</v>
      </c>
      <c r="CJ16" s="52">
        <v>110.29</v>
      </c>
      <c r="CK16" s="52">
        <v>93.81</v>
      </c>
      <c r="CL16" s="52">
        <v>100.88</v>
      </c>
      <c r="CM16" s="52">
        <v>140.75</v>
      </c>
      <c r="CN16" s="52">
        <v>117.42</v>
      </c>
      <c r="CO16" s="52">
        <v>119.36</v>
      </c>
      <c r="CP16" s="52">
        <v>93.31</v>
      </c>
      <c r="CQ16" s="52">
        <v>143.6</v>
      </c>
      <c r="CR16" s="52">
        <v>84.93</v>
      </c>
      <c r="CS16" s="52">
        <v>120.84</v>
      </c>
      <c r="CT16" s="52">
        <v>106.7</v>
      </c>
      <c r="CU16" s="52">
        <v>162.63</v>
      </c>
      <c r="CV16" s="52">
        <v>117.36</v>
      </c>
      <c r="CW16" s="52">
        <v>89.01</v>
      </c>
      <c r="CX16" s="52">
        <v>142.16999999999999</v>
      </c>
      <c r="CY16" s="52">
        <v>102.84</v>
      </c>
      <c r="CZ16" s="52">
        <v>0</v>
      </c>
      <c r="DA16" s="52">
        <v>100.44</v>
      </c>
      <c r="DB16" s="52">
        <v>112.88</v>
      </c>
      <c r="DC16" s="52">
        <v>138.96</v>
      </c>
      <c r="DD16" s="52">
        <v>136.71</v>
      </c>
      <c r="DE16" s="52">
        <v>139.62</v>
      </c>
      <c r="DF16" s="52">
        <v>136.13</v>
      </c>
      <c r="DG16" s="52">
        <v>138.37</v>
      </c>
      <c r="DH16" s="52">
        <v>89.64</v>
      </c>
      <c r="DI16" s="52">
        <v>102.55</v>
      </c>
      <c r="DJ16" s="52">
        <v>153.06</v>
      </c>
      <c r="DK16" s="52">
        <v>119.55</v>
      </c>
      <c r="DL16" s="52">
        <v>90.2</v>
      </c>
      <c r="DM16" s="52">
        <v>107.71</v>
      </c>
      <c r="DN16" s="52">
        <v>89.18</v>
      </c>
      <c r="DO16" s="52">
        <v>100.62</v>
      </c>
      <c r="DP16" s="52">
        <v>129.99</v>
      </c>
      <c r="DQ16" s="52">
        <v>117.67</v>
      </c>
      <c r="DR16" s="52">
        <v>127.52</v>
      </c>
      <c r="DS16" s="52">
        <v>118.11</v>
      </c>
      <c r="DT16" s="52"/>
      <c r="DU16" s="52">
        <v>132.07</v>
      </c>
      <c r="DV16" s="52">
        <v>153.07</v>
      </c>
      <c r="DW16" s="52">
        <v>121.61</v>
      </c>
      <c r="DX16" s="52">
        <v>165.02</v>
      </c>
      <c r="DY16" s="52">
        <v>159.19</v>
      </c>
      <c r="DZ16" s="52">
        <v>107.54</v>
      </c>
      <c r="EA16" s="52">
        <v>113.65</v>
      </c>
      <c r="EB16" s="52">
        <v>109.79</v>
      </c>
      <c r="EC16" s="52">
        <v>144.15</v>
      </c>
      <c r="ED16" s="52">
        <v>147.81</v>
      </c>
      <c r="EE16" s="52">
        <v>137.80000000000001</v>
      </c>
      <c r="EF16" s="52">
        <v>132.38</v>
      </c>
      <c r="EG16" s="52">
        <v>139.43</v>
      </c>
      <c r="EH16" s="52">
        <v>142</v>
      </c>
      <c r="EI16" s="52">
        <v>150.16</v>
      </c>
      <c r="EJ16" s="52">
        <v>102.42</v>
      </c>
      <c r="EK16" s="52">
        <v>108.5</v>
      </c>
      <c r="EL16" s="52">
        <v>118.1</v>
      </c>
      <c r="EM16" s="52">
        <v>133.35</v>
      </c>
      <c r="EN16" s="52">
        <v>147.03</v>
      </c>
      <c r="EO16" s="52">
        <v>137.88999999999999</v>
      </c>
      <c r="EP16" s="52">
        <v>110.36</v>
      </c>
      <c r="EQ16" s="52">
        <v>134.62</v>
      </c>
      <c r="ER16" s="52">
        <v>135.43</v>
      </c>
      <c r="ES16" s="52">
        <v>144.25</v>
      </c>
      <c r="ET16" s="52">
        <v>126.83</v>
      </c>
      <c r="EU16" s="52">
        <v>109.17</v>
      </c>
      <c r="EV16" s="52">
        <v>107.84</v>
      </c>
      <c r="EW16" s="52">
        <v>127.66</v>
      </c>
      <c r="EX16" s="52">
        <v>106.65</v>
      </c>
      <c r="EY16" s="52">
        <v>111.58</v>
      </c>
      <c r="EZ16" s="52">
        <v>122.32</v>
      </c>
      <c r="FA16" s="52">
        <v>118.32</v>
      </c>
      <c r="FB16" s="52">
        <v>89.3</v>
      </c>
      <c r="FC16" s="52">
        <v>119.67</v>
      </c>
      <c r="FD16" s="52">
        <v>122.92</v>
      </c>
      <c r="FE16" s="52">
        <v>99.72</v>
      </c>
      <c r="FF16" s="52"/>
      <c r="FG16" s="52">
        <v>110.66</v>
      </c>
      <c r="FH16" s="52">
        <v>117.68</v>
      </c>
      <c r="FI16" s="52">
        <v>122.22</v>
      </c>
      <c r="FJ16" s="52">
        <v>89.79</v>
      </c>
      <c r="FK16" s="52">
        <v>129.02000000000001</v>
      </c>
      <c r="FL16" s="52">
        <v>103.34</v>
      </c>
      <c r="FM16" s="52">
        <v>105.93</v>
      </c>
      <c r="FN16" s="52">
        <v>99.41</v>
      </c>
      <c r="FO16" s="52">
        <v>133.12</v>
      </c>
      <c r="FP16" s="52">
        <v>133.87</v>
      </c>
      <c r="FQ16" s="52">
        <v>128.61000000000001</v>
      </c>
      <c r="FR16" s="52">
        <v>135.16</v>
      </c>
      <c r="FS16" s="52">
        <v>137.66</v>
      </c>
      <c r="FT16" s="52">
        <v>115.17</v>
      </c>
      <c r="FU16" s="52">
        <v>116.84</v>
      </c>
      <c r="FV16" s="52">
        <v>129.88</v>
      </c>
      <c r="FW16" s="52">
        <v>121.02</v>
      </c>
      <c r="FX16" s="52">
        <v>123.11</v>
      </c>
      <c r="FY16" s="52">
        <v>123.44</v>
      </c>
      <c r="FZ16" s="52">
        <v>132.55000000000001</v>
      </c>
      <c r="GA16" s="52">
        <v>127.97</v>
      </c>
      <c r="GB16" s="52">
        <v>105.25</v>
      </c>
      <c r="GC16" s="52">
        <v>109.77</v>
      </c>
      <c r="GD16" s="52">
        <v>112.9</v>
      </c>
      <c r="GE16" s="52">
        <v>170.88</v>
      </c>
      <c r="GF16" s="52">
        <v>153.6</v>
      </c>
      <c r="GG16" s="52">
        <v>152.28</v>
      </c>
      <c r="GH16" s="52">
        <v>147.26</v>
      </c>
      <c r="GI16" s="52">
        <v>115.8</v>
      </c>
      <c r="GJ16" s="52">
        <v>114.91</v>
      </c>
      <c r="GK16" s="52">
        <v>110.59</v>
      </c>
      <c r="GL16" s="52">
        <v>122.11</v>
      </c>
      <c r="GM16" s="52">
        <v>114.12</v>
      </c>
      <c r="GN16" s="52">
        <v>141.71</v>
      </c>
      <c r="GO16" s="52">
        <v>124.21</v>
      </c>
      <c r="GP16" s="52">
        <v>126.55</v>
      </c>
      <c r="GQ16" s="52">
        <v>117.97</v>
      </c>
      <c r="GR16" s="52">
        <v>134.44999999999999</v>
      </c>
      <c r="GS16" s="52">
        <v>155.80000000000001</v>
      </c>
      <c r="GT16" s="52">
        <v>116.47</v>
      </c>
      <c r="GU16" s="52">
        <v>103.15</v>
      </c>
      <c r="GV16" s="52">
        <v>99.97</v>
      </c>
      <c r="GW16" s="52">
        <v>132.84</v>
      </c>
      <c r="GX16" s="52">
        <v>141.16</v>
      </c>
      <c r="GY16" s="52">
        <v>120.64</v>
      </c>
      <c r="GZ16" s="52">
        <v>128.24</v>
      </c>
      <c r="HA16" s="52">
        <v>149.04</v>
      </c>
      <c r="HB16" s="52">
        <v>137.5</v>
      </c>
      <c r="HC16" s="52">
        <v>121.08</v>
      </c>
      <c r="HD16" s="52">
        <v>110.29</v>
      </c>
      <c r="HE16" s="52">
        <v>85.47</v>
      </c>
      <c r="HF16" s="52">
        <v>83.77</v>
      </c>
      <c r="HG16" s="52">
        <v>87.33</v>
      </c>
      <c r="HH16" s="52">
        <v>116.08</v>
      </c>
      <c r="HI16" s="52">
        <v>88.96</v>
      </c>
      <c r="HJ16" s="52">
        <v>100.88</v>
      </c>
      <c r="HK16" s="52">
        <v>140.75</v>
      </c>
      <c r="HL16" s="52">
        <v>113.39</v>
      </c>
      <c r="HM16" s="52">
        <v>123.78</v>
      </c>
      <c r="HN16" s="52">
        <v>119.55</v>
      </c>
      <c r="HO16" s="52">
        <v>113.41</v>
      </c>
      <c r="HP16" s="52">
        <v>125.1</v>
      </c>
      <c r="HQ16" s="52">
        <v>90.92</v>
      </c>
      <c r="HR16" s="52">
        <v>115.59</v>
      </c>
      <c r="HS16" s="52">
        <v>143.69</v>
      </c>
      <c r="HT16" s="52">
        <v>139.37</v>
      </c>
      <c r="HU16" s="52">
        <v>84.93</v>
      </c>
      <c r="HV16" s="52">
        <v>120.84</v>
      </c>
      <c r="HW16" s="52">
        <v>112.4</v>
      </c>
      <c r="HX16" s="52">
        <v>94.6</v>
      </c>
      <c r="HY16" s="52">
        <v>162.63</v>
      </c>
      <c r="HZ16" s="52">
        <v>117.36</v>
      </c>
      <c r="IA16" s="52">
        <v>84.06</v>
      </c>
      <c r="IB16" s="52">
        <v>142.16999999999999</v>
      </c>
      <c r="IC16" s="52">
        <v>0</v>
      </c>
      <c r="ID16" s="52">
        <v>102.84</v>
      </c>
      <c r="IE16" s="52">
        <v>0</v>
      </c>
      <c r="IF16" s="52">
        <v>100.44</v>
      </c>
      <c r="IG16" s="52">
        <v>112.88</v>
      </c>
      <c r="IH16" s="52">
        <v>138.96</v>
      </c>
      <c r="II16" s="52">
        <v>136.71</v>
      </c>
      <c r="IJ16" s="52">
        <v>139.62</v>
      </c>
      <c r="IK16" s="52">
        <v>139.49</v>
      </c>
      <c r="IL16" s="52">
        <v>127.42</v>
      </c>
      <c r="IM16" s="52">
        <v>142.57</v>
      </c>
      <c r="IN16" s="52">
        <v>130.16999999999999</v>
      </c>
      <c r="IO16" s="52">
        <v>125.45</v>
      </c>
      <c r="IP16" s="52">
        <v>89.64</v>
      </c>
      <c r="IQ16" s="52">
        <v>102.55</v>
      </c>
      <c r="IR16" s="52">
        <v>153.06</v>
      </c>
      <c r="IS16" s="52">
        <v>119.55</v>
      </c>
      <c r="IT16" s="52">
        <v>90.2</v>
      </c>
      <c r="IU16" s="52">
        <v>107.71</v>
      </c>
      <c r="IV16" s="52">
        <v>90.63</v>
      </c>
      <c r="IW16" s="52">
        <v>100.62</v>
      </c>
      <c r="IX16" s="52">
        <v>129.99</v>
      </c>
      <c r="IY16" s="52">
        <v>117.67</v>
      </c>
      <c r="IZ16" s="52">
        <v>127.52</v>
      </c>
      <c r="JA16" s="52">
        <v>118.11</v>
      </c>
      <c r="JB16" s="52"/>
      <c r="JC16" s="52">
        <v>132.07</v>
      </c>
      <c r="JD16" s="52">
        <v>153.07</v>
      </c>
      <c r="JE16" s="52">
        <v>119.53</v>
      </c>
      <c r="JF16" s="52">
        <v>122.36</v>
      </c>
      <c r="JG16" s="52">
        <v>165.02</v>
      </c>
      <c r="JH16" s="52">
        <v>159.19</v>
      </c>
      <c r="JI16" s="52">
        <v>107.54</v>
      </c>
      <c r="JJ16" s="52">
        <v>113.65</v>
      </c>
      <c r="JK16" s="52">
        <v>109.79</v>
      </c>
      <c r="JL16" s="52">
        <v>144.15</v>
      </c>
      <c r="JM16" s="52">
        <v>147.81</v>
      </c>
      <c r="JN16" s="52">
        <v>137.80000000000001</v>
      </c>
      <c r="JO16" s="52">
        <v>132.38</v>
      </c>
      <c r="JP16" s="52">
        <v>142.63999999999999</v>
      </c>
      <c r="JQ16" s="52">
        <v>131.99</v>
      </c>
      <c r="JR16" s="52">
        <v>134.76</v>
      </c>
      <c r="JS16" s="52">
        <v>151.47999999999999</v>
      </c>
      <c r="JT16" s="52">
        <v>154.49</v>
      </c>
      <c r="JU16" s="52">
        <v>145.82</v>
      </c>
      <c r="JV16" s="52">
        <v>102.42</v>
      </c>
      <c r="JW16" s="52">
        <v>108.5</v>
      </c>
      <c r="JX16" s="52">
        <v>118.1</v>
      </c>
      <c r="JY16" s="52">
        <v>134.44</v>
      </c>
      <c r="JZ16" s="52">
        <v>130.69</v>
      </c>
      <c r="KA16" s="52">
        <v>147.03</v>
      </c>
      <c r="KB16" s="52">
        <v>137.88999999999999</v>
      </c>
      <c r="KC16" s="52">
        <v>110.36</v>
      </c>
      <c r="KD16" s="52">
        <v>134.62</v>
      </c>
      <c r="KE16" s="52">
        <v>135.43</v>
      </c>
      <c r="KF16" s="52">
        <v>144.25</v>
      </c>
    </row>
    <row r="17" spans="1:292" s="41" customFormat="1" ht="12">
      <c r="A17" s="41">
        <v>2005</v>
      </c>
      <c r="B17" s="54" t="s">
        <v>999</v>
      </c>
      <c r="C17" s="55" t="s">
        <v>1000</v>
      </c>
      <c r="D17" s="56">
        <v>122.65</v>
      </c>
      <c r="E17" s="56">
        <v>116.08</v>
      </c>
      <c r="F17" s="56">
        <v>155.93</v>
      </c>
      <c r="G17" s="56">
        <v>116.52</v>
      </c>
      <c r="H17" s="56">
        <v>126.06</v>
      </c>
      <c r="I17" s="56">
        <v>116.61</v>
      </c>
      <c r="J17" s="56">
        <v>111.75</v>
      </c>
      <c r="K17" s="56">
        <v>127.35</v>
      </c>
      <c r="L17" s="56">
        <v>105.88</v>
      </c>
      <c r="M17" s="56">
        <v>118.62</v>
      </c>
      <c r="N17" s="56">
        <v>140.69</v>
      </c>
      <c r="O17" s="56">
        <v>141.29</v>
      </c>
      <c r="P17" s="56">
        <v>125.41</v>
      </c>
      <c r="Q17" s="56">
        <v>115.7</v>
      </c>
      <c r="R17" s="56">
        <v>121.42</v>
      </c>
      <c r="S17" s="56">
        <v>163.33000000000001</v>
      </c>
      <c r="T17" s="56">
        <v>155.32</v>
      </c>
      <c r="U17" s="56">
        <v>113.65</v>
      </c>
      <c r="V17" s="56">
        <v>124.78</v>
      </c>
      <c r="W17" s="56">
        <v>157.41999999999999</v>
      </c>
      <c r="X17" s="56">
        <v>116.97</v>
      </c>
      <c r="Y17" s="56">
        <v>104.24</v>
      </c>
      <c r="Z17" s="56">
        <v>120.69</v>
      </c>
      <c r="AA17" s="56">
        <v>136.71</v>
      </c>
      <c r="AB17" s="56">
        <v>109.96</v>
      </c>
      <c r="AC17" s="56">
        <v>99.82</v>
      </c>
      <c r="AD17" s="56">
        <v>117.46</v>
      </c>
      <c r="AE17" s="56">
        <v>119.49</v>
      </c>
      <c r="AF17" s="56">
        <v>108.93</v>
      </c>
      <c r="AG17" s="56">
        <v>88.46</v>
      </c>
      <c r="AH17" s="56">
        <v>131.97999999999999</v>
      </c>
      <c r="AI17" s="56">
        <v>142.19</v>
      </c>
      <c r="AJ17" s="56">
        <v>102.18</v>
      </c>
      <c r="AK17" s="56">
        <v>137.37</v>
      </c>
      <c r="AL17" s="56">
        <v>136.59</v>
      </c>
      <c r="AM17" s="56">
        <v>119.55</v>
      </c>
      <c r="AN17" s="56">
        <v>88.28</v>
      </c>
      <c r="AO17" s="56">
        <v>107.64</v>
      </c>
      <c r="AP17" s="56">
        <v>97.78</v>
      </c>
      <c r="AQ17" s="56">
        <v>118.38</v>
      </c>
      <c r="AR17" s="56">
        <v>127.21</v>
      </c>
      <c r="AS17" s="56">
        <v>140.52000000000001</v>
      </c>
      <c r="AT17" s="56">
        <v>128.51</v>
      </c>
      <c r="AU17" s="56">
        <v>111.4</v>
      </c>
      <c r="AV17" s="56">
        <v>144.12</v>
      </c>
      <c r="AW17" s="56">
        <v>147.81</v>
      </c>
      <c r="AX17" s="56">
        <v>137.80000000000001</v>
      </c>
      <c r="AY17" s="56">
        <v>132.5</v>
      </c>
      <c r="AZ17" s="56">
        <v>140.44</v>
      </c>
      <c r="BA17" s="56">
        <v>142.35</v>
      </c>
      <c r="BB17" s="56">
        <v>118.4</v>
      </c>
      <c r="BC17" s="56">
        <v>128.37</v>
      </c>
      <c r="BD17" s="56">
        <v>146.75</v>
      </c>
      <c r="BE17" s="56">
        <v>135.41999999999999</v>
      </c>
      <c r="BF17" s="56">
        <v>142.19999999999999</v>
      </c>
      <c r="BG17" s="56">
        <v>144.22999999999999</v>
      </c>
      <c r="BH17" s="52">
        <v>113.26</v>
      </c>
      <c r="BI17" s="52">
        <v>114.04</v>
      </c>
      <c r="BJ17" s="52">
        <v>113.72</v>
      </c>
      <c r="BK17" s="52">
        <v>112.13</v>
      </c>
      <c r="BL17" s="52">
        <v>108.48</v>
      </c>
      <c r="BM17" s="52">
        <v>97.04</v>
      </c>
      <c r="BN17" s="52">
        <v>135.56</v>
      </c>
      <c r="BO17" s="52">
        <v>117.51</v>
      </c>
      <c r="BP17" s="52">
        <v>123.37</v>
      </c>
      <c r="BQ17" s="52">
        <v>132.27000000000001</v>
      </c>
      <c r="BR17" s="52">
        <v>110.71</v>
      </c>
      <c r="BS17" s="52">
        <v>170.96</v>
      </c>
      <c r="BT17" s="52">
        <v>153.29</v>
      </c>
      <c r="BU17" s="52">
        <v>152.72</v>
      </c>
      <c r="BV17" s="52">
        <v>155.32</v>
      </c>
      <c r="BW17" s="52">
        <v>113.34</v>
      </c>
      <c r="BX17" s="52">
        <v>114.09</v>
      </c>
      <c r="BY17" s="52">
        <v>142.28</v>
      </c>
      <c r="BZ17" s="52">
        <v>124.7</v>
      </c>
      <c r="CA17" s="52">
        <v>136.06</v>
      </c>
      <c r="CB17" s="53">
        <v>157.41999999999999</v>
      </c>
      <c r="CC17" s="52">
        <v>116.97</v>
      </c>
      <c r="CD17" s="52">
        <v>103.32</v>
      </c>
      <c r="CE17" s="52">
        <v>99.97</v>
      </c>
      <c r="CF17" s="52">
        <v>138.16999999999999</v>
      </c>
      <c r="CG17" s="52">
        <v>122.32</v>
      </c>
      <c r="CH17" s="52">
        <v>139.9</v>
      </c>
      <c r="CI17" s="52">
        <v>123.46</v>
      </c>
      <c r="CJ17" s="52">
        <v>109.96</v>
      </c>
      <c r="CK17" s="52">
        <v>94.85</v>
      </c>
      <c r="CL17" s="52">
        <v>101.42</v>
      </c>
      <c r="CM17" s="52">
        <v>140.75</v>
      </c>
      <c r="CN17" s="52">
        <v>117.46</v>
      </c>
      <c r="CO17" s="52">
        <v>119.49</v>
      </c>
      <c r="CP17" s="52">
        <v>96.15</v>
      </c>
      <c r="CQ17" s="52">
        <v>145.32</v>
      </c>
      <c r="CR17" s="52">
        <v>84.93</v>
      </c>
      <c r="CS17" s="52">
        <v>120.75</v>
      </c>
      <c r="CT17" s="52">
        <v>107.81</v>
      </c>
      <c r="CU17" s="52">
        <v>162.61000000000001</v>
      </c>
      <c r="CV17" s="52">
        <v>117.44</v>
      </c>
      <c r="CW17" s="52">
        <v>89.22</v>
      </c>
      <c r="CX17" s="52">
        <v>142.19</v>
      </c>
      <c r="CY17" s="52">
        <v>102.19</v>
      </c>
      <c r="CZ17" s="52">
        <v>0</v>
      </c>
      <c r="DA17" s="52">
        <v>100.44</v>
      </c>
      <c r="DB17" s="52">
        <v>113.11</v>
      </c>
      <c r="DC17" s="52">
        <v>138.49</v>
      </c>
      <c r="DD17" s="52">
        <v>138.22</v>
      </c>
      <c r="DE17" s="52">
        <v>140.1</v>
      </c>
      <c r="DF17" s="52">
        <v>136.13</v>
      </c>
      <c r="DG17" s="52">
        <v>138.69</v>
      </c>
      <c r="DH17" s="52">
        <v>86.4</v>
      </c>
      <c r="DI17" s="52">
        <v>102.58</v>
      </c>
      <c r="DJ17" s="52">
        <v>153.13999999999999</v>
      </c>
      <c r="DK17" s="52">
        <v>119.55</v>
      </c>
      <c r="DL17" s="52">
        <v>88.28</v>
      </c>
      <c r="DM17" s="52">
        <v>107.64</v>
      </c>
      <c r="DN17" s="52">
        <v>89.45</v>
      </c>
      <c r="DO17" s="52">
        <v>101.03</v>
      </c>
      <c r="DP17" s="52">
        <v>129.79</v>
      </c>
      <c r="DQ17" s="52">
        <v>118.38</v>
      </c>
      <c r="DR17" s="52">
        <v>128.71</v>
      </c>
      <c r="DS17" s="52">
        <v>118.18</v>
      </c>
      <c r="DT17" s="52"/>
      <c r="DU17" s="52">
        <v>132.1</v>
      </c>
      <c r="DV17" s="52">
        <v>158.47999999999999</v>
      </c>
      <c r="DW17" s="52">
        <v>121.5</v>
      </c>
      <c r="DX17" s="52">
        <v>154.25</v>
      </c>
      <c r="DY17" s="52">
        <v>159.11000000000001</v>
      </c>
      <c r="DZ17" s="52">
        <v>107.54</v>
      </c>
      <c r="EA17" s="52">
        <v>113.78</v>
      </c>
      <c r="EB17" s="52">
        <v>111.4</v>
      </c>
      <c r="EC17" s="52">
        <v>144.12</v>
      </c>
      <c r="ED17" s="52">
        <v>147.81</v>
      </c>
      <c r="EE17" s="52">
        <v>137.80000000000001</v>
      </c>
      <c r="EF17" s="52">
        <v>132.5</v>
      </c>
      <c r="EG17" s="52">
        <v>140.44</v>
      </c>
      <c r="EH17" s="52">
        <v>142.35</v>
      </c>
      <c r="EI17" s="52">
        <v>150.47999999999999</v>
      </c>
      <c r="EJ17" s="52">
        <v>102.59</v>
      </c>
      <c r="EK17" s="52">
        <v>108.73</v>
      </c>
      <c r="EL17" s="52">
        <v>125.93</v>
      </c>
      <c r="EM17" s="52">
        <v>133.85</v>
      </c>
      <c r="EN17" s="52">
        <v>146.75</v>
      </c>
      <c r="EO17" s="52">
        <v>137.99</v>
      </c>
      <c r="EP17" s="52">
        <v>110.36</v>
      </c>
      <c r="EQ17" s="52">
        <v>134.62</v>
      </c>
      <c r="ER17" s="52">
        <v>142.19999999999999</v>
      </c>
      <c r="ES17" s="52">
        <v>144.22999999999999</v>
      </c>
      <c r="ET17" s="52">
        <v>127.08</v>
      </c>
      <c r="EU17" s="52">
        <v>109.75</v>
      </c>
      <c r="EV17" s="52">
        <v>108.98</v>
      </c>
      <c r="EW17" s="52">
        <v>129.44999999999999</v>
      </c>
      <c r="EX17" s="52">
        <v>107.98</v>
      </c>
      <c r="EY17" s="52">
        <v>111.75</v>
      </c>
      <c r="EZ17" s="52">
        <v>122.74</v>
      </c>
      <c r="FA17" s="52">
        <v>118.47</v>
      </c>
      <c r="FB17" s="52">
        <v>93</v>
      </c>
      <c r="FC17" s="52">
        <v>120.61</v>
      </c>
      <c r="FD17" s="52">
        <v>122.63</v>
      </c>
      <c r="FE17" s="52">
        <v>113.72</v>
      </c>
      <c r="FF17" s="52"/>
      <c r="FG17" s="52">
        <v>110.01</v>
      </c>
      <c r="FH17" s="52">
        <v>117.05</v>
      </c>
      <c r="FI17" s="52">
        <v>122.37</v>
      </c>
      <c r="FJ17" s="52">
        <v>89.38</v>
      </c>
      <c r="FK17" s="52">
        <v>128.12</v>
      </c>
      <c r="FL17" s="52">
        <v>104.17</v>
      </c>
      <c r="FM17" s="52">
        <v>107.54</v>
      </c>
      <c r="FN17" s="52">
        <v>90.46</v>
      </c>
      <c r="FO17" s="52">
        <v>134.03</v>
      </c>
      <c r="FP17" s="52">
        <v>129.62</v>
      </c>
      <c r="FQ17" s="52">
        <v>138.41999999999999</v>
      </c>
      <c r="FR17" s="52">
        <v>135.41999999999999</v>
      </c>
      <c r="FS17" s="52">
        <v>138.68</v>
      </c>
      <c r="FT17" s="52">
        <v>113.53</v>
      </c>
      <c r="FU17" s="52">
        <v>116.32</v>
      </c>
      <c r="FV17" s="52">
        <v>129.87</v>
      </c>
      <c r="FW17" s="52">
        <v>121.07</v>
      </c>
      <c r="FX17" s="52">
        <v>123.37</v>
      </c>
      <c r="FY17" s="52">
        <v>123.85</v>
      </c>
      <c r="FZ17" s="52">
        <v>133.16</v>
      </c>
      <c r="GA17" s="52">
        <v>127.87</v>
      </c>
      <c r="GB17" s="52">
        <v>106</v>
      </c>
      <c r="GC17" s="52">
        <v>112.2</v>
      </c>
      <c r="GD17" s="52">
        <v>111.7</v>
      </c>
      <c r="GE17" s="52">
        <v>170.96</v>
      </c>
      <c r="GF17" s="52">
        <v>153.29</v>
      </c>
      <c r="GG17" s="52">
        <v>152.72</v>
      </c>
      <c r="GH17" s="52">
        <v>155.05000000000001</v>
      </c>
      <c r="GI17" s="52">
        <v>114.24</v>
      </c>
      <c r="GJ17" s="52">
        <v>113.13</v>
      </c>
      <c r="GK17" s="52">
        <v>110.89</v>
      </c>
      <c r="GL17" s="52">
        <v>121.73</v>
      </c>
      <c r="GM17" s="52">
        <v>114.09</v>
      </c>
      <c r="GN17" s="52">
        <v>142.28</v>
      </c>
      <c r="GO17" s="52">
        <v>124.89</v>
      </c>
      <c r="GP17" s="52">
        <v>127.52</v>
      </c>
      <c r="GQ17" s="52">
        <v>118.98</v>
      </c>
      <c r="GR17" s="52">
        <v>136.06</v>
      </c>
      <c r="GS17" s="52">
        <v>157.41999999999999</v>
      </c>
      <c r="GT17" s="52">
        <v>116.97</v>
      </c>
      <c r="GU17" s="52">
        <v>103.32</v>
      </c>
      <c r="GV17" s="52">
        <v>99.97</v>
      </c>
      <c r="GW17" s="52">
        <v>132.84</v>
      </c>
      <c r="GX17" s="52">
        <v>141.06</v>
      </c>
      <c r="GY17" s="52">
        <v>122.32</v>
      </c>
      <c r="GZ17" s="52">
        <v>128.16</v>
      </c>
      <c r="HA17" s="52">
        <v>150.06</v>
      </c>
      <c r="HB17" s="52">
        <v>137.46</v>
      </c>
      <c r="HC17" s="52">
        <v>123.46</v>
      </c>
      <c r="HD17" s="52">
        <v>109.96</v>
      </c>
      <c r="HE17" s="52">
        <v>86.86</v>
      </c>
      <c r="HF17" s="52">
        <v>85.91</v>
      </c>
      <c r="HG17" s="52">
        <v>87.21</v>
      </c>
      <c r="HH17" s="52">
        <v>115.96</v>
      </c>
      <c r="HI17" s="52">
        <v>88.96</v>
      </c>
      <c r="HJ17" s="52">
        <v>101.42</v>
      </c>
      <c r="HK17" s="52">
        <v>140.75</v>
      </c>
      <c r="HL17" s="52">
        <v>113.23</v>
      </c>
      <c r="HM17" s="52">
        <v>123.87</v>
      </c>
      <c r="HN17" s="52">
        <v>119.75</v>
      </c>
      <c r="HO17" s="52">
        <v>113.66</v>
      </c>
      <c r="HP17" s="52">
        <v>125.1</v>
      </c>
      <c r="HQ17" s="52">
        <v>94.05</v>
      </c>
      <c r="HR17" s="52">
        <v>115.3</v>
      </c>
      <c r="HS17" s="52">
        <v>145.43</v>
      </c>
      <c r="HT17" s="52">
        <v>139.57</v>
      </c>
      <c r="HU17" s="52">
        <v>84.93</v>
      </c>
      <c r="HV17" s="52">
        <v>120.75</v>
      </c>
      <c r="HW17" s="52">
        <v>114.43</v>
      </c>
      <c r="HX17" s="52">
        <v>93.74</v>
      </c>
      <c r="HY17" s="52">
        <v>162.61000000000001</v>
      </c>
      <c r="HZ17" s="52">
        <v>117.44</v>
      </c>
      <c r="IA17" s="52">
        <v>84.15</v>
      </c>
      <c r="IB17" s="52">
        <v>142.19</v>
      </c>
      <c r="IC17" s="52">
        <v>0</v>
      </c>
      <c r="ID17" s="52">
        <v>102.19</v>
      </c>
      <c r="IE17" s="52">
        <v>0</v>
      </c>
      <c r="IF17" s="52">
        <v>100.44</v>
      </c>
      <c r="IG17" s="52">
        <v>113.11</v>
      </c>
      <c r="IH17" s="52">
        <v>138.49</v>
      </c>
      <c r="II17" s="52">
        <v>138.22</v>
      </c>
      <c r="IJ17" s="52">
        <v>140.1</v>
      </c>
      <c r="IK17" s="52">
        <v>139.49</v>
      </c>
      <c r="IL17" s="52">
        <v>127.42</v>
      </c>
      <c r="IM17" s="52">
        <v>142.94</v>
      </c>
      <c r="IN17" s="52">
        <v>131.30000000000001</v>
      </c>
      <c r="IO17" s="52">
        <v>125.27</v>
      </c>
      <c r="IP17" s="52">
        <v>86.4</v>
      </c>
      <c r="IQ17" s="52">
        <v>102.58</v>
      </c>
      <c r="IR17" s="52">
        <v>153.13999999999999</v>
      </c>
      <c r="IS17" s="52">
        <v>119.55</v>
      </c>
      <c r="IT17" s="52">
        <v>88.28</v>
      </c>
      <c r="IU17" s="52">
        <v>107.64</v>
      </c>
      <c r="IV17" s="52">
        <v>90.91</v>
      </c>
      <c r="IW17" s="52">
        <v>101.03</v>
      </c>
      <c r="IX17" s="52">
        <v>129.79</v>
      </c>
      <c r="IY17" s="52">
        <v>118.38</v>
      </c>
      <c r="IZ17" s="52">
        <v>128.71</v>
      </c>
      <c r="JA17" s="52">
        <v>118.18</v>
      </c>
      <c r="JB17" s="52"/>
      <c r="JC17" s="52">
        <v>132.1</v>
      </c>
      <c r="JD17" s="52">
        <v>158.47999999999999</v>
      </c>
      <c r="JE17" s="52">
        <v>120.06</v>
      </c>
      <c r="JF17" s="52">
        <v>122</v>
      </c>
      <c r="JG17" s="52">
        <v>154.25</v>
      </c>
      <c r="JH17" s="52">
        <v>159.11000000000001</v>
      </c>
      <c r="JI17" s="52">
        <v>107.54</v>
      </c>
      <c r="JJ17" s="52">
        <v>113.78</v>
      </c>
      <c r="JK17" s="52">
        <v>111.4</v>
      </c>
      <c r="JL17" s="52">
        <v>144.12</v>
      </c>
      <c r="JM17" s="52">
        <v>147.81</v>
      </c>
      <c r="JN17" s="52">
        <v>137.80000000000001</v>
      </c>
      <c r="JO17" s="52">
        <v>132.5</v>
      </c>
      <c r="JP17" s="52">
        <v>143.97999999999999</v>
      </c>
      <c r="JQ17" s="52">
        <v>132.28</v>
      </c>
      <c r="JR17" s="52">
        <v>135.30000000000001</v>
      </c>
      <c r="JS17" s="52">
        <v>151.57</v>
      </c>
      <c r="JT17" s="52">
        <v>155.1</v>
      </c>
      <c r="JU17" s="52">
        <v>145.87</v>
      </c>
      <c r="JV17" s="52">
        <v>102.59</v>
      </c>
      <c r="JW17" s="52">
        <v>108.73</v>
      </c>
      <c r="JX17" s="52">
        <v>125.93</v>
      </c>
      <c r="JY17" s="52">
        <v>134.63</v>
      </c>
      <c r="JZ17" s="52">
        <v>131.94</v>
      </c>
      <c r="KA17" s="52">
        <v>146.75</v>
      </c>
      <c r="KB17" s="52">
        <v>137.99</v>
      </c>
      <c r="KC17" s="52">
        <v>110.36</v>
      </c>
      <c r="KD17" s="52">
        <v>134.62</v>
      </c>
      <c r="KE17" s="52">
        <v>142.19999999999999</v>
      </c>
      <c r="KF17" s="52">
        <v>144.22999999999999</v>
      </c>
    </row>
    <row r="18" spans="1:292" s="41" customFormat="1" ht="12">
      <c r="A18" s="41">
        <v>2006</v>
      </c>
      <c r="B18" s="49" t="s">
        <v>977</v>
      </c>
      <c r="C18" s="50" t="s">
        <v>978</v>
      </c>
      <c r="D18" s="56">
        <v>123.57</v>
      </c>
      <c r="E18" s="56">
        <v>117.61</v>
      </c>
      <c r="F18" s="56">
        <v>163.19</v>
      </c>
      <c r="G18" s="56">
        <v>109.24</v>
      </c>
      <c r="H18" s="56">
        <v>127.66</v>
      </c>
      <c r="I18" s="56">
        <v>117.01</v>
      </c>
      <c r="J18" s="56">
        <v>112.47</v>
      </c>
      <c r="K18" s="56">
        <v>129.29</v>
      </c>
      <c r="L18" s="56">
        <v>107.99</v>
      </c>
      <c r="M18" s="56">
        <v>117.78</v>
      </c>
      <c r="N18" s="56">
        <v>140.72999999999999</v>
      </c>
      <c r="O18" s="56">
        <v>142.75</v>
      </c>
      <c r="P18" s="56">
        <v>127.85</v>
      </c>
      <c r="Q18" s="56">
        <v>117.28</v>
      </c>
      <c r="R18" s="56">
        <v>122.18</v>
      </c>
      <c r="S18" s="56">
        <v>163.54</v>
      </c>
      <c r="T18" s="56">
        <v>163.05000000000001</v>
      </c>
      <c r="U18" s="56">
        <v>106.36</v>
      </c>
      <c r="V18" s="56">
        <v>117.56</v>
      </c>
      <c r="W18" s="56">
        <v>159.49</v>
      </c>
      <c r="X18" s="56">
        <v>117.36</v>
      </c>
      <c r="Y18" s="56">
        <v>107.78</v>
      </c>
      <c r="Z18" s="56">
        <v>121.66</v>
      </c>
      <c r="AA18" s="56">
        <v>136.82</v>
      </c>
      <c r="AB18" s="56">
        <v>110</v>
      </c>
      <c r="AC18" s="56">
        <v>98.78</v>
      </c>
      <c r="AD18" s="56">
        <v>117.72</v>
      </c>
      <c r="AE18" s="56">
        <v>119.56</v>
      </c>
      <c r="AF18" s="56">
        <v>111.04</v>
      </c>
      <c r="AG18" s="56">
        <v>88.35</v>
      </c>
      <c r="AH18" s="56">
        <v>133.47999999999999</v>
      </c>
      <c r="AI18" s="56">
        <v>143.6</v>
      </c>
      <c r="AJ18" s="56">
        <v>104.52</v>
      </c>
      <c r="AK18" s="56">
        <v>139.68</v>
      </c>
      <c r="AL18" s="56">
        <v>137.71</v>
      </c>
      <c r="AM18" s="56">
        <v>123.31</v>
      </c>
      <c r="AN18" s="56">
        <v>88.48</v>
      </c>
      <c r="AO18" s="56">
        <v>110.05</v>
      </c>
      <c r="AP18" s="56">
        <v>94.88</v>
      </c>
      <c r="AQ18" s="56">
        <v>118.13</v>
      </c>
      <c r="AR18" s="56">
        <v>128.03</v>
      </c>
      <c r="AS18" s="56">
        <v>140.63999999999999</v>
      </c>
      <c r="AT18" s="56">
        <v>129.36000000000001</v>
      </c>
      <c r="AU18" s="56">
        <v>111.33</v>
      </c>
      <c r="AV18" s="56">
        <v>144.16</v>
      </c>
      <c r="AW18" s="56">
        <v>147.82</v>
      </c>
      <c r="AX18" s="56">
        <v>137.80000000000001</v>
      </c>
      <c r="AY18" s="56">
        <v>132.62</v>
      </c>
      <c r="AZ18" s="56">
        <v>141.77000000000001</v>
      </c>
      <c r="BA18" s="56">
        <v>144</v>
      </c>
      <c r="BB18" s="56">
        <v>118.74</v>
      </c>
      <c r="BC18" s="56">
        <v>132.44999999999999</v>
      </c>
      <c r="BD18" s="56">
        <v>147.07</v>
      </c>
      <c r="BE18" s="56">
        <v>136.47999999999999</v>
      </c>
      <c r="BF18" s="56">
        <v>142.19999999999999</v>
      </c>
      <c r="BG18" s="56">
        <v>154.49</v>
      </c>
      <c r="BH18" s="52">
        <v>114.05</v>
      </c>
      <c r="BI18" s="52">
        <v>115.14</v>
      </c>
      <c r="BJ18" s="52">
        <v>120.45</v>
      </c>
      <c r="BK18" s="52">
        <v>110.9</v>
      </c>
      <c r="BL18" s="52">
        <v>109.43</v>
      </c>
      <c r="BM18" s="52">
        <v>95.94</v>
      </c>
      <c r="BN18" s="52">
        <v>141.74</v>
      </c>
      <c r="BO18" s="52">
        <v>119.98</v>
      </c>
      <c r="BP18" s="52">
        <v>124.27</v>
      </c>
      <c r="BQ18" s="52">
        <v>133.02000000000001</v>
      </c>
      <c r="BR18" s="52">
        <v>111.48</v>
      </c>
      <c r="BS18" s="52">
        <v>170.93</v>
      </c>
      <c r="BT18" s="52">
        <v>154.65</v>
      </c>
      <c r="BU18" s="52">
        <v>152.91</v>
      </c>
      <c r="BV18" s="52">
        <v>163.05000000000001</v>
      </c>
      <c r="BW18" s="52">
        <v>105.51</v>
      </c>
      <c r="BX18" s="52">
        <v>113.45</v>
      </c>
      <c r="BY18" s="52">
        <v>143</v>
      </c>
      <c r="BZ18" s="52">
        <v>117.42</v>
      </c>
      <c r="CA18" s="52">
        <v>137.5</v>
      </c>
      <c r="CB18" s="53">
        <v>159.49</v>
      </c>
      <c r="CC18" s="52">
        <v>117.36</v>
      </c>
      <c r="CD18" s="52">
        <v>106.76</v>
      </c>
      <c r="CE18" s="52">
        <v>99.97</v>
      </c>
      <c r="CF18" s="52">
        <v>140.47</v>
      </c>
      <c r="CG18" s="52">
        <v>122.84</v>
      </c>
      <c r="CH18" s="52">
        <v>139.94999999999999</v>
      </c>
      <c r="CI18" s="52">
        <v>123.75</v>
      </c>
      <c r="CJ18" s="52">
        <v>110</v>
      </c>
      <c r="CK18" s="52">
        <v>93.43</v>
      </c>
      <c r="CL18" s="52">
        <v>100.85</v>
      </c>
      <c r="CM18" s="52">
        <v>145.22</v>
      </c>
      <c r="CN18" s="52">
        <v>117.72</v>
      </c>
      <c r="CO18" s="52">
        <v>119.56</v>
      </c>
      <c r="CP18" s="52">
        <v>97.74</v>
      </c>
      <c r="CQ18" s="52">
        <v>149.11000000000001</v>
      </c>
      <c r="CR18" s="52">
        <v>84.8</v>
      </c>
      <c r="CS18" s="52">
        <v>121.04</v>
      </c>
      <c r="CT18" s="52">
        <v>107.72</v>
      </c>
      <c r="CU18" s="52">
        <v>165.04</v>
      </c>
      <c r="CV18" s="52">
        <v>118.08</v>
      </c>
      <c r="CW18" s="52">
        <v>89.96</v>
      </c>
      <c r="CX18" s="52">
        <v>143.6</v>
      </c>
      <c r="CY18" s="52">
        <v>104.59</v>
      </c>
      <c r="CZ18" s="52">
        <v>0</v>
      </c>
      <c r="DA18" s="52">
        <v>100.44</v>
      </c>
      <c r="DB18" s="52">
        <v>113.29</v>
      </c>
      <c r="DC18" s="52">
        <v>141.16</v>
      </c>
      <c r="DD18" s="52">
        <v>138.66999999999999</v>
      </c>
      <c r="DE18" s="52">
        <v>140.88</v>
      </c>
      <c r="DF18" s="52">
        <v>136.13</v>
      </c>
      <c r="DG18" s="52">
        <v>139.91</v>
      </c>
      <c r="DH18" s="52">
        <v>86.32</v>
      </c>
      <c r="DI18" s="52">
        <v>102.43</v>
      </c>
      <c r="DJ18" s="52">
        <v>153.69</v>
      </c>
      <c r="DK18" s="52">
        <v>123.31</v>
      </c>
      <c r="DL18" s="52">
        <v>88.48</v>
      </c>
      <c r="DM18" s="52">
        <v>110.05</v>
      </c>
      <c r="DN18" s="52">
        <v>85.82</v>
      </c>
      <c r="DO18" s="52">
        <v>99.92</v>
      </c>
      <c r="DP18" s="52">
        <v>129.37</v>
      </c>
      <c r="DQ18" s="52">
        <v>118.13</v>
      </c>
      <c r="DR18" s="52">
        <v>129.93</v>
      </c>
      <c r="DS18" s="52">
        <v>117.78</v>
      </c>
      <c r="DT18" s="52"/>
      <c r="DU18" s="52">
        <v>133.27000000000001</v>
      </c>
      <c r="DV18" s="52">
        <v>158.12</v>
      </c>
      <c r="DW18" s="52">
        <v>121.99</v>
      </c>
      <c r="DX18" s="52">
        <v>154.25</v>
      </c>
      <c r="DY18" s="52">
        <v>161.31</v>
      </c>
      <c r="DZ18" s="52">
        <v>107.55</v>
      </c>
      <c r="EA18" s="52">
        <v>113.95</v>
      </c>
      <c r="EB18" s="52">
        <v>111.33</v>
      </c>
      <c r="EC18" s="52">
        <v>144.16</v>
      </c>
      <c r="ED18" s="52">
        <v>147.82</v>
      </c>
      <c r="EE18" s="52">
        <v>137.80000000000001</v>
      </c>
      <c r="EF18" s="52">
        <v>132.62</v>
      </c>
      <c r="EG18" s="52">
        <v>141.77000000000001</v>
      </c>
      <c r="EH18" s="52">
        <v>144</v>
      </c>
      <c r="EI18" s="52">
        <v>150.88</v>
      </c>
      <c r="EJ18" s="52">
        <v>100.3</v>
      </c>
      <c r="EK18" s="52">
        <v>109.12</v>
      </c>
      <c r="EL18" s="52">
        <v>131.54</v>
      </c>
      <c r="EM18" s="52">
        <v>133.16999999999999</v>
      </c>
      <c r="EN18" s="52">
        <v>147.07</v>
      </c>
      <c r="EO18" s="52">
        <v>138</v>
      </c>
      <c r="EP18" s="52">
        <v>110.32</v>
      </c>
      <c r="EQ18" s="52">
        <v>136.41</v>
      </c>
      <c r="ER18" s="52">
        <v>142.19999999999999</v>
      </c>
      <c r="ES18" s="52">
        <v>154.49</v>
      </c>
      <c r="ET18" s="52">
        <v>127.47</v>
      </c>
      <c r="EU18" s="52">
        <v>110.04</v>
      </c>
      <c r="EV18" s="52">
        <v>109.63</v>
      </c>
      <c r="EW18" s="52">
        <v>131.78</v>
      </c>
      <c r="EX18" s="52">
        <v>108.35</v>
      </c>
      <c r="EY18" s="52">
        <v>111.67</v>
      </c>
      <c r="EZ18" s="52">
        <v>121.9</v>
      </c>
      <c r="FA18" s="52">
        <v>119.61</v>
      </c>
      <c r="FB18" s="52">
        <v>96.87</v>
      </c>
      <c r="FC18" s="52">
        <v>120.81</v>
      </c>
      <c r="FD18" s="52">
        <v>124.01</v>
      </c>
      <c r="FE18" s="52">
        <v>120.45</v>
      </c>
      <c r="FF18" s="52"/>
      <c r="FG18" s="52">
        <v>110.76</v>
      </c>
      <c r="FH18" s="52">
        <v>116.92</v>
      </c>
      <c r="FI18" s="52">
        <v>123.09</v>
      </c>
      <c r="FJ18" s="52">
        <v>80.34</v>
      </c>
      <c r="FK18" s="52">
        <v>127.53</v>
      </c>
      <c r="FL18" s="52">
        <v>104.57</v>
      </c>
      <c r="FM18" s="52">
        <v>108.78</v>
      </c>
      <c r="FN18" s="52">
        <v>89.09</v>
      </c>
      <c r="FO18" s="52">
        <v>134.46</v>
      </c>
      <c r="FP18" s="52">
        <v>138.09</v>
      </c>
      <c r="FQ18" s="52">
        <v>142</v>
      </c>
      <c r="FR18" s="52">
        <v>135.11000000000001</v>
      </c>
      <c r="FS18" s="52">
        <v>139.75</v>
      </c>
      <c r="FT18" s="52">
        <v>117.52</v>
      </c>
      <c r="FU18" s="52">
        <v>117.09</v>
      </c>
      <c r="FV18" s="52">
        <v>130.11000000000001</v>
      </c>
      <c r="FW18" s="52">
        <v>121.28</v>
      </c>
      <c r="FX18" s="52">
        <v>124.27</v>
      </c>
      <c r="FY18" s="52">
        <v>124.6</v>
      </c>
      <c r="FZ18" s="52">
        <v>133.91999999999999</v>
      </c>
      <c r="GA18" s="52">
        <v>128.05000000000001</v>
      </c>
      <c r="GB18" s="52">
        <v>107.15</v>
      </c>
      <c r="GC18" s="52">
        <v>112.99</v>
      </c>
      <c r="GD18" s="52">
        <v>111.7</v>
      </c>
      <c r="GE18" s="52">
        <v>170.93</v>
      </c>
      <c r="GF18" s="52">
        <v>154.65</v>
      </c>
      <c r="GG18" s="52">
        <v>152.91</v>
      </c>
      <c r="GH18" s="52">
        <v>162.78</v>
      </c>
      <c r="GI18" s="52">
        <v>106.69</v>
      </c>
      <c r="GJ18" s="52">
        <v>104.89</v>
      </c>
      <c r="GK18" s="52">
        <v>103.06</v>
      </c>
      <c r="GL18" s="52">
        <v>119.98</v>
      </c>
      <c r="GM18" s="52">
        <v>113.45</v>
      </c>
      <c r="GN18" s="52">
        <v>143</v>
      </c>
      <c r="GO18" s="52">
        <v>118.13</v>
      </c>
      <c r="GP18" s="52">
        <v>119.23</v>
      </c>
      <c r="GQ18" s="52">
        <v>112.45</v>
      </c>
      <c r="GR18" s="52">
        <v>137.5</v>
      </c>
      <c r="GS18" s="52">
        <v>159.49</v>
      </c>
      <c r="GT18" s="52">
        <v>117.36</v>
      </c>
      <c r="GU18" s="52">
        <v>106.76</v>
      </c>
      <c r="GV18" s="52">
        <v>99.97</v>
      </c>
      <c r="GW18" s="52">
        <v>132.72999999999999</v>
      </c>
      <c r="GX18" s="52">
        <v>144.25</v>
      </c>
      <c r="GY18" s="52">
        <v>122.84</v>
      </c>
      <c r="GZ18" s="52">
        <v>128.41999999999999</v>
      </c>
      <c r="HA18" s="52">
        <v>150.06</v>
      </c>
      <c r="HB18" s="52">
        <v>137.49</v>
      </c>
      <c r="HC18" s="52">
        <v>123.75</v>
      </c>
      <c r="HD18" s="52">
        <v>110</v>
      </c>
      <c r="HE18" s="52">
        <v>87.14</v>
      </c>
      <c r="HF18" s="52">
        <v>86.24</v>
      </c>
      <c r="HG18" s="52">
        <v>89.6</v>
      </c>
      <c r="HH18" s="52">
        <v>116.6</v>
      </c>
      <c r="HI18" s="52">
        <v>71.06</v>
      </c>
      <c r="HJ18" s="52">
        <v>100.85</v>
      </c>
      <c r="HK18" s="52">
        <v>145.22</v>
      </c>
      <c r="HL18" s="52">
        <v>113.65</v>
      </c>
      <c r="HM18" s="52">
        <v>123.86</v>
      </c>
      <c r="HN18" s="52">
        <v>119.92</v>
      </c>
      <c r="HO18" s="52">
        <v>113.45</v>
      </c>
      <c r="HP18" s="52">
        <v>125.43</v>
      </c>
      <c r="HQ18" s="52">
        <v>95.76</v>
      </c>
      <c r="HR18" s="52">
        <v>115.75</v>
      </c>
      <c r="HS18" s="52">
        <v>149.25</v>
      </c>
      <c r="HT18" s="52">
        <v>141.38999999999999</v>
      </c>
      <c r="HU18" s="52">
        <v>84.8</v>
      </c>
      <c r="HV18" s="52">
        <v>121.04</v>
      </c>
      <c r="HW18" s="52">
        <v>114.43</v>
      </c>
      <c r="HX18" s="52">
        <v>93.48</v>
      </c>
      <c r="HY18" s="52">
        <v>165.04</v>
      </c>
      <c r="HZ18" s="52">
        <v>118.08</v>
      </c>
      <c r="IA18" s="52">
        <v>84.75</v>
      </c>
      <c r="IB18" s="52">
        <v>143.6</v>
      </c>
      <c r="IC18" s="52">
        <v>98.16</v>
      </c>
      <c r="ID18" s="52">
        <v>105.7</v>
      </c>
      <c r="IE18" s="52">
        <v>0</v>
      </c>
      <c r="IF18" s="52">
        <v>100.44</v>
      </c>
      <c r="IG18" s="52">
        <v>113.29</v>
      </c>
      <c r="IH18" s="52">
        <v>141.16</v>
      </c>
      <c r="II18" s="52">
        <v>138.66999999999999</v>
      </c>
      <c r="IJ18" s="52">
        <v>140.88</v>
      </c>
      <c r="IK18" s="52">
        <v>139.47999999999999</v>
      </c>
      <c r="IL18" s="52">
        <v>127.42</v>
      </c>
      <c r="IM18" s="52">
        <v>143.69999999999999</v>
      </c>
      <c r="IN18" s="52">
        <v>139.13</v>
      </c>
      <c r="IO18" s="52">
        <v>126.06</v>
      </c>
      <c r="IP18" s="52">
        <v>86.32</v>
      </c>
      <c r="IQ18" s="52">
        <v>102.43</v>
      </c>
      <c r="IR18" s="52">
        <v>153.69</v>
      </c>
      <c r="IS18" s="52">
        <v>123.31</v>
      </c>
      <c r="IT18" s="52">
        <v>88.48</v>
      </c>
      <c r="IU18" s="52">
        <v>110.05</v>
      </c>
      <c r="IV18" s="52">
        <v>87.03</v>
      </c>
      <c r="IW18" s="52">
        <v>99.92</v>
      </c>
      <c r="IX18" s="52">
        <v>129.37</v>
      </c>
      <c r="IY18" s="52">
        <v>118.13</v>
      </c>
      <c r="IZ18" s="52">
        <v>129.93</v>
      </c>
      <c r="JA18" s="52">
        <v>117.78</v>
      </c>
      <c r="JB18" s="52"/>
      <c r="JC18" s="52">
        <v>133.27000000000001</v>
      </c>
      <c r="JD18" s="52">
        <v>158.12</v>
      </c>
      <c r="JE18" s="52">
        <v>120.13</v>
      </c>
      <c r="JF18" s="52">
        <v>122.65</v>
      </c>
      <c r="JG18" s="52">
        <v>154.25</v>
      </c>
      <c r="JH18" s="52">
        <v>161.31</v>
      </c>
      <c r="JI18" s="52">
        <v>107.55</v>
      </c>
      <c r="JJ18" s="52">
        <v>113.95</v>
      </c>
      <c r="JK18" s="52">
        <v>111.33</v>
      </c>
      <c r="JL18" s="52">
        <v>144.16</v>
      </c>
      <c r="JM18" s="52">
        <v>147.82</v>
      </c>
      <c r="JN18" s="52">
        <v>137.80000000000001</v>
      </c>
      <c r="JO18" s="52">
        <v>132.62</v>
      </c>
      <c r="JP18" s="52">
        <v>145.15</v>
      </c>
      <c r="JQ18" s="52">
        <v>133.99</v>
      </c>
      <c r="JR18" s="52">
        <v>138.15</v>
      </c>
      <c r="JS18" s="52">
        <v>151.6</v>
      </c>
      <c r="JT18" s="52">
        <v>155.82</v>
      </c>
      <c r="JU18" s="52">
        <v>145.97999999999999</v>
      </c>
      <c r="JV18" s="52">
        <v>100.3</v>
      </c>
      <c r="JW18" s="52">
        <v>109.12</v>
      </c>
      <c r="JX18" s="52">
        <v>131.54</v>
      </c>
      <c r="JY18" s="52">
        <v>134.44</v>
      </c>
      <c r="JZ18" s="52">
        <v>130.32</v>
      </c>
      <c r="KA18" s="52">
        <v>147.07</v>
      </c>
      <c r="KB18" s="52">
        <v>138</v>
      </c>
      <c r="KC18" s="52">
        <v>110.32</v>
      </c>
      <c r="KD18" s="52">
        <v>136.41</v>
      </c>
      <c r="KE18" s="52">
        <v>142.19999999999999</v>
      </c>
      <c r="KF18" s="52">
        <v>154.49</v>
      </c>
    </row>
    <row r="19" spans="1:292" s="41" customFormat="1" ht="12">
      <c r="A19" s="41">
        <v>2006</v>
      </c>
      <c r="B19" s="54" t="s">
        <v>979</v>
      </c>
      <c r="C19" s="55" t="s">
        <v>980</v>
      </c>
      <c r="D19" s="56">
        <v>123.84</v>
      </c>
      <c r="E19" s="56">
        <v>120.44</v>
      </c>
      <c r="F19" s="56">
        <v>163.19999999999999</v>
      </c>
      <c r="G19" s="56">
        <v>100.26</v>
      </c>
      <c r="H19" s="56">
        <v>129.22</v>
      </c>
      <c r="I19" s="56">
        <v>115.14</v>
      </c>
      <c r="J19" s="56">
        <v>113.22</v>
      </c>
      <c r="K19" s="56">
        <v>129.49</v>
      </c>
      <c r="L19" s="56">
        <v>107.64</v>
      </c>
      <c r="M19" s="56">
        <v>115.84</v>
      </c>
      <c r="N19" s="56">
        <v>140.69999999999999</v>
      </c>
      <c r="O19" s="56">
        <v>144.43</v>
      </c>
      <c r="P19" s="56">
        <v>129.33000000000001</v>
      </c>
      <c r="Q19" s="56">
        <v>120.25</v>
      </c>
      <c r="R19" s="56">
        <v>122.74</v>
      </c>
      <c r="S19" s="56">
        <v>163.63999999999999</v>
      </c>
      <c r="T19" s="56">
        <v>163.05000000000001</v>
      </c>
      <c r="U19" s="56">
        <v>96.99</v>
      </c>
      <c r="V19" s="56">
        <v>109.86</v>
      </c>
      <c r="W19" s="56">
        <v>162.26</v>
      </c>
      <c r="X19" s="56">
        <v>117.83</v>
      </c>
      <c r="Y19" s="56">
        <v>110.37</v>
      </c>
      <c r="Z19" s="56">
        <v>122.53</v>
      </c>
      <c r="AA19" s="56">
        <v>128.84</v>
      </c>
      <c r="AB19" s="56">
        <v>110.27</v>
      </c>
      <c r="AC19" s="56">
        <v>98.85</v>
      </c>
      <c r="AD19" s="56">
        <v>118.1</v>
      </c>
      <c r="AE19" s="56">
        <v>119.87</v>
      </c>
      <c r="AF19" s="56">
        <v>111.8</v>
      </c>
      <c r="AG19" s="56">
        <v>88.47</v>
      </c>
      <c r="AH19" s="56">
        <v>134.69</v>
      </c>
      <c r="AI19" s="56">
        <v>145.41999999999999</v>
      </c>
      <c r="AJ19" s="56">
        <v>105.12</v>
      </c>
      <c r="AK19" s="56">
        <v>139.36000000000001</v>
      </c>
      <c r="AL19" s="56">
        <v>138.22</v>
      </c>
      <c r="AM19" s="56">
        <v>123.31</v>
      </c>
      <c r="AN19" s="56">
        <v>85.54</v>
      </c>
      <c r="AO19" s="56">
        <v>110.15</v>
      </c>
      <c r="AP19" s="56">
        <v>93.54</v>
      </c>
      <c r="AQ19" s="56">
        <v>117.85</v>
      </c>
      <c r="AR19" s="56">
        <v>128.65</v>
      </c>
      <c r="AS19" s="56">
        <v>139.47</v>
      </c>
      <c r="AT19" s="56">
        <v>131.04</v>
      </c>
      <c r="AU19" s="56">
        <v>100.95</v>
      </c>
      <c r="AV19" s="56">
        <v>143.96</v>
      </c>
      <c r="AW19" s="56">
        <v>147.82</v>
      </c>
      <c r="AX19" s="56">
        <v>137.80000000000001</v>
      </c>
      <c r="AY19" s="56">
        <v>132.97</v>
      </c>
      <c r="AZ19" s="56">
        <v>143.30000000000001</v>
      </c>
      <c r="BA19" s="56">
        <v>145.88999999999999</v>
      </c>
      <c r="BB19" s="56">
        <v>119.24</v>
      </c>
      <c r="BC19" s="56">
        <v>134.07</v>
      </c>
      <c r="BD19" s="56">
        <v>148.6</v>
      </c>
      <c r="BE19" s="56">
        <v>143.56</v>
      </c>
      <c r="BF19" s="56">
        <v>143.59</v>
      </c>
      <c r="BG19" s="56">
        <v>154.49</v>
      </c>
      <c r="BH19" s="52">
        <v>115.58</v>
      </c>
      <c r="BI19" s="52">
        <v>116.97</v>
      </c>
      <c r="BJ19" s="52">
        <v>137.66999999999999</v>
      </c>
      <c r="BK19" s="52">
        <v>114.01</v>
      </c>
      <c r="BL19" s="52">
        <v>110.34</v>
      </c>
      <c r="BM19" s="52">
        <v>97.66</v>
      </c>
      <c r="BN19" s="52">
        <v>151.22999999999999</v>
      </c>
      <c r="BO19" s="52">
        <v>117.05</v>
      </c>
      <c r="BP19" s="52">
        <v>124.93</v>
      </c>
      <c r="BQ19" s="52">
        <v>133.41</v>
      </c>
      <c r="BR19" s="52">
        <v>112.17</v>
      </c>
      <c r="BS19" s="52">
        <v>170.91</v>
      </c>
      <c r="BT19" s="52">
        <v>155.33000000000001</v>
      </c>
      <c r="BU19" s="52">
        <v>153</v>
      </c>
      <c r="BV19" s="52">
        <v>163.05000000000001</v>
      </c>
      <c r="BW19" s="52">
        <v>95.5</v>
      </c>
      <c r="BX19" s="52">
        <v>111.57</v>
      </c>
      <c r="BY19" s="52">
        <v>144.13</v>
      </c>
      <c r="BZ19" s="52">
        <v>109.66</v>
      </c>
      <c r="CA19" s="52">
        <v>139.22</v>
      </c>
      <c r="CB19" s="53">
        <v>162.26</v>
      </c>
      <c r="CC19" s="52">
        <v>117.83</v>
      </c>
      <c r="CD19" s="52">
        <v>109.43</v>
      </c>
      <c r="CE19" s="52">
        <v>99.97</v>
      </c>
      <c r="CF19" s="52">
        <v>142.24</v>
      </c>
      <c r="CG19" s="52">
        <v>123.81</v>
      </c>
      <c r="CH19" s="52">
        <v>129.28</v>
      </c>
      <c r="CI19" s="52">
        <v>124.24</v>
      </c>
      <c r="CJ19" s="52">
        <v>110.27</v>
      </c>
      <c r="CK19" s="52">
        <v>93.45</v>
      </c>
      <c r="CL19" s="52">
        <v>103.5</v>
      </c>
      <c r="CM19" s="52">
        <v>141.53</v>
      </c>
      <c r="CN19" s="52">
        <v>118.1</v>
      </c>
      <c r="CO19" s="52">
        <v>119.87</v>
      </c>
      <c r="CP19" s="52">
        <v>98.32</v>
      </c>
      <c r="CQ19" s="52">
        <v>150.44999999999999</v>
      </c>
      <c r="CR19" s="52">
        <v>84.83</v>
      </c>
      <c r="CS19" s="52">
        <v>121.12</v>
      </c>
      <c r="CT19" s="52">
        <v>108.54</v>
      </c>
      <c r="CU19" s="52">
        <v>166.92</v>
      </c>
      <c r="CV19" s="52">
        <v>118.6</v>
      </c>
      <c r="CW19" s="52">
        <v>90.63</v>
      </c>
      <c r="CX19" s="52">
        <v>145.41999999999999</v>
      </c>
      <c r="CY19" s="52">
        <v>105.2</v>
      </c>
      <c r="CZ19" s="52">
        <v>0</v>
      </c>
      <c r="DA19" s="52">
        <v>100.7</v>
      </c>
      <c r="DB19" s="52">
        <v>114</v>
      </c>
      <c r="DC19" s="52">
        <v>140.49</v>
      </c>
      <c r="DD19" s="52">
        <v>140.44999999999999</v>
      </c>
      <c r="DE19" s="52">
        <v>143.24</v>
      </c>
      <c r="DF19" s="52">
        <v>136.13</v>
      </c>
      <c r="DG19" s="52">
        <v>140.6</v>
      </c>
      <c r="DH19" s="52">
        <v>83.8</v>
      </c>
      <c r="DI19" s="52">
        <v>102.43</v>
      </c>
      <c r="DJ19" s="52">
        <v>153.97999999999999</v>
      </c>
      <c r="DK19" s="52">
        <v>123.31</v>
      </c>
      <c r="DL19" s="52">
        <v>85.54</v>
      </c>
      <c r="DM19" s="52">
        <v>110.15</v>
      </c>
      <c r="DN19" s="52">
        <v>84.05</v>
      </c>
      <c r="DO19" s="52">
        <v>98.99</v>
      </c>
      <c r="DP19" s="52">
        <v>133.77000000000001</v>
      </c>
      <c r="DQ19" s="52">
        <v>117.85</v>
      </c>
      <c r="DR19" s="52">
        <v>130.47</v>
      </c>
      <c r="DS19" s="52">
        <v>117.39</v>
      </c>
      <c r="DT19" s="52"/>
      <c r="DU19" s="52">
        <v>135.91999999999999</v>
      </c>
      <c r="DV19" s="52">
        <v>153.66999999999999</v>
      </c>
      <c r="DW19" s="52">
        <v>122.62</v>
      </c>
      <c r="DX19" s="52">
        <v>154.25</v>
      </c>
      <c r="DY19" s="52">
        <v>165.72</v>
      </c>
      <c r="DZ19" s="52">
        <v>107.55</v>
      </c>
      <c r="EA19" s="52">
        <v>114.22</v>
      </c>
      <c r="EB19" s="52">
        <v>100.95</v>
      </c>
      <c r="EC19" s="52">
        <v>143.96</v>
      </c>
      <c r="ED19" s="52">
        <v>147.82</v>
      </c>
      <c r="EE19" s="52">
        <v>137.80000000000001</v>
      </c>
      <c r="EF19" s="52">
        <v>132.97</v>
      </c>
      <c r="EG19" s="52">
        <v>143.30000000000001</v>
      </c>
      <c r="EH19" s="52">
        <v>145.88999999999999</v>
      </c>
      <c r="EI19" s="52">
        <v>151.01</v>
      </c>
      <c r="EJ19" s="52">
        <v>102.36</v>
      </c>
      <c r="EK19" s="52">
        <v>109.68</v>
      </c>
      <c r="EL19" s="52">
        <v>134.02000000000001</v>
      </c>
      <c r="EM19" s="52">
        <v>132.13</v>
      </c>
      <c r="EN19" s="52">
        <v>148.6</v>
      </c>
      <c r="EO19" s="52">
        <v>169.43</v>
      </c>
      <c r="EP19" s="52">
        <v>110.67</v>
      </c>
      <c r="EQ19" s="52">
        <v>136.07</v>
      </c>
      <c r="ER19" s="52">
        <v>143.59</v>
      </c>
      <c r="ES19" s="52">
        <v>154.49</v>
      </c>
      <c r="ET19" s="52">
        <v>128.44</v>
      </c>
      <c r="EU19" s="52">
        <v>110.34</v>
      </c>
      <c r="EV19" s="52">
        <v>111.88</v>
      </c>
      <c r="EW19" s="52">
        <v>132.85</v>
      </c>
      <c r="EX19" s="52">
        <v>108.27</v>
      </c>
      <c r="EY19" s="52">
        <v>112.01</v>
      </c>
      <c r="EZ19" s="52">
        <v>124.45</v>
      </c>
      <c r="FA19" s="52">
        <v>121.75</v>
      </c>
      <c r="FB19" s="52">
        <v>97.29</v>
      </c>
      <c r="FC19" s="52">
        <v>123.05</v>
      </c>
      <c r="FD19" s="52">
        <v>125.84</v>
      </c>
      <c r="FE19" s="52">
        <v>137.66999999999999</v>
      </c>
      <c r="FF19" s="52"/>
      <c r="FG19" s="52">
        <v>111.53</v>
      </c>
      <c r="FH19" s="52">
        <v>116.45</v>
      </c>
      <c r="FI19" s="52">
        <v>123.74</v>
      </c>
      <c r="FJ19" s="52">
        <v>95.3</v>
      </c>
      <c r="FK19" s="52">
        <v>127.79</v>
      </c>
      <c r="FL19" s="52">
        <v>104.32</v>
      </c>
      <c r="FM19" s="52">
        <v>110.06</v>
      </c>
      <c r="FN19" s="52">
        <v>90.93</v>
      </c>
      <c r="FO19" s="52">
        <v>135.52000000000001</v>
      </c>
      <c r="FP19" s="52">
        <v>151.69999999999999</v>
      </c>
      <c r="FQ19" s="52">
        <v>145.44</v>
      </c>
      <c r="FR19" s="52">
        <v>135.26</v>
      </c>
      <c r="FS19" s="52">
        <v>140.43</v>
      </c>
      <c r="FT19" s="52">
        <v>111.59</v>
      </c>
      <c r="FU19" s="52">
        <v>118.59</v>
      </c>
      <c r="FV19" s="52">
        <v>131.19999999999999</v>
      </c>
      <c r="FW19" s="52">
        <v>121.27</v>
      </c>
      <c r="FX19" s="52">
        <v>124.93</v>
      </c>
      <c r="FY19" s="52">
        <v>125.8</v>
      </c>
      <c r="FZ19" s="52">
        <v>134.22999999999999</v>
      </c>
      <c r="GA19" s="52">
        <v>127.92</v>
      </c>
      <c r="GB19" s="52">
        <v>108.42</v>
      </c>
      <c r="GC19" s="52">
        <v>113.79</v>
      </c>
      <c r="GD19" s="52">
        <v>110.91</v>
      </c>
      <c r="GE19" s="52">
        <v>170.91</v>
      </c>
      <c r="GF19" s="52">
        <v>155.33000000000001</v>
      </c>
      <c r="GG19" s="52">
        <v>153</v>
      </c>
      <c r="GH19" s="52">
        <v>162.78</v>
      </c>
      <c r="GI19" s="52">
        <v>97.6</v>
      </c>
      <c r="GJ19" s="52">
        <v>93.26</v>
      </c>
      <c r="GK19" s="52">
        <v>94.52</v>
      </c>
      <c r="GL19" s="52">
        <v>118.17</v>
      </c>
      <c r="GM19" s="52">
        <v>111.57</v>
      </c>
      <c r="GN19" s="52">
        <v>144.13</v>
      </c>
      <c r="GO19" s="52">
        <v>110.75</v>
      </c>
      <c r="GP19" s="52">
        <v>110.45</v>
      </c>
      <c r="GQ19" s="52">
        <v>105.75</v>
      </c>
      <c r="GR19" s="52">
        <v>139.22</v>
      </c>
      <c r="GS19" s="52">
        <v>162.26</v>
      </c>
      <c r="GT19" s="52">
        <v>117.83</v>
      </c>
      <c r="GU19" s="52">
        <v>109.43</v>
      </c>
      <c r="GV19" s="52">
        <v>99.97</v>
      </c>
      <c r="GW19" s="52">
        <v>132.02000000000001</v>
      </c>
      <c r="GX19" s="52">
        <v>146.93</v>
      </c>
      <c r="GY19" s="52">
        <v>123.81</v>
      </c>
      <c r="GZ19" s="52">
        <v>128.83000000000001</v>
      </c>
      <c r="HA19" s="52">
        <v>136.46</v>
      </c>
      <c r="HB19" s="52">
        <v>126.45</v>
      </c>
      <c r="HC19" s="52">
        <v>124.24</v>
      </c>
      <c r="HD19" s="52">
        <v>110.27</v>
      </c>
      <c r="HE19" s="52">
        <v>86.85</v>
      </c>
      <c r="HF19" s="52">
        <v>85.93</v>
      </c>
      <c r="HG19" s="52">
        <v>90.6</v>
      </c>
      <c r="HH19" s="52">
        <v>116.74</v>
      </c>
      <c r="HI19" s="52">
        <v>71.540000000000006</v>
      </c>
      <c r="HJ19" s="52">
        <v>103.5</v>
      </c>
      <c r="HK19" s="52">
        <v>141.53</v>
      </c>
      <c r="HL19" s="52">
        <v>114</v>
      </c>
      <c r="HM19" s="52">
        <v>124.66</v>
      </c>
      <c r="HN19" s="52">
        <v>120.26</v>
      </c>
      <c r="HO19" s="52">
        <v>113.76</v>
      </c>
      <c r="HP19" s="52">
        <v>125.74</v>
      </c>
      <c r="HQ19" s="52">
        <v>96.31</v>
      </c>
      <c r="HR19" s="52">
        <v>116.63</v>
      </c>
      <c r="HS19" s="52">
        <v>150.59</v>
      </c>
      <c r="HT19" s="52">
        <v>142.99</v>
      </c>
      <c r="HU19" s="52">
        <v>84.83</v>
      </c>
      <c r="HV19" s="52">
        <v>121.12</v>
      </c>
      <c r="HW19" s="52">
        <v>116.07</v>
      </c>
      <c r="HX19" s="52">
        <v>92.68</v>
      </c>
      <c r="HY19" s="52">
        <v>166.92</v>
      </c>
      <c r="HZ19" s="52">
        <v>118.6</v>
      </c>
      <c r="IA19" s="52">
        <v>85.36</v>
      </c>
      <c r="IB19" s="52">
        <v>145.41999999999999</v>
      </c>
      <c r="IC19" s="52">
        <v>97.72</v>
      </c>
      <c r="ID19" s="52">
        <v>106.58</v>
      </c>
      <c r="IE19" s="52">
        <v>0</v>
      </c>
      <c r="IF19" s="52">
        <v>100.7</v>
      </c>
      <c r="IG19" s="52">
        <v>114</v>
      </c>
      <c r="IH19" s="52">
        <v>140.49</v>
      </c>
      <c r="II19" s="52">
        <v>140.44999999999999</v>
      </c>
      <c r="IJ19" s="52">
        <v>143.24</v>
      </c>
      <c r="IK19" s="52">
        <v>139.47999999999999</v>
      </c>
      <c r="IL19" s="52">
        <v>127.42</v>
      </c>
      <c r="IM19" s="52">
        <v>144.85</v>
      </c>
      <c r="IN19" s="52">
        <v>139.97999999999999</v>
      </c>
      <c r="IO19" s="52">
        <v>124.93</v>
      </c>
      <c r="IP19" s="52">
        <v>83.8</v>
      </c>
      <c r="IQ19" s="52">
        <v>102.43</v>
      </c>
      <c r="IR19" s="52">
        <v>153.97999999999999</v>
      </c>
      <c r="IS19" s="52">
        <v>123.31</v>
      </c>
      <c r="IT19" s="52">
        <v>85.54</v>
      </c>
      <c r="IU19" s="52">
        <v>110.15</v>
      </c>
      <c r="IV19" s="52">
        <v>85.04</v>
      </c>
      <c r="IW19" s="52">
        <v>98.99</v>
      </c>
      <c r="IX19" s="52">
        <v>133.77000000000001</v>
      </c>
      <c r="IY19" s="52">
        <v>117.85</v>
      </c>
      <c r="IZ19" s="52">
        <v>130.47</v>
      </c>
      <c r="JA19" s="52">
        <v>117.39</v>
      </c>
      <c r="JB19" s="52"/>
      <c r="JC19" s="52">
        <v>135.91999999999999</v>
      </c>
      <c r="JD19" s="52">
        <v>153.66999999999999</v>
      </c>
      <c r="JE19" s="52">
        <v>120.46</v>
      </c>
      <c r="JF19" s="52">
        <v>123.38</v>
      </c>
      <c r="JG19" s="52">
        <v>154.25</v>
      </c>
      <c r="JH19" s="52">
        <v>165.72</v>
      </c>
      <c r="JI19" s="52">
        <v>107.55</v>
      </c>
      <c r="JJ19" s="52">
        <v>114.22</v>
      </c>
      <c r="JK19" s="52">
        <v>100.95</v>
      </c>
      <c r="JL19" s="52">
        <v>143.96</v>
      </c>
      <c r="JM19" s="52">
        <v>147.82</v>
      </c>
      <c r="JN19" s="52">
        <v>137.80000000000001</v>
      </c>
      <c r="JO19" s="52">
        <v>132.97</v>
      </c>
      <c r="JP19" s="52">
        <v>146.68</v>
      </c>
      <c r="JQ19" s="52">
        <v>135.52000000000001</v>
      </c>
      <c r="JR19" s="52">
        <v>141.29</v>
      </c>
      <c r="JS19" s="52">
        <v>151.79</v>
      </c>
      <c r="JT19" s="52">
        <v>156.52000000000001</v>
      </c>
      <c r="JU19" s="52">
        <v>145.59</v>
      </c>
      <c r="JV19" s="52">
        <v>102.36</v>
      </c>
      <c r="JW19" s="52">
        <v>109.68</v>
      </c>
      <c r="JX19" s="52">
        <v>134.02000000000001</v>
      </c>
      <c r="JY19" s="52">
        <v>134.13999999999999</v>
      </c>
      <c r="JZ19" s="52">
        <v>127.88</v>
      </c>
      <c r="KA19" s="52">
        <v>148.6</v>
      </c>
      <c r="KB19" s="52">
        <v>169.43</v>
      </c>
      <c r="KC19" s="52">
        <v>110.67</v>
      </c>
      <c r="KD19" s="52">
        <v>136.07</v>
      </c>
      <c r="KE19" s="52">
        <v>143.59</v>
      </c>
      <c r="KF19" s="52">
        <v>154.49</v>
      </c>
    </row>
    <row r="20" spans="1:292" s="41" customFormat="1" ht="12">
      <c r="A20" s="41">
        <v>2006</v>
      </c>
      <c r="B20" s="54" t="s">
        <v>981</v>
      </c>
      <c r="C20" s="55" t="s">
        <v>982</v>
      </c>
      <c r="D20" s="56">
        <v>124.18</v>
      </c>
      <c r="E20" s="56">
        <v>122</v>
      </c>
      <c r="F20" s="56">
        <v>163.44</v>
      </c>
      <c r="G20" s="56">
        <v>97.33</v>
      </c>
      <c r="H20" s="56">
        <v>130</v>
      </c>
      <c r="I20" s="56">
        <v>114.65</v>
      </c>
      <c r="J20" s="56">
        <v>113.64</v>
      </c>
      <c r="K20" s="56">
        <v>129.66999999999999</v>
      </c>
      <c r="L20" s="56">
        <v>106.82</v>
      </c>
      <c r="M20" s="56">
        <v>114.88</v>
      </c>
      <c r="N20" s="56">
        <v>140.91</v>
      </c>
      <c r="O20" s="56">
        <v>145.56</v>
      </c>
      <c r="P20" s="56">
        <v>129.59</v>
      </c>
      <c r="Q20" s="56">
        <v>121.91</v>
      </c>
      <c r="R20" s="56">
        <v>122.82</v>
      </c>
      <c r="S20" s="56">
        <v>167.45</v>
      </c>
      <c r="T20" s="56">
        <v>163.05000000000001</v>
      </c>
      <c r="U20" s="56">
        <v>94.05</v>
      </c>
      <c r="V20" s="56">
        <v>106.95</v>
      </c>
      <c r="W20" s="56">
        <v>163.84</v>
      </c>
      <c r="X20" s="56">
        <v>117.34</v>
      </c>
      <c r="Y20" s="56">
        <v>110.57</v>
      </c>
      <c r="Z20" s="56">
        <v>123.34</v>
      </c>
      <c r="AA20" s="56">
        <v>128.19</v>
      </c>
      <c r="AB20" s="56">
        <v>108.64</v>
      </c>
      <c r="AC20" s="56">
        <v>97.96</v>
      </c>
      <c r="AD20" s="56">
        <v>118.64</v>
      </c>
      <c r="AE20" s="56">
        <v>119.78</v>
      </c>
      <c r="AF20" s="56">
        <v>112</v>
      </c>
      <c r="AG20" s="56">
        <v>88.38</v>
      </c>
      <c r="AH20" s="56">
        <v>135.53</v>
      </c>
      <c r="AI20" s="56">
        <v>146.49</v>
      </c>
      <c r="AJ20" s="56">
        <v>104.91</v>
      </c>
      <c r="AK20" s="56">
        <v>139.86000000000001</v>
      </c>
      <c r="AL20" s="56">
        <v>138.32</v>
      </c>
      <c r="AM20" s="56">
        <v>123.31</v>
      </c>
      <c r="AN20" s="56">
        <v>79.94</v>
      </c>
      <c r="AO20" s="56">
        <v>110.16</v>
      </c>
      <c r="AP20" s="56">
        <v>91.98</v>
      </c>
      <c r="AQ20" s="56">
        <v>118.08</v>
      </c>
      <c r="AR20" s="56">
        <v>129.69999999999999</v>
      </c>
      <c r="AS20" s="56">
        <v>139.16</v>
      </c>
      <c r="AT20" s="56">
        <v>128.01</v>
      </c>
      <c r="AU20" s="56">
        <v>102.61</v>
      </c>
      <c r="AV20" s="56">
        <v>143.94</v>
      </c>
      <c r="AW20" s="56">
        <v>147.82</v>
      </c>
      <c r="AX20" s="56">
        <v>137.80000000000001</v>
      </c>
      <c r="AY20" s="56">
        <v>133.97</v>
      </c>
      <c r="AZ20" s="56">
        <v>144.75</v>
      </c>
      <c r="BA20" s="56">
        <v>146.57</v>
      </c>
      <c r="BB20" s="56">
        <v>119.01</v>
      </c>
      <c r="BC20" s="56">
        <v>134.36000000000001</v>
      </c>
      <c r="BD20" s="56">
        <v>149.26</v>
      </c>
      <c r="BE20" s="56">
        <v>142.19999999999999</v>
      </c>
      <c r="BF20" s="56">
        <v>143.59</v>
      </c>
      <c r="BG20" s="56">
        <v>159.5</v>
      </c>
      <c r="BH20" s="52">
        <v>117.16</v>
      </c>
      <c r="BI20" s="52">
        <v>123.6</v>
      </c>
      <c r="BJ20" s="52">
        <v>147.72</v>
      </c>
      <c r="BK20" s="52">
        <v>114.3</v>
      </c>
      <c r="BL20" s="52">
        <v>110.35</v>
      </c>
      <c r="BM20" s="52">
        <v>97.97</v>
      </c>
      <c r="BN20" s="52">
        <v>151.32</v>
      </c>
      <c r="BO20" s="52">
        <v>116.27</v>
      </c>
      <c r="BP20" s="52">
        <v>125.38</v>
      </c>
      <c r="BQ20" s="52">
        <v>133.38999999999999</v>
      </c>
      <c r="BR20" s="52">
        <v>112.34</v>
      </c>
      <c r="BS20" s="52">
        <v>175.16</v>
      </c>
      <c r="BT20" s="52">
        <v>158.13</v>
      </c>
      <c r="BU20" s="52">
        <v>156.44999999999999</v>
      </c>
      <c r="BV20" s="52">
        <v>163.05000000000001</v>
      </c>
      <c r="BW20" s="52">
        <v>92.45</v>
      </c>
      <c r="BX20" s="52">
        <v>110.01</v>
      </c>
      <c r="BY20" s="52">
        <v>144.49</v>
      </c>
      <c r="BZ20" s="52">
        <v>106.72</v>
      </c>
      <c r="CA20" s="52">
        <v>140.94999999999999</v>
      </c>
      <c r="CB20" s="53">
        <v>163.84</v>
      </c>
      <c r="CC20" s="52">
        <v>117.34</v>
      </c>
      <c r="CD20" s="52">
        <v>109.62</v>
      </c>
      <c r="CE20" s="52">
        <v>99.97</v>
      </c>
      <c r="CF20" s="52">
        <v>144.38999999999999</v>
      </c>
      <c r="CG20" s="52">
        <v>123.86</v>
      </c>
      <c r="CH20" s="52">
        <v>128.97</v>
      </c>
      <c r="CI20" s="52">
        <v>122.56</v>
      </c>
      <c r="CJ20" s="52">
        <v>108.64</v>
      </c>
      <c r="CK20" s="52">
        <v>92.44</v>
      </c>
      <c r="CL20" s="52">
        <v>103.42</v>
      </c>
      <c r="CM20" s="52">
        <v>141.55000000000001</v>
      </c>
      <c r="CN20" s="52">
        <v>118.64</v>
      </c>
      <c r="CO20" s="52">
        <v>119.78</v>
      </c>
      <c r="CP20" s="52">
        <v>98.28</v>
      </c>
      <c r="CQ20" s="52">
        <v>151.44</v>
      </c>
      <c r="CR20" s="52">
        <v>84.83</v>
      </c>
      <c r="CS20" s="52">
        <v>121.32</v>
      </c>
      <c r="CT20" s="52">
        <v>107.75</v>
      </c>
      <c r="CU20" s="52">
        <v>168.39</v>
      </c>
      <c r="CV20" s="52">
        <v>118.97</v>
      </c>
      <c r="CW20" s="52">
        <v>90.9</v>
      </c>
      <c r="CX20" s="52">
        <v>146.49</v>
      </c>
      <c r="CY20" s="52">
        <v>105.18</v>
      </c>
      <c r="CZ20" s="52">
        <v>0</v>
      </c>
      <c r="DA20" s="52">
        <v>92.87</v>
      </c>
      <c r="DB20" s="52">
        <v>114.67</v>
      </c>
      <c r="DC20" s="52">
        <v>140.74</v>
      </c>
      <c r="DD20" s="52">
        <v>143.07</v>
      </c>
      <c r="DE20" s="52">
        <v>144.58000000000001</v>
      </c>
      <c r="DF20" s="52">
        <v>136.13</v>
      </c>
      <c r="DG20" s="52">
        <v>140.57</v>
      </c>
      <c r="DH20" s="52">
        <v>85.28</v>
      </c>
      <c r="DI20" s="52">
        <v>102.43</v>
      </c>
      <c r="DJ20" s="52">
        <v>158.29</v>
      </c>
      <c r="DK20" s="52">
        <v>123.31</v>
      </c>
      <c r="DL20" s="52">
        <v>79.94</v>
      </c>
      <c r="DM20" s="52">
        <v>110.16</v>
      </c>
      <c r="DN20" s="52">
        <v>82.27</v>
      </c>
      <c r="DO20" s="52">
        <v>97.58</v>
      </c>
      <c r="DP20" s="52">
        <v>134.08000000000001</v>
      </c>
      <c r="DQ20" s="52">
        <v>118.08</v>
      </c>
      <c r="DR20" s="52">
        <v>132.11000000000001</v>
      </c>
      <c r="DS20" s="52">
        <v>117.34</v>
      </c>
      <c r="DT20" s="52"/>
      <c r="DU20" s="52">
        <v>136.24</v>
      </c>
      <c r="DV20" s="52">
        <v>151.84</v>
      </c>
      <c r="DW20" s="52">
        <v>123.22</v>
      </c>
      <c r="DX20" s="52">
        <v>154.25</v>
      </c>
      <c r="DY20" s="52">
        <v>154.13999999999999</v>
      </c>
      <c r="DZ20" s="52">
        <v>110.97</v>
      </c>
      <c r="EA20" s="52">
        <v>114.48</v>
      </c>
      <c r="EB20" s="52">
        <v>102.61</v>
      </c>
      <c r="EC20" s="52">
        <v>143.94</v>
      </c>
      <c r="ED20" s="52">
        <v>147.82</v>
      </c>
      <c r="EE20" s="52">
        <v>137.80000000000001</v>
      </c>
      <c r="EF20" s="52">
        <v>133.97</v>
      </c>
      <c r="EG20" s="52">
        <v>144.75</v>
      </c>
      <c r="EH20" s="52">
        <v>146.57</v>
      </c>
      <c r="EI20" s="52">
        <v>151.88999999999999</v>
      </c>
      <c r="EJ20" s="52">
        <v>103.84</v>
      </c>
      <c r="EK20" s="52">
        <v>109.09</v>
      </c>
      <c r="EL20" s="52">
        <v>134.53</v>
      </c>
      <c r="EM20" s="52">
        <v>131.76</v>
      </c>
      <c r="EN20" s="52">
        <v>149.26</v>
      </c>
      <c r="EO20" s="52">
        <v>172.03</v>
      </c>
      <c r="EP20" s="52">
        <v>111.01</v>
      </c>
      <c r="EQ20" s="52">
        <v>132.69</v>
      </c>
      <c r="ER20" s="52">
        <v>143.59</v>
      </c>
      <c r="ES20" s="52">
        <v>159.5</v>
      </c>
      <c r="ET20" s="52">
        <v>128.93</v>
      </c>
      <c r="EU20" s="52">
        <v>111</v>
      </c>
      <c r="EV20" s="52">
        <v>114.2</v>
      </c>
      <c r="EW20" s="52">
        <v>133.66999999999999</v>
      </c>
      <c r="EX20" s="52">
        <v>108.71</v>
      </c>
      <c r="EY20" s="52">
        <v>111.43</v>
      </c>
      <c r="EZ20" s="52">
        <v>124.75</v>
      </c>
      <c r="FA20" s="52">
        <v>120.94</v>
      </c>
      <c r="FB20" s="52">
        <v>122.35</v>
      </c>
      <c r="FC20" s="52">
        <v>126.08</v>
      </c>
      <c r="FD20" s="52">
        <v>128.71</v>
      </c>
      <c r="FE20" s="52">
        <v>147.72</v>
      </c>
      <c r="FF20" s="52"/>
      <c r="FG20" s="52">
        <v>111.5</v>
      </c>
      <c r="FH20" s="52">
        <v>116.84</v>
      </c>
      <c r="FI20" s="52">
        <v>123.96</v>
      </c>
      <c r="FJ20" s="52">
        <v>96.04</v>
      </c>
      <c r="FK20" s="52">
        <v>127.94</v>
      </c>
      <c r="FL20" s="52">
        <v>104.8</v>
      </c>
      <c r="FM20" s="52">
        <v>109.93</v>
      </c>
      <c r="FN20" s="52">
        <v>90.98</v>
      </c>
      <c r="FO20" s="52">
        <v>137.35</v>
      </c>
      <c r="FP20" s="52">
        <v>151.63999999999999</v>
      </c>
      <c r="FQ20" s="52">
        <v>143.82</v>
      </c>
      <c r="FR20" s="52">
        <v>137.94</v>
      </c>
      <c r="FS20" s="52">
        <v>141.38</v>
      </c>
      <c r="FT20" s="52">
        <v>109.75</v>
      </c>
      <c r="FU20" s="52">
        <v>118.59</v>
      </c>
      <c r="FV20" s="52">
        <v>132.41999999999999</v>
      </c>
      <c r="FW20" s="52">
        <v>121.61</v>
      </c>
      <c r="FX20" s="52">
        <v>125.38</v>
      </c>
      <c r="FY20" s="52">
        <v>127.18</v>
      </c>
      <c r="FZ20" s="52">
        <v>134.05000000000001</v>
      </c>
      <c r="GA20" s="52">
        <v>128.44999999999999</v>
      </c>
      <c r="GB20" s="52">
        <v>108.41</v>
      </c>
      <c r="GC20" s="52">
        <v>114.17</v>
      </c>
      <c r="GD20" s="52">
        <v>110.41</v>
      </c>
      <c r="GE20" s="52">
        <v>175.16</v>
      </c>
      <c r="GF20" s="52">
        <v>158.13</v>
      </c>
      <c r="GG20" s="52">
        <v>156.44999999999999</v>
      </c>
      <c r="GH20" s="52">
        <v>162.78</v>
      </c>
      <c r="GI20" s="52">
        <v>94.79</v>
      </c>
      <c r="GJ20" s="52">
        <v>89.79</v>
      </c>
      <c r="GK20" s="52">
        <v>91.79</v>
      </c>
      <c r="GL20" s="52">
        <v>117.31</v>
      </c>
      <c r="GM20" s="52">
        <v>110.01</v>
      </c>
      <c r="GN20" s="52">
        <v>144.49</v>
      </c>
      <c r="GO20" s="52">
        <v>109.08</v>
      </c>
      <c r="GP20" s="52">
        <v>106.12</v>
      </c>
      <c r="GQ20" s="52">
        <v>102.57</v>
      </c>
      <c r="GR20" s="52">
        <v>140.94999999999999</v>
      </c>
      <c r="GS20" s="52">
        <v>163.84</v>
      </c>
      <c r="GT20" s="52">
        <v>117.34</v>
      </c>
      <c r="GU20" s="52">
        <v>109.62</v>
      </c>
      <c r="GV20" s="52">
        <v>99.97</v>
      </c>
      <c r="GW20" s="52">
        <v>139.24</v>
      </c>
      <c r="GX20" s="52">
        <v>147.26</v>
      </c>
      <c r="GY20" s="52">
        <v>123.86</v>
      </c>
      <c r="GZ20" s="52">
        <v>129.30000000000001</v>
      </c>
      <c r="HA20" s="52">
        <v>136.07</v>
      </c>
      <c r="HB20" s="52">
        <v>126.06</v>
      </c>
      <c r="HC20" s="52">
        <v>122.56</v>
      </c>
      <c r="HD20" s="52">
        <v>108.64</v>
      </c>
      <c r="HE20" s="52">
        <v>85.41</v>
      </c>
      <c r="HF20" s="52">
        <v>84.36</v>
      </c>
      <c r="HG20" s="52">
        <v>88.63</v>
      </c>
      <c r="HH20" s="52">
        <v>116.33</v>
      </c>
      <c r="HI20" s="52">
        <v>73.11</v>
      </c>
      <c r="HJ20" s="52">
        <v>103.42</v>
      </c>
      <c r="HK20" s="52">
        <v>141.55000000000001</v>
      </c>
      <c r="HL20" s="52">
        <v>114.65</v>
      </c>
      <c r="HM20" s="52">
        <v>125.51</v>
      </c>
      <c r="HN20" s="52">
        <v>120.64</v>
      </c>
      <c r="HO20" s="52">
        <v>113.5</v>
      </c>
      <c r="HP20" s="52">
        <v>125.81</v>
      </c>
      <c r="HQ20" s="52">
        <v>96.21</v>
      </c>
      <c r="HR20" s="52">
        <v>117.11</v>
      </c>
      <c r="HS20" s="52">
        <v>151.59</v>
      </c>
      <c r="HT20" s="52">
        <v>142.91999999999999</v>
      </c>
      <c r="HU20" s="52">
        <v>84.83</v>
      </c>
      <c r="HV20" s="52">
        <v>121.32</v>
      </c>
      <c r="HW20" s="52">
        <v>115.14</v>
      </c>
      <c r="HX20" s="52">
        <v>92.18</v>
      </c>
      <c r="HY20" s="52">
        <v>168.39</v>
      </c>
      <c r="HZ20" s="52">
        <v>118.97</v>
      </c>
      <c r="IA20" s="52">
        <v>85.37</v>
      </c>
      <c r="IB20" s="52">
        <v>146.49</v>
      </c>
      <c r="IC20" s="52">
        <v>97.63</v>
      </c>
      <c r="ID20" s="52">
        <v>106.58</v>
      </c>
      <c r="IE20" s="52">
        <v>0</v>
      </c>
      <c r="IF20" s="52">
        <v>92.87</v>
      </c>
      <c r="IG20" s="52">
        <v>114.67</v>
      </c>
      <c r="IH20" s="52">
        <v>140.74</v>
      </c>
      <c r="II20" s="52">
        <v>143.07</v>
      </c>
      <c r="IJ20" s="52">
        <v>144.58000000000001</v>
      </c>
      <c r="IK20" s="52">
        <v>139.47999999999999</v>
      </c>
      <c r="IL20" s="52">
        <v>127.42</v>
      </c>
      <c r="IM20" s="52">
        <v>145.11000000000001</v>
      </c>
      <c r="IN20" s="52">
        <v>140.6</v>
      </c>
      <c r="IO20" s="52">
        <v>123.57</v>
      </c>
      <c r="IP20" s="52">
        <v>85.28</v>
      </c>
      <c r="IQ20" s="52">
        <v>102.43</v>
      </c>
      <c r="IR20" s="52">
        <v>158.29</v>
      </c>
      <c r="IS20" s="52">
        <v>123.31</v>
      </c>
      <c r="IT20" s="52">
        <v>79.94</v>
      </c>
      <c r="IU20" s="52">
        <v>110.16</v>
      </c>
      <c r="IV20" s="52">
        <v>83.13</v>
      </c>
      <c r="IW20" s="52">
        <v>97.58</v>
      </c>
      <c r="IX20" s="52">
        <v>134.08000000000001</v>
      </c>
      <c r="IY20" s="52">
        <v>118.08</v>
      </c>
      <c r="IZ20" s="52">
        <v>132.11000000000001</v>
      </c>
      <c r="JA20" s="52">
        <v>117.34</v>
      </c>
      <c r="JB20" s="52"/>
      <c r="JC20" s="52">
        <v>136.24</v>
      </c>
      <c r="JD20" s="52">
        <v>151.84</v>
      </c>
      <c r="JE20" s="52">
        <v>122.45</v>
      </c>
      <c r="JF20" s="52">
        <v>123.47</v>
      </c>
      <c r="JG20" s="52">
        <v>154.25</v>
      </c>
      <c r="JH20" s="52">
        <v>154.13999999999999</v>
      </c>
      <c r="JI20" s="52">
        <v>110.97</v>
      </c>
      <c r="JJ20" s="52">
        <v>114.48</v>
      </c>
      <c r="JK20" s="52">
        <v>102.61</v>
      </c>
      <c r="JL20" s="52">
        <v>143.94</v>
      </c>
      <c r="JM20" s="52">
        <v>147.82</v>
      </c>
      <c r="JN20" s="52">
        <v>137.80000000000001</v>
      </c>
      <c r="JO20" s="52">
        <v>133.97</v>
      </c>
      <c r="JP20" s="52">
        <v>148.15</v>
      </c>
      <c r="JQ20" s="52">
        <v>136.93</v>
      </c>
      <c r="JR20" s="52">
        <v>142.29</v>
      </c>
      <c r="JS20" s="52">
        <v>152.02000000000001</v>
      </c>
      <c r="JT20" s="52">
        <v>158.26</v>
      </c>
      <c r="JU20" s="52">
        <v>145.68</v>
      </c>
      <c r="JV20" s="52">
        <v>103.84</v>
      </c>
      <c r="JW20" s="52">
        <v>109.09</v>
      </c>
      <c r="JX20" s="52">
        <v>134.53</v>
      </c>
      <c r="JY20" s="52">
        <v>134.02000000000001</v>
      </c>
      <c r="JZ20" s="52">
        <v>127.06</v>
      </c>
      <c r="KA20" s="52">
        <v>149.26</v>
      </c>
      <c r="KB20" s="52">
        <v>172.03</v>
      </c>
      <c r="KC20" s="52">
        <v>111.01</v>
      </c>
      <c r="KD20" s="52">
        <v>132.69</v>
      </c>
      <c r="KE20" s="52">
        <v>143.59</v>
      </c>
      <c r="KF20" s="52">
        <v>159.5</v>
      </c>
    </row>
    <row r="21" spans="1:292" s="41" customFormat="1" ht="12">
      <c r="A21" s="41">
        <v>2006</v>
      </c>
      <c r="B21" s="54" t="s">
        <v>983</v>
      </c>
      <c r="C21" s="55" t="s">
        <v>984</v>
      </c>
      <c r="D21" s="56">
        <v>125.84</v>
      </c>
      <c r="E21" s="56">
        <v>122.75</v>
      </c>
      <c r="F21" s="56">
        <v>163.47999999999999</v>
      </c>
      <c r="G21" s="56">
        <v>106.27</v>
      </c>
      <c r="H21" s="56">
        <v>130.27000000000001</v>
      </c>
      <c r="I21" s="56">
        <v>115.37</v>
      </c>
      <c r="J21" s="56">
        <v>113.96</v>
      </c>
      <c r="K21" s="56">
        <v>131.49</v>
      </c>
      <c r="L21" s="56">
        <v>106.68</v>
      </c>
      <c r="M21" s="56">
        <v>117.6</v>
      </c>
      <c r="N21" s="56">
        <v>141.07</v>
      </c>
      <c r="O21" s="56">
        <v>147.22999999999999</v>
      </c>
      <c r="P21" s="56">
        <v>133.37</v>
      </c>
      <c r="Q21" s="56">
        <v>122.69</v>
      </c>
      <c r="R21" s="56">
        <v>123.05</v>
      </c>
      <c r="S21" s="56">
        <v>168.03</v>
      </c>
      <c r="T21" s="56">
        <v>163.05000000000001</v>
      </c>
      <c r="U21" s="56">
        <v>103.51</v>
      </c>
      <c r="V21" s="56">
        <v>114.28</v>
      </c>
      <c r="W21" s="56">
        <v>165.52</v>
      </c>
      <c r="X21" s="56">
        <v>117.6</v>
      </c>
      <c r="Y21" s="56">
        <v>110.74</v>
      </c>
      <c r="Z21" s="56">
        <v>123.06</v>
      </c>
      <c r="AA21" s="56">
        <v>131.51</v>
      </c>
      <c r="AB21" s="56">
        <v>106.53</v>
      </c>
      <c r="AC21" s="56">
        <v>97.98</v>
      </c>
      <c r="AD21" s="56">
        <v>118.64</v>
      </c>
      <c r="AE21" s="56">
        <v>119.84</v>
      </c>
      <c r="AF21" s="56">
        <v>112.14</v>
      </c>
      <c r="AG21" s="56">
        <v>88.44</v>
      </c>
      <c r="AH21" s="56">
        <v>135.97999999999999</v>
      </c>
      <c r="AI21" s="56">
        <v>147.56</v>
      </c>
      <c r="AJ21" s="56">
        <v>105.66</v>
      </c>
      <c r="AK21" s="56">
        <v>143.58000000000001</v>
      </c>
      <c r="AL21" s="56">
        <v>138.68</v>
      </c>
      <c r="AM21" s="56">
        <v>123.31</v>
      </c>
      <c r="AN21" s="56">
        <v>78.88</v>
      </c>
      <c r="AO21" s="56">
        <v>110.17</v>
      </c>
      <c r="AP21" s="56">
        <v>90.07</v>
      </c>
      <c r="AQ21" s="56">
        <v>117.85</v>
      </c>
      <c r="AR21" s="56">
        <v>130.83000000000001</v>
      </c>
      <c r="AS21" s="56">
        <v>140.66</v>
      </c>
      <c r="AT21" s="56">
        <v>133.28</v>
      </c>
      <c r="AU21" s="56">
        <v>115.03</v>
      </c>
      <c r="AV21" s="56">
        <v>143.96</v>
      </c>
      <c r="AW21" s="56">
        <v>147.82</v>
      </c>
      <c r="AX21" s="56">
        <v>137.80000000000001</v>
      </c>
      <c r="AY21" s="56">
        <v>134.51</v>
      </c>
      <c r="AZ21" s="56">
        <v>146.15</v>
      </c>
      <c r="BA21" s="56">
        <v>148.59</v>
      </c>
      <c r="BB21" s="56">
        <v>119.16</v>
      </c>
      <c r="BC21" s="56">
        <v>145.15</v>
      </c>
      <c r="BD21" s="56">
        <v>149.83000000000001</v>
      </c>
      <c r="BE21" s="56">
        <v>143.94</v>
      </c>
      <c r="BF21" s="56">
        <v>143.59</v>
      </c>
      <c r="BG21" s="56">
        <v>159.63999999999999</v>
      </c>
      <c r="BH21" s="52">
        <v>117.79</v>
      </c>
      <c r="BI21" s="52">
        <v>127.81</v>
      </c>
      <c r="BJ21" s="52">
        <v>147.55000000000001</v>
      </c>
      <c r="BK21" s="52">
        <v>113.89</v>
      </c>
      <c r="BL21" s="52">
        <v>110.55</v>
      </c>
      <c r="BM21" s="52">
        <v>100.91</v>
      </c>
      <c r="BN21" s="52">
        <v>149.47</v>
      </c>
      <c r="BO21" s="52">
        <v>115.86</v>
      </c>
      <c r="BP21" s="52">
        <v>125.82</v>
      </c>
      <c r="BQ21" s="52">
        <v>133.32</v>
      </c>
      <c r="BR21" s="52">
        <v>112.82</v>
      </c>
      <c r="BS21" s="52">
        <v>175.16</v>
      </c>
      <c r="BT21" s="52">
        <v>158.63</v>
      </c>
      <c r="BU21" s="52">
        <v>157.81</v>
      </c>
      <c r="BV21" s="52">
        <v>163.05000000000001</v>
      </c>
      <c r="BW21" s="52">
        <v>102.58</v>
      </c>
      <c r="BX21" s="52">
        <v>111.46</v>
      </c>
      <c r="BY21" s="52">
        <v>145.19999999999999</v>
      </c>
      <c r="BZ21" s="52">
        <v>114.09</v>
      </c>
      <c r="CA21" s="52">
        <v>142.41</v>
      </c>
      <c r="CB21" s="53">
        <v>165.52</v>
      </c>
      <c r="CC21" s="52">
        <v>117.6</v>
      </c>
      <c r="CD21" s="52">
        <v>109.8</v>
      </c>
      <c r="CE21" s="52">
        <v>99.97</v>
      </c>
      <c r="CF21" s="52">
        <v>143.83000000000001</v>
      </c>
      <c r="CG21" s="52">
        <v>123.54</v>
      </c>
      <c r="CH21" s="52">
        <v>135.21</v>
      </c>
      <c r="CI21" s="52">
        <v>116.83</v>
      </c>
      <c r="CJ21" s="52">
        <v>106.53</v>
      </c>
      <c r="CK21" s="52">
        <v>92.07</v>
      </c>
      <c r="CL21" s="52">
        <v>103.37</v>
      </c>
      <c r="CM21" s="52">
        <v>147.57</v>
      </c>
      <c r="CN21" s="52">
        <v>118.64</v>
      </c>
      <c r="CO21" s="52">
        <v>119.84</v>
      </c>
      <c r="CP21" s="52">
        <v>97.87</v>
      </c>
      <c r="CQ21" s="52">
        <v>153.51</v>
      </c>
      <c r="CR21" s="52">
        <v>84.83</v>
      </c>
      <c r="CS21" s="52">
        <v>121.75</v>
      </c>
      <c r="CT21" s="52">
        <v>108.16</v>
      </c>
      <c r="CU21" s="52">
        <v>168.98</v>
      </c>
      <c r="CV21" s="52">
        <v>119.08</v>
      </c>
      <c r="CW21" s="52">
        <v>91.33</v>
      </c>
      <c r="CX21" s="52">
        <v>147.56</v>
      </c>
      <c r="CY21" s="52">
        <v>105.66</v>
      </c>
      <c r="CZ21" s="52">
        <v>0</v>
      </c>
      <c r="DA21" s="52">
        <v>104.3</v>
      </c>
      <c r="DB21" s="52">
        <v>114.75</v>
      </c>
      <c r="DC21" s="52">
        <v>145.13999999999999</v>
      </c>
      <c r="DD21" s="52">
        <v>143.47</v>
      </c>
      <c r="DE21" s="52">
        <v>142.75</v>
      </c>
      <c r="DF21" s="52">
        <v>136.13</v>
      </c>
      <c r="DG21" s="52">
        <v>140.87</v>
      </c>
      <c r="DH21" s="52">
        <v>86.61</v>
      </c>
      <c r="DI21" s="52">
        <v>102.43</v>
      </c>
      <c r="DJ21" s="52">
        <v>159.30000000000001</v>
      </c>
      <c r="DK21" s="52">
        <v>123.31</v>
      </c>
      <c r="DL21" s="52">
        <v>78.88</v>
      </c>
      <c r="DM21" s="52">
        <v>110.17</v>
      </c>
      <c r="DN21" s="52">
        <v>80.180000000000007</v>
      </c>
      <c r="DO21" s="52">
        <v>95.65</v>
      </c>
      <c r="DP21" s="52">
        <v>134.04</v>
      </c>
      <c r="DQ21" s="52">
        <v>117.85</v>
      </c>
      <c r="DR21" s="52">
        <v>133.81</v>
      </c>
      <c r="DS21" s="52">
        <v>117.57</v>
      </c>
      <c r="DT21" s="52"/>
      <c r="DU21" s="52">
        <v>136.43</v>
      </c>
      <c r="DV21" s="52">
        <v>155.85</v>
      </c>
      <c r="DW21" s="52">
        <v>123.57</v>
      </c>
      <c r="DX21" s="52">
        <v>154.25</v>
      </c>
      <c r="DY21" s="52">
        <v>163.55000000000001</v>
      </c>
      <c r="DZ21" s="52">
        <v>117.02</v>
      </c>
      <c r="EA21" s="52">
        <v>114.54</v>
      </c>
      <c r="EB21" s="52">
        <v>115.03</v>
      </c>
      <c r="EC21" s="52">
        <v>143.96</v>
      </c>
      <c r="ED21" s="52">
        <v>147.82</v>
      </c>
      <c r="EE21" s="52">
        <v>137.80000000000001</v>
      </c>
      <c r="EF21" s="52">
        <v>134.51</v>
      </c>
      <c r="EG21" s="52">
        <v>146.15</v>
      </c>
      <c r="EH21" s="52">
        <v>148.59</v>
      </c>
      <c r="EI21" s="52">
        <v>153.76</v>
      </c>
      <c r="EJ21" s="52">
        <v>101.39</v>
      </c>
      <c r="EK21" s="52">
        <v>108.81</v>
      </c>
      <c r="EL21" s="52">
        <v>148.76</v>
      </c>
      <c r="EM21" s="52">
        <v>131.84</v>
      </c>
      <c r="EN21" s="52">
        <v>149.83000000000001</v>
      </c>
      <c r="EO21" s="52">
        <v>172.22</v>
      </c>
      <c r="EP21" s="52">
        <v>108.99</v>
      </c>
      <c r="EQ21" s="52">
        <v>136.22</v>
      </c>
      <c r="ER21" s="52">
        <v>143.59</v>
      </c>
      <c r="ES21" s="52">
        <v>159.63999999999999</v>
      </c>
      <c r="ET21" s="52">
        <v>129.19999999999999</v>
      </c>
      <c r="EU21" s="52">
        <v>111.29</v>
      </c>
      <c r="EV21" s="52">
        <v>115.07</v>
      </c>
      <c r="EW21" s="52">
        <v>134.18</v>
      </c>
      <c r="EX21" s="52">
        <v>108.85</v>
      </c>
      <c r="EY21" s="52">
        <v>112.28</v>
      </c>
      <c r="EZ21" s="52">
        <v>124.89</v>
      </c>
      <c r="FA21" s="52">
        <v>120.83</v>
      </c>
      <c r="FB21" s="52">
        <v>138.24</v>
      </c>
      <c r="FC21" s="52">
        <v>131</v>
      </c>
      <c r="FD21" s="52">
        <v>129.29</v>
      </c>
      <c r="FE21" s="52">
        <v>147.55000000000001</v>
      </c>
      <c r="FF21" s="52"/>
      <c r="FG21" s="52">
        <v>109.42</v>
      </c>
      <c r="FH21" s="52">
        <v>115.48</v>
      </c>
      <c r="FI21" s="52">
        <v>123.89</v>
      </c>
      <c r="FJ21" s="52">
        <v>98.1</v>
      </c>
      <c r="FK21" s="52">
        <v>126.82</v>
      </c>
      <c r="FL21" s="52">
        <v>105.06</v>
      </c>
      <c r="FM21" s="52">
        <v>110.24</v>
      </c>
      <c r="FN21" s="52">
        <v>94.32</v>
      </c>
      <c r="FO21" s="52">
        <v>137.88999999999999</v>
      </c>
      <c r="FP21" s="52">
        <v>148.61000000000001</v>
      </c>
      <c r="FQ21" s="52">
        <v>143.81</v>
      </c>
      <c r="FR21" s="52">
        <v>138.29</v>
      </c>
      <c r="FS21" s="52">
        <v>142</v>
      </c>
      <c r="FT21" s="52">
        <v>108.63</v>
      </c>
      <c r="FU21" s="52">
        <v>118.83</v>
      </c>
      <c r="FV21" s="52">
        <v>133.32</v>
      </c>
      <c r="FW21" s="52">
        <v>121.82</v>
      </c>
      <c r="FX21" s="52">
        <v>125.82</v>
      </c>
      <c r="FY21" s="52">
        <v>127.09</v>
      </c>
      <c r="FZ21" s="52">
        <v>133.97999999999999</v>
      </c>
      <c r="GA21" s="52">
        <v>128.38999999999999</v>
      </c>
      <c r="GB21" s="52">
        <v>109.21</v>
      </c>
      <c r="GC21" s="52">
        <v>114.64</v>
      </c>
      <c r="GD21" s="52">
        <v>110.36</v>
      </c>
      <c r="GE21" s="52">
        <v>175.16</v>
      </c>
      <c r="GF21" s="52">
        <v>158.63</v>
      </c>
      <c r="GG21" s="52">
        <v>157.81</v>
      </c>
      <c r="GH21" s="52">
        <v>162.78</v>
      </c>
      <c r="GI21" s="52">
        <v>105.88</v>
      </c>
      <c r="GJ21" s="52">
        <v>99.48</v>
      </c>
      <c r="GK21" s="52">
        <v>101.14</v>
      </c>
      <c r="GL21" s="52">
        <v>119.38</v>
      </c>
      <c r="GM21" s="52">
        <v>111.46</v>
      </c>
      <c r="GN21" s="52">
        <v>145.19999999999999</v>
      </c>
      <c r="GO21" s="52">
        <v>115.79</v>
      </c>
      <c r="GP21" s="52">
        <v>115.54</v>
      </c>
      <c r="GQ21" s="52">
        <v>107.53</v>
      </c>
      <c r="GR21" s="52">
        <v>142.41</v>
      </c>
      <c r="GS21" s="52">
        <v>165.52</v>
      </c>
      <c r="GT21" s="52">
        <v>117.6</v>
      </c>
      <c r="GU21" s="52">
        <v>109.8</v>
      </c>
      <c r="GV21" s="52">
        <v>99.97</v>
      </c>
      <c r="GW21" s="52">
        <v>139.16999999999999</v>
      </c>
      <c r="GX21" s="52">
        <v>146.51</v>
      </c>
      <c r="GY21" s="52">
        <v>123.54</v>
      </c>
      <c r="GZ21" s="52">
        <v>128.62</v>
      </c>
      <c r="HA21" s="52">
        <v>146.69999999999999</v>
      </c>
      <c r="HB21" s="52">
        <v>131.27000000000001</v>
      </c>
      <c r="HC21" s="52">
        <v>116.83</v>
      </c>
      <c r="HD21" s="52">
        <v>106.53</v>
      </c>
      <c r="HE21" s="52">
        <v>85.35</v>
      </c>
      <c r="HF21" s="52">
        <v>84.36</v>
      </c>
      <c r="HG21" s="52">
        <v>89.13</v>
      </c>
      <c r="HH21" s="52">
        <v>115.44</v>
      </c>
      <c r="HI21" s="52">
        <v>71.209999999999994</v>
      </c>
      <c r="HJ21" s="52">
        <v>103.37</v>
      </c>
      <c r="HK21" s="52">
        <v>147.57</v>
      </c>
      <c r="HL21" s="52">
        <v>114.29</v>
      </c>
      <c r="HM21" s="52">
        <v>126.86</v>
      </c>
      <c r="HN21" s="52">
        <v>120.74</v>
      </c>
      <c r="HO21" s="52">
        <v>113.31</v>
      </c>
      <c r="HP21" s="52">
        <v>126.11</v>
      </c>
      <c r="HQ21" s="52">
        <v>95.73</v>
      </c>
      <c r="HR21" s="52">
        <v>117.33</v>
      </c>
      <c r="HS21" s="52">
        <v>153.66999999999999</v>
      </c>
      <c r="HT21" s="52">
        <v>144.49</v>
      </c>
      <c r="HU21" s="52">
        <v>84.83</v>
      </c>
      <c r="HV21" s="52">
        <v>121.75</v>
      </c>
      <c r="HW21" s="52">
        <v>115.92</v>
      </c>
      <c r="HX21" s="52">
        <v>91.85</v>
      </c>
      <c r="HY21" s="52">
        <v>168.98</v>
      </c>
      <c r="HZ21" s="52">
        <v>119.08</v>
      </c>
      <c r="IA21" s="52">
        <v>85.46</v>
      </c>
      <c r="IB21" s="52">
        <v>147.56</v>
      </c>
      <c r="IC21" s="52">
        <v>97.77</v>
      </c>
      <c r="ID21" s="52">
        <v>107.15</v>
      </c>
      <c r="IE21" s="52">
        <v>0</v>
      </c>
      <c r="IF21" s="52">
        <v>104.3</v>
      </c>
      <c r="IG21" s="52">
        <v>114.75</v>
      </c>
      <c r="IH21" s="52">
        <v>145.13999999999999</v>
      </c>
      <c r="II21" s="52">
        <v>143.47</v>
      </c>
      <c r="IJ21" s="52">
        <v>142.75</v>
      </c>
      <c r="IK21" s="52">
        <v>139.47999999999999</v>
      </c>
      <c r="IL21" s="52">
        <v>127.42</v>
      </c>
      <c r="IM21" s="52">
        <v>145.69999999999999</v>
      </c>
      <c r="IN21" s="52">
        <v>140.81</v>
      </c>
      <c r="IO21" s="52">
        <v>122.82</v>
      </c>
      <c r="IP21" s="52">
        <v>86.61</v>
      </c>
      <c r="IQ21" s="52">
        <v>102.43</v>
      </c>
      <c r="IR21" s="52">
        <v>159.30000000000001</v>
      </c>
      <c r="IS21" s="52">
        <v>123.31</v>
      </c>
      <c r="IT21" s="52">
        <v>78.88</v>
      </c>
      <c r="IU21" s="52">
        <v>110.17</v>
      </c>
      <c r="IV21" s="52">
        <v>81.040000000000006</v>
      </c>
      <c r="IW21" s="52">
        <v>95.65</v>
      </c>
      <c r="IX21" s="52">
        <v>134.04</v>
      </c>
      <c r="IY21" s="52">
        <v>117.85</v>
      </c>
      <c r="IZ21" s="52">
        <v>133.81</v>
      </c>
      <c r="JA21" s="52">
        <v>117.57</v>
      </c>
      <c r="JB21" s="52"/>
      <c r="JC21" s="52">
        <v>136.43</v>
      </c>
      <c r="JD21" s="52">
        <v>155.85</v>
      </c>
      <c r="JE21" s="52">
        <v>124.22</v>
      </c>
      <c r="JF21" s="52">
        <v>123.29</v>
      </c>
      <c r="JG21" s="52">
        <v>154.25</v>
      </c>
      <c r="JH21" s="52">
        <v>163.55000000000001</v>
      </c>
      <c r="JI21" s="52">
        <v>117.02</v>
      </c>
      <c r="JJ21" s="52">
        <v>114.54</v>
      </c>
      <c r="JK21" s="52">
        <v>115.03</v>
      </c>
      <c r="JL21" s="52">
        <v>143.96</v>
      </c>
      <c r="JM21" s="52">
        <v>147.82</v>
      </c>
      <c r="JN21" s="52">
        <v>137.80000000000001</v>
      </c>
      <c r="JO21" s="52">
        <v>134.51</v>
      </c>
      <c r="JP21" s="52">
        <v>149.63999999999999</v>
      </c>
      <c r="JQ21" s="52">
        <v>138.13</v>
      </c>
      <c r="JR21" s="52">
        <v>145.74</v>
      </c>
      <c r="JS21" s="52">
        <v>152.12</v>
      </c>
      <c r="JT21" s="52">
        <v>159.25</v>
      </c>
      <c r="JU21" s="52">
        <v>148.33000000000001</v>
      </c>
      <c r="JV21" s="52">
        <v>101.39</v>
      </c>
      <c r="JW21" s="52">
        <v>108.81</v>
      </c>
      <c r="JX21" s="52">
        <v>148.76</v>
      </c>
      <c r="JY21" s="52">
        <v>134.07</v>
      </c>
      <c r="JZ21" s="52">
        <v>127.18</v>
      </c>
      <c r="KA21" s="52">
        <v>149.83000000000001</v>
      </c>
      <c r="KB21" s="52">
        <v>172.22</v>
      </c>
      <c r="KC21" s="52">
        <v>108.99</v>
      </c>
      <c r="KD21" s="52">
        <v>136.22</v>
      </c>
      <c r="KE21" s="52">
        <v>143.59</v>
      </c>
      <c r="KF21" s="52">
        <v>159.63999999999999</v>
      </c>
    </row>
    <row r="22" spans="1:292" s="41" customFormat="1" ht="12">
      <c r="A22" s="41">
        <v>2006</v>
      </c>
      <c r="B22" s="54" t="s">
        <v>985</v>
      </c>
      <c r="C22" s="55" t="s">
        <v>986</v>
      </c>
      <c r="D22" s="56">
        <v>128.19999999999999</v>
      </c>
      <c r="E22" s="56">
        <v>123.63</v>
      </c>
      <c r="F22" s="56">
        <v>163.47999999999999</v>
      </c>
      <c r="G22" s="56">
        <v>117.83</v>
      </c>
      <c r="H22" s="56">
        <v>130.91999999999999</v>
      </c>
      <c r="I22" s="56">
        <v>115.89</v>
      </c>
      <c r="J22" s="56">
        <v>116.81</v>
      </c>
      <c r="K22" s="56">
        <v>133.5</v>
      </c>
      <c r="L22" s="56">
        <v>107.31</v>
      </c>
      <c r="M22" s="56">
        <v>120.78</v>
      </c>
      <c r="N22" s="56">
        <v>141.47</v>
      </c>
      <c r="O22" s="56">
        <v>150.47</v>
      </c>
      <c r="P22" s="56">
        <v>140.13999999999999</v>
      </c>
      <c r="Q22" s="56">
        <v>123.61</v>
      </c>
      <c r="R22" s="56">
        <v>123.27</v>
      </c>
      <c r="S22" s="56">
        <v>168.05</v>
      </c>
      <c r="T22" s="56">
        <v>163.05000000000001</v>
      </c>
      <c r="U22" s="56">
        <v>117.46</v>
      </c>
      <c r="V22" s="56">
        <v>118.35</v>
      </c>
      <c r="W22" s="56">
        <v>167.5</v>
      </c>
      <c r="X22" s="56">
        <v>119.11</v>
      </c>
      <c r="Y22" s="56">
        <v>110.26</v>
      </c>
      <c r="Z22" s="56">
        <v>123.37</v>
      </c>
      <c r="AA22" s="56">
        <v>130.32</v>
      </c>
      <c r="AB22" s="56">
        <v>106.65</v>
      </c>
      <c r="AC22" s="56">
        <v>101.2</v>
      </c>
      <c r="AD22" s="56">
        <v>119.42</v>
      </c>
      <c r="AE22" s="56">
        <v>121.2</v>
      </c>
      <c r="AF22" s="56">
        <v>111.99</v>
      </c>
      <c r="AG22" s="56">
        <v>88.47</v>
      </c>
      <c r="AH22" s="56">
        <v>141.77000000000001</v>
      </c>
      <c r="AI22" s="56">
        <v>151.82</v>
      </c>
      <c r="AJ22" s="56">
        <v>107.21</v>
      </c>
      <c r="AK22" s="56">
        <v>147.07</v>
      </c>
      <c r="AL22" s="56">
        <v>139.22</v>
      </c>
      <c r="AM22" s="56">
        <v>123.31</v>
      </c>
      <c r="AN22" s="56">
        <v>83.08</v>
      </c>
      <c r="AO22" s="56">
        <v>110.19</v>
      </c>
      <c r="AP22" s="56">
        <v>94.41</v>
      </c>
      <c r="AQ22" s="56">
        <v>117.56</v>
      </c>
      <c r="AR22" s="56">
        <v>132.57</v>
      </c>
      <c r="AS22" s="56">
        <v>143.66999999999999</v>
      </c>
      <c r="AT22" s="56">
        <v>132.11000000000001</v>
      </c>
      <c r="AU22" s="56">
        <v>122.07</v>
      </c>
      <c r="AV22" s="56">
        <v>144.86000000000001</v>
      </c>
      <c r="AW22" s="56">
        <v>148.82</v>
      </c>
      <c r="AX22" s="56">
        <v>137.80000000000001</v>
      </c>
      <c r="AY22" s="56">
        <v>134.75</v>
      </c>
      <c r="AZ22" s="56">
        <v>147.57</v>
      </c>
      <c r="BA22" s="56">
        <v>154.38</v>
      </c>
      <c r="BB22" s="56">
        <v>119</v>
      </c>
      <c r="BC22" s="56">
        <v>166.09</v>
      </c>
      <c r="BD22" s="56">
        <v>150.01</v>
      </c>
      <c r="BE22" s="56">
        <v>144.06</v>
      </c>
      <c r="BF22" s="56">
        <v>143.59</v>
      </c>
      <c r="BG22" s="56">
        <v>159.63999999999999</v>
      </c>
      <c r="BH22" s="52">
        <v>118.05</v>
      </c>
      <c r="BI22" s="52">
        <v>121.48</v>
      </c>
      <c r="BJ22" s="52">
        <v>156.27000000000001</v>
      </c>
      <c r="BK22" s="52">
        <v>114.94</v>
      </c>
      <c r="BL22" s="52">
        <v>110.97</v>
      </c>
      <c r="BM22" s="52">
        <v>132.16</v>
      </c>
      <c r="BN22" s="52">
        <v>139.96</v>
      </c>
      <c r="BO22" s="52">
        <v>116.17</v>
      </c>
      <c r="BP22" s="52">
        <v>126.66</v>
      </c>
      <c r="BQ22" s="52">
        <v>133.25</v>
      </c>
      <c r="BR22" s="52">
        <v>113.29</v>
      </c>
      <c r="BS22" s="52">
        <v>175.17</v>
      </c>
      <c r="BT22" s="52">
        <v>158.25</v>
      </c>
      <c r="BU22" s="52">
        <v>157.93</v>
      </c>
      <c r="BV22" s="52">
        <v>163.05000000000001</v>
      </c>
      <c r="BW22" s="52">
        <v>117.58</v>
      </c>
      <c r="BX22" s="52">
        <v>111.98</v>
      </c>
      <c r="BY22" s="52">
        <v>145.38</v>
      </c>
      <c r="BZ22" s="52">
        <v>118.19</v>
      </c>
      <c r="CA22" s="52">
        <v>142.93</v>
      </c>
      <c r="CB22" s="53">
        <v>167.5</v>
      </c>
      <c r="CC22" s="52">
        <v>119.11</v>
      </c>
      <c r="CD22" s="52">
        <v>109.29</v>
      </c>
      <c r="CE22" s="52">
        <v>99.97</v>
      </c>
      <c r="CF22" s="52">
        <v>144.74</v>
      </c>
      <c r="CG22" s="52">
        <v>123.4</v>
      </c>
      <c r="CH22" s="52">
        <v>134.49</v>
      </c>
      <c r="CI22" s="52">
        <v>114.2</v>
      </c>
      <c r="CJ22" s="52">
        <v>106.65</v>
      </c>
      <c r="CK22" s="52">
        <v>95.25</v>
      </c>
      <c r="CL22" s="52">
        <v>104.69</v>
      </c>
      <c r="CM22" s="52">
        <v>153.59</v>
      </c>
      <c r="CN22" s="52">
        <v>119.42</v>
      </c>
      <c r="CO22" s="52">
        <v>121.2</v>
      </c>
      <c r="CP22" s="52">
        <v>97.46</v>
      </c>
      <c r="CQ22" s="52">
        <v>154.26</v>
      </c>
      <c r="CR22" s="52">
        <v>84.83</v>
      </c>
      <c r="CS22" s="52">
        <v>121.79</v>
      </c>
      <c r="CT22" s="52">
        <v>108.44</v>
      </c>
      <c r="CU22" s="52">
        <v>172.86</v>
      </c>
      <c r="CV22" s="52">
        <v>140.41</v>
      </c>
      <c r="CW22" s="52">
        <v>89.11</v>
      </c>
      <c r="CX22" s="52">
        <v>151.82</v>
      </c>
      <c r="CY22" s="52">
        <v>107.25</v>
      </c>
      <c r="CZ22" s="52">
        <v>0</v>
      </c>
      <c r="DA22" s="52">
        <v>104.3</v>
      </c>
      <c r="DB22" s="52">
        <v>115.7</v>
      </c>
      <c r="DC22" s="52">
        <v>148.93</v>
      </c>
      <c r="DD22" s="52">
        <v>146.13999999999999</v>
      </c>
      <c r="DE22" s="52">
        <v>143.15</v>
      </c>
      <c r="DF22" s="52">
        <v>136.13</v>
      </c>
      <c r="DG22" s="52">
        <v>141.19</v>
      </c>
      <c r="DH22" s="52">
        <v>91.16</v>
      </c>
      <c r="DI22" s="52">
        <v>102.43</v>
      </c>
      <c r="DJ22" s="52">
        <v>162.22999999999999</v>
      </c>
      <c r="DK22" s="52">
        <v>123.31</v>
      </c>
      <c r="DL22" s="52">
        <v>83.08</v>
      </c>
      <c r="DM22" s="52">
        <v>110.19</v>
      </c>
      <c r="DN22" s="52">
        <v>84.37</v>
      </c>
      <c r="DO22" s="52">
        <v>101.89</v>
      </c>
      <c r="DP22" s="52">
        <v>136.78</v>
      </c>
      <c r="DQ22" s="52">
        <v>117.56</v>
      </c>
      <c r="DR22" s="52">
        <v>136.35</v>
      </c>
      <c r="DS22" s="52">
        <v>117.96</v>
      </c>
      <c r="DT22" s="52"/>
      <c r="DU22" s="52">
        <v>136.97</v>
      </c>
      <c r="DV22" s="52">
        <v>164.54</v>
      </c>
      <c r="DW22" s="52">
        <v>123.8</v>
      </c>
      <c r="DX22" s="52">
        <v>154.25</v>
      </c>
      <c r="DY22" s="52">
        <v>158.72999999999999</v>
      </c>
      <c r="DZ22" s="52">
        <v>118.78</v>
      </c>
      <c r="EA22" s="52">
        <v>114.62</v>
      </c>
      <c r="EB22" s="52">
        <v>122.07</v>
      </c>
      <c r="EC22" s="52">
        <v>144.86000000000001</v>
      </c>
      <c r="ED22" s="52">
        <v>148.82</v>
      </c>
      <c r="EE22" s="52">
        <v>137.80000000000001</v>
      </c>
      <c r="EF22" s="52">
        <v>134.75</v>
      </c>
      <c r="EG22" s="52">
        <v>147.57</v>
      </c>
      <c r="EH22" s="52">
        <v>154.38</v>
      </c>
      <c r="EI22" s="52">
        <v>154.88999999999999</v>
      </c>
      <c r="EJ22" s="52">
        <v>101.49</v>
      </c>
      <c r="EK22" s="52">
        <v>108.26</v>
      </c>
      <c r="EL22" s="52">
        <v>176.2</v>
      </c>
      <c r="EM22" s="52">
        <v>132.52000000000001</v>
      </c>
      <c r="EN22" s="52">
        <v>150.01</v>
      </c>
      <c r="EO22" s="52">
        <v>172.26</v>
      </c>
      <c r="EP22" s="52">
        <v>111.74</v>
      </c>
      <c r="EQ22" s="52">
        <v>135.44999999999999</v>
      </c>
      <c r="ER22" s="52">
        <v>143.59</v>
      </c>
      <c r="ES22" s="52">
        <v>159.63999999999999</v>
      </c>
      <c r="ET22" s="52">
        <v>127.74</v>
      </c>
      <c r="EU22" s="52">
        <v>111.21</v>
      </c>
      <c r="EV22" s="52">
        <v>115.55</v>
      </c>
      <c r="EW22" s="52">
        <v>135.13</v>
      </c>
      <c r="EX22" s="52">
        <v>108.66</v>
      </c>
      <c r="EY22" s="52">
        <v>112.14</v>
      </c>
      <c r="EZ22" s="52">
        <v>124.92</v>
      </c>
      <c r="FA22" s="52">
        <v>120.54</v>
      </c>
      <c r="FB22" s="52">
        <v>114</v>
      </c>
      <c r="FC22" s="52">
        <v>131.62</v>
      </c>
      <c r="FD22" s="52">
        <v>128.91999999999999</v>
      </c>
      <c r="FE22" s="52">
        <v>156.27000000000001</v>
      </c>
      <c r="FF22" s="52"/>
      <c r="FG22" s="52">
        <v>109.37</v>
      </c>
      <c r="FH22" s="52">
        <v>113.09</v>
      </c>
      <c r="FI22" s="52">
        <v>123.36</v>
      </c>
      <c r="FJ22" s="52">
        <v>107.31</v>
      </c>
      <c r="FK22" s="52">
        <v>126.4</v>
      </c>
      <c r="FL22" s="52">
        <v>104.42</v>
      </c>
      <c r="FM22" s="52">
        <v>111.01</v>
      </c>
      <c r="FN22" s="52">
        <v>131.01</v>
      </c>
      <c r="FO22" s="52">
        <v>138.06</v>
      </c>
      <c r="FP22" s="52">
        <v>130.52000000000001</v>
      </c>
      <c r="FQ22" s="52">
        <v>162.9</v>
      </c>
      <c r="FR22" s="52">
        <v>136.68</v>
      </c>
      <c r="FS22" s="52">
        <v>142.55000000000001</v>
      </c>
      <c r="FT22" s="52">
        <v>109.34</v>
      </c>
      <c r="FU22" s="52">
        <v>119.29</v>
      </c>
      <c r="FV22" s="52">
        <v>133.76</v>
      </c>
      <c r="FW22" s="52">
        <v>117.18</v>
      </c>
      <c r="FX22" s="52">
        <v>126.66</v>
      </c>
      <c r="FY22" s="52">
        <v>126.69</v>
      </c>
      <c r="FZ22" s="52">
        <v>133.94999999999999</v>
      </c>
      <c r="GA22" s="52">
        <v>128.43</v>
      </c>
      <c r="GB22" s="52">
        <v>109.35</v>
      </c>
      <c r="GC22" s="52">
        <v>115.22</v>
      </c>
      <c r="GD22" s="52">
        <v>110.93</v>
      </c>
      <c r="GE22" s="52">
        <v>175.17</v>
      </c>
      <c r="GF22" s="52">
        <v>158.25</v>
      </c>
      <c r="GG22" s="52">
        <v>157.93</v>
      </c>
      <c r="GH22" s="52">
        <v>162.78</v>
      </c>
      <c r="GI22" s="52">
        <v>118.94</v>
      </c>
      <c r="GJ22" s="52">
        <v>114.97</v>
      </c>
      <c r="GK22" s="52">
        <v>120.6</v>
      </c>
      <c r="GL22" s="52">
        <v>121.9</v>
      </c>
      <c r="GM22" s="52">
        <v>111.98</v>
      </c>
      <c r="GN22" s="52">
        <v>145.38</v>
      </c>
      <c r="GO22" s="52">
        <v>119.57</v>
      </c>
      <c r="GP22" s="52">
        <v>121.86</v>
      </c>
      <c r="GQ22" s="52">
        <v>108.16</v>
      </c>
      <c r="GR22" s="52">
        <v>142.93</v>
      </c>
      <c r="GS22" s="52">
        <v>167.5</v>
      </c>
      <c r="GT22" s="52">
        <v>119.11</v>
      </c>
      <c r="GU22" s="52">
        <v>109.29</v>
      </c>
      <c r="GV22" s="52">
        <v>99.97</v>
      </c>
      <c r="GW22" s="52">
        <v>141.05000000000001</v>
      </c>
      <c r="GX22" s="52">
        <v>147.09</v>
      </c>
      <c r="GY22" s="52">
        <v>123.4</v>
      </c>
      <c r="GZ22" s="52">
        <v>129.4</v>
      </c>
      <c r="HA22" s="52">
        <v>144.4</v>
      </c>
      <c r="HB22" s="52">
        <v>131.09</v>
      </c>
      <c r="HC22" s="52">
        <v>114.2</v>
      </c>
      <c r="HD22" s="52">
        <v>106.65</v>
      </c>
      <c r="HE22" s="52">
        <v>89.56</v>
      </c>
      <c r="HF22" s="52">
        <v>87.96</v>
      </c>
      <c r="HG22" s="52">
        <v>92.47</v>
      </c>
      <c r="HH22" s="52">
        <v>116.75</v>
      </c>
      <c r="HI22" s="52">
        <v>73.11</v>
      </c>
      <c r="HJ22" s="52">
        <v>104.69</v>
      </c>
      <c r="HK22" s="52">
        <v>153.59</v>
      </c>
      <c r="HL22" s="52">
        <v>114.53</v>
      </c>
      <c r="HM22" s="52">
        <v>128.47</v>
      </c>
      <c r="HN22" s="52">
        <v>121.87</v>
      </c>
      <c r="HO22" s="52">
        <v>113.81</v>
      </c>
      <c r="HP22" s="52">
        <v>128.27000000000001</v>
      </c>
      <c r="HQ22" s="52">
        <v>95.28</v>
      </c>
      <c r="HR22" s="52">
        <v>117.32</v>
      </c>
      <c r="HS22" s="52">
        <v>154.4</v>
      </c>
      <c r="HT22" s="52">
        <v>146.6</v>
      </c>
      <c r="HU22" s="52">
        <v>84.83</v>
      </c>
      <c r="HV22" s="52">
        <v>121.79</v>
      </c>
      <c r="HW22" s="52">
        <v>116.7</v>
      </c>
      <c r="HX22" s="52">
        <v>91.12</v>
      </c>
      <c r="HY22" s="52">
        <v>172.86</v>
      </c>
      <c r="HZ22" s="52">
        <v>140.41</v>
      </c>
      <c r="IA22" s="52">
        <v>82.92</v>
      </c>
      <c r="IB22" s="52">
        <v>151.82</v>
      </c>
      <c r="IC22" s="52">
        <v>99.25</v>
      </c>
      <c r="ID22" s="52">
        <v>108.76</v>
      </c>
      <c r="IE22" s="52">
        <v>0</v>
      </c>
      <c r="IF22" s="52">
        <v>104.3</v>
      </c>
      <c r="IG22" s="52">
        <v>115.7</v>
      </c>
      <c r="IH22" s="52">
        <v>148.93</v>
      </c>
      <c r="II22" s="52">
        <v>146.13999999999999</v>
      </c>
      <c r="IJ22" s="52">
        <v>143.15</v>
      </c>
      <c r="IK22" s="52">
        <v>139.47999999999999</v>
      </c>
      <c r="IL22" s="52">
        <v>127.42</v>
      </c>
      <c r="IM22" s="52">
        <v>145.96</v>
      </c>
      <c r="IN22" s="52">
        <v>140.49</v>
      </c>
      <c r="IO22" s="52">
        <v>123.59</v>
      </c>
      <c r="IP22" s="52">
        <v>91.16</v>
      </c>
      <c r="IQ22" s="52">
        <v>102.43</v>
      </c>
      <c r="IR22" s="52">
        <v>162.22999999999999</v>
      </c>
      <c r="IS22" s="52">
        <v>123.31</v>
      </c>
      <c r="IT22" s="52">
        <v>83.08</v>
      </c>
      <c r="IU22" s="52">
        <v>110.19</v>
      </c>
      <c r="IV22" s="52">
        <v>85.51</v>
      </c>
      <c r="IW22" s="52">
        <v>101.89</v>
      </c>
      <c r="IX22" s="52">
        <v>136.78</v>
      </c>
      <c r="IY22" s="52">
        <v>117.56</v>
      </c>
      <c r="IZ22" s="52">
        <v>136.35</v>
      </c>
      <c r="JA22" s="52">
        <v>117.96</v>
      </c>
      <c r="JB22" s="52"/>
      <c r="JC22" s="52">
        <v>136.97</v>
      </c>
      <c r="JD22" s="52">
        <v>164.54</v>
      </c>
      <c r="JE22" s="52">
        <v>125.18</v>
      </c>
      <c r="JF22" s="52">
        <v>123.24</v>
      </c>
      <c r="JG22" s="52">
        <v>154.25</v>
      </c>
      <c r="JH22" s="52">
        <v>158.72999999999999</v>
      </c>
      <c r="JI22" s="52">
        <v>118.78</v>
      </c>
      <c r="JJ22" s="52">
        <v>114.62</v>
      </c>
      <c r="JK22" s="52">
        <v>122.07</v>
      </c>
      <c r="JL22" s="52">
        <v>144.86000000000001</v>
      </c>
      <c r="JM22" s="52">
        <v>148.82</v>
      </c>
      <c r="JN22" s="52">
        <v>137.80000000000001</v>
      </c>
      <c r="JO22" s="52">
        <v>134.75</v>
      </c>
      <c r="JP22" s="52">
        <v>151.53</v>
      </c>
      <c r="JQ22" s="52">
        <v>138.41999999999999</v>
      </c>
      <c r="JR22" s="52">
        <v>149.81</v>
      </c>
      <c r="JS22" s="52">
        <v>160.22999999999999</v>
      </c>
      <c r="JT22" s="52">
        <v>160.21</v>
      </c>
      <c r="JU22" s="52">
        <v>149.63</v>
      </c>
      <c r="JV22" s="52">
        <v>101.49</v>
      </c>
      <c r="JW22" s="52">
        <v>108.26</v>
      </c>
      <c r="JX22" s="52">
        <v>176.2</v>
      </c>
      <c r="JY22" s="52">
        <v>134.72</v>
      </c>
      <c r="JZ22" s="52">
        <v>127.92</v>
      </c>
      <c r="KA22" s="52">
        <v>150.01</v>
      </c>
      <c r="KB22" s="52">
        <v>172.26</v>
      </c>
      <c r="KC22" s="52">
        <v>111.74</v>
      </c>
      <c r="KD22" s="52">
        <v>135.44999999999999</v>
      </c>
      <c r="KE22" s="52">
        <v>143.59</v>
      </c>
      <c r="KF22" s="52">
        <v>159.63999999999999</v>
      </c>
    </row>
    <row r="23" spans="1:292" s="41" customFormat="1" ht="12">
      <c r="A23" s="41">
        <v>2006</v>
      </c>
      <c r="B23" s="54" t="s">
        <v>987</v>
      </c>
      <c r="C23" s="55" t="s">
        <v>988</v>
      </c>
      <c r="D23" s="56">
        <v>128.63</v>
      </c>
      <c r="E23" s="56">
        <v>120.27</v>
      </c>
      <c r="F23" s="56">
        <v>163.47999999999999</v>
      </c>
      <c r="G23" s="56">
        <v>118.82</v>
      </c>
      <c r="H23" s="56">
        <v>133.77000000000001</v>
      </c>
      <c r="I23" s="56">
        <v>117.46</v>
      </c>
      <c r="J23" s="56">
        <v>117.29</v>
      </c>
      <c r="K23" s="56">
        <v>138.53</v>
      </c>
      <c r="L23" s="56">
        <v>108.33</v>
      </c>
      <c r="M23" s="56">
        <v>123.82</v>
      </c>
      <c r="N23" s="56">
        <v>144.24</v>
      </c>
      <c r="O23" s="56">
        <v>151.74</v>
      </c>
      <c r="P23" s="56">
        <v>138.91</v>
      </c>
      <c r="Q23" s="56">
        <v>119.97</v>
      </c>
      <c r="R23" s="56">
        <v>124.29</v>
      </c>
      <c r="S23" s="56">
        <v>168.04</v>
      </c>
      <c r="T23" s="56">
        <v>163.05000000000001</v>
      </c>
      <c r="U23" s="56">
        <v>118.84</v>
      </c>
      <c r="V23" s="56">
        <v>118.12</v>
      </c>
      <c r="W23" s="56">
        <v>169.88</v>
      </c>
      <c r="X23" s="56">
        <v>123.4</v>
      </c>
      <c r="Y23" s="56">
        <v>111.37</v>
      </c>
      <c r="Z23" s="56">
        <v>126.75</v>
      </c>
      <c r="AA23" s="56">
        <v>134.19999999999999</v>
      </c>
      <c r="AB23" s="56">
        <v>108.09</v>
      </c>
      <c r="AC23" s="56">
        <v>100.48</v>
      </c>
      <c r="AD23" s="56">
        <v>122.52</v>
      </c>
      <c r="AE23" s="56">
        <v>124.16</v>
      </c>
      <c r="AF23" s="56">
        <v>112.78</v>
      </c>
      <c r="AG23" s="56">
        <v>88.52</v>
      </c>
      <c r="AH23" s="56">
        <v>142.56</v>
      </c>
      <c r="AI23" s="56">
        <v>152.96</v>
      </c>
      <c r="AJ23" s="56">
        <v>112.46</v>
      </c>
      <c r="AK23" s="56">
        <v>155.1</v>
      </c>
      <c r="AL23" s="56">
        <v>140.19999999999999</v>
      </c>
      <c r="AM23" s="56">
        <v>123.31</v>
      </c>
      <c r="AN23" s="56">
        <v>89.98</v>
      </c>
      <c r="AO23" s="56">
        <v>110.19</v>
      </c>
      <c r="AP23" s="56">
        <v>95.03</v>
      </c>
      <c r="AQ23" s="56">
        <v>118.49</v>
      </c>
      <c r="AR23" s="56">
        <v>136.05000000000001</v>
      </c>
      <c r="AS23" s="56">
        <v>144.03</v>
      </c>
      <c r="AT23" s="56">
        <v>131.25</v>
      </c>
      <c r="AU23" s="56">
        <v>139.02000000000001</v>
      </c>
      <c r="AV23" s="56">
        <v>150.81</v>
      </c>
      <c r="AW23" s="56">
        <v>156.91999999999999</v>
      </c>
      <c r="AX23" s="56">
        <v>137.80000000000001</v>
      </c>
      <c r="AY23" s="56">
        <v>135.66999999999999</v>
      </c>
      <c r="AZ23" s="56">
        <v>148.34</v>
      </c>
      <c r="BA23" s="56">
        <v>156.34</v>
      </c>
      <c r="BB23" s="56">
        <v>119.21</v>
      </c>
      <c r="BC23" s="56">
        <v>162.16</v>
      </c>
      <c r="BD23" s="56">
        <v>152.56</v>
      </c>
      <c r="BE23" s="56">
        <v>143.25</v>
      </c>
      <c r="BF23" s="56">
        <v>147.06</v>
      </c>
      <c r="BG23" s="56">
        <v>159.62</v>
      </c>
      <c r="BH23" s="52">
        <v>118.68</v>
      </c>
      <c r="BI23" s="52">
        <v>118.92</v>
      </c>
      <c r="BJ23" s="52">
        <v>149.61000000000001</v>
      </c>
      <c r="BK23" s="52">
        <v>113.63</v>
      </c>
      <c r="BL23" s="52">
        <v>111.32</v>
      </c>
      <c r="BM23" s="52">
        <v>143.5</v>
      </c>
      <c r="BN23" s="52">
        <v>115.56</v>
      </c>
      <c r="BO23" s="52">
        <v>116.43</v>
      </c>
      <c r="BP23" s="52">
        <v>125.68</v>
      </c>
      <c r="BQ23" s="52">
        <v>135.13</v>
      </c>
      <c r="BR23" s="52">
        <v>113.56</v>
      </c>
      <c r="BS23" s="52">
        <v>175.19</v>
      </c>
      <c r="BT23" s="52">
        <v>158.38</v>
      </c>
      <c r="BU23" s="52">
        <v>157.85</v>
      </c>
      <c r="BV23" s="52">
        <v>163.05000000000001</v>
      </c>
      <c r="BW23" s="52">
        <v>119</v>
      </c>
      <c r="BX23" s="52">
        <v>112.71</v>
      </c>
      <c r="BY23" s="52">
        <v>146.44999999999999</v>
      </c>
      <c r="BZ23" s="52">
        <v>117.94</v>
      </c>
      <c r="CA23" s="52">
        <v>143.69999999999999</v>
      </c>
      <c r="CB23" s="53">
        <v>169.88</v>
      </c>
      <c r="CC23" s="52">
        <v>123.4</v>
      </c>
      <c r="CD23" s="52">
        <v>110.44</v>
      </c>
      <c r="CE23" s="52">
        <v>99.97</v>
      </c>
      <c r="CF23" s="52">
        <v>152.53</v>
      </c>
      <c r="CG23" s="52">
        <v>125.58</v>
      </c>
      <c r="CH23" s="52">
        <v>138.57</v>
      </c>
      <c r="CI23" s="52">
        <v>117.39</v>
      </c>
      <c r="CJ23" s="52">
        <v>108.09</v>
      </c>
      <c r="CK23" s="52">
        <v>94.16</v>
      </c>
      <c r="CL23" s="52">
        <v>107.01</v>
      </c>
      <c r="CM23" s="52">
        <v>153.59</v>
      </c>
      <c r="CN23" s="52">
        <v>122.52</v>
      </c>
      <c r="CO23" s="52">
        <v>124.16</v>
      </c>
      <c r="CP23" s="52">
        <v>97.91</v>
      </c>
      <c r="CQ23" s="52">
        <v>156.16999999999999</v>
      </c>
      <c r="CR23" s="52">
        <v>84.83</v>
      </c>
      <c r="CS23" s="52">
        <v>122.38</v>
      </c>
      <c r="CT23" s="52">
        <v>108.78</v>
      </c>
      <c r="CU23" s="52">
        <v>174.34</v>
      </c>
      <c r="CV23" s="52">
        <v>140.72</v>
      </c>
      <c r="CW23" s="52">
        <v>89.28</v>
      </c>
      <c r="CX23" s="52">
        <v>152.96</v>
      </c>
      <c r="CY23" s="52">
        <v>112.63</v>
      </c>
      <c r="CZ23" s="52">
        <v>0</v>
      </c>
      <c r="DA23" s="52">
        <v>104.3</v>
      </c>
      <c r="DB23" s="52">
        <v>119.67</v>
      </c>
      <c r="DC23" s="52">
        <v>157.72</v>
      </c>
      <c r="DD23" s="52">
        <v>150.58000000000001</v>
      </c>
      <c r="DE23" s="52">
        <v>144.53</v>
      </c>
      <c r="DF23" s="52">
        <v>136.13</v>
      </c>
      <c r="DG23" s="52">
        <v>142.07</v>
      </c>
      <c r="DH23" s="52">
        <v>94.41</v>
      </c>
      <c r="DI23" s="52">
        <v>102.43</v>
      </c>
      <c r="DJ23" s="52">
        <v>163.9</v>
      </c>
      <c r="DK23" s="52">
        <v>123.31</v>
      </c>
      <c r="DL23" s="52">
        <v>89.98</v>
      </c>
      <c r="DM23" s="52">
        <v>110.19</v>
      </c>
      <c r="DN23" s="52">
        <v>83.95</v>
      </c>
      <c r="DO23" s="52">
        <v>104.93</v>
      </c>
      <c r="DP23" s="52">
        <v>141.1</v>
      </c>
      <c r="DQ23" s="52">
        <v>118.49</v>
      </c>
      <c r="DR23" s="52">
        <v>141.5</v>
      </c>
      <c r="DS23" s="52">
        <v>117.99</v>
      </c>
      <c r="DT23" s="52"/>
      <c r="DU23" s="52">
        <v>139.06</v>
      </c>
      <c r="DV23" s="52">
        <v>165.31</v>
      </c>
      <c r="DW23" s="52">
        <v>124.02</v>
      </c>
      <c r="DX23" s="52">
        <v>154.25</v>
      </c>
      <c r="DY23" s="52">
        <v>154.81</v>
      </c>
      <c r="DZ23" s="52">
        <v>118.78</v>
      </c>
      <c r="EA23" s="52">
        <v>116.28</v>
      </c>
      <c r="EB23" s="52">
        <v>139.02000000000001</v>
      </c>
      <c r="EC23" s="52">
        <v>150.81</v>
      </c>
      <c r="ED23" s="52">
        <v>156.91999999999999</v>
      </c>
      <c r="EE23" s="52">
        <v>137.80000000000001</v>
      </c>
      <c r="EF23" s="52">
        <v>135.66999999999999</v>
      </c>
      <c r="EG23" s="52">
        <v>148.34</v>
      </c>
      <c r="EH23" s="52">
        <v>156.34</v>
      </c>
      <c r="EI23" s="52">
        <v>156.47</v>
      </c>
      <c r="EJ23" s="52">
        <v>104</v>
      </c>
      <c r="EK23" s="52">
        <v>108.03</v>
      </c>
      <c r="EL23" s="52">
        <v>170.86</v>
      </c>
      <c r="EM23" s="52">
        <v>132.99</v>
      </c>
      <c r="EN23" s="52">
        <v>152.56</v>
      </c>
      <c r="EO23" s="52">
        <v>172.43</v>
      </c>
      <c r="EP23" s="52">
        <v>113.68</v>
      </c>
      <c r="EQ23" s="52">
        <v>133.34</v>
      </c>
      <c r="ER23" s="52">
        <v>147.06</v>
      </c>
      <c r="ES23" s="52">
        <v>159.62</v>
      </c>
      <c r="ET23" s="52">
        <v>129.09</v>
      </c>
      <c r="EU23" s="52">
        <v>111.46</v>
      </c>
      <c r="EV23" s="52">
        <v>116.24</v>
      </c>
      <c r="EW23" s="52">
        <v>135.58000000000001</v>
      </c>
      <c r="EX23" s="52">
        <v>109.04</v>
      </c>
      <c r="EY23" s="52">
        <v>111.84</v>
      </c>
      <c r="EZ23" s="52">
        <v>125.53</v>
      </c>
      <c r="FA23" s="52">
        <v>120.17</v>
      </c>
      <c r="FB23" s="52">
        <v>103.39</v>
      </c>
      <c r="FC23" s="52">
        <v>129.54</v>
      </c>
      <c r="FD23" s="52">
        <v>129.44</v>
      </c>
      <c r="FE23" s="52">
        <v>149.61000000000001</v>
      </c>
      <c r="FF23" s="52"/>
      <c r="FG23" s="52">
        <v>109.14</v>
      </c>
      <c r="FH23" s="52">
        <v>113.7</v>
      </c>
      <c r="FI23" s="52">
        <v>122.92</v>
      </c>
      <c r="FJ23" s="52">
        <v>100.81</v>
      </c>
      <c r="FK23" s="52">
        <v>126.33</v>
      </c>
      <c r="FL23" s="52">
        <v>103.87</v>
      </c>
      <c r="FM23" s="52">
        <v>111.64</v>
      </c>
      <c r="FN23" s="52">
        <v>144.02000000000001</v>
      </c>
      <c r="FO23" s="52">
        <v>139.77000000000001</v>
      </c>
      <c r="FP23" s="52">
        <v>96.64</v>
      </c>
      <c r="FQ23" s="52">
        <v>147.41999999999999</v>
      </c>
      <c r="FR23" s="52">
        <v>136.28</v>
      </c>
      <c r="FS23" s="52">
        <v>141.37</v>
      </c>
      <c r="FT23" s="52">
        <v>110.13</v>
      </c>
      <c r="FU23" s="52">
        <v>119.98</v>
      </c>
      <c r="FV23" s="52">
        <v>133.91</v>
      </c>
      <c r="FW23" s="52">
        <v>111.45</v>
      </c>
      <c r="FX23" s="52">
        <v>125.68</v>
      </c>
      <c r="FY23" s="52">
        <v>127.32</v>
      </c>
      <c r="FZ23" s="52">
        <v>136</v>
      </c>
      <c r="GA23" s="52">
        <v>128.25</v>
      </c>
      <c r="GB23" s="52">
        <v>109.83</v>
      </c>
      <c r="GC23" s="52">
        <v>115.48</v>
      </c>
      <c r="GD23" s="52">
        <v>110.84</v>
      </c>
      <c r="GE23" s="52">
        <v>175.19</v>
      </c>
      <c r="GF23" s="52">
        <v>158.38</v>
      </c>
      <c r="GG23" s="52">
        <v>157.85</v>
      </c>
      <c r="GH23" s="52">
        <v>162.78</v>
      </c>
      <c r="GI23" s="52">
        <v>120.78</v>
      </c>
      <c r="GJ23" s="52">
        <v>114.87</v>
      </c>
      <c r="GK23" s="52">
        <v>125.05</v>
      </c>
      <c r="GL23" s="52">
        <v>121.49</v>
      </c>
      <c r="GM23" s="52">
        <v>112.71</v>
      </c>
      <c r="GN23" s="52">
        <v>146.44999999999999</v>
      </c>
      <c r="GO23" s="52">
        <v>119.71</v>
      </c>
      <c r="GP23" s="52">
        <v>121.28</v>
      </c>
      <c r="GQ23" s="52">
        <v>107.71</v>
      </c>
      <c r="GR23" s="52">
        <v>143.69999999999999</v>
      </c>
      <c r="GS23" s="52">
        <v>169.88</v>
      </c>
      <c r="GT23" s="52">
        <v>123.4</v>
      </c>
      <c r="GU23" s="52">
        <v>110.44</v>
      </c>
      <c r="GV23" s="52">
        <v>99.97</v>
      </c>
      <c r="GW23" s="52">
        <v>147.76</v>
      </c>
      <c r="GX23" s="52">
        <v>155.32</v>
      </c>
      <c r="GY23" s="52">
        <v>125.58</v>
      </c>
      <c r="GZ23" s="52">
        <v>132.34</v>
      </c>
      <c r="HA23" s="52">
        <v>147.61000000000001</v>
      </c>
      <c r="HB23" s="52">
        <v>135.80000000000001</v>
      </c>
      <c r="HC23" s="52">
        <v>117.39</v>
      </c>
      <c r="HD23" s="52">
        <v>108.09</v>
      </c>
      <c r="HE23" s="52">
        <v>86.63</v>
      </c>
      <c r="HF23" s="52">
        <v>87.17</v>
      </c>
      <c r="HG23" s="52">
        <v>92.87</v>
      </c>
      <c r="HH23" s="52">
        <v>117.31</v>
      </c>
      <c r="HI23" s="52">
        <v>72.599999999999994</v>
      </c>
      <c r="HJ23" s="52">
        <v>107.01</v>
      </c>
      <c r="HK23" s="52">
        <v>153.59</v>
      </c>
      <c r="HL23" s="52">
        <v>115.36</v>
      </c>
      <c r="HM23" s="52">
        <v>132.81</v>
      </c>
      <c r="HN23" s="52">
        <v>126.75</v>
      </c>
      <c r="HO23" s="52">
        <v>115.27</v>
      </c>
      <c r="HP23" s="52">
        <v>132.63999999999999</v>
      </c>
      <c r="HQ23" s="52">
        <v>95.68</v>
      </c>
      <c r="HR23" s="52">
        <v>118.28</v>
      </c>
      <c r="HS23" s="52">
        <v>156.35</v>
      </c>
      <c r="HT23" s="52">
        <v>145.77000000000001</v>
      </c>
      <c r="HU23" s="52">
        <v>84.83</v>
      </c>
      <c r="HV23" s="52">
        <v>122.38</v>
      </c>
      <c r="HW23" s="52">
        <v>116.2</v>
      </c>
      <c r="HX23" s="52">
        <v>93.12</v>
      </c>
      <c r="HY23" s="52">
        <v>174.34</v>
      </c>
      <c r="HZ23" s="52">
        <v>140.72</v>
      </c>
      <c r="IA23" s="52">
        <v>83</v>
      </c>
      <c r="IB23" s="52">
        <v>152.96</v>
      </c>
      <c r="IC23" s="52">
        <v>103.8</v>
      </c>
      <c r="ID23" s="52">
        <v>114.33</v>
      </c>
      <c r="IE23" s="52">
        <v>0</v>
      </c>
      <c r="IF23" s="52">
        <v>104.3</v>
      </c>
      <c r="IG23" s="52">
        <v>119.67</v>
      </c>
      <c r="IH23" s="52">
        <v>157.72</v>
      </c>
      <c r="II23" s="52">
        <v>150.58000000000001</v>
      </c>
      <c r="IJ23" s="52">
        <v>144.53</v>
      </c>
      <c r="IK23" s="52">
        <v>139.47999999999999</v>
      </c>
      <c r="IL23" s="52">
        <v>127.42</v>
      </c>
      <c r="IM23" s="52">
        <v>146.16</v>
      </c>
      <c r="IN23" s="52">
        <v>140.61000000000001</v>
      </c>
      <c r="IO23" s="52">
        <v>127.32</v>
      </c>
      <c r="IP23" s="52">
        <v>94.41</v>
      </c>
      <c r="IQ23" s="52">
        <v>102.43</v>
      </c>
      <c r="IR23" s="52">
        <v>163.9</v>
      </c>
      <c r="IS23" s="52">
        <v>123.31</v>
      </c>
      <c r="IT23" s="52">
        <v>89.98</v>
      </c>
      <c r="IU23" s="52">
        <v>110.19</v>
      </c>
      <c r="IV23" s="52">
        <v>85.14</v>
      </c>
      <c r="IW23" s="52">
        <v>104.93</v>
      </c>
      <c r="IX23" s="52">
        <v>141.1</v>
      </c>
      <c r="IY23" s="52">
        <v>118.49</v>
      </c>
      <c r="IZ23" s="52">
        <v>141.5</v>
      </c>
      <c r="JA23" s="52">
        <v>117.99</v>
      </c>
      <c r="JB23" s="52"/>
      <c r="JC23" s="52">
        <v>139.06</v>
      </c>
      <c r="JD23" s="52">
        <v>165.31</v>
      </c>
      <c r="JE23" s="52">
        <v>125.75</v>
      </c>
      <c r="JF23" s="52">
        <v>123.33</v>
      </c>
      <c r="JG23" s="52">
        <v>154.25</v>
      </c>
      <c r="JH23" s="52">
        <v>154.81</v>
      </c>
      <c r="JI23" s="52">
        <v>118.78</v>
      </c>
      <c r="JJ23" s="52">
        <v>116.28</v>
      </c>
      <c r="JK23" s="52">
        <v>139.02000000000001</v>
      </c>
      <c r="JL23" s="52">
        <v>150.81</v>
      </c>
      <c r="JM23" s="52">
        <v>156.91999999999999</v>
      </c>
      <c r="JN23" s="52">
        <v>137.80000000000001</v>
      </c>
      <c r="JO23" s="52">
        <v>135.66999999999999</v>
      </c>
      <c r="JP23" s="52">
        <v>152.53</v>
      </c>
      <c r="JQ23" s="52">
        <v>138.63999999999999</v>
      </c>
      <c r="JR23" s="52">
        <v>153.11000000000001</v>
      </c>
      <c r="JS23" s="52">
        <v>160.37</v>
      </c>
      <c r="JT23" s="52">
        <v>162.13999999999999</v>
      </c>
      <c r="JU23" s="52">
        <v>150.88999999999999</v>
      </c>
      <c r="JV23" s="52">
        <v>104</v>
      </c>
      <c r="JW23" s="52">
        <v>108.03</v>
      </c>
      <c r="JX23" s="52">
        <v>170.86</v>
      </c>
      <c r="JY23" s="52">
        <v>135.29</v>
      </c>
      <c r="JZ23" s="52">
        <v>128.19999999999999</v>
      </c>
      <c r="KA23" s="52">
        <v>152.56</v>
      </c>
      <c r="KB23" s="52">
        <v>172.43</v>
      </c>
      <c r="KC23" s="52">
        <v>113.68</v>
      </c>
      <c r="KD23" s="52">
        <v>133.34</v>
      </c>
      <c r="KE23" s="52">
        <v>147.06</v>
      </c>
      <c r="KF23" s="52">
        <v>159.62</v>
      </c>
    </row>
    <row r="24" spans="1:292" s="41" customFormat="1" ht="12">
      <c r="A24" s="41">
        <v>2006</v>
      </c>
      <c r="B24" s="54" t="s">
        <v>989</v>
      </c>
      <c r="C24" s="55" t="s">
        <v>990</v>
      </c>
      <c r="D24" s="56">
        <v>129.72</v>
      </c>
      <c r="E24" s="56">
        <v>121.97</v>
      </c>
      <c r="F24" s="56">
        <v>163.5</v>
      </c>
      <c r="G24" s="56">
        <v>110.58</v>
      </c>
      <c r="H24" s="56">
        <v>136.12</v>
      </c>
      <c r="I24" s="56">
        <v>120.77</v>
      </c>
      <c r="J24" s="56">
        <v>116.2</v>
      </c>
      <c r="K24" s="56">
        <v>142.5</v>
      </c>
      <c r="L24" s="56">
        <v>108.53</v>
      </c>
      <c r="M24" s="56">
        <v>125.35</v>
      </c>
      <c r="N24" s="56">
        <v>145.80000000000001</v>
      </c>
      <c r="O24" s="56">
        <v>152.82</v>
      </c>
      <c r="P24" s="56">
        <v>142.21</v>
      </c>
      <c r="Q24" s="56">
        <v>121.6</v>
      </c>
      <c r="R24" s="56">
        <v>127.18</v>
      </c>
      <c r="S24" s="56">
        <v>168.41</v>
      </c>
      <c r="T24" s="56">
        <v>163.05000000000001</v>
      </c>
      <c r="U24" s="56">
        <v>109.99</v>
      </c>
      <c r="V24" s="56">
        <v>111.81</v>
      </c>
      <c r="W24" s="56">
        <v>173.56</v>
      </c>
      <c r="X24" s="56">
        <v>126.46</v>
      </c>
      <c r="Y24" s="56">
        <v>112.96</v>
      </c>
      <c r="Z24" s="56">
        <v>128.68</v>
      </c>
      <c r="AA24" s="56">
        <v>136.97</v>
      </c>
      <c r="AB24" s="56">
        <v>111.14</v>
      </c>
      <c r="AC24" s="56">
        <v>103.35</v>
      </c>
      <c r="AD24" s="56">
        <v>125.51</v>
      </c>
      <c r="AE24" s="56">
        <v>127.39</v>
      </c>
      <c r="AF24" s="56">
        <v>117.02</v>
      </c>
      <c r="AG24" s="56">
        <v>84.94</v>
      </c>
      <c r="AH24" s="56">
        <v>143.68</v>
      </c>
      <c r="AI24" s="56">
        <v>154.46</v>
      </c>
      <c r="AJ24" s="56">
        <v>115.97</v>
      </c>
      <c r="AK24" s="56">
        <v>160.02000000000001</v>
      </c>
      <c r="AL24" s="56">
        <v>143.37</v>
      </c>
      <c r="AM24" s="56">
        <v>123.31</v>
      </c>
      <c r="AN24" s="56">
        <v>90.15</v>
      </c>
      <c r="AO24" s="56">
        <v>110.39</v>
      </c>
      <c r="AP24" s="56">
        <v>95.98</v>
      </c>
      <c r="AQ24" s="56">
        <v>118.98</v>
      </c>
      <c r="AR24" s="56">
        <v>140.12</v>
      </c>
      <c r="AS24" s="56">
        <v>144.06</v>
      </c>
      <c r="AT24" s="56">
        <v>134.29</v>
      </c>
      <c r="AU24" s="56">
        <v>140.34</v>
      </c>
      <c r="AV24" s="56">
        <v>151.94999999999999</v>
      </c>
      <c r="AW24" s="56">
        <v>159.44999999999999</v>
      </c>
      <c r="AX24" s="56">
        <v>139.76</v>
      </c>
      <c r="AY24" s="56">
        <v>135.22999999999999</v>
      </c>
      <c r="AZ24" s="56">
        <v>149.62</v>
      </c>
      <c r="BA24" s="56">
        <v>157.16</v>
      </c>
      <c r="BB24" s="56">
        <v>120.75</v>
      </c>
      <c r="BC24" s="56">
        <v>169.48</v>
      </c>
      <c r="BD24" s="56">
        <v>152.86000000000001</v>
      </c>
      <c r="BE24" s="56">
        <v>144.44</v>
      </c>
      <c r="BF24" s="56">
        <v>148.93</v>
      </c>
      <c r="BG24" s="56">
        <v>160.13999999999999</v>
      </c>
      <c r="BH24" s="52">
        <v>120.45</v>
      </c>
      <c r="BI24" s="52">
        <v>120.86</v>
      </c>
      <c r="BJ24" s="52">
        <v>154.43</v>
      </c>
      <c r="BK24" s="52">
        <v>117.12</v>
      </c>
      <c r="BL24" s="52">
        <v>114.03</v>
      </c>
      <c r="BM24" s="52">
        <v>138.72999999999999</v>
      </c>
      <c r="BN24" s="52">
        <v>118.65</v>
      </c>
      <c r="BO24" s="52">
        <v>117.7</v>
      </c>
      <c r="BP24" s="52">
        <v>128.19</v>
      </c>
      <c r="BQ24" s="52">
        <v>137.68</v>
      </c>
      <c r="BR24" s="52">
        <v>116.7</v>
      </c>
      <c r="BS24" s="52">
        <v>175.22</v>
      </c>
      <c r="BT24" s="52">
        <v>160.97</v>
      </c>
      <c r="BU24" s="52">
        <v>158.03</v>
      </c>
      <c r="BV24" s="52">
        <v>163.05000000000001</v>
      </c>
      <c r="BW24" s="52">
        <v>109.41</v>
      </c>
      <c r="BX24" s="52">
        <v>113.11</v>
      </c>
      <c r="BY24" s="52">
        <v>147.99</v>
      </c>
      <c r="BZ24" s="52">
        <v>111.57</v>
      </c>
      <c r="CA24" s="52">
        <v>146.28</v>
      </c>
      <c r="CB24" s="53">
        <v>173.56</v>
      </c>
      <c r="CC24" s="52">
        <v>126.46</v>
      </c>
      <c r="CD24" s="52">
        <v>112.09</v>
      </c>
      <c r="CE24" s="52">
        <v>99.97</v>
      </c>
      <c r="CF24" s="52">
        <v>156.24</v>
      </c>
      <c r="CG24" s="52">
        <v>128.12</v>
      </c>
      <c r="CH24" s="52">
        <v>141.51</v>
      </c>
      <c r="CI24" s="52">
        <v>119.58</v>
      </c>
      <c r="CJ24" s="52">
        <v>111.14</v>
      </c>
      <c r="CK24" s="52">
        <v>96.85</v>
      </c>
      <c r="CL24" s="52">
        <v>110.29</v>
      </c>
      <c r="CM24" s="52">
        <v>157.68</v>
      </c>
      <c r="CN24" s="52">
        <v>125.51</v>
      </c>
      <c r="CO24" s="52">
        <v>127.39</v>
      </c>
      <c r="CP24" s="52">
        <v>102.81</v>
      </c>
      <c r="CQ24" s="52">
        <v>157.82</v>
      </c>
      <c r="CR24" s="52">
        <v>80.67</v>
      </c>
      <c r="CS24" s="52">
        <v>123.05</v>
      </c>
      <c r="CT24" s="52">
        <v>108.82</v>
      </c>
      <c r="CU24" s="52">
        <v>176.16</v>
      </c>
      <c r="CV24" s="52">
        <v>141.13</v>
      </c>
      <c r="CW24" s="52">
        <v>89.86</v>
      </c>
      <c r="CX24" s="52">
        <v>154.46</v>
      </c>
      <c r="CY24" s="52">
        <v>116.28</v>
      </c>
      <c r="CZ24" s="52">
        <v>0</v>
      </c>
      <c r="DA24" s="52">
        <v>102.34</v>
      </c>
      <c r="DB24" s="52">
        <v>123.84</v>
      </c>
      <c r="DC24" s="52">
        <v>162.99</v>
      </c>
      <c r="DD24" s="52">
        <v>153.22999999999999</v>
      </c>
      <c r="DE24" s="52">
        <v>146.55000000000001</v>
      </c>
      <c r="DF24" s="52">
        <v>138.05000000000001</v>
      </c>
      <c r="DG24" s="52">
        <v>145.38</v>
      </c>
      <c r="DH24" s="52">
        <v>94.05</v>
      </c>
      <c r="DI24" s="52">
        <v>108.31</v>
      </c>
      <c r="DJ24" s="52">
        <v>168.06</v>
      </c>
      <c r="DK24" s="52">
        <v>123.31</v>
      </c>
      <c r="DL24" s="52">
        <v>90.15</v>
      </c>
      <c r="DM24" s="52">
        <v>110.39</v>
      </c>
      <c r="DN24" s="52">
        <v>84.64</v>
      </c>
      <c r="DO24" s="52">
        <v>107.47</v>
      </c>
      <c r="DP24" s="52">
        <v>140.62</v>
      </c>
      <c r="DQ24" s="52">
        <v>118.98</v>
      </c>
      <c r="DR24" s="52">
        <v>147.69999999999999</v>
      </c>
      <c r="DS24" s="52">
        <v>118.5</v>
      </c>
      <c r="DT24" s="52"/>
      <c r="DU24" s="52">
        <v>139.9</v>
      </c>
      <c r="DV24" s="52">
        <v>165.24</v>
      </c>
      <c r="DW24" s="52">
        <v>124.12</v>
      </c>
      <c r="DX24" s="52">
        <v>154.25</v>
      </c>
      <c r="DY24" s="52">
        <v>161.16</v>
      </c>
      <c r="DZ24" s="52">
        <v>118.78</v>
      </c>
      <c r="EA24" s="52">
        <v>118.52</v>
      </c>
      <c r="EB24" s="52">
        <v>140.34</v>
      </c>
      <c r="EC24" s="52">
        <v>151.94999999999999</v>
      </c>
      <c r="ED24" s="52">
        <v>159.44999999999999</v>
      </c>
      <c r="EE24" s="52">
        <v>139.76</v>
      </c>
      <c r="EF24" s="52">
        <v>135.22999999999999</v>
      </c>
      <c r="EG24" s="52">
        <v>149.62</v>
      </c>
      <c r="EH24" s="52">
        <v>157.16</v>
      </c>
      <c r="EI24" s="52">
        <v>157.91</v>
      </c>
      <c r="EJ24" s="52">
        <v>104.85</v>
      </c>
      <c r="EK24" s="52">
        <v>109.6</v>
      </c>
      <c r="EL24" s="52">
        <v>180.22</v>
      </c>
      <c r="EM24" s="52">
        <v>133.94</v>
      </c>
      <c r="EN24" s="52">
        <v>152.86000000000001</v>
      </c>
      <c r="EO24" s="52">
        <v>172.42</v>
      </c>
      <c r="EP24" s="52">
        <v>113.19</v>
      </c>
      <c r="EQ24" s="52">
        <v>135.51</v>
      </c>
      <c r="ER24" s="52">
        <v>148.93</v>
      </c>
      <c r="ES24" s="52">
        <v>160.13999999999999</v>
      </c>
      <c r="ET24" s="52">
        <v>133.59</v>
      </c>
      <c r="EU24" s="52">
        <v>112.21</v>
      </c>
      <c r="EV24" s="52">
        <v>117.88</v>
      </c>
      <c r="EW24" s="52">
        <v>136.44999999999999</v>
      </c>
      <c r="EX24" s="52">
        <v>114.33</v>
      </c>
      <c r="EY24" s="52">
        <v>111.49</v>
      </c>
      <c r="EZ24" s="52">
        <v>125.83</v>
      </c>
      <c r="FA24" s="52">
        <v>119.88</v>
      </c>
      <c r="FB24" s="52">
        <v>110.24</v>
      </c>
      <c r="FC24" s="52">
        <v>128.36000000000001</v>
      </c>
      <c r="FD24" s="52">
        <v>131.09</v>
      </c>
      <c r="FE24" s="52">
        <v>154.43</v>
      </c>
      <c r="FF24" s="52"/>
      <c r="FG24" s="52">
        <v>108.68</v>
      </c>
      <c r="FH24" s="52">
        <v>114.81</v>
      </c>
      <c r="FI24" s="52">
        <v>122.22</v>
      </c>
      <c r="FJ24" s="52">
        <v>120.71</v>
      </c>
      <c r="FK24" s="52">
        <v>126.43</v>
      </c>
      <c r="FL24" s="52">
        <v>104.43</v>
      </c>
      <c r="FM24" s="52">
        <v>115.16</v>
      </c>
      <c r="FN24" s="52">
        <v>137.55000000000001</v>
      </c>
      <c r="FO24" s="52">
        <v>144.72999999999999</v>
      </c>
      <c r="FP24" s="52">
        <v>101.33</v>
      </c>
      <c r="FQ24" s="52">
        <v>146</v>
      </c>
      <c r="FR24" s="52">
        <v>137.46</v>
      </c>
      <c r="FS24" s="52">
        <v>141.99</v>
      </c>
      <c r="FT24" s="52">
        <v>111.77</v>
      </c>
      <c r="FU24" s="52">
        <v>120.57</v>
      </c>
      <c r="FV24" s="52">
        <v>134.24</v>
      </c>
      <c r="FW24" s="52">
        <v>114.32</v>
      </c>
      <c r="FX24" s="52">
        <v>128.19</v>
      </c>
      <c r="FY24" s="52">
        <v>130.38999999999999</v>
      </c>
      <c r="FZ24" s="52">
        <v>138.54</v>
      </c>
      <c r="GA24" s="52">
        <v>128.37</v>
      </c>
      <c r="GB24" s="52">
        <v>111.18</v>
      </c>
      <c r="GC24" s="52">
        <v>119.64</v>
      </c>
      <c r="GD24" s="52">
        <v>112.26</v>
      </c>
      <c r="GE24" s="52">
        <v>175.22</v>
      </c>
      <c r="GF24" s="52">
        <v>160.97</v>
      </c>
      <c r="GG24" s="52">
        <v>158.03</v>
      </c>
      <c r="GH24" s="52">
        <v>162.78</v>
      </c>
      <c r="GI24" s="52">
        <v>111.35</v>
      </c>
      <c r="GJ24" s="52">
        <v>105.22</v>
      </c>
      <c r="GK24" s="52">
        <v>114.76</v>
      </c>
      <c r="GL24" s="52">
        <v>119.27</v>
      </c>
      <c r="GM24" s="52">
        <v>113.11</v>
      </c>
      <c r="GN24" s="52">
        <v>147.99</v>
      </c>
      <c r="GO24" s="52">
        <v>112.38</v>
      </c>
      <c r="GP24" s="52">
        <v>113.54</v>
      </c>
      <c r="GQ24" s="52">
        <v>106.1</v>
      </c>
      <c r="GR24" s="52">
        <v>146.28</v>
      </c>
      <c r="GS24" s="52">
        <v>173.56</v>
      </c>
      <c r="GT24" s="52">
        <v>126.46</v>
      </c>
      <c r="GU24" s="52">
        <v>112.09</v>
      </c>
      <c r="GV24" s="52">
        <v>99.97</v>
      </c>
      <c r="GW24" s="52">
        <v>148.94</v>
      </c>
      <c r="GX24" s="52">
        <v>159.97</v>
      </c>
      <c r="GY24" s="52">
        <v>128.12</v>
      </c>
      <c r="GZ24" s="52">
        <v>136.41999999999999</v>
      </c>
      <c r="HA24" s="52">
        <v>149.05000000000001</v>
      </c>
      <c r="HB24" s="52">
        <v>139.30000000000001</v>
      </c>
      <c r="HC24" s="52">
        <v>119.58</v>
      </c>
      <c r="HD24" s="52">
        <v>111.14</v>
      </c>
      <c r="HE24" s="52">
        <v>88.74</v>
      </c>
      <c r="HF24" s="52">
        <v>90.97</v>
      </c>
      <c r="HG24" s="52">
        <v>94.02</v>
      </c>
      <c r="HH24" s="52">
        <v>120.54</v>
      </c>
      <c r="HI24" s="52">
        <v>74.489999999999995</v>
      </c>
      <c r="HJ24" s="52">
        <v>110.29</v>
      </c>
      <c r="HK24" s="52">
        <v>157.68</v>
      </c>
      <c r="HL24" s="52">
        <v>116.7</v>
      </c>
      <c r="HM24" s="52">
        <v>136.19</v>
      </c>
      <c r="HN24" s="52">
        <v>131.12</v>
      </c>
      <c r="HO24" s="52">
        <v>117.64</v>
      </c>
      <c r="HP24" s="52">
        <v>136.66999999999999</v>
      </c>
      <c r="HQ24" s="52">
        <v>100.86</v>
      </c>
      <c r="HR24" s="52">
        <v>120.51</v>
      </c>
      <c r="HS24" s="52">
        <v>158</v>
      </c>
      <c r="HT24" s="52">
        <v>147</v>
      </c>
      <c r="HU24" s="52">
        <v>80.67</v>
      </c>
      <c r="HV24" s="52">
        <v>123.05</v>
      </c>
      <c r="HW24" s="52">
        <v>115.56</v>
      </c>
      <c r="HX24" s="52">
        <v>94.51</v>
      </c>
      <c r="HY24" s="52">
        <v>176.16</v>
      </c>
      <c r="HZ24" s="52">
        <v>141.13</v>
      </c>
      <c r="IA24" s="52">
        <v>83.37</v>
      </c>
      <c r="IB24" s="52">
        <v>154.46</v>
      </c>
      <c r="IC24" s="52">
        <v>106.95</v>
      </c>
      <c r="ID24" s="52">
        <v>118.09</v>
      </c>
      <c r="IE24" s="52">
        <v>0</v>
      </c>
      <c r="IF24" s="52">
        <v>102.34</v>
      </c>
      <c r="IG24" s="52">
        <v>123.84</v>
      </c>
      <c r="IH24" s="52">
        <v>162.99</v>
      </c>
      <c r="II24" s="52">
        <v>153.22999999999999</v>
      </c>
      <c r="IJ24" s="52">
        <v>146.55000000000001</v>
      </c>
      <c r="IK24" s="52">
        <v>142.19</v>
      </c>
      <c r="IL24" s="52">
        <v>127.42</v>
      </c>
      <c r="IM24" s="52">
        <v>148.61000000000001</v>
      </c>
      <c r="IN24" s="52">
        <v>141.53</v>
      </c>
      <c r="IO24" s="52">
        <v>134.66</v>
      </c>
      <c r="IP24" s="52">
        <v>94.05</v>
      </c>
      <c r="IQ24" s="52">
        <v>108.31</v>
      </c>
      <c r="IR24" s="52">
        <v>168.06</v>
      </c>
      <c r="IS24" s="52">
        <v>123.31</v>
      </c>
      <c r="IT24" s="52">
        <v>90.15</v>
      </c>
      <c r="IU24" s="52">
        <v>110.39</v>
      </c>
      <c r="IV24" s="52">
        <v>86.02</v>
      </c>
      <c r="IW24" s="52">
        <v>107.47</v>
      </c>
      <c r="IX24" s="52">
        <v>140.62</v>
      </c>
      <c r="IY24" s="52">
        <v>118.98</v>
      </c>
      <c r="IZ24" s="52">
        <v>147.69999999999999</v>
      </c>
      <c r="JA24" s="52">
        <v>118.5</v>
      </c>
      <c r="JB24" s="52"/>
      <c r="JC24" s="52">
        <v>139.9</v>
      </c>
      <c r="JD24" s="52">
        <v>165.24</v>
      </c>
      <c r="JE24" s="52">
        <v>127.46</v>
      </c>
      <c r="JF24" s="52">
        <v>122.82</v>
      </c>
      <c r="JG24" s="52">
        <v>154.25</v>
      </c>
      <c r="JH24" s="52">
        <v>161.16</v>
      </c>
      <c r="JI24" s="52">
        <v>118.78</v>
      </c>
      <c r="JJ24" s="52">
        <v>118.52</v>
      </c>
      <c r="JK24" s="52">
        <v>140.34</v>
      </c>
      <c r="JL24" s="52">
        <v>151.94999999999999</v>
      </c>
      <c r="JM24" s="52">
        <v>159.44999999999999</v>
      </c>
      <c r="JN24" s="52">
        <v>139.76</v>
      </c>
      <c r="JO24" s="52">
        <v>135.22999999999999</v>
      </c>
      <c r="JP24" s="52">
        <v>153.69999999999999</v>
      </c>
      <c r="JQ24" s="52">
        <v>140.16999999999999</v>
      </c>
      <c r="JR24" s="52">
        <v>154.44999999999999</v>
      </c>
      <c r="JS24" s="52">
        <v>160.47</v>
      </c>
      <c r="JT24" s="52">
        <v>163.71</v>
      </c>
      <c r="JU24" s="52">
        <v>152.19999999999999</v>
      </c>
      <c r="JV24" s="52">
        <v>104.85</v>
      </c>
      <c r="JW24" s="52">
        <v>109.6</v>
      </c>
      <c r="JX24" s="52">
        <v>180.22</v>
      </c>
      <c r="JY24" s="52">
        <v>136.56</v>
      </c>
      <c r="JZ24" s="52">
        <v>128.53</v>
      </c>
      <c r="KA24" s="52">
        <v>152.86000000000001</v>
      </c>
      <c r="KB24" s="52">
        <v>172.42</v>
      </c>
      <c r="KC24" s="52">
        <v>113.19</v>
      </c>
      <c r="KD24" s="52">
        <v>135.51</v>
      </c>
      <c r="KE24" s="52">
        <v>148.93</v>
      </c>
      <c r="KF24" s="52">
        <v>160.13999999999999</v>
      </c>
    </row>
    <row r="25" spans="1:292" s="41" customFormat="1" ht="12">
      <c r="A25" s="41">
        <v>2006</v>
      </c>
      <c r="B25" s="54" t="s">
        <v>991</v>
      </c>
      <c r="C25" s="55" t="s">
        <v>992</v>
      </c>
      <c r="D25" s="56">
        <v>129.15</v>
      </c>
      <c r="E25" s="56">
        <v>120.5</v>
      </c>
      <c r="F25" s="56">
        <v>163.49</v>
      </c>
      <c r="G25" s="56">
        <v>102.93</v>
      </c>
      <c r="H25" s="56">
        <v>137.72</v>
      </c>
      <c r="I25" s="56">
        <v>123.11</v>
      </c>
      <c r="J25" s="56">
        <v>118.11</v>
      </c>
      <c r="K25" s="56">
        <v>142.56</v>
      </c>
      <c r="L25" s="56">
        <v>107.91</v>
      </c>
      <c r="M25" s="56">
        <v>126.55</v>
      </c>
      <c r="N25" s="56">
        <v>146.38999999999999</v>
      </c>
      <c r="O25" s="56">
        <v>153.94</v>
      </c>
      <c r="P25" s="56">
        <v>141.38</v>
      </c>
      <c r="Q25" s="56">
        <v>119.91</v>
      </c>
      <c r="R25" s="56">
        <v>129.12</v>
      </c>
      <c r="S25" s="56">
        <v>168.26</v>
      </c>
      <c r="T25" s="56">
        <v>163.05000000000001</v>
      </c>
      <c r="U25" s="56">
        <v>102.1</v>
      </c>
      <c r="V25" s="56">
        <v>104.94</v>
      </c>
      <c r="W25" s="56">
        <v>177</v>
      </c>
      <c r="X25" s="56">
        <v>127.53</v>
      </c>
      <c r="Y25" s="56">
        <v>113.48</v>
      </c>
      <c r="Z25" s="56">
        <v>129.91</v>
      </c>
      <c r="AA25" s="56">
        <v>140.22</v>
      </c>
      <c r="AB25" s="56">
        <v>112.36</v>
      </c>
      <c r="AC25" s="56">
        <v>103.92</v>
      </c>
      <c r="AD25" s="56">
        <v>127.24</v>
      </c>
      <c r="AE25" s="56">
        <v>129.46</v>
      </c>
      <c r="AF25" s="56">
        <v>120.55</v>
      </c>
      <c r="AG25" s="56">
        <v>88.19</v>
      </c>
      <c r="AH25" s="56">
        <v>144.5</v>
      </c>
      <c r="AI25" s="56">
        <v>154.69999999999999</v>
      </c>
      <c r="AJ25" s="56">
        <v>116.46</v>
      </c>
      <c r="AK25" s="56">
        <v>157.16999999999999</v>
      </c>
      <c r="AL25" s="56">
        <v>146.76</v>
      </c>
      <c r="AM25" s="56">
        <v>123.31</v>
      </c>
      <c r="AN25" s="56">
        <v>85.97</v>
      </c>
      <c r="AO25" s="56">
        <v>110.39</v>
      </c>
      <c r="AP25" s="56">
        <v>95.15</v>
      </c>
      <c r="AQ25" s="56">
        <v>120.79</v>
      </c>
      <c r="AR25" s="56">
        <v>143.85</v>
      </c>
      <c r="AS25" s="56">
        <v>143.41999999999999</v>
      </c>
      <c r="AT25" s="56">
        <v>136.07</v>
      </c>
      <c r="AU25" s="56">
        <v>146.46</v>
      </c>
      <c r="AV25" s="56">
        <v>152.41</v>
      </c>
      <c r="AW25" s="56">
        <v>159.93</v>
      </c>
      <c r="AX25" s="56">
        <v>141.01</v>
      </c>
      <c r="AY25" s="56">
        <v>135.61000000000001</v>
      </c>
      <c r="AZ25" s="56">
        <v>150.96</v>
      </c>
      <c r="BA25" s="56">
        <v>157.94999999999999</v>
      </c>
      <c r="BB25" s="56">
        <v>122.87</v>
      </c>
      <c r="BC25" s="56">
        <v>162.29</v>
      </c>
      <c r="BD25" s="56">
        <v>154.44</v>
      </c>
      <c r="BE25" s="56">
        <v>149.08000000000001</v>
      </c>
      <c r="BF25" s="56">
        <v>155.72</v>
      </c>
      <c r="BG25" s="56">
        <v>160.28</v>
      </c>
      <c r="BH25" s="52">
        <v>122.79</v>
      </c>
      <c r="BI25" s="52">
        <v>121.45</v>
      </c>
      <c r="BJ25" s="52">
        <v>147.12</v>
      </c>
      <c r="BK25" s="52">
        <v>119.45</v>
      </c>
      <c r="BL25" s="52">
        <v>117.86</v>
      </c>
      <c r="BM25" s="52">
        <v>120.33</v>
      </c>
      <c r="BN25" s="52">
        <v>113.16</v>
      </c>
      <c r="BO25" s="52">
        <v>118.76</v>
      </c>
      <c r="BP25" s="52">
        <v>130.51</v>
      </c>
      <c r="BQ25" s="52">
        <v>139.85</v>
      </c>
      <c r="BR25" s="52">
        <v>118.43</v>
      </c>
      <c r="BS25" s="52">
        <v>175.35</v>
      </c>
      <c r="BT25" s="52">
        <v>159.27000000000001</v>
      </c>
      <c r="BU25" s="52">
        <v>157.94</v>
      </c>
      <c r="BV25" s="52">
        <v>163.05000000000001</v>
      </c>
      <c r="BW25" s="52">
        <v>100.97</v>
      </c>
      <c r="BX25" s="52">
        <v>111.23</v>
      </c>
      <c r="BY25" s="52">
        <v>148.99</v>
      </c>
      <c r="BZ25" s="52">
        <v>104.66</v>
      </c>
      <c r="CA25" s="52">
        <v>146.86000000000001</v>
      </c>
      <c r="CB25" s="53">
        <v>177</v>
      </c>
      <c r="CC25" s="52">
        <v>127.53</v>
      </c>
      <c r="CD25" s="52">
        <v>112.64</v>
      </c>
      <c r="CE25" s="52">
        <v>99.97</v>
      </c>
      <c r="CF25" s="52">
        <v>158.47999999999999</v>
      </c>
      <c r="CG25" s="52">
        <v>129.91</v>
      </c>
      <c r="CH25" s="52">
        <v>145.41</v>
      </c>
      <c r="CI25" s="52">
        <v>120.74</v>
      </c>
      <c r="CJ25" s="52">
        <v>112.36</v>
      </c>
      <c r="CK25" s="52">
        <v>97.5</v>
      </c>
      <c r="CL25" s="52">
        <v>110.36</v>
      </c>
      <c r="CM25" s="52">
        <v>157.68</v>
      </c>
      <c r="CN25" s="52">
        <v>127.24</v>
      </c>
      <c r="CO25" s="52">
        <v>129.46</v>
      </c>
      <c r="CP25" s="52">
        <v>106.92</v>
      </c>
      <c r="CQ25" s="52">
        <v>159.03</v>
      </c>
      <c r="CR25" s="52">
        <v>84.4</v>
      </c>
      <c r="CS25" s="52">
        <v>123.67</v>
      </c>
      <c r="CT25" s="52">
        <v>108.9</v>
      </c>
      <c r="CU25" s="52">
        <v>177.66</v>
      </c>
      <c r="CV25" s="52">
        <v>141.28</v>
      </c>
      <c r="CW25" s="52">
        <v>90.17</v>
      </c>
      <c r="CX25" s="52">
        <v>154.69999999999999</v>
      </c>
      <c r="CY25" s="52">
        <v>116.81</v>
      </c>
      <c r="CZ25" s="52">
        <v>0</v>
      </c>
      <c r="DA25" s="52">
        <v>101.31</v>
      </c>
      <c r="DB25" s="52">
        <v>127.04</v>
      </c>
      <c r="DC25" s="52">
        <v>159.09</v>
      </c>
      <c r="DD25" s="52">
        <v>156.1</v>
      </c>
      <c r="DE25" s="52">
        <v>147.82</v>
      </c>
      <c r="DF25" s="52">
        <v>141.9</v>
      </c>
      <c r="DG25" s="52">
        <v>148.88</v>
      </c>
      <c r="DH25" s="52">
        <v>94.3</v>
      </c>
      <c r="DI25" s="52">
        <v>114.18</v>
      </c>
      <c r="DJ25" s="52">
        <v>170.99</v>
      </c>
      <c r="DK25" s="52">
        <v>123.31</v>
      </c>
      <c r="DL25" s="52">
        <v>85.97</v>
      </c>
      <c r="DM25" s="52">
        <v>110.39</v>
      </c>
      <c r="DN25" s="52">
        <v>85.19</v>
      </c>
      <c r="DO25" s="52">
        <v>100.94</v>
      </c>
      <c r="DP25" s="52">
        <v>137.88999999999999</v>
      </c>
      <c r="DQ25" s="52">
        <v>120.79</v>
      </c>
      <c r="DR25" s="52">
        <v>153.30000000000001</v>
      </c>
      <c r="DS25" s="52">
        <v>119.27</v>
      </c>
      <c r="DT25" s="52"/>
      <c r="DU25" s="52">
        <v>140.43</v>
      </c>
      <c r="DV25" s="52">
        <v>162.13</v>
      </c>
      <c r="DW25" s="52">
        <v>124.92</v>
      </c>
      <c r="DX25" s="52">
        <v>154.25</v>
      </c>
      <c r="DY25" s="52">
        <v>164.65</v>
      </c>
      <c r="DZ25" s="52">
        <v>118.78</v>
      </c>
      <c r="EA25" s="52">
        <v>120.07</v>
      </c>
      <c r="EB25" s="52">
        <v>146.46</v>
      </c>
      <c r="EC25" s="52">
        <v>152.41</v>
      </c>
      <c r="ED25" s="52">
        <v>159.93</v>
      </c>
      <c r="EE25" s="52">
        <v>141.01</v>
      </c>
      <c r="EF25" s="52">
        <v>135.61000000000001</v>
      </c>
      <c r="EG25" s="52">
        <v>150.96</v>
      </c>
      <c r="EH25" s="52">
        <v>157.94999999999999</v>
      </c>
      <c r="EI25" s="52">
        <v>159.69999999999999</v>
      </c>
      <c r="EJ25" s="52">
        <v>105.48</v>
      </c>
      <c r="EK25" s="52">
        <v>111.84</v>
      </c>
      <c r="EL25" s="52">
        <v>169.9</v>
      </c>
      <c r="EM25" s="52">
        <v>136.46</v>
      </c>
      <c r="EN25" s="52">
        <v>154.44</v>
      </c>
      <c r="EO25" s="52">
        <v>172.42</v>
      </c>
      <c r="EP25" s="52">
        <v>110.42</v>
      </c>
      <c r="EQ25" s="52">
        <v>144.25</v>
      </c>
      <c r="ER25" s="52">
        <v>155.72</v>
      </c>
      <c r="ES25" s="52">
        <v>160.28</v>
      </c>
      <c r="ET25" s="52">
        <v>136.22999999999999</v>
      </c>
      <c r="EU25" s="52">
        <v>113.96</v>
      </c>
      <c r="EV25" s="52">
        <v>119.95</v>
      </c>
      <c r="EW25" s="52">
        <v>140.13999999999999</v>
      </c>
      <c r="EX25" s="52">
        <v>117.66</v>
      </c>
      <c r="EY25" s="52">
        <v>111.68</v>
      </c>
      <c r="EZ25" s="52">
        <v>126.34</v>
      </c>
      <c r="FA25" s="52">
        <v>119.35</v>
      </c>
      <c r="FB25" s="52">
        <v>112.19</v>
      </c>
      <c r="FC25" s="52">
        <v>128.49</v>
      </c>
      <c r="FD25" s="52">
        <v>131.4</v>
      </c>
      <c r="FE25" s="52">
        <v>147.12</v>
      </c>
      <c r="FF25" s="52"/>
      <c r="FG25" s="52">
        <v>108.87</v>
      </c>
      <c r="FH25" s="52">
        <v>115.41</v>
      </c>
      <c r="FI25" s="52">
        <v>123.14</v>
      </c>
      <c r="FJ25" s="52">
        <v>130.58000000000001</v>
      </c>
      <c r="FK25" s="52">
        <v>126.91</v>
      </c>
      <c r="FL25" s="52">
        <v>107.4</v>
      </c>
      <c r="FM25" s="52">
        <v>119.53</v>
      </c>
      <c r="FN25" s="52">
        <v>115.46</v>
      </c>
      <c r="FO25" s="52">
        <v>147.46</v>
      </c>
      <c r="FP25" s="52">
        <v>92.88</v>
      </c>
      <c r="FQ25" s="52">
        <v>143.96</v>
      </c>
      <c r="FR25" s="52">
        <v>138.47999999999999</v>
      </c>
      <c r="FS25" s="52">
        <v>143.44</v>
      </c>
      <c r="FT25" s="52">
        <v>112.68</v>
      </c>
      <c r="FU25" s="52">
        <v>121.68</v>
      </c>
      <c r="FV25" s="52">
        <v>135.03</v>
      </c>
      <c r="FW25" s="52">
        <v>117.62</v>
      </c>
      <c r="FX25" s="52">
        <v>130.51</v>
      </c>
      <c r="FY25" s="52">
        <v>133.9</v>
      </c>
      <c r="FZ25" s="52">
        <v>140.61000000000001</v>
      </c>
      <c r="GA25" s="52">
        <v>128.07</v>
      </c>
      <c r="GB25" s="52">
        <v>112.76</v>
      </c>
      <c r="GC25" s="52">
        <v>121.33</v>
      </c>
      <c r="GD25" s="52">
        <v>114.37</v>
      </c>
      <c r="GE25" s="52">
        <v>175.35</v>
      </c>
      <c r="GF25" s="52">
        <v>159.27000000000001</v>
      </c>
      <c r="GG25" s="52">
        <v>157.94</v>
      </c>
      <c r="GH25" s="52">
        <v>162.78</v>
      </c>
      <c r="GI25" s="52">
        <v>103.58</v>
      </c>
      <c r="GJ25" s="52">
        <v>96.36</v>
      </c>
      <c r="GK25" s="52">
        <v>105.32</v>
      </c>
      <c r="GL25" s="52">
        <v>117.8</v>
      </c>
      <c r="GM25" s="52">
        <v>111.23</v>
      </c>
      <c r="GN25" s="52">
        <v>148.99</v>
      </c>
      <c r="GO25" s="52">
        <v>105.25</v>
      </c>
      <c r="GP25" s="52">
        <v>104.9</v>
      </c>
      <c r="GQ25" s="52">
        <v>102.91</v>
      </c>
      <c r="GR25" s="52">
        <v>146.86000000000001</v>
      </c>
      <c r="GS25" s="52">
        <v>177</v>
      </c>
      <c r="GT25" s="52">
        <v>127.53</v>
      </c>
      <c r="GU25" s="52">
        <v>112.64</v>
      </c>
      <c r="GV25" s="52">
        <v>99.97</v>
      </c>
      <c r="GW25" s="52">
        <v>156.02000000000001</v>
      </c>
      <c r="GX25" s="52">
        <v>160.46</v>
      </c>
      <c r="GY25" s="52">
        <v>129.91</v>
      </c>
      <c r="GZ25" s="52">
        <v>137.83000000000001</v>
      </c>
      <c r="HA25" s="52">
        <v>154.33000000000001</v>
      </c>
      <c r="HB25" s="52">
        <v>142.94999999999999</v>
      </c>
      <c r="HC25" s="52">
        <v>120.74</v>
      </c>
      <c r="HD25" s="52">
        <v>112.36</v>
      </c>
      <c r="HE25" s="52">
        <v>89.8</v>
      </c>
      <c r="HF25" s="52">
        <v>92.17</v>
      </c>
      <c r="HG25" s="52">
        <v>94.28</v>
      </c>
      <c r="HH25" s="52">
        <v>120.19</v>
      </c>
      <c r="HI25" s="52">
        <v>74.78</v>
      </c>
      <c r="HJ25" s="52">
        <v>110.36</v>
      </c>
      <c r="HK25" s="52">
        <v>157.68</v>
      </c>
      <c r="HL25" s="52">
        <v>117.61</v>
      </c>
      <c r="HM25" s="52">
        <v>138.26</v>
      </c>
      <c r="HN25" s="52">
        <v>133.52000000000001</v>
      </c>
      <c r="HO25" s="52">
        <v>119.21</v>
      </c>
      <c r="HP25" s="52">
        <v>139.22</v>
      </c>
      <c r="HQ25" s="52">
        <v>105.26</v>
      </c>
      <c r="HR25" s="52">
        <v>121.94</v>
      </c>
      <c r="HS25" s="52">
        <v>159.21</v>
      </c>
      <c r="HT25" s="52">
        <v>148.19999999999999</v>
      </c>
      <c r="HU25" s="52">
        <v>84.4</v>
      </c>
      <c r="HV25" s="52">
        <v>123.67</v>
      </c>
      <c r="HW25" s="52">
        <v>115.56</v>
      </c>
      <c r="HX25" s="52">
        <v>94.74</v>
      </c>
      <c r="HY25" s="52">
        <v>177.66</v>
      </c>
      <c r="HZ25" s="52">
        <v>141.28</v>
      </c>
      <c r="IA25" s="52">
        <v>83.44</v>
      </c>
      <c r="IB25" s="52">
        <v>154.69999999999999</v>
      </c>
      <c r="IC25" s="52">
        <v>103.78</v>
      </c>
      <c r="ID25" s="52">
        <v>119.6</v>
      </c>
      <c r="IE25" s="52">
        <v>0</v>
      </c>
      <c r="IF25" s="52">
        <v>101.31</v>
      </c>
      <c r="IG25" s="52">
        <v>127.04</v>
      </c>
      <c r="IH25" s="52">
        <v>159.09</v>
      </c>
      <c r="II25" s="52">
        <v>156.1</v>
      </c>
      <c r="IJ25" s="52">
        <v>147.82</v>
      </c>
      <c r="IK25" s="52">
        <v>147.6</v>
      </c>
      <c r="IL25" s="52">
        <v>127.42</v>
      </c>
      <c r="IM25" s="52">
        <v>152.79</v>
      </c>
      <c r="IN25" s="52">
        <v>143.53</v>
      </c>
      <c r="IO25" s="52">
        <v>136.09</v>
      </c>
      <c r="IP25" s="52">
        <v>94.3</v>
      </c>
      <c r="IQ25" s="52">
        <v>114.18</v>
      </c>
      <c r="IR25" s="52">
        <v>170.99</v>
      </c>
      <c r="IS25" s="52">
        <v>123.31</v>
      </c>
      <c r="IT25" s="52">
        <v>85.97</v>
      </c>
      <c r="IU25" s="52">
        <v>110.39</v>
      </c>
      <c r="IV25" s="52">
        <v>86.97</v>
      </c>
      <c r="IW25" s="52">
        <v>100.94</v>
      </c>
      <c r="IX25" s="52">
        <v>137.88999999999999</v>
      </c>
      <c r="IY25" s="52">
        <v>120.79</v>
      </c>
      <c r="IZ25" s="52">
        <v>153.30000000000001</v>
      </c>
      <c r="JA25" s="52">
        <v>119.27</v>
      </c>
      <c r="JB25" s="52"/>
      <c r="JC25" s="52">
        <v>140.43</v>
      </c>
      <c r="JD25" s="52">
        <v>162.13</v>
      </c>
      <c r="JE25" s="52">
        <v>129.13999999999999</v>
      </c>
      <c r="JF25" s="52">
        <v>123.3</v>
      </c>
      <c r="JG25" s="52">
        <v>154.25</v>
      </c>
      <c r="JH25" s="52">
        <v>164.65</v>
      </c>
      <c r="JI25" s="52">
        <v>118.78</v>
      </c>
      <c r="JJ25" s="52">
        <v>120.07</v>
      </c>
      <c r="JK25" s="52">
        <v>146.46</v>
      </c>
      <c r="JL25" s="52">
        <v>152.41</v>
      </c>
      <c r="JM25" s="52">
        <v>159.93</v>
      </c>
      <c r="JN25" s="52">
        <v>141.01</v>
      </c>
      <c r="JO25" s="52">
        <v>135.61000000000001</v>
      </c>
      <c r="JP25" s="52">
        <v>155.08000000000001</v>
      </c>
      <c r="JQ25" s="52">
        <v>141.44999999999999</v>
      </c>
      <c r="JR25" s="52">
        <v>154.49</v>
      </c>
      <c r="JS25" s="52">
        <v>162.29</v>
      </c>
      <c r="JT25" s="52">
        <v>166.19</v>
      </c>
      <c r="JU25" s="52">
        <v>153.35</v>
      </c>
      <c r="JV25" s="52">
        <v>105.48</v>
      </c>
      <c r="JW25" s="52">
        <v>111.84</v>
      </c>
      <c r="JX25" s="52">
        <v>169.9</v>
      </c>
      <c r="JY25" s="52">
        <v>140.53</v>
      </c>
      <c r="JZ25" s="52">
        <v>128.31</v>
      </c>
      <c r="KA25" s="52">
        <v>154.44</v>
      </c>
      <c r="KB25" s="52">
        <v>172.42</v>
      </c>
      <c r="KC25" s="52">
        <v>110.42</v>
      </c>
      <c r="KD25" s="52">
        <v>144.25</v>
      </c>
      <c r="KE25" s="52">
        <v>155.72</v>
      </c>
      <c r="KF25" s="52">
        <v>160.28</v>
      </c>
    </row>
    <row r="26" spans="1:292" s="41" customFormat="1" ht="12">
      <c r="A26" s="41">
        <v>2006</v>
      </c>
      <c r="B26" s="54" t="s">
        <v>993</v>
      </c>
      <c r="C26" s="55" t="s">
        <v>994</v>
      </c>
      <c r="D26" s="52">
        <v>130.81</v>
      </c>
      <c r="E26" s="52">
        <v>123.95</v>
      </c>
      <c r="F26" s="52">
        <v>163.77000000000001</v>
      </c>
      <c r="G26" s="52">
        <v>105.42</v>
      </c>
      <c r="H26" s="52">
        <v>139.12</v>
      </c>
      <c r="I26" s="52">
        <v>125.11</v>
      </c>
      <c r="J26" s="52">
        <v>120.14</v>
      </c>
      <c r="K26" s="52">
        <v>140.05000000000001</v>
      </c>
      <c r="L26" s="52">
        <v>107.8</v>
      </c>
      <c r="M26" s="52">
        <v>127.39</v>
      </c>
      <c r="N26" s="52">
        <v>151.74</v>
      </c>
      <c r="O26" s="52">
        <v>156.9</v>
      </c>
      <c r="P26" s="52">
        <v>139.99</v>
      </c>
      <c r="Q26" s="52">
        <v>123.52</v>
      </c>
      <c r="R26" s="52">
        <v>130.16999999999999</v>
      </c>
      <c r="S26" s="52">
        <v>172.71</v>
      </c>
      <c r="T26" s="52">
        <v>163.05000000000001</v>
      </c>
      <c r="U26" s="52">
        <v>102.6</v>
      </c>
      <c r="V26" s="52">
        <v>113.6</v>
      </c>
      <c r="W26" s="52">
        <v>181.21</v>
      </c>
      <c r="X26" s="52">
        <v>128.22</v>
      </c>
      <c r="Y26" s="52">
        <v>113.47</v>
      </c>
      <c r="Z26" s="52">
        <v>130.66999999999999</v>
      </c>
      <c r="AA26" s="52">
        <v>144.6</v>
      </c>
      <c r="AB26" s="52">
        <v>113.37</v>
      </c>
      <c r="AC26" s="52">
        <v>103</v>
      </c>
      <c r="AD26" s="52">
        <v>128.33000000000001</v>
      </c>
      <c r="AE26" s="52">
        <v>131.09</v>
      </c>
      <c r="AF26" s="52">
        <v>123.38</v>
      </c>
      <c r="AG26" s="52">
        <v>91.48</v>
      </c>
      <c r="AH26" s="52">
        <v>145.54</v>
      </c>
      <c r="AI26" s="52">
        <v>155.03</v>
      </c>
      <c r="AJ26" s="52">
        <v>115.18</v>
      </c>
      <c r="AK26" s="52">
        <v>150.08000000000001</v>
      </c>
      <c r="AL26" s="52">
        <v>148.97999999999999</v>
      </c>
      <c r="AM26" s="52">
        <v>123.31</v>
      </c>
      <c r="AN26" s="52">
        <v>85.64</v>
      </c>
      <c r="AO26" s="52">
        <v>110.31</v>
      </c>
      <c r="AP26" s="52">
        <v>94.12</v>
      </c>
      <c r="AQ26" s="52">
        <v>123.21</v>
      </c>
      <c r="AR26" s="52">
        <v>145.41999999999999</v>
      </c>
      <c r="AS26" s="52">
        <v>146.57</v>
      </c>
      <c r="AT26" s="52">
        <v>138.51</v>
      </c>
      <c r="AU26" s="52">
        <v>146.36000000000001</v>
      </c>
      <c r="AV26" s="52">
        <v>154.99</v>
      </c>
      <c r="AW26" s="52">
        <v>160.81</v>
      </c>
      <c r="AX26" s="52">
        <v>154.94</v>
      </c>
      <c r="AY26" s="52">
        <v>138.44</v>
      </c>
      <c r="AZ26" s="52">
        <v>152.44</v>
      </c>
      <c r="BA26" s="52">
        <v>162.99</v>
      </c>
      <c r="BB26" s="52">
        <v>124.2</v>
      </c>
      <c r="BC26" s="52">
        <v>157.19999999999999</v>
      </c>
      <c r="BD26" s="52">
        <v>160.72</v>
      </c>
      <c r="BE26" s="52">
        <v>144.81</v>
      </c>
      <c r="BF26" s="52">
        <v>155.72</v>
      </c>
      <c r="BG26" s="52">
        <v>160.4</v>
      </c>
      <c r="BH26" s="52">
        <v>125.02</v>
      </c>
      <c r="BI26" s="52">
        <v>123.91</v>
      </c>
      <c r="BJ26" s="52">
        <v>127.76</v>
      </c>
      <c r="BK26" s="52">
        <v>126.47</v>
      </c>
      <c r="BL26" s="52">
        <v>118.69</v>
      </c>
      <c r="BM26" s="52">
        <v>126.06</v>
      </c>
      <c r="BN26" s="52">
        <v>120.22</v>
      </c>
      <c r="BO26" s="52">
        <v>119.67</v>
      </c>
      <c r="BP26" s="52">
        <v>131.55000000000001</v>
      </c>
      <c r="BQ26" s="52">
        <v>140.25</v>
      </c>
      <c r="BR26" s="52">
        <v>120.03</v>
      </c>
      <c r="BS26" s="52">
        <v>183.9</v>
      </c>
      <c r="BT26" s="52">
        <v>160.72999999999999</v>
      </c>
      <c r="BU26" s="52">
        <v>157.78</v>
      </c>
      <c r="BV26" s="52">
        <v>163.05000000000001</v>
      </c>
      <c r="BW26" s="52">
        <v>101.43</v>
      </c>
      <c r="BX26" s="52">
        <v>112.2</v>
      </c>
      <c r="BY26" s="52">
        <v>149.9</v>
      </c>
      <c r="BZ26" s="52">
        <v>113.36</v>
      </c>
      <c r="CA26" s="52">
        <v>148.47</v>
      </c>
      <c r="CB26" s="53">
        <v>181.21</v>
      </c>
      <c r="CC26" s="52">
        <v>128.22</v>
      </c>
      <c r="CD26" s="52">
        <v>112.63</v>
      </c>
      <c r="CE26" s="52">
        <v>100.03</v>
      </c>
      <c r="CF26" s="52">
        <v>158.52000000000001</v>
      </c>
      <c r="CG26" s="52">
        <v>133.24</v>
      </c>
      <c r="CH26" s="52">
        <v>151.34</v>
      </c>
      <c r="CI26" s="52">
        <v>120.24</v>
      </c>
      <c r="CJ26" s="52">
        <v>113.37</v>
      </c>
      <c r="CK26" s="52">
        <v>96.08</v>
      </c>
      <c r="CL26" s="52">
        <v>112.79</v>
      </c>
      <c r="CM26" s="52">
        <v>159.08000000000001</v>
      </c>
      <c r="CN26" s="52">
        <v>128.33000000000001</v>
      </c>
      <c r="CO26" s="52">
        <v>131.09</v>
      </c>
      <c r="CP26" s="52">
        <v>109.84</v>
      </c>
      <c r="CQ26" s="52">
        <v>161.33000000000001</v>
      </c>
      <c r="CR26" s="52">
        <v>88.18</v>
      </c>
      <c r="CS26" s="52">
        <v>124.3</v>
      </c>
      <c r="CT26" s="52">
        <v>108.87</v>
      </c>
      <c r="CU26" s="52">
        <v>179.58</v>
      </c>
      <c r="CV26" s="52">
        <v>141.30000000000001</v>
      </c>
      <c r="CW26" s="52">
        <v>90.63</v>
      </c>
      <c r="CX26" s="52">
        <v>155.03</v>
      </c>
      <c r="CY26" s="52">
        <v>115.52</v>
      </c>
      <c r="CZ26" s="52">
        <v>0</v>
      </c>
      <c r="DA26" s="52">
        <v>100.29</v>
      </c>
      <c r="DB26" s="52">
        <v>128.35</v>
      </c>
      <c r="DC26" s="52">
        <v>150.24</v>
      </c>
      <c r="DD26" s="52">
        <v>158.22999999999999</v>
      </c>
      <c r="DE26" s="52">
        <v>154.52000000000001</v>
      </c>
      <c r="DF26" s="52">
        <v>143.26</v>
      </c>
      <c r="DG26" s="52">
        <v>151.25</v>
      </c>
      <c r="DH26" s="52">
        <v>94.82</v>
      </c>
      <c r="DI26" s="52">
        <v>114.18</v>
      </c>
      <c r="DJ26" s="52">
        <v>171.88</v>
      </c>
      <c r="DK26" s="52">
        <v>123.31</v>
      </c>
      <c r="DL26" s="52">
        <v>85.64</v>
      </c>
      <c r="DM26" s="52">
        <v>110.31</v>
      </c>
      <c r="DN26" s="52">
        <v>83.91</v>
      </c>
      <c r="DO26" s="52">
        <v>99.98</v>
      </c>
      <c r="DP26" s="52">
        <v>138.77000000000001</v>
      </c>
      <c r="DQ26" s="52">
        <v>123.21</v>
      </c>
      <c r="DR26" s="52">
        <v>155.24</v>
      </c>
      <c r="DS26" s="52">
        <v>120.15</v>
      </c>
      <c r="DT26" s="52"/>
      <c r="DU26" s="52">
        <v>141.59</v>
      </c>
      <c r="DV26" s="52">
        <v>167.53</v>
      </c>
      <c r="DW26" s="52">
        <v>127.69</v>
      </c>
      <c r="DX26" s="52">
        <v>154.25</v>
      </c>
      <c r="DY26" s="52">
        <v>168.97</v>
      </c>
      <c r="DZ26" s="52">
        <v>118.78</v>
      </c>
      <c r="EA26" s="52">
        <v>122.72</v>
      </c>
      <c r="EB26" s="52">
        <v>146.36000000000001</v>
      </c>
      <c r="EC26" s="52">
        <v>154.99</v>
      </c>
      <c r="ED26" s="52">
        <v>160.81</v>
      </c>
      <c r="EE26" s="52">
        <v>154.94</v>
      </c>
      <c r="EF26" s="52">
        <v>138.44</v>
      </c>
      <c r="EG26" s="52">
        <v>152.44</v>
      </c>
      <c r="EH26" s="52">
        <v>162.99</v>
      </c>
      <c r="EI26" s="52">
        <v>161.57</v>
      </c>
      <c r="EJ26" s="52">
        <v>105.81</v>
      </c>
      <c r="EK26" s="52">
        <v>113.03</v>
      </c>
      <c r="EL26" s="52">
        <v>161.36000000000001</v>
      </c>
      <c r="EM26" s="52">
        <v>141.99</v>
      </c>
      <c r="EN26" s="52">
        <v>160.72</v>
      </c>
      <c r="EO26" s="52">
        <v>172.42</v>
      </c>
      <c r="EP26" s="52">
        <v>111.32</v>
      </c>
      <c r="EQ26" s="52">
        <v>136.79</v>
      </c>
      <c r="ER26" s="52">
        <v>155.72</v>
      </c>
      <c r="ES26" s="52">
        <v>160.4</v>
      </c>
      <c r="ET26" s="52">
        <v>136.58000000000001</v>
      </c>
      <c r="EU26" s="52">
        <v>116.18</v>
      </c>
      <c r="EV26" s="52">
        <v>122.23</v>
      </c>
      <c r="EW26" s="52">
        <v>142.88</v>
      </c>
      <c r="EX26" s="52">
        <v>121.37</v>
      </c>
      <c r="EY26" s="52">
        <v>111.47</v>
      </c>
      <c r="EZ26" s="52">
        <v>128.38</v>
      </c>
      <c r="FA26" s="52">
        <v>121.47</v>
      </c>
      <c r="FB26" s="52">
        <v>116.48</v>
      </c>
      <c r="FC26" s="52">
        <v>129.35</v>
      </c>
      <c r="FD26" s="52">
        <v>131.57</v>
      </c>
      <c r="FE26" s="52">
        <v>127.76</v>
      </c>
      <c r="FF26" s="52"/>
      <c r="FG26" s="52">
        <v>109.49</v>
      </c>
      <c r="FH26" s="52">
        <v>115.35</v>
      </c>
      <c r="FI26" s="52">
        <v>122.92</v>
      </c>
      <c r="FJ26" s="52">
        <v>168.24</v>
      </c>
      <c r="FK26" s="52">
        <v>128.41</v>
      </c>
      <c r="FL26" s="52">
        <v>111.18</v>
      </c>
      <c r="FM26" s="52">
        <v>119.52</v>
      </c>
      <c r="FN26" s="52">
        <v>122.3</v>
      </c>
      <c r="FO26" s="52">
        <v>146.83000000000001</v>
      </c>
      <c r="FP26" s="52">
        <v>104.72</v>
      </c>
      <c r="FQ26" s="52">
        <v>134.53</v>
      </c>
      <c r="FR26" s="52">
        <v>137.38999999999999</v>
      </c>
      <c r="FS26" s="52">
        <v>146.41999999999999</v>
      </c>
      <c r="FT26" s="52">
        <v>113.23</v>
      </c>
      <c r="FU26" s="52">
        <v>124.35</v>
      </c>
      <c r="FV26" s="52">
        <v>135.55000000000001</v>
      </c>
      <c r="FW26" s="52">
        <v>118.67</v>
      </c>
      <c r="FX26" s="52">
        <v>131.55000000000001</v>
      </c>
      <c r="FY26" s="52">
        <v>134.04</v>
      </c>
      <c r="FZ26" s="52">
        <v>141.06</v>
      </c>
      <c r="GA26" s="52">
        <v>127.64</v>
      </c>
      <c r="GB26" s="52">
        <v>115.28</v>
      </c>
      <c r="GC26" s="52">
        <v>122.42</v>
      </c>
      <c r="GD26" s="52">
        <v>116.8</v>
      </c>
      <c r="GE26" s="52">
        <v>183.9</v>
      </c>
      <c r="GF26" s="52">
        <v>160.72999999999999</v>
      </c>
      <c r="GG26" s="52">
        <v>157.78</v>
      </c>
      <c r="GH26" s="52">
        <v>162.78</v>
      </c>
      <c r="GI26" s="52">
        <v>103.26</v>
      </c>
      <c r="GJ26" s="52">
        <v>98.64</v>
      </c>
      <c r="GK26" s="52">
        <v>102.84</v>
      </c>
      <c r="GL26" s="52">
        <v>120.08</v>
      </c>
      <c r="GM26" s="52">
        <v>112.2</v>
      </c>
      <c r="GN26" s="52">
        <v>149.9</v>
      </c>
      <c r="GO26" s="52">
        <v>113.87</v>
      </c>
      <c r="GP26" s="52">
        <v>112.65</v>
      </c>
      <c r="GQ26" s="52">
        <v>113.61</v>
      </c>
      <c r="GR26" s="52">
        <v>148.47</v>
      </c>
      <c r="GS26" s="52">
        <v>181.21</v>
      </c>
      <c r="GT26" s="52">
        <v>128.22</v>
      </c>
      <c r="GU26" s="52">
        <v>112.63</v>
      </c>
      <c r="GV26" s="52">
        <v>100.03</v>
      </c>
      <c r="GW26" s="52">
        <v>156.37</v>
      </c>
      <c r="GX26" s="52">
        <v>160.4</v>
      </c>
      <c r="GY26" s="52">
        <v>133.24</v>
      </c>
      <c r="GZ26" s="52">
        <v>138.34</v>
      </c>
      <c r="HA26" s="52">
        <v>155.77000000000001</v>
      </c>
      <c r="HB26" s="52">
        <v>151.97999999999999</v>
      </c>
      <c r="HC26" s="52">
        <v>120.24</v>
      </c>
      <c r="HD26" s="52">
        <v>113.37</v>
      </c>
      <c r="HE26" s="52">
        <v>87.67</v>
      </c>
      <c r="HF26" s="52">
        <v>90.33</v>
      </c>
      <c r="HG26" s="52">
        <v>93.11</v>
      </c>
      <c r="HH26" s="52">
        <v>120.28</v>
      </c>
      <c r="HI26" s="52">
        <v>73.66</v>
      </c>
      <c r="HJ26" s="52">
        <v>112.79</v>
      </c>
      <c r="HK26" s="52">
        <v>159.08000000000001</v>
      </c>
      <c r="HL26" s="52">
        <v>118.13</v>
      </c>
      <c r="HM26" s="52">
        <v>140.08000000000001</v>
      </c>
      <c r="HN26" s="52">
        <v>135</v>
      </c>
      <c r="HO26" s="52">
        <v>119.93</v>
      </c>
      <c r="HP26" s="52">
        <v>141.69999999999999</v>
      </c>
      <c r="HQ26" s="52">
        <v>108.35</v>
      </c>
      <c r="HR26" s="52">
        <v>123.21</v>
      </c>
      <c r="HS26" s="52">
        <v>161.53</v>
      </c>
      <c r="HT26" s="52">
        <v>148.78</v>
      </c>
      <c r="HU26" s="52">
        <v>88.18</v>
      </c>
      <c r="HV26" s="52">
        <v>124.3</v>
      </c>
      <c r="HW26" s="52">
        <v>115.56</v>
      </c>
      <c r="HX26" s="52">
        <v>94.66</v>
      </c>
      <c r="HY26" s="52">
        <v>179.58</v>
      </c>
      <c r="HZ26" s="52">
        <v>141.30000000000001</v>
      </c>
      <c r="IA26" s="52">
        <v>83.64</v>
      </c>
      <c r="IB26" s="52">
        <v>155.03</v>
      </c>
      <c r="IC26" s="52">
        <v>105.24</v>
      </c>
      <c r="ID26" s="52">
        <v>117.59</v>
      </c>
      <c r="IE26" s="52">
        <v>0</v>
      </c>
      <c r="IF26" s="52">
        <v>100.29</v>
      </c>
      <c r="IG26" s="52">
        <v>128.35</v>
      </c>
      <c r="IH26" s="52">
        <v>150.24</v>
      </c>
      <c r="II26" s="52">
        <v>158.22999999999999</v>
      </c>
      <c r="IJ26" s="52">
        <v>154.52000000000001</v>
      </c>
      <c r="IK26" s="52">
        <v>149.51</v>
      </c>
      <c r="IL26" s="52">
        <v>127.42</v>
      </c>
      <c r="IM26" s="52">
        <v>155.80000000000001</v>
      </c>
      <c r="IN26" s="52">
        <v>144.22999999999999</v>
      </c>
      <c r="IO26" s="52">
        <v>136.58000000000001</v>
      </c>
      <c r="IP26" s="52">
        <v>94.82</v>
      </c>
      <c r="IQ26" s="52">
        <v>114.18</v>
      </c>
      <c r="IR26" s="52">
        <v>171.88</v>
      </c>
      <c r="IS26" s="52">
        <v>123.31</v>
      </c>
      <c r="IT26" s="52">
        <v>85.64</v>
      </c>
      <c r="IU26" s="52">
        <v>110.31</v>
      </c>
      <c r="IV26" s="52">
        <v>85.61</v>
      </c>
      <c r="IW26" s="52">
        <v>99.98</v>
      </c>
      <c r="IX26" s="52">
        <v>138.77000000000001</v>
      </c>
      <c r="IY26" s="52">
        <v>123.21</v>
      </c>
      <c r="IZ26" s="52">
        <v>155.24</v>
      </c>
      <c r="JA26" s="52">
        <v>120.15</v>
      </c>
      <c r="JB26" s="52"/>
      <c r="JC26" s="52">
        <v>141.59</v>
      </c>
      <c r="JD26" s="52">
        <v>167.53</v>
      </c>
      <c r="JE26" s="52">
        <v>130.97999999999999</v>
      </c>
      <c r="JF26" s="52">
        <v>126.42</v>
      </c>
      <c r="JG26" s="52">
        <v>154.25</v>
      </c>
      <c r="JH26" s="52">
        <v>168.97</v>
      </c>
      <c r="JI26" s="52">
        <v>118.78</v>
      </c>
      <c r="JJ26" s="52">
        <v>122.72</v>
      </c>
      <c r="JK26" s="52">
        <v>146.36000000000001</v>
      </c>
      <c r="JL26" s="52">
        <v>154.99</v>
      </c>
      <c r="JM26" s="52">
        <v>160.81</v>
      </c>
      <c r="JN26" s="52">
        <v>154.94</v>
      </c>
      <c r="JO26" s="52">
        <v>138.44</v>
      </c>
      <c r="JP26" s="52">
        <v>156.66999999999999</v>
      </c>
      <c r="JQ26" s="52">
        <v>142.65</v>
      </c>
      <c r="JR26" s="52">
        <v>154.87</v>
      </c>
      <c r="JS26" s="52">
        <v>173.61</v>
      </c>
      <c r="JT26" s="52">
        <v>168.45</v>
      </c>
      <c r="JU26" s="52">
        <v>154.85</v>
      </c>
      <c r="JV26" s="52">
        <v>105.81</v>
      </c>
      <c r="JW26" s="52">
        <v>113.03</v>
      </c>
      <c r="JX26" s="52">
        <v>161.36000000000001</v>
      </c>
      <c r="JY26" s="52">
        <v>148.72999999999999</v>
      </c>
      <c r="JZ26" s="52">
        <v>128.77000000000001</v>
      </c>
      <c r="KA26" s="52">
        <v>160.72</v>
      </c>
      <c r="KB26" s="52">
        <v>172.42</v>
      </c>
      <c r="KC26" s="52">
        <v>111.32</v>
      </c>
      <c r="KD26" s="52">
        <v>136.79</v>
      </c>
      <c r="KE26" s="52">
        <v>155.72</v>
      </c>
      <c r="KF26" s="52">
        <v>160.4</v>
      </c>
    </row>
    <row r="27" spans="1:292" s="41" customFormat="1" ht="12">
      <c r="A27" s="41">
        <v>2006</v>
      </c>
      <c r="B27" s="54" t="s">
        <v>995</v>
      </c>
      <c r="C27" s="55" t="s">
        <v>996</v>
      </c>
      <c r="D27" s="56">
        <v>132.47</v>
      </c>
      <c r="E27" s="56">
        <v>124.89</v>
      </c>
      <c r="F27" s="56">
        <v>163.78</v>
      </c>
      <c r="G27" s="56">
        <v>115.61</v>
      </c>
      <c r="H27" s="56">
        <v>140.91</v>
      </c>
      <c r="I27" s="56">
        <v>125.56</v>
      </c>
      <c r="J27" s="56">
        <v>120.39</v>
      </c>
      <c r="K27" s="56">
        <v>140.16</v>
      </c>
      <c r="L27" s="56">
        <v>107.61</v>
      </c>
      <c r="M27" s="56">
        <v>129.29</v>
      </c>
      <c r="N27" s="56">
        <v>151.66999999999999</v>
      </c>
      <c r="O27" s="56">
        <v>158.80000000000001</v>
      </c>
      <c r="P27" s="56">
        <v>139.91</v>
      </c>
      <c r="Q27" s="56">
        <v>124.5</v>
      </c>
      <c r="R27" s="56">
        <v>130.38</v>
      </c>
      <c r="S27" s="56">
        <v>172.8</v>
      </c>
      <c r="T27" s="56">
        <v>163.05000000000001</v>
      </c>
      <c r="U27" s="56">
        <v>112.98</v>
      </c>
      <c r="V27" s="56">
        <v>123.13</v>
      </c>
      <c r="W27" s="56">
        <v>184.22</v>
      </c>
      <c r="X27" s="56">
        <v>128.72</v>
      </c>
      <c r="Y27" s="56">
        <v>114.8</v>
      </c>
      <c r="Z27" s="56">
        <v>132.28</v>
      </c>
      <c r="AA27" s="56">
        <v>144.37</v>
      </c>
      <c r="AB27" s="56">
        <v>114.21</v>
      </c>
      <c r="AC27" s="56">
        <v>103.01</v>
      </c>
      <c r="AD27" s="56">
        <v>129.84</v>
      </c>
      <c r="AE27" s="56">
        <v>133.01</v>
      </c>
      <c r="AF27" s="56">
        <v>124.28</v>
      </c>
      <c r="AG27" s="56">
        <v>91.51</v>
      </c>
      <c r="AH27" s="56">
        <v>146.02000000000001</v>
      </c>
      <c r="AI27" s="56">
        <v>155.34</v>
      </c>
      <c r="AJ27" s="56">
        <v>117.05</v>
      </c>
      <c r="AK27" s="56">
        <v>147.88999999999999</v>
      </c>
      <c r="AL27" s="56">
        <v>150.44999999999999</v>
      </c>
      <c r="AM27" s="56">
        <v>123.31</v>
      </c>
      <c r="AN27" s="56">
        <v>83.91</v>
      </c>
      <c r="AO27" s="56">
        <v>110.39</v>
      </c>
      <c r="AP27" s="56">
        <v>93.32</v>
      </c>
      <c r="AQ27" s="56">
        <v>123.76</v>
      </c>
      <c r="AR27" s="56">
        <v>147.96</v>
      </c>
      <c r="AS27" s="56">
        <v>145.22</v>
      </c>
      <c r="AT27" s="56">
        <v>142.81</v>
      </c>
      <c r="AU27" s="56">
        <v>154.94999999999999</v>
      </c>
      <c r="AV27" s="56">
        <v>155.53</v>
      </c>
      <c r="AW27" s="56">
        <v>161.12</v>
      </c>
      <c r="AX27" s="56">
        <v>155.63999999999999</v>
      </c>
      <c r="AY27" s="56">
        <v>138.88999999999999</v>
      </c>
      <c r="AZ27" s="56">
        <v>154.07</v>
      </c>
      <c r="BA27" s="56">
        <v>165.25</v>
      </c>
      <c r="BB27" s="56">
        <v>124.71</v>
      </c>
      <c r="BC27" s="56">
        <v>155.75</v>
      </c>
      <c r="BD27" s="56">
        <v>162.26</v>
      </c>
      <c r="BE27" s="56">
        <v>146.01</v>
      </c>
      <c r="BF27" s="56">
        <v>155.72</v>
      </c>
      <c r="BG27" s="56">
        <v>160.5</v>
      </c>
      <c r="BH27" s="52">
        <v>126.4</v>
      </c>
      <c r="BI27" s="52">
        <v>126.53</v>
      </c>
      <c r="BJ27" s="52">
        <v>130.6</v>
      </c>
      <c r="BK27" s="52">
        <v>127.57</v>
      </c>
      <c r="BL27" s="52">
        <v>119.28</v>
      </c>
      <c r="BM27" s="52">
        <v>118.62</v>
      </c>
      <c r="BN27" s="52">
        <v>123.92</v>
      </c>
      <c r="BO27" s="52">
        <v>120.63</v>
      </c>
      <c r="BP27" s="52">
        <v>134.63999999999999</v>
      </c>
      <c r="BQ27" s="52">
        <v>140.94</v>
      </c>
      <c r="BR27" s="52">
        <v>119.81</v>
      </c>
      <c r="BS27" s="52">
        <v>183.96</v>
      </c>
      <c r="BT27" s="52">
        <v>161.43</v>
      </c>
      <c r="BU27" s="52">
        <v>157.76</v>
      </c>
      <c r="BV27" s="52">
        <v>163.05000000000001</v>
      </c>
      <c r="BW27" s="52">
        <v>112.43</v>
      </c>
      <c r="BX27" s="52">
        <v>115.52</v>
      </c>
      <c r="BY27" s="52">
        <v>150.65</v>
      </c>
      <c r="BZ27" s="52">
        <v>122.94</v>
      </c>
      <c r="CA27" s="52">
        <v>150.78</v>
      </c>
      <c r="CB27" s="53">
        <v>184.22</v>
      </c>
      <c r="CC27" s="52">
        <v>128.72</v>
      </c>
      <c r="CD27" s="52">
        <v>114.01</v>
      </c>
      <c r="CE27" s="52">
        <v>100.03</v>
      </c>
      <c r="CF27" s="52">
        <v>158.55000000000001</v>
      </c>
      <c r="CG27" s="52">
        <v>140.62</v>
      </c>
      <c r="CH27" s="52">
        <v>151.38</v>
      </c>
      <c r="CI27" s="52">
        <v>119.2</v>
      </c>
      <c r="CJ27" s="52">
        <v>114.21</v>
      </c>
      <c r="CK27" s="52">
        <v>96.04</v>
      </c>
      <c r="CL27" s="52">
        <v>113.18</v>
      </c>
      <c r="CM27" s="52">
        <v>159.08000000000001</v>
      </c>
      <c r="CN27" s="52">
        <v>129.84</v>
      </c>
      <c r="CO27" s="52">
        <v>133.01</v>
      </c>
      <c r="CP27" s="52">
        <v>110.24</v>
      </c>
      <c r="CQ27" s="52">
        <v>163.9</v>
      </c>
      <c r="CR27" s="52">
        <v>88.18</v>
      </c>
      <c r="CS27" s="52">
        <v>125.04</v>
      </c>
      <c r="CT27" s="52">
        <v>108.99</v>
      </c>
      <c r="CU27" s="52">
        <v>180.47</v>
      </c>
      <c r="CV27" s="52">
        <v>141.44</v>
      </c>
      <c r="CW27" s="52">
        <v>90.77</v>
      </c>
      <c r="CX27" s="52">
        <v>155.34</v>
      </c>
      <c r="CY27" s="52">
        <v>117.44</v>
      </c>
      <c r="CZ27" s="52">
        <v>0</v>
      </c>
      <c r="DA27" s="52">
        <v>100.29</v>
      </c>
      <c r="DB27" s="52">
        <v>129.38</v>
      </c>
      <c r="DC27" s="52">
        <v>147.47</v>
      </c>
      <c r="DD27" s="52">
        <v>158.96</v>
      </c>
      <c r="DE27" s="52">
        <v>156.33000000000001</v>
      </c>
      <c r="DF27" s="52">
        <v>144.62</v>
      </c>
      <c r="DG27" s="52">
        <v>152.84</v>
      </c>
      <c r="DH27" s="52">
        <v>94.53</v>
      </c>
      <c r="DI27" s="52">
        <v>114.18</v>
      </c>
      <c r="DJ27" s="52">
        <v>172.41</v>
      </c>
      <c r="DK27" s="52">
        <v>123.31</v>
      </c>
      <c r="DL27" s="52">
        <v>83.91</v>
      </c>
      <c r="DM27" s="52">
        <v>110.39</v>
      </c>
      <c r="DN27" s="52">
        <v>82.74</v>
      </c>
      <c r="DO27" s="52">
        <v>100.26</v>
      </c>
      <c r="DP27" s="52">
        <v>138.88</v>
      </c>
      <c r="DQ27" s="52">
        <v>123.76</v>
      </c>
      <c r="DR27" s="52">
        <v>159.05000000000001</v>
      </c>
      <c r="DS27" s="52">
        <v>120.81</v>
      </c>
      <c r="DT27" s="52"/>
      <c r="DU27" s="52">
        <v>141.82</v>
      </c>
      <c r="DV27" s="52">
        <v>162.63999999999999</v>
      </c>
      <c r="DW27" s="52">
        <v>128.25</v>
      </c>
      <c r="DX27" s="52">
        <v>154.25</v>
      </c>
      <c r="DY27" s="52">
        <v>180.32</v>
      </c>
      <c r="DZ27" s="52">
        <v>118.78</v>
      </c>
      <c r="EA27" s="52">
        <v>123.35</v>
      </c>
      <c r="EB27" s="52">
        <v>154.94999999999999</v>
      </c>
      <c r="EC27" s="52">
        <v>155.53</v>
      </c>
      <c r="ED27" s="52">
        <v>161.12</v>
      </c>
      <c r="EE27" s="52">
        <v>155.63999999999999</v>
      </c>
      <c r="EF27" s="52">
        <v>138.88999999999999</v>
      </c>
      <c r="EG27" s="52">
        <v>154.07</v>
      </c>
      <c r="EH27" s="52">
        <v>165.25</v>
      </c>
      <c r="EI27" s="52">
        <v>163.32</v>
      </c>
      <c r="EJ27" s="52">
        <v>105.92</v>
      </c>
      <c r="EK27" s="52">
        <v>113.19</v>
      </c>
      <c r="EL27" s="52">
        <v>159.22</v>
      </c>
      <c r="EM27" s="52">
        <v>142.69999999999999</v>
      </c>
      <c r="EN27" s="52">
        <v>162.26</v>
      </c>
      <c r="EO27" s="52">
        <v>172.42</v>
      </c>
      <c r="EP27" s="52">
        <v>111.43</v>
      </c>
      <c r="EQ27" s="52">
        <v>138.75</v>
      </c>
      <c r="ER27" s="52">
        <v>155.72</v>
      </c>
      <c r="ES27" s="52">
        <v>160.5</v>
      </c>
      <c r="ET27" s="52">
        <v>137.15</v>
      </c>
      <c r="EU27" s="52">
        <v>116.62</v>
      </c>
      <c r="EV27" s="52">
        <v>123.97</v>
      </c>
      <c r="EW27" s="52">
        <v>144.35</v>
      </c>
      <c r="EX27" s="52">
        <v>123.21</v>
      </c>
      <c r="EY27" s="52">
        <v>111.5</v>
      </c>
      <c r="EZ27" s="52">
        <v>129.88</v>
      </c>
      <c r="FA27" s="52">
        <v>122.61</v>
      </c>
      <c r="FB27" s="52">
        <v>123.17</v>
      </c>
      <c r="FC27" s="52">
        <v>129.52000000000001</v>
      </c>
      <c r="FD27" s="52">
        <v>131.81</v>
      </c>
      <c r="FE27" s="52">
        <v>130.6</v>
      </c>
      <c r="FF27" s="52"/>
      <c r="FG27" s="52">
        <v>113.3</v>
      </c>
      <c r="FH27" s="52">
        <v>118.58</v>
      </c>
      <c r="FI27" s="52">
        <v>125.06</v>
      </c>
      <c r="FJ27" s="52">
        <v>161.49</v>
      </c>
      <c r="FK27" s="52">
        <v>130.05000000000001</v>
      </c>
      <c r="FL27" s="52">
        <v>113.35</v>
      </c>
      <c r="FM27" s="52">
        <v>119.59</v>
      </c>
      <c r="FN27" s="52">
        <v>113.67</v>
      </c>
      <c r="FO27" s="52">
        <v>146.16999999999999</v>
      </c>
      <c r="FP27" s="52">
        <v>110.7</v>
      </c>
      <c r="FQ27" s="52">
        <v>130.6</v>
      </c>
      <c r="FR27" s="52">
        <v>138.56</v>
      </c>
      <c r="FS27" s="52">
        <v>147.53</v>
      </c>
      <c r="FT27" s="52">
        <v>114.73</v>
      </c>
      <c r="FU27" s="52">
        <v>124.56</v>
      </c>
      <c r="FV27" s="52">
        <v>135.72999999999999</v>
      </c>
      <c r="FW27" s="52">
        <v>119.3</v>
      </c>
      <c r="FX27" s="52">
        <v>134.63999999999999</v>
      </c>
      <c r="FY27" s="52">
        <v>135.15</v>
      </c>
      <c r="FZ27" s="52">
        <v>141.71</v>
      </c>
      <c r="GA27" s="52">
        <v>127.82</v>
      </c>
      <c r="GB27" s="52">
        <v>115.23</v>
      </c>
      <c r="GC27" s="52">
        <v>121.81</v>
      </c>
      <c r="GD27" s="52">
        <v>118.19</v>
      </c>
      <c r="GE27" s="52">
        <v>183.96</v>
      </c>
      <c r="GF27" s="52">
        <v>161.43</v>
      </c>
      <c r="GG27" s="52">
        <v>157.76</v>
      </c>
      <c r="GH27" s="52">
        <v>162.78</v>
      </c>
      <c r="GI27" s="52">
        <v>113.64</v>
      </c>
      <c r="GJ27" s="52">
        <v>112.06</v>
      </c>
      <c r="GK27" s="52">
        <v>109.4</v>
      </c>
      <c r="GL27" s="52">
        <v>124.25</v>
      </c>
      <c r="GM27" s="52">
        <v>115.52</v>
      </c>
      <c r="GN27" s="52">
        <v>150.65</v>
      </c>
      <c r="GO27" s="52">
        <v>123.18</v>
      </c>
      <c r="GP27" s="52">
        <v>124.12</v>
      </c>
      <c r="GQ27" s="52">
        <v>120.21</v>
      </c>
      <c r="GR27" s="52">
        <v>150.78</v>
      </c>
      <c r="GS27" s="52">
        <v>184.22</v>
      </c>
      <c r="GT27" s="52">
        <v>128.72</v>
      </c>
      <c r="GU27" s="52">
        <v>114.01</v>
      </c>
      <c r="GV27" s="52">
        <v>100.03</v>
      </c>
      <c r="GW27" s="52">
        <v>156.5</v>
      </c>
      <c r="GX27" s="52">
        <v>160.38999999999999</v>
      </c>
      <c r="GY27" s="52">
        <v>140.62</v>
      </c>
      <c r="GZ27" s="52">
        <v>138.72999999999999</v>
      </c>
      <c r="HA27" s="52">
        <v>155.77000000000001</v>
      </c>
      <c r="HB27" s="52">
        <v>151.97999999999999</v>
      </c>
      <c r="HC27" s="52">
        <v>119.2</v>
      </c>
      <c r="HD27" s="52">
        <v>114.21</v>
      </c>
      <c r="HE27" s="52">
        <v>86.65</v>
      </c>
      <c r="HF27" s="52">
        <v>90.34</v>
      </c>
      <c r="HG27" s="52">
        <v>93.25</v>
      </c>
      <c r="HH27" s="52">
        <v>121.68</v>
      </c>
      <c r="HI27" s="52">
        <v>73.66</v>
      </c>
      <c r="HJ27" s="52">
        <v>113.18</v>
      </c>
      <c r="HK27" s="52">
        <v>159.08000000000001</v>
      </c>
      <c r="HL27" s="52">
        <v>118.94</v>
      </c>
      <c r="HM27" s="52">
        <v>141.96</v>
      </c>
      <c r="HN27" s="52">
        <v>137.07</v>
      </c>
      <c r="HO27" s="52">
        <v>121.49</v>
      </c>
      <c r="HP27" s="52">
        <v>143.97</v>
      </c>
      <c r="HQ27" s="52">
        <v>108.79</v>
      </c>
      <c r="HR27" s="52">
        <v>123.28</v>
      </c>
      <c r="HS27" s="52">
        <v>164.13</v>
      </c>
      <c r="HT27" s="52">
        <v>149.76</v>
      </c>
      <c r="HU27" s="52">
        <v>88.18</v>
      </c>
      <c r="HV27" s="52">
        <v>125.04</v>
      </c>
      <c r="HW27" s="52">
        <v>115.56</v>
      </c>
      <c r="HX27" s="52">
        <v>95.02</v>
      </c>
      <c r="HY27" s="52">
        <v>180.47</v>
      </c>
      <c r="HZ27" s="52">
        <v>141.44</v>
      </c>
      <c r="IA27" s="52">
        <v>83.56</v>
      </c>
      <c r="IB27" s="52">
        <v>155.34</v>
      </c>
      <c r="IC27" s="52">
        <v>107.87</v>
      </c>
      <c r="ID27" s="52">
        <v>119.31</v>
      </c>
      <c r="IE27" s="52">
        <v>0</v>
      </c>
      <c r="IF27" s="52">
        <v>100.29</v>
      </c>
      <c r="IG27" s="52">
        <v>129.38</v>
      </c>
      <c r="IH27" s="52">
        <v>147.47</v>
      </c>
      <c r="II27" s="52">
        <v>158.96</v>
      </c>
      <c r="IJ27" s="52">
        <v>156.33000000000001</v>
      </c>
      <c r="IK27" s="52">
        <v>151.41</v>
      </c>
      <c r="IL27" s="52">
        <v>127.42</v>
      </c>
      <c r="IM27" s="52">
        <v>158.22999999999999</v>
      </c>
      <c r="IN27" s="52">
        <v>144.69</v>
      </c>
      <c r="IO27" s="52">
        <v>135.36000000000001</v>
      </c>
      <c r="IP27" s="52">
        <v>94.53</v>
      </c>
      <c r="IQ27" s="52">
        <v>114.18</v>
      </c>
      <c r="IR27" s="52">
        <v>172.41</v>
      </c>
      <c r="IS27" s="52">
        <v>123.31</v>
      </c>
      <c r="IT27" s="52">
        <v>83.91</v>
      </c>
      <c r="IU27" s="52">
        <v>110.39</v>
      </c>
      <c r="IV27" s="52">
        <v>84.4</v>
      </c>
      <c r="IW27" s="52">
        <v>100.26</v>
      </c>
      <c r="IX27" s="52">
        <v>138.88</v>
      </c>
      <c r="IY27" s="52">
        <v>123.76</v>
      </c>
      <c r="IZ27" s="52">
        <v>159.05000000000001</v>
      </c>
      <c r="JA27" s="52">
        <v>120.81</v>
      </c>
      <c r="JB27" s="52"/>
      <c r="JC27" s="52">
        <v>141.82</v>
      </c>
      <c r="JD27" s="52">
        <v>162.63999999999999</v>
      </c>
      <c r="JE27" s="52">
        <v>131.06</v>
      </c>
      <c r="JF27" s="52">
        <v>127.15</v>
      </c>
      <c r="JG27" s="52">
        <v>154.25</v>
      </c>
      <c r="JH27" s="52">
        <v>180.32</v>
      </c>
      <c r="JI27" s="52">
        <v>118.78</v>
      </c>
      <c r="JJ27" s="52">
        <v>123.35</v>
      </c>
      <c r="JK27" s="52">
        <v>154.94999999999999</v>
      </c>
      <c r="JL27" s="52">
        <v>155.53</v>
      </c>
      <c r="JM27" s="52">
        <v>161.12</v>
      </c>
      <c r="JN27" s="52">
        <v>155.63999999999999</v>
      </c>
      <c r="JO27" s="52">
        <v>138.88999999999999</v>
      </c>
      <c r="JP27" s="52">
        <v>158.78</v>
      </c>
      <c r="JQ27" s="52">
        <v>143.13999999999999</v>
      </c>
      <c r="JR27" s="52">
        <v>155.62</v>
      </c>
      <c r="JS27" s="52">
        <v>177.9</v>
      </c>
      <c r="JT27" s="52">
        <v>169.58</v>
      </c>
      <c r="JU27" s="52">
        <v>157.16</v>
      </c>
      <c r="JV27" s="52">
        <v>105.92</v>
      </c>
      <c r="JW27" s="52">
        <v>113.19</v>
      </c>
      <c r="JX27" s="52">
        <v>159.22</v>
      </c>
      <c r="JY27" s="52">
        <v>149.16999999999999</v>
      </c>
      <c r="JZ27" s="52">
        <v>129.97999999999999</v>
      </c>
      <c r="KA27" s="52">
        <v>162.26</v>
      </c>
      <c r="KB27" s="52">
        <v>172.42</v>
      </c>
      <c r="KC27" s="52">
        <v>111.43</v>
      </c>
      <c r="KD27" s="52">
        <v>138.75</v>
      </c>
      <c r="KE27" s="52">
        <v>155.72</v>
      </c>
      <c r="KF27" s="52">
        <v>160.5</v>
      </c>
    </row>
    <row r="28" spans="1:292" s="41" customFormat="1" ht="12">
      <c r="A28" s="41">
        <v>2006</v>
      </c>
      <c r="B28" s="54" t="s">
        <v>997</v>
      </c>
      <c r="C28" s="55" t="s">
        <v>998</v>
      </c>
      <c r="D28" s="56">
        <v>134.18</v>
      </c>
      <c r="E28" s="56">
        <v>128.28</v>
      </c>
      <c r="F28" s="56">
        <v>163.80000000000001</v>
      </c>
      <c r="G28" s="56">
        <v>121.16</v>
      </c>
      <c r="H28" s="56">
        <v>142.74</v>
      </c>
      <c r="I28" s="56">
        <v>124.96</v>
      </c>
      <c r="J28" s="56">
        <v>120.59</v>
      </c>
      <c r="K28" s="56">
        <v>139.77000000000001</v>
      </c>
      <c r="L28" s="56">
        <v>107.45</v>
      </c>
      <c r="M28" s="56">
        <v>126.89</v>
      </c>
      <c r="N28" s="56">
        <v>151.51</v>
      </c>
      <c r="O28" s="56">
        <v>159.93</v>
      </c>
      <c r="P28" s="56">
        <v>141.04</v>
      </c>
      <c r="Q28" s="56">
        <v>128.07</v>
      </c>
      <c r="R28" s="56">
        <v>130.94999999999999</v>
      </c>
      <c r="S28" s="56">
        <v>173.14</v>
      </c>
      <c r="T28" s="56">
        <v>163.05000000000001</v>
      </c>
      <c r="U28" s="56">
        <v>118.89</v>
      </c>
      <c r="V28" s="56">
        <v>127.53</v>
      </c>
      <c r="W28" s="56">
        <v>186.84</v>
      </c>
      <c r="X28" s="56">
        <v>128.97999999999999</v>
      </c>
      <c r="Y28" s="56">
        <v>115.15</v>
      </c>
      <c r="Z28" s="56">
        <v>134.47</v>
      </c>
      <c r="AA28" s="56">
        <v>140.53</v>
      </c>
      <c r="AB28" s="56">
        <v>114.42</v>
      </c>
      <c r="AC28" s="56">
        <v>104.13</v>
      </c>
      <c r="AD28" s="56">
        <v>131.05000000000001</v>
      </c>
      <c r="AE28" s="56">
        <v>134.41999999999999</v>
      </c>
      <c r="AF28" s="56">
        <v>124.38</v>
      </c>
      <c r="AG28" s="56">
        <v>91.61</v>
      </c>
      <c r="AH28" s="56">
        <v>146.38</v>
      </c>
      <c r="AI28" s="56">
        <v>155.46</v>
      </c>
      <c r="AJ28" s="56">
        <v>116.6</v>
      </c>
      <c r="AK28" s="56">
        <v>146.99</v>
      </c>
      <c r="AL28" s="56">
        <v>150.76</v>
      </c>
      <c r="AM28" s="56">
        <v>123.31</v>
      </c>
      <c r="AN28" s="56">
        <v>82.73</v>
      </c>
      <c r="AO28" s="56">
        <v>110.41</v>
      </c>
      <c r="AP28" s="56">
        <v>91.1</v>
      </c>
      <c r="AQ28" s="56">
        <v>124.14</v>
      </c>
      <c r="AR28" s="56">
        <v>149.5</v>
      </c>
      <c r="AS28" s="56">
        <v>145.88</v>
      </c>
      <c r="AT28" s="56">
        <v>141.55000000000001</v>
      </c>
      <c r="AU28" s="56">
        <v>145.12</v>
      </c>
      <c r="AV28" s="56">
        <v>155.6</v>
      </c>
      <c r="AW28" s="56">
        <v>161.12</v>
      </c>
      <c r="AX28" s="56">
        <v>155.72</v>
      </c>
      <c r="AY28" s="56">
        <v>139.72999999999999</v>
      </c>
      <c r="AZ28" s="56">
        <v>155.68</v>
      </c>
      <c r="BA28" s="56">
        <v>165.7</v>
      </c>
      <c r="BB28" s="56">
        <v>123.35</v>
      </c>
      <c r="BC28" s="56">
        <v>161.29</v>
      </c>
      <c r="BD28" s="56">
        <v>162.12</v>
      </c>
      <c r="BE28" s="56">
        <v>145.81</v>
      </c>
      <c r="BF28" s="56">
        <v>155.72</v>
      </c>
      <c r="BG28" s="56">
        <v>160.51</v>
      </c>
      <c r="BH28" s="52">
        <v>127.94</v>
      </c>
      <c r="BI28" s="52">
        <v>126.77</v>
      </c>
      <c r="BJ28" s="52">
        <v>119.21</v>
      </c>
      <c r="BK28" s="52">
        <v>125.63</v>
      </c>
      <c r="BL28" s="52">
        <v>119.4</v>
      </c>
      <c r="BM28" s="52">
        <v>122.73</v>
      </c>
      <c r="BN28" s="52">
        <v>140.72</v>
      </c>
      <c r="BO28" s="52">
        <v>121.55</v>
      </c>
      <c r="BP28" s="52">
        <v>137.05000000000001</v>
      </c>
      <c r="BQ28" s="52">
        <v>141.38999999999999</v>
      </c>
      <c r="BR28" s="52">
        <v>120.48</v>
      </c>
      <c r="BS28" s="52">
        <v>184</v>
      </c>
      <c r="BT28" s="52">
        <v>162.07</v>
      </c>
      <c r="BU28" s="52">
        <v>158.38999999999999</v>
      </c>
      <c r="BV28" s="52">
        <v>163.05000000000001</v>
      </c>
      <c r="BW28" s="52">
        <v>118.72</v>
      </c>
      <c r="BX28" s="52">
        <v>116.64</v>
      </c>
      <c r="BY28" s="52">
        <v>151.71</v>
      </c>
      <c r="BZ28" s="52">
        <v>127.36</v>
      </c>
      <c r="CA28" s="52">
        <v>152.71</v>
      </c>
      <c r="CB28" s="53">
        <v>186.84</v>
      </c>
      <c r="CC28" s="52">
        <v>128.97999999999999</v>
      </c>
      <c r="CD28" s="52">
        <v>114.37</v>
      </c>
      <c r="CE28" s="52">
        <v>100.03</v>
      </c>
      <c r="CF28" s="52">
        <v>160.81</v>
      </c>
      <c r="CG28" s="52">
        <v>146.82</v>
      </c>
      <c r="CH28" s="52">
        <v>146.54</v>
      </c>
      <c r="CI28" s="52">
        <v>118.53</v>
      </c>
      <c r="CJ28" s="52">
        <v>114.42</v>
      </c>
      <c r="CK28" s="52">
        <v>97.45</v>
      </c>
      <c r="CL28" s="52">
        <v>112.2</v>
      </c>
      <c r="CM28" s="52">
        <v>159.06</v>
      </c>
      <c r="CN28" s="52">
        <v>131.05000000000001</v>
      </c>
      <c r="CO28" s="52">
        <v>134.41999999999999</v>
      </c>
      <c r="CP28" s="52">
        <v>109.95</v>
      </c>
      <c r="CQ28" s="52">
        <v>165.37</v>
      </c>
      <c r="CR28" s="52">
        <v>88.11</v>
      </c>
      <c r="CS28" s="52">
        <v>125.5</v>
      </c>
      <c r="CT28" s="52">
        <v>110.33</v>
      </c>
      <c r="CU28" s="52">
        <v>181.16</v>
      </c>
      <c r="CV28" s="52">
        <v>141.74</v>
      </c>
      <c r="CW28" s="52">
        <v>90.72</v>
      </c>
      <c r="CX28" s="52">
        <v>155.46</v>
      </c>
      <c r="CY28" s="52">
        <v>116.98</v>
      </c>
      <c r="CZ28" s="52">
        <v>0</v>
      </c>
      <c r="DA28" s="52">
        <v>100.29</v>
      </c>
      <c r="DB28" s="52">
        <v>130.49</v>
      </c>
      <c r="DC28" s="52">
        <v>146.38999999999999</v>
      </c>
      <c r="DD28" s="52">
        <v>158.69</v>
      </c>
      <c r="DE28" s="52">
        <v>155.43</v>
      </c>
      <c r="DF28" s="52">
        <v>144.62</v>
      </c>
      <c r="DG28" s="52">
        <v>153.18</v>
      </c>
      <c r="DH28" s="52">
        <v>94.41</v>
      </c>
      <c r="DI28" s="52">
        <v>114.18</v>
      </c>
      <c r="DJ28" s="52">
        <v>172.51</v>
      </c>
      <c r="DK28" s="52">
        <v>123.31</v>
      </c>
      <c r="DL28" s="52">
        <v>82.73</v>
      </c>
      <c r="DM28" s="52">
        <v>110.41</v>
      </c>
      <c r="DN28" s="52">
        <v>80.319999999999993</v>
      </c>
      <c r="DO28" s="52">
        <v>98.42</v>
      </c>
      <c r="DP28" s="52">
        <v>137.96</v>
      </c>
      <c r="DQ28" s="52">
        <v>124.14</v>
      </c>
      <c r="DR28" s="52">
        <v>161.15</v>
      </c>
      <c r="DS28" s="52">
        <v>121.58</v>
      </c>
      <c r="DT28" s="52"/>
      <c r="DU28" s="52">
        <v>142.21</v>
      </c>
      <c r="DV28" s="52">
        <v>162.9</v>
      </c>
      <c r="DW28" s="52">
        <v>129.41999999999999</v>
      </c>
      <c r="DX28" s="52">
        <v>154.25</v>
      </c>
      <c r="DY28" s="52">
        <v>176.59</v>
      </c>
      <c r="DZ28" s="52">
        <v>118.78</v>
      </c>
      <c r="EA28" s="52">
        <v>123.59</v>
      </c>
      <c r="EB28" s="52">
        <v>145.12</v>
      </c>
      <c r="EC28" s="52">
        <v>155.6</v>
      </c>
      <c r="ED28" s="52">
        <v>161.12</v>
      </c>
      <c r="EE28" s="52">
        <v>155.72</v>
      </c>
      <c r="EF28" s="52">
        <v>139.72999999999999</v>
      </c>
      <c r="EG28" s="52">
        <v>155.68</v>
      </c>
      <c r="EH28" s="52">
        <v>165.7</v>
      </c>
      <c r="EI28" s="52">
        <v>164.31</v>
      </c>
      <c r="EJ28" s="52">
        <v>106.02</v>
      </c>
      <c r="EK28" s="52">
        <v>111.13</v>
      </c>
      <c r="EL28" s="52">
        <v>166.15</v>
      </c>
      <c r="EM28" s="52">
        <v>143.91</v>
      </c>
      <c r="EN28" s="52">
        <v>162.12</v>
      </c>
      <c r="EO28" s="52">
        <v>172.43</v>
      </c>
      <c r="EP28" s="52">
        <v>110.49</v>
      </c>
      <c r="EQ28" s="52">
        <v>138.75</v>
      </c>
      <c r="ER28" s="52">
        <v>155.72</v>
      </c>
      <c r="ES28" s="52">
        <v>160.51</v>
      </c>
      <c r="ET28" s="52">
        <v>135.34</v>
      </c>
      <c r="EU28" s="52">
        <v>117.33</v>
      </c>
      <c r="EV28" s="52">
        <v>126.45</v>
      </c>
      <c r="EW28" s="52">
        <v>145.55000000000001</v>
      </c>
      <c r="EX28" s="52">
        <v>123.47</v>
      </c>
      <c r="EY28" s="52">
        <v>111.7</v>
      </c>
      <c r="EZ28" s="52">
        <v>131.06</v>
      </c>
      <c r="FA28" s="52">
        <v>123.31</v>
      </c>
      <c r="FB28" s="52">
        <v>121.13</v>
      </c>
      <c r="FC28" s="52">
        <v>130.22999999999999</v>
      </c>
      <c r="FD28" s="52">
        <v>133.18</v>
      </c>
      <c r="FE28" s="52">
        <v>119.21</v>
      </c>
      <c r="FF28" s="52"/>
      <c r="FG28" s="52">
        <v>118.65</v>
      </c>
      <c r="FH28" s="52">
        <v>119.15</v>
      </c>
      <c r="FI28" s="52">
        <v>127.97</v>
      </c>
      <c r="FJ28" s="52">
        <v>137.24</v>
      </c>
      <c r="FK28" s="52">
        <v>132.25</v>
      </c>
      <c r="FL28" s="52">
        <v>113.55</v>
      </c>
      <c r="FM28" s="52">
        <v>119.49</v>
      </c>
      <c r="FN28" s="52">
        <v>118.23</v>
      </c>
      <c r="FO28" s="52">
        <v>147.76</v>
      </c>
      <c r="FP28" s="52">
        <v>135.38</v>
      </c>
      <c r="FQ28" s="52">
        <v>131.38</v>
      </c>
      <c r="FR28" s="52">
        <v>139.09</v>
      </c>
      <c r="FS28" s="52">
        <v>150.15</v>
      </c>
      <c r="FT28" s="52">
        <v>115.18</v>
      </c>
      <c r="FU28" s="52">
        <v>127.22</v>
      </c>
      <c r="FV28" s="52">
        <v>136.66</v>
      </c>
      <c r="FW28" s="52">
        <v>119.89</v>
      </c>
      <c r="FX28" s="52">
        <v>137.05000000000001</v>
      </c>
      <c r="FY28" s="52">
        <v>136.81</v>
      </c>
      <c r="FZ28" s="52">
        <v>142.03</v>
      </c>
      <c r="GA28" s="52">
        <v>128.06</v>
      </c>
      <c r="GB28" s="52">
        <v>116.03</v>
      </c>
      <c r="GC28" s="52">
        <v>122.41</v>
      </c>
      <c r="GD28" s="52">
        <v>118.93</v>
      </c>
      <c r="GE28" s="52">
        <v>184</v>
      </c>
      <c r="GF28" s="52">
        <v>162.07</v>
      </c>
      <c r="GG28" s="52">
        <v>158.38999999999999</v>
      </c>
      <c r="GH28" s="52">
        <v>162.78</v>
      </c>
      <c r="GI28" s="52">
        <v>119.95</v>
      </c>
      <c r="GJ28" s="52">
        <v>118.61</v>
      </c>
      <c r="GK28" s="52">
        <v>115.1</v>
      </c>
      <c r="GL28" s="52">
        <v>127.69</v>
      </c>
      <c r="GM28" s="52">
        <v>116.64</v>
      </c>
      <c r="GN28" s="52">
        <v>151.71</v>
      </c>
      <c r="GO28" s="52">
        <v>126.38</v>
      </c>
      <c r="GP28" s="52">
        <v>130.51</v>
      </c>
      <c r="GQ28" s="52">
        <v>123.62</v>
      </c>
      <c r="GR28" s="52">
        <v>152.71</v>
      </c>
      <c r="GS28" s="52">
        <v>186.84</v>
      </c>
      <c r="GT28" s="52">
        <v>128.97999999999999</v>
      </c>
      <c r="GU28" s="52">
        <v>114.37</v>
      </c>
      <c r="GV28" s="52">
        <v>100.03</v>
      </c>
      <c r="GW28" s="52">
        <v>165.28</v>
      </c>
      <c r="GX28" s="52">
        <v>160.30000000000001</v>
      </c>
      <c r="GY28" s="52">
        <v>146.82</v>
      </c>
      <c r="GZ28" s="52">
        <v>139.04</v>
      </c>
      <c r="HA28" s="52">
        <v>150.5</v>
      </c>
      <c r="HB28" s="52">
        <v>146.51</v>
      </c>
      <c r="HC28" s="52">
        <v>118.53</v>
      </c>
      <c r="HD28" s="52">
        <v>114.42</v>
      </c>
      <c r="HE28" s="52">
        <v>88.68</v>
      </c>
      <c r="HF28" s="52">
        <v>91.57</v>
      </c>
      <c r="HG28" s="52">
        <v>93.65</v>
      </c>
      <c r="HH28" s="52">
        <v>123.16</v>
      </c>
      <c r="HI28" s="52">
        <v>74.13</v>
      </c>
      <c r="HJ28" s="52">
        <v>112.2</v>
      </c>
      <c r="HK28" s="52">
        <v>159.06</v>
      </c>
      <c r="HL28" s="52">
        <v>119.44</v>
      </c>
      <c r="HM28" s="52">
        <v>142.44</v>
      </c>
      <c r="HN28" s="52">
        <v>139.01</v>
      </c>
      <c r="HO28" s="52">
        <v>122.39</v>
      </c>
      <c r="HP28" s="52">
        <v>145.85</v>
      </c>
      <c r="HQ28" s="52">
        <v>108.38</v>
      </c>
      <c r="HR28" s="52">
        <v>124.14</v>
      </c>
      <c r="HS28" s="52">
        <v>165.6</v>
      </c>
      <c r="HT28" s="52">
        <v>150.55000000000001</v>
      </c>
      <c r="HU28" s="52">
        <v>88.11</v>
      </c>
      <c r="HV28" s="52">
        <v>125.5</v>
      </c>
      <c r="HW28" s="52">
        <v>117.77</v>
      </c>
      <c r="HX28" s="52">
        <v>94.62</v>
      </c>
      <c r="HY28" s="52">
        <v>181.16</v>
      </c>
      <c r="HZ28" s="52">
        <v>141.74</v>
      </c>
      <c r="IA28" s="52">
        <v>83.56</v>
      </c>
      <c r="IB28" s="52">
        <v>155.46</v>
      </c>
      <c r="IC28" s="52">
        <v>107.41</v>
      </c>
      <c r="ID28" s="52">
        <v>118.85</v>
      </c>
      <c r="IE28" s="52">
        <v>0</v>
      </c>
      <c r="IF28" s="52">
        <v>100.29</v>
      </c>
      <c r="IG28" s="52">
        <v>130.49</v>
      </c>
      <c r="IH28" s="52">
        <v>146.38999999999999</v>
      </c>
      <c r="II28" s="52">
        <v>158.69</v>
      </c>
      <c r="IJ28" s="52">
        <v>155.43</v>
      </c>
      <c r="IK28" s="52">
        <v>151.41</v>
      </c>
      <c r="IL28" s="52">
        <v>127.42</v>
      </c>
      <c r="IM28" s="52">
        <v>158.91999999999999</v>
      </c>
      <c r="IN28" s="52">
        <v>146.26</v>
      </c>
      <c r="IO28" s="52">
        <v>134</v>
      </c>
      <c r="IP28" s="52">
        <v>94.41</v>
      </c>
      <c r="IQ28" s="52">
        <v>114.18</v>
      </c>
      <c r="IR28" s="52">
        <v>172.51</v>
      </c>
      <c r="IS28" s="52">
        <v>123.31</v>
      </c>
      <c r="IT28" s="52">
        <v>82.73</v>
      </c>
      <c r="IU28" s="52">
        <v>110.41</v>
      </c>
      <c r="IV28" s="52">
        <v>81.72</v>
      </c>
      <c r="IW28" s="52">
        <v>98.42</v>
      </c>
      <c r="IX28" s="52">
        <v>137.96</v>
      </c>
      <c r="IY28" s="52">
        <v>124.14</v>
      </c>
      <c r="IZ28" s="52">
        <v>161.15</v>
      </c>
      <c r="JA28" s="52">
        <v>121.58</v>
      </c>
      <c r="JB28" s="52"/>
      <c r="JC28" s="52">
        <v>142.21</v>
      </c>
      <c r="JD28" s="52">
        <v>162.9</v>
      </c>
      <c r="JE28" s="52">
        <v>131.68</v>
      </c>
      <c r="JF28" s="52">
        <v>128.53</v>
      </c>
      <c r="JG28" s="52">
        <v>154.25</v>
      </c>
      <c r="JH28" s="52">
        <v>176.59</v>
      </c>
      <c r="JI28" s="52">
        <v>118.78</v>
      </c>
      <c r="JJ28" s="52">
        <v>123.59</v>
      </c>
      <c r="JK28" s="52">
        <v>145.12</v>
      </c>
      <c r="JL28" s="52">
        <v>155.6</v>
      </c>
      <c r="JM28" s="52">
        <v>161.12</v>
      </c>
      <c r="JN28" s="52">
        <v>155.72</v>
      </c>
      <c r="JO28" s="52">
        <v>139.72999999999999</v>
      </c>
      <c r="JP28" s="52">
        <v>160.78</v>
      </c>
      <c r="JQ28" s="52">
        <v>143.83000000000001</v>
      </c>
      <c r="JR28" s="52">
        <v>156.47</v>
      </c>
      <c r="JS28" s="52">
        <v>177.81</v>
      </c>
      <c r="JT28" s="52">
        <v>171.65</v>
      </c>
      <c r="JU28" s="52">
        <v>157.16999999999999</v>
      </c>
      <c r="JV28" s="52">
        <v>106.02</v>
      </c>
      <c r="JW28" s="52">
        <v>111.13</v>
      </c>
      <c r="JX28" s="52">
        <v>166.15</v>
      </c>
      <c r="JY28" s="52">
        <v>149.07</v>
      </c>
      <c r="JZ28" s="52">
        <v>133.68</v>
      </c>
      <c r="KA28" s="52">
        <v>162.12</v>
      </c>
      <c r="KB28" s="52">
        <v>172.43</v>
      </c>
      <c r="KC28" s="52">
        <v>110.49</v>
      </c>
      <c r="KD28" s="52">
        <v>138.75</v>
      </c>
      <c r="KE28" s="52">
        <v>155.72</v>
      </c>
      <c r="KF28" s="52">
        <v>160.51</v>
      </c>
    </row>
    <row r="29" spans="1:292" s="41" customFormat="1" ht="12">
      <c r="A29" s="41">
        <v>2006</v>
      </c>
      <c r="B29" s="54" t="s">
        <v>999</v>
      </c>
      <c r="C29" s="55" t="s">
        <v>1000</v>
      </c>
      <c r="D29" s="56">
        <v>134.49</v>
      </c>
      <c r="E29" s="56">
        <v>129.05000000000001</v>
      </c>
      <c r="F29" s="56">
        <v>163.82</v>
      </c>
      <c r="G29" s="56">
        <v>118.74</v>
      </c>
      <c r="H29" s="56">
        <v>143.76</v>
      </c>
      <c r="I29" s="56">
        <v>125.13</v>
      </c>
      <c r="J29" s="56">
        <v>120.61</v>
      </c>
      <c r="K29" s="56">
        <v>140.27000000000001</v>
      </c>
      <c r="L29" s="56">
        <v>107.3</v>
      </c>
      <c r="M29" s="56">
        <v>128.41</v>
      </c>
      <c r="N29" s="56">
        <v>151.56</v>
      </c>
      <c r="O29" s="56">
        <v>160.41999999999999</v>
      </c>
      <c r="P29" s="56">
        <v>140.87</v>
      </c>
      <c r="Q29" s="56">
        <v>128.83000000000001</v>
      </c>
      <c r="R29" s="56">
        <v>131.83000000000001</v>
      </c>
      <c r="S29" s="56">
        <v>173.42</v>
      </c>
      <c r="T29" s="56">
        <v>163.05000000000001</v>
      </c>
      <c r="U29" s="56">
        <v>116.12</v>
      </c>
      <c r="V29" s="56">
        <v>126.2</v>
      </c>
      <c r="W29" s="56">
        <v>188.92</v>
      </c>
      <c r="X29" s="56">
        <v>129.47</v>
      </c>
      <c r="Y29" s="56">
        <v>115.29</v>
      </c>
      <c r="Z29" s="56">
        <v>135.4</v>
      </c>
      <c r="AA29" s="56">
        <v>141.18</v>
      </c>
      <c r="AB29" s="56">
        <v>114.61</v>
      </c>
      <c r="AC29" s="56">
        <v>103.22</v>
      </c>
      <c r="AD29" s="56">
        <v>132.11000000000001</v>
      </c>
      <c r="AE29" s="56">
        <v>135.30000000000001</v>
      </c>
      <c r="AF29" s="56">
        <v>124.71</v>
      </c>
      <c r="AG29" s="56">
        <v>91.61</v>
      </c>
      <c r="AH29" s="56">
        <v>146.51</v>
      </c>
      <c r="AI29" s="56">
        <v>155.12</v>
      </c>
      <c r="AJ29" s="56">
        <v>112.62</v>
      </c>
      <c r="AK29" s="56">
        <v>148.32</v>
      </c>
      <c r="AL29" s="56">
        <v>154.19</v>
      </c>
      <c r="AM29" s="56">
        <v>123.31</v>
      </c>
      <c r="AN29" s="56">
        <v>81.64</v>
      </c>
      <c r="AO29" s="56">
        <v>110.42</v>
      </c>
      <c r="AP29" s="56">
        <v>90.54</v>
      </c>
      <c r="AQ29" s="56">
        <v>124.32</v>
      </c>
      <c r="AR29" s="56">
        <v>150.13999999999999</v>
      </c>
      <c r="AS29" s="56">
        <v>146.53</v>
      </c>
      <c r="AT29" s="56">
        <v>141.53</v>
      </c>
      <c r="AU29" s="56">
        <v>155.16</v>
      </c>
      <c r="AV29" s="56">
        <v>155.61000000000001</v>
      </c>
      <c r="AW29" s="56">
        <v>161.12</v>
      </c>
      <c r="AX29" s="56">
        <v>155.74</v>
      </c>
      <c r="AY29" s="56">
        <v>140.07</v>
      </c>
      <c r="AZ29" s="56">
        <v>156.56</v>
      </c>
      <c r="BA29" s="56">
        <v>165.66</v>
      </c>
      <c r="BB29" s="56">
        <v>123.79</v>
      </c>
      <c r="BC29" s="56">
        <v>159.62</v>
      </c>
      <c r="BD29" s="56">
        <v>162.47</v>
      </c>
      <c r="BE29" s="56">
        <v>147.38999999999999</v>
      </c>
      <c r="BF29" s="56">
        <v>155.72</v>
      </c>
      <c r="BG29" s="56">
        <v>160.54</v>
      </c>
      <c r="BH29" s="52">
        <v>128.9</v>
      </c>
      <c r="BI29" s="52">
        <v>124.4</v>
      </c>
      <c r="BJ29" s="52">
        <v>122.07</v>
      </c>
      <c r="BK29" s="52">
        <v>130.16999999999999</v>
      </c>
      <c r="BL29" s="52">
        <v>118.07</v>
      </c>
      <c r="BM29" s="52">
        <v>112.19</v>
      </c>
      <c r="BN29" s="52">
        <v>149.12</v>
      </c>
      <c r="BO29" s="52">
        <v>121.86</v>
      </c>
      <c r="BP29" s="52">
        <v>138.38</v>
      </c>
      <c r="BQ29" s="52">
        <v>141.99</v>
      </c>
      <c r="BR29" s="52">
        <v>121.6</v>
      </c>
      <c r="BS29" s="52">
        <v>184.01</v>
      </c>
      <c r="BT29" s="52">
        <v>163.81</v>
      </c>
      <c r="BU29" s="52">
        <v>158.6</v>
      </c>
      <c r="BV29" s="52">
        <v>163.05000000000001</v>
      </c>
      <c r="BW29" s="52">
        <v>115.72</v>
      </c>
      <c r="BX29" s="52">
        <v>116.63</v>
      </c>
      <c r="BY29" s="52">
        <v>152.25</v>
      </c>
      <c r="BZ29" s="52">
        <v>126.02</v>
      </c>
      <c r="CA29" s="52">
        <v>153.19</v>
      </c>
      <c r="CB29" s="53">
        <v>188.92</v>
      </c>
      <c r="CC29" s="52">
        <v>129.47</v>
      </c>
      <c r="CD29" s="52">
        <v>114.52</v>
      </c>
      <c r="CE29" s="52">
        <v>100.03</v>
      </c>
      <c r="CF29" s="52">
        <v>160.81</v>
      </c>
      <c r="CG29" s="52">
        <v>151.12</v>
      </c>
      <c r="CH29" s="52">
        <v>146.54</v>
      </c>
      <c r="CI29" s="52">
        <v>121.13</v>
      </c>
      <c r="CJ29" s="52">
        <v>114.61</v>
      </c>
      <c r="CK29" s="52">
        <v>96.57</v>
      </c>
      <c r="CL29" s="52">
        <v>110.64</v>
      </c>
      <c r="CM29" s="52">
        <v>159.06</v>
      </c>
      <c r="CN29" s="52">
        <v>132.11000000000001</v>
      </c>
      <c r="CO29" s="52">
        <v>135.30000000000001</v>
      </c>
      <c r="CP29" s="52">
        <v>110.1</v>
      </c>
      <c r="CQ29" s="52">
        <v>166.28</v>
      </c>
      <c r="CR29" s="52">
        <v>88.02</v>
      </c>
      <c r="CS29" s="52">
        <v>125.84</v>
      </c>
      <c r="CT29" s="52">
        <v>110.99</v>
      </c>
      <c r="CU29" s="52">
        <v>181.37</v>
      </c>
      <c r="CV29" s="52">
        <v>141.93</v>
      </c>
      <c r="CW29" s="52">
        <v>90.71</v>
      </c>
      <c r="CX29" s="52">
        <v>155.12</v>
      </c>
      <c r="CY29" s="52">
        <v>112.9</v>
      </c>
      <c r="CZ29" s="52">
        <v>0</v>
      </c>
      <c r="DA29" s="52">
        <v>100.29</v>
      </c>
      <c r="DB29" s="52">
        <v>131.21</v>
      </c>
      <c r="DC29" s="52">
        <v>147.84</v>
      </c>
      <c r="DD29" s="52">
        <v>159.41999999999999</v>
      </c>
      <c r="DE29" s="52">
        <v>155.56</v>
      </c>
      <c r="DF29" s="52">
        <v>144.62</v>
      </c>
      <c r="DG29" s="52">
        <v>156.79</v>
      </c>
      <c r="DH29" s="52">
        <v>94.55</v>
      </c>
      <c r="DI29" s="52">
        <v>121.76</v>
      </c>
      <c r="DJ29" s="52">
        <v>174.56</v>
      </c>
      <c r="DK29" s="52">
        <v>123.31</v>
      </c>
      <c r="DL29" s="52">
        <v>81.64</v>
      </c>
      <c r="DM29" s="52">
        <v>110.42</v>
      </c>
      <c r="DN29" s="52">
        <v>80.42</v>
      </c>
      <c r="DO29" s="52">
        <v>95.34</v>
      </c>
      <c r="DP29" s="52">
        <v>137.65</v>
      </c>
      <c r="DQ29" s="52">
        <v>124.32</v>
      </c>
      <c r="DR29" s="52">
        <v>161.82</v>
      </c>
      <c r="DS29" s="52">
        <v>122.15</v>
      </c>
      <c r="DT29" s="52"/>
      <c r="DU29" s="52">
        <v>142.83000000000001</v>
      </c>
      <c r="DV29" s="52">
        <v>165.02</v>
      </c>
      <c r="DW29" s="52">
        <v>129.30000000000001</v>
      </c>
      <c r="DX29" s="52">
        <v>154.25</v>
      </c>
      <c r="DY29" s="52">
        <v>176.33</v>
      </c>
      <c r="DZ29" s="52">
        <v>118.78</v>
      </c>
      <c r="EA29" s="52">
        <v>123.82</v>
      </c>
      <c r="EB29" s="52">
        <v>155.16</v>
      </c>
      <c r="EC29" s="52">
        <v>155.61000000000001</v>
      </c>
      <c r="ED29" s="52">
        <v>161.12</v>
      </c>
      <c r="EE29" s="52">
        <v>155.74</v>
      </c>
      <c r="EF29" s="52">
        <v>140.07</v>
      </c>
      <c r="EG29" s="52">
        <v>156.56</v>
      </c>
      <c r="EH29" s="52">
        <v>165.66</v>
      </c>
      <c r="EI29" s="52">
        <v>165.1</v>
      </c>
      <c r="EJ29" s="52">
        <v>106.16</v>
      </c>
      <c r="EK29" s="52">
        <v>111.47</v>
      </c>
      <c r="EL29" s="52">
        <v>163.87</v>
      </c>
      <c r="EM29" s="52">
        <v>144.11000000000001</v>
      </c>
      <c r="EN29" s="52">
        <v>162.47</v>
      </c>
      <c r="EO29" s="52">
        <v>172.43</v>
      </c>
      <c r="EP29" s="52">
        <v>109.61</v>
      </c>
      <c r="EQ29" s="52">
        <v>141.69999999999999</v>
      </c>
      <c r="ER29" s="52">
        <v>155.72</v>
      </c>
      <c r="ES29" s="52">
        <v>160.54</v>
      </c>
      <c r="ET29" s="52">
        <v>134.99</v>
      </c>
      <c r="EU29" s="52">
        <v>117.22</v>
      </c>
      <c r="EV29" s="52">
        <v>128.19</v>
      </c>
      <c r="EW29" s="52">
        <v>145.82</v>
      </c>
      <c r="EX29" s="52">
        <v>123.51</v>
      </c>
      <c r="EY29" s="52">
        <v>111.54</v>
      </c>
      <c r="EZ29" s="52">
        <v>129.81</v>
      </c>
      <c r="FA29" s="52">
        <v>123.34</v>
      </c>
      <c r="FB29" s="52">
        <v>113.55</v>
      </c>
      <c r="FC29" s="52">
        <v>130.69</v>
      </c>
      <c r="FD29" s="52">
        <v>133.79</v>
      </c>
      <c r="FE29" s="52">
        <v>122.07</v>
      </c>
      <c r="FF29" s="52"/>
      <c r="FG29" s="52">
        <v>122.26</v>
      </c>
      <c r="FH29" s="52">
        <v>120.16</v>
      </c>
      <c r="FI29" s="52">
        <v>129.4</v>
      </c>
      <c r="FJ29" s="52">
        <v>153.02000000000001</v>
      </c>
      <c r="FK29" s="52">
        <v>132.16</v>
      </c>
      <c r="FL29" s="52">
        <v>114.9</v>
      </c>
      <c r="FM29" s="52">
        <v>117.34</v>
      </c>
      <c r="FN29" s="52">
        <v>105.52</v>
      </c>
      <c r="FO29" s="52">
        <v>149.6</v>
      </c>
      <c r="FP29" s="52">
        <v>147.68</v>
      </c>
      <c r="FQ29" s="52">
        <v>133.09</v>
      </c>
      <c r="FR29" s="52">
        <v>140.24</v>
      </c>
      <c r="FS29" s="52">
        <v>150.36000000000001</v>
      </c>
      <c r="FT29" s="52">
        <v>114.48</v>
      </c>
      <c r="FU29" s="52">
        <v>130.61000000000001</v>
      </c>
      <c r="FV29" s="52">
        <v>137.41999999999999</v>
      </c>
      <c r="FW29" s="52">
        <v>120.07</v>
      </c>
      <c r="FX29" s="52">
        <v>138.38</v>
      </c>
      <c r="FY29" s="52">
        <v>137.22999999999999</v>
      </c>
      <c r="FZ29" s="52">
        <v>142.66</v>
      </c>
      <c r="GA29" s="52">
        <v>128.08000000000001</v>
      </c>
      <c r="GB29" s="52">
        <v>117</v>
      </c>
      <c r="GC29" s="52">
        <v>123.52</v>
      </c>
      <c r="GD29" s="52">
        <v>120.35</v>
      </c>
      <c r="GE29" s="52">
        <v>184.01</v>
      </c>
      <c r="GF29" s="52">
        <v>163.81</v>
      </c>
      <c r="GG29" s="52">
        <v>158.6</v>
      </c>
      <c r="GH29" s="52">
        <v>162.78</v>
      </c>
      <c r="GI29" s="52">
        <v>117.09</v>
      </c>
      <c r="GJ29" s="52">
        <v>115.26</v>
      </c>
      <c r="GK29" s="52">
        <v>112.54</v>
      </c>
      <c r="GL29" s="52">
        <v>126.76</v>
      </c>
      <c r="GM29" s="52">
        <v>116.63</v>
      </c>
      <c r="GN29" s="52">
        <v>152.25</v>
      </c>
      <c r="GO29" s="52">
        <v>124.99</v>
      </c>
      <c r="GP29" s="52">
        <v>129.01</v>
      </c>
      <c r="GQ29" s="52">
        <v>122.72</v>
      </c>
      <c r="GR29" s="52">
        <v>153.19</v>
      </c>
      <c r="GS29" s="52">
        <v>188.92</v>
      </c>
      <c r="GT29" s="52">
        <v>129.47</v>
      </c>
      <c r="GU29" s="52">
        <v>114.52</v>
      </c>
      <c r="GV29" s="52">
        <v>100.03</v>
      </c>
      <c r="GW29" s="52">
        <v>165.03</v>
      </c>
      <c r="GX29" s="52">
        <v>160.38999999999999</v>
      </c>
      <c r="GY29" s="52">
        <v>151.12</v>
      </c>
      <c r="GZ29" s="52">
        <v>139.06</v>
      </c>
      <c r="HA29" s="52">
        <v>150.5</v>
      </c>
      <c r="HB29" s="52">
        <v>146.51</v>
      </c>
      <c r="HC29" s="52">
        <v>121.13</v>
      </c>
      <c r="HD29" s="52">
        <v>114.61</v>
      </c>
      <c r="HE29" s="52">
        <v>87.84</v>
      </c>
      <c r="HF29" s="52">
        <v>90.82</v>
      </c>
      <c r="HG29" s="52">
        <v>92.43</v>
      </c>
      <c r="HH29" s="52">
        <v>122.39</v>
      </c>
      <c r="HI29" s="52">
        <v>73.12</v>
      </c>
      <c r="HJ29" s="52">
        <v>110.64</v>
      </c>
      <c r="HK29" s="52">
        <v>159.06</v>
      </c>
      <c r="HL29" s="52">
        <v>119.86</v>
      </c>
      <c r="HM29" s="52">
        <v>145.9</v>
      </c>
      <c r="HN29" s="52">
        <v>140.25</v>
      </c>
      <c r="HO29" s="52">
        <v>123.18</v>
      </c>
      <c r="HP29" s="52">
        <v>146.82</v>
      </c>
      <c r="HQ29" s="52">
        <v>108.41</v>
      </c>
      <c r="HR29" s="52">
        <v>125.43</v>
      </c>
      <c r="HS29" s="52">
        <v>166.52</v>
      </c>
      <c r="HT29" s="52">
        <v>150.77000000000001</v>
      </c>
      <c r="HU29" s="52">
        <v>88.02</v>
      </c>
      <c r="HV29" s="52">
        <v>125.84</v>
      </c>
      <c r="HW29" s="52">
        <v>119.32</v>
      </c>
      <c r="HX29" s="52">
        <v>93.53</v>
      </c>
      <c r="HY29" s="52">
        <v>181.37</v>
      </c>
      <c r="HZ29" s="52">
        <v>141.93</v>
      </c>
      <c r="IA29" s="52">
        <v>83.38</v>
      </c>
      <c r="IB29" s="52">
        <v>155.12</v>
      </c>
      <c r="IC29" s="52">
        <v>103.73</v>
      </c>
      <c r="ID29" s="52">
        <v>114.68</v>
      </c>
      <c r="IE29" s="52">
        <v>0</v>
      </c>
      <c r="IF29" s="52">
        <v>100.29</v>
      </c>
      <c r="IG29" s="52">
        <v>131.21</v>
      </c>
      <c r="IH29" s="52">
        <v>147.84</v>
      </c>
      <c r="II29" s="52">
        <v>159.41999999999999</v>
      </c>
      <c r="IJ29" s="52">
        <v>155.56</v>
      </c>
      <c r="IK29" s="52">
        <v>151.41</v>
      </c>
      <c r="IL29" s="52">
        <v>127.42</v>
      </c>
      <c r="IM29" s="52">
        <v>162.94</v>
      </c>
      <c r="IN29" s="52">
        <v>156.56</v>
      </c>
      <c r="IO29" s="52">
        <v>133.87</v>
      </c>
      <c r="IP29" s="52">
        <v>94.55</v>
      </c>
      <c r="IQ29" s="52">
        <v>121.76</v>
      </c>
      <c r="IR29" s="52">
        <v>174.56</v>
      </c>
      <c r="IS29" s="52">
        <v>123.31</v>
      </c>
      <c r="IT29" s="52">
        <v>81.64</v>
      </c>
      <c r="IU29" s="52">
        <v>110.42</v>
      </c>
      <c r="IV29" s="52">
        <v>81.98</v>
      </c>
      <c r="IW29" s="52">
        <v>95.34</v>
      </c>
      <c r="IX29" s="52">
        <v>137.65</v>
      </c>
      <c r="IY29" s="52">
        <v>124.32</v>
      </c>
      <c r="IZ29" s="52">
        <v>161.82</v>
      </c>
      <c r="JA29" s="52">
        <v>122.15</v>
      </c>
      <c r="JB29" s="52"/>
      <c r="JC29" s="52">
        <v>142.83000000000001</v>
      </c>
      <c r="JD29" s="52">
        <v>165.02</v>
      </c>
      <c r="JE29" s="52">
        <v>131.93</v>
      </c>
      <c r="JF29" s="52">
        <v>128.27000000000001</v>
      </c>
      <c r="JG29" s="52">
        <v>154.25</v>
      </c>
      <c r="JH29" s="52">
        <v>176.33</v>
      </c>
      <c r="JI29" s="52">
        <v>118.78</v>
      </c>
      <c r="JJ29" s="52">
        <v>123.82</v>
      </c>
      <c r="JK29" s="52">
        <v>155.16</v>
      </c>
      <c r="JL29" s="52">
        <v>155.61000000000001</v>
      </c>
      <c r="JM29" s="52">
        <v>161.12</v>
      </c>
      <c r="JN29" s="52">
        <v>155.74</v>
      </c>
      <c r="JO29" s="52">
        <v>140.07</v>
      </c>
      <c r="JP29" s="52">
        <v>161.75</v>
      </c>
      <c r="JQ29" s="52">
        <v>144.47999999999999</v>
      </c>
      <c r="JR29" s="52">
        <v>156.36000000000001</v>
      </c>
      <c r="JS29" s="52">
        <v>177.88</v>
      </c>
      <c r="JT29" s="52">
        <v>172.9</v>
      </c>
      <c r="JU29" s="52">
        <v>157.54</v>
      </c>
      <c r="JV29" s="52">
        <v>106.16</v>
      </c>
      <c r="JW29" s="52">
        <v>111.47</v>
      </c>
      <c r="JX29" s="52">
        <v>163.87</v>
      </c>
      <c r="JY29" s="52">
        <v>148.93</v>
      </c>
      <c r="JZ29" s="52">
        <v>134.51</v>
      </c>
      <c r="KA29" s="52">
        <v>162.47</v>
      </c>
      <c r="KB29" s="52">
        <v>172.43</v>
      </c>
      <c r="KC29" s="52">
        <v>109.61</v>
      </c>
      <c r="KD29" s="52">
        <v>141.69999999999999</v>
      </c>
      <c r="KE29" s="52">
        <v>155.72</v>
      </c>
      <c r="KF29" s="52">
        <v>160.54</v>
      </c>
    </row>
    <row r="30" spans="1:292" s="41" customFormat="1" ht="12">
      <c r="A30" s="41">
        <v>2007</v>
      </c>
      <c r="B30" s="49" t="s">
        <v>977</v>
      </c>
      <c r="C30" s="50" t="s">
        <v>978</v>
      </c>
      <c r="D30" s="56">
        <v>135.84</v>
      </c>
      <c r="E30" s="56">
        <v>134.78</v>
      </c>
      <c r="F30" s="56">
        <v>163.83000000000001</v>
      </c>
      <c r="G30" s="56">
        <v>108.73</v>
      </c>
      <c r="H30" s="56">
        <v>145.46</v>
      </c>
      <c r="I30" s="56">
        <v>125.25</v>
      </c>
      <c r="J30" s="56">
        <v>121.41</v>
      </c>
      <c r="K30" s="56">
        <v>140.22999999999999</v>
      </c>
      <c r="L30" s="56">
        <v>109.14</v>
      </c>
      <c r="M30" s="56">
        <v>128.43</v>
      </c>
      <c r="N30" s="56">
        <v>151.56</v>
      </c>
      <c r="O30" s="56">
        <v>162.22999999999999</v>
      </c>
      <c r="P30" s="56">
        <v>141.97</v>
      </c>
      <c r="Q30" s="56">
        <v>134.85</v>
      </c>
      <c r="R30" s="56">
        <v>132.91</v>
      </c>
      <c r="S30" s="56">
        <v>173.56</v>
      </c>
      <c r="T30" s="56">
        <v>163.05000000000001</v>
      </c>
      <c r="U30" s="56">
        <v>105.82</v>
      </c>
      <c r="V30" s="56">
        <v>117.25</v>
      </c>
      <c r="W30" s="56">
        <v>191.92</v>
      </c>
      <c r="X30" s="56">
        <v>129.5</v>
      </c>
      <c r="Y30" s="56">
        <v>120.25</v>
      </c>
      <c r="Z30" s="56">
        <v>135.72</v>
      </c>
      <c r="AA30" s="56">
        <v>139.25</v>
      </c>
      <c r="AB30" s="56">
        <v>113.99</v>
      </c>
      <c r="AC30" s="56">
        <v>104.29</v>
      </c>
      <c r="AD30" s="56">
        <v>132.76</v>
      </c>
      <c r="AE30" s="56">
        <v>135.53</v>
      </c>
      <c r="AF30" s="56">
        <v>126.12</v>
      </c>
      <c r="AG30" s="56">
        <v>91.59</v>
      </c>
      <c r="AH30" s="56">
        <v>148.06</v>
      </c>
      <c r="AI30" s="56">
        <v>156.63</v>
      </c>
      <c r="AJ30" s="56">
        <v>114.46</v>
      </c>
      <c r="AK30" s="56">
        <v>145.66999999999999</v>
      </c>
      <c r="AL30" s="56">
        <v>154.69999999999999</v>
      </c>
      <c r="AM30" s="56">
        <v>125.44</v>
      </c>
      <c r="AN30" s="56">
        <v>80.12</v>
      </c>
      <c r="AO30" s="56">
        <v>112.82</v>
      </c>
      <c r="AP30" s="56">
        <v>90.65</v>
      </c>
      <c r="AQ30" s="56">
        <v>124.65</v>
      </c>
      <c r="AR30" s="56">
        <v>150.32</v>
      </c>
      <c r="AS30" s="56">
        <v>147.55000000000001</v>
      </c>
      <c r="AT30" s="56">
        <v>141.62</v>
      </c>
      <c r="AU30" s="56">
        <v>152.72</v>
      </c>
      <c r="AV30" s="56">
        <v>155.63</v>
      </c>
      <c r="AW30" s="56">
        <v>161.22999999999999</v>
      </c>
      <c r="AX30" s="56">
        <v>155.74</v>
      </c>
      <c r="AY30" s="56">
        <v>140.22999999999999</v>
      </c>
      <c r="AZ30" s="56">
        <v>158.22</v>
      </c>
      <c r="BA30" s="56">
        <v>168.61</v>
      </c>
      <c r="BB30" s="56">
        <v>124.15</v>
      </c>
      <c r="BC30" s="56">
        <v>158.72999999999999</v>
      </c>
      <c r="BD30" s="56">
        <v>163.95</v>
      </c>
      <c r="BE30" s="56">
        <v>151.08000000000001</v>
      </c>
      <c r="BF30" s="56">
        <v>158.72</v>
      </c>
      <c r="BG30" s="56">
        <v>168.8</v>
      </c>
      <c r="BH30" s="52">
        <v>130.26</v>
      </c>
      <c r="BI30" s="52">
        <v>123.96</v>
      </c>
      <c r="BJ30" s="52">
        <v>132.68</v>
      </c>
      <c r="BK30" s="52">
        <v>137.93</v>
      </c>
      <c r="BL30" s="52">
        <v>118.63</v>
      </c>
      <c r="BM30" s="52">
        <v>116.45</v>
      </c>
      <c r="BN30" s="52">
        <v>173.74</v>
      </c>
      <c r="BO30" s="52">
        <v>120.55</v>
      </c>
      <c r="BP30" s="52">
        <v>138.29</v>
      </c>
      <c r="BQ30" s="52">
        <v>142.51</v>
      </c>
      <c r="BR30" s="52">
        <v>123.12</v>
      </c>
      <c r="BS30" s="52">
        <v>184.03</v>
      </c>
      <c r="BT30" s="52">
        <v>165.15</v>
      </c>
      <c r="BU30" s="52">
        <v>158.63</v>
      </c>
      <c r="BV30" s="52">
        <v>163.05000000000001</v>
      </c>
      <c r="BW30" s="52">
        <v>104.73</v>
      </c>
      <c r="BX30" s="52">
        <v>114.68</v>
      </c>
      <c r="BY30" s="52">
        <v>153.41999999999999</v>
      </c>
      <c r="BZ30" s="52">
        <v>117.01</v>
      </c>
      <c r="CA30" s="52">
        <v>154.16</v>
      </c>
      <c r="CB30" s="53">
        <v>191.92</v>
      </c>
      <c r="CC30" s="52">
        <v>129.5</v>
      </c>
      <c r="CD30" s="52">
        <v>119.42</v>
      </c>
      <c r="CE30" s="52">
        <v>100.03</v>
      </c>
      <c r="CF30" s="52">
        <v>160.9</v>
      </c>
      <c r="CG30" s="52">
        <v>152.35</v>
      </c>
      <c r="CH30" s="52">
        <v>143.72999999999999</v>
      </c>
      <c r="CI30" s="52">
        <v>122.2</v>
      </c>
      <c r="CJ30" s="52">
        <v>113.99</v>
      </c>
      <c r="CK30" s="52">
        <v>97.6</v>
      </c>
      <c r="CL30" s="52">
        <v>110.84</v>
      </c>
      <c r="CM30" s="52">
        <v>161.74</v>
      </c>
      <c r="CN30" s="52">
        <v>132.76</v>
      </c>
      <c r="CO30" s="52">
        <v>135.53</v>
      </c>
      <c r="CP30" s="52">
        <v>111.24</v>
      </c>
      <c r="CQ30" s="52">
        <v>168.67</v>
      </c>
      <c r="CR30" s="52">
        <v>88.02</v>
      </c>
      <c r="CS30" s="52">
        <v>126.27</v>
      </c>
      <c r="CT30" s="52">
        <v>110.75</v>
      </c>
      <c r="CU30" s="52">
        <v>183.27</v>
      </c>
      <c r="CV30" s="52">
        <v>142.91999999999999</v>
      </c>
      <c r="CW30" s="52">
        <v>92.03</v>
      </c>
      <c r="CX30" s="52">
        <v>156.63</v>
      </c>
      <c r="CY30" s="52">
        <v>114.76</v>
      </c>
      <c r="CZ30" s="52">
        <v>0</v>
      </c>
      <c r="DA30" s="52">
        <v>100.34</v>
      </c>
      <c r="DB30" s="52">
        <v>131.61000000000001</v>
      </c>
      <c r="DC30" s="52">
        <v>144.34</v>
      </c>
      <c r="DD30" s="52">
        <v>160.94</v>
      </c>
      <c r="DE30" s="52">
        <v>156.81</v>
      </c>
      <c r="DF30" s="52">
        <v>144.62</v>
      </c>
      <c r="DG30" s="52">
        <v>157.5</v>
      </c>
      <c r="DH30" s="52">
        <v>91.56</v>
      </c>
      <c r="DI30" s="52">
        <v>121.76</v>
      </c>
      <c r="DJ30" s="52">
        <v>175.61</v>
      </c>
      <c r="DK30" s="52">
        <v>125.44</v>
      </c>
      <c r="DL30" s="52">
        <v>80.12</v>
      </c>
      <c r="DM30" s="52">
        <v>112.82</v>
      </c>
      <c r="DN30" s="52">
        <v>80.64</v>
      </c>
      <c r="DO30" s="52">
        <v>95.11</v>
      </c>
      <c r="DP30" s="52">
        <v>137.41999999999999</v>
      </c>
      <c r="DQ30" s="52">
        <v>124.65</v>
      </c>
      <c r="DR30" s="52">
        <v>162</v>
      </c>
      <c r="DS30" s="52">
        <v>122.25</v>
      </c>
      <c r="DT30" s="52"/>
      <c r="DU30" s="52">
        <v>143.56</v>
      </c>
      <c r="DV30" s="52">
        <v>167.05</v>
      </c>
      <c r="DW30" s="52">
        <v>129.77000000000001</v>
      </c>
      <c r="DX30" s="52">
        <v>154.25</v>
      </c>
      <c r="DY30" s="52">
        <v>176.31</v>
      </c>
      <c r="DZ30" s="52">
        <v>118.78</v>
      </c>
      <c r="EA30" s="52">
        <v>124.1</v>
      </c>
      <c r="EB30" s="52">
        <v>152.72</v>
      </c>
      <c r="EC30" s="52">
        <v>155.63</v>
      </c>
      <c r="ED30" s="52">
        <v>161.22999999999999</v>
      </c>
      <c r="EE30" s="52">
        <v>155.74</v>
      </c>
      <c r="EF30" s="52">
        <v>140.22999999999999</v>
      </c>
      <c r="EG30" s="52">
        <v>158.22</v>
      </c>
      <c r="EH30" s="52">
        <v>168.61</v>
      </c>
      <c r="EI30" s="52">
        <v>166.53</v>
      </c>
      <c r="EJ30" s="52">
        <v>106.26</v>
      </c>
      <c r="EK30" s="52">
        <v>111.56</v>
      </c>
      <c r="EL30" s="52">
        <v>162.88</v>
      </c>
      <c r="EM30" s="52">
        <v>143.59</v>
      </c>
      <c r="EN30" s="52">
        <v>163.95</v>
      </c>
      <c r="EO30" s="52">
        <v>172.43</v>
      </c>
      <c r="EP30" s="52">
        <v>109.38</v>
      </c>
      <c r="EQ30" s="52">
        <v>146.07</v>
      </c>
      <c r="ER30" s="52">
        <v>158.72</v>
      </c>
      <c r="ES30" s="52">
        <v>168.8</v>
      </c>
      <c r="ET30" s="52">
        <v>135.97999999999999</v>
      </c>
      <c r="EU30" s="52">
        <v>118.66</v>
      </c>
      <c r="EV30" s="52">
        <v>129.78</v>
      </c>
      <c r="EW30" s="52">
        <v>146.44999999999999</v>
      </c>
      <c r="EX30" s="52">
        <v>124.89</v>
      </c>
      <c r="EY30" s="52">
        <v>112.18</v>
      </c>
      <c r="EZ30" s="52">
        <v>130.38999999999999</v>
      </c>
      <c r="FA30" s="52">
        <v>123.68</v>
      </c>
      <c r="FB30" s="52">
        <v>111.15</v>
      </c>
      <c r="FC30" s="52">
        <v>130.88</v>
      </c>
      <c r="FD30" s="52">
        <v>132.49</v>
      </c>
      <c r="FE30" s="52">
        <v>132.68</v>
      </c>
      <c r="FF30" s="52"/>
      <c r="FG30" s="52">
        <v>124.04</v>
      </c>
      <c r="FH30" s="52">
        <v>122.43</v>
      </c>
      <c r="FI30" s="52">
        <v>129.77000000000001</v>
      </c>
      <c r="FJ30" s="52">
        <v>187.41</v>
      </c>
      <c r="FK30" s="52">
        <v>132.77000000000001</v>
      </c>
      <c r="FL30" s="52">
        <v>116.47</v>
      </c>
      <c r="FM30" s="52">
        <v>117.64</v>
      </c>
      <c r="FN30" s="52">
        <v>110.19</v>
      </c>
      <c r="FO30" s="52">
        <v>150.57</v>
      </c>
      <c r="FP30" s="52">
        <v>181.95</v>
      </c>
      <c r="FQ30" s="52">
        <v>140.26</v>
      </c>
      <c r="FR30" s="52">
        <v>141.56</v>
      </c>
      <c r="FS30" s="52">
        <v>150.5</v>
      </c>
      <c r="FT30" s="52">
        <v>111.64</v>
      </c>
      <c r="FU30" s="52">
        <v>131.57</v>
      </c>
      <c r="FV30" s="52">
        <v>138.01</v>
      </c>
      <c r="FW30" s="52">
        <v>120.1</v>
      </c>
      <c r="FX30" s="52">
        <v>138.29</v>
      </c>
      <c r="FY30" s="52">
        <v>138.38</v>
      </c>
      <c r="FZ30" s="52">
        <v>143.12</v>
      </c>
      <c r="GA30" s="52">
        <v>128.1</v>
      </c>
      <c r="GB30" s="52">
        <v>118.64</v>
      </c>
      <c r="GC30" s="52">
        <v>125.24</v>
      </c>
      <c r="GD30" s="52">
        <v>120.69</v>
      </c>
      <c r="GE30" s="52">
        <v>184.03</v>
      </c>
      <c r="GF30" s="52">
        <v>165.15</v>
      </c>
      <c r="GG30" s="52">
        <v>158.63</v>
      </c>
      <c r="GH30" s="52">
        <v>162.78</v>
      </c>
      <c r="GI30" s="52">
        <v>106.67</v>
      </c>
      <c r="GJ30" s="52">
        <v>103.17</v>
      </c>
      <c r="GK30" s="52">
        <v>102.49</v>
      </c>
      <c r="GL30" s="52">
        <v>124.35</v>
      </c>
      <c r="GM30" s="52">
        <v>114.68</v>
      </c>
      <c r="GN30" s="52">
        <v>153.41999999999999</v>
      </c>
      <c r="GO30" s="52">
        <v>116.25</v>
      </c>
      <c r="GP30" s="52">
        <v>119.15</v>
      </c>
      <c r="GQ30" s="52">
        <v>114.6</v>
      </c>
      <c r="GR30" s="52">
        <v>154.16</v>
      </c>
      <c r="GS30" s="52">
        <v>191.92</v>
      </c>
      <c r="GT30" s="52">
        <v>129.5</v>
      </c>
      <c r="GU30" s="52">
        <v>119.42</v>
      </c>
      <c r="GV30" s="52">
        <v>100.03</v>
      </c>
      <c r="GW30" s="52">
        <v>165.02</v>
      </c>
      <c r="GX30" s="52">
        <v>160.52000000000001</v>
      </c>
      <c r="GY30" s="52">
        <v>152.35</v>
      </c>
      <c r="GZ30" s="52">
        <v>139.35</v>
      </c>
      <c r="HA30" s="52">
        <v>145.83000000000001</v>
      </c>
      <c r="HB30" s="52">
        <v>144.03</v>
      </c>
      <c r="HC30" s="52">
        <v>122.2</v>
      </c>
      <c r="HD30" s="52">
        <v>113.99</v>
      </c>
      <c r="HE30" s="52">
        <v>89</v>
      </c>
      <c r="HF30" s="52">
        <v>92.15</v>
      </c>
      <c r="HG30" s="52">
        <v>93.25</v>
      </c>
      <c r="HH30" s="52">
        <v>123</v>
      </c>
      <c r="HI30" s="52">
        <v>73.709999999999994</v>
      </c>
      <c r="HJ30" s="52">
        <v>110.84</v>
      </c>
      <c r="HK30" s="52">
        <v>161.74</v>
      </c>
      <c r="HL30" s="52">
        <v>120.43</v>
      </c>
      <c r="HM30" s="52">
        <v>147.15</v>
      </c>
      <c r="HN30" s="52">
        <v>140.87</v>
      </c>
      <c r="HO30" s="52">
        <v>123.25</v>
      </c>
      <c r="HP30" s="52">
        <v>147.22999999999999</v>
      </c>
      <c r="HQ30" s="52">
        <v>109.6</v>
      </c>
      <c r="HR30" s="52">
        <v>126.08</v>
      </c>
      <c r="HS30" s="52">
        <v>168.92</v>
      </c>
      <c r="HT30" s="52">
        <v>152.65</v>
      </c>
      <c r="HU30" s="52">
        <v>88.02</v>
      </c>
      <c r="HV30" s="52">
        <v>126.27</v>
      </c>
      <c r="HW30" s="52">
        <v>119.32</v>
      </c>
      <c r="HX30" s="52">
        <v>92.92</v>
      </c>
      <c r="HY30" s="52">
        <v>183.27</v>
      </c>
      <c r="HZ30" s="52">
        <v>142.91999999999999</v>
      </c>
      <c r="IA30" s="52">
        <v>84.58</v>
      </c>
      <c r="IB30" s="52">
        <v>156.63</v>
      </c>
      <c r="IC30" s="52">
        <v>105.22</v>
      </c>
      <c r="ID30" s="52">
        <v>116.62</v>
      </c>
      <c r="IE30" s="52">
        <v>0</v>
      </c>
      <c r="IF30" s="52">
        <v>100.34</v>
      </c>
      <c r="IG30" s="52">
        <v>131.61000000000001</v>
      </c>
      <c r="IH30" s="52">
        <v>144.34</v>
      </c>
      <c r="II30" s="52">
        <v>160.94</v>
      </c>
      <c r="IJ30" s="52">
        <v>156.81</v>
      </c>
      <c r="IK30" s="52">
        <v>151.41</v>
      </c>
      <c r="IL30" s="52">
        <v>127.42</v>
      </c>
      <c r="IM30" s="52">
        <v>163.94</v>
      </c>
      <c r="IN30" s="52">
        <v>156.61000000000001</v>
      </c>
      <c r="IO30" s="52">
        <v>133.78</v>
      </c>
      <c r="IP30" s="52">
        <v>91.56</v>
      </c>
      <c r="IQ30" s="52">
        <v>121.76</v>
      </c>
      <c r="IR30" s="52">
        <v>175.61</v>
      </c>
      <c r="IS30" s="52">
        <v>125.44</v>
      </c>
      <c r="IT30" s="52">
        <v>80.12</v>
      </c>
      <c r="IU30" s="52">
        <v>112.82</v>
      </c>
      <c r="IV30" s="52">
        <v>82.16</v>
      </c>
      <c r="IW30" s="52">
        <v>95.11</v>
      </c>
      <c r="IX30" s="52">
        <v>137.41999999999999</v>
      </c>
      <c r="IY30" s="52">
        <v>124.65</v>
      </c>
      <c r="IZ30" s="52">
        <v>162</v>
      </c>
      <c r="JA30" s="52">
        <v>122.25</v>
      </c>
      <c r="JB30" s="52"/>
      <c r="JC30" s="52">
        <v>143.56</v>
      </c>
      <c r="JD30" s="52">
        <v>167.05</v>
      </c>
      <c r="JE30" s="52">
        <v>132.07</v>
      </c>
      <c r="JF30" s="52">
        <v>128.87</v>
      </c>
      <c r="JG30" s="52">
        <v>154.25</v>
      </c>
      <c r="JH30" s="52">
        <v>176.31</v>
      </c>
      <c r="JI30" s="52">
        <v>118.78</v>
      </c>
      <c r="JJ30" s="52">
        <v>124.1</v>
      </c>
      <c r="JK30" s="52">
        <v>152.72</v>
      </c>
      <c r="JL30" s="52">
        <v>155.63</v>
      </c>
      <c r="JM30" s="52">
        <v>161.22999999999999</v>
      </c>
      <c r="JN30" s="52">
        <v>155.74</v>
      </c>
      <c r="JO30" s="52">
        <v>140.22999999999999</v>
      </c>
      <c r="JP30" s="52">
        <v>163.19</v>
      </c>
      <c r="JQ30" s="52">
        <v>146.75</v>
      </c>
      <c r="JR30" s="52">
        <v>157.87</v>
      </c>
      <c r="JS30" s="52">
        <v>182.61</v>
      </c>
      <c r="JT30" s="52">
        <v>174.74</v>
      </c>
      <c r="JU30" s="52">
        <v>158.59</v>
      </c>
      <c r="JV30" s="52">
        <v>106.26</v>
      </c>
      <c r="JW30" s="52">
        <v>111.56</v>
      </c>
      <c r="JX30" s="52">
        <v>162.88</v>
      </c>
      <c r="JY30" s="52">
        <v>148.80000000000001</v>
      </c>
      <c r="JZ30" s="52">
        <v>133.35</v>
      </c>
      <c r="KA30" s="52">
        <v>163.95</v>
      </c>
      <c r="KB30" s="52">
        <v>172.43</v>
      </c>
      <c r="KC30" s="52">
        <v>109.38</v>
      </c>
      <c r="KD30" s="52">
        <v>146.07</v>
      </c>
      <c r="KE30" s="52">
        <v>158.72</v>
      </c>
      <c r="KF30" s="52">
        <v>168.8</v>
      </c>
    </row>
    <row r="31" spans="1:292" s="41" customFormat="1" ht="12">
      <c r="A31" s="41">
        <v>2007</v>
      </c>
      <c r="B31" s="54" t="s">
        <v>979</v>
      </c>
      <c r="C31" s="55" t="s">
        <v>980</v>
      </c>
      <c r="D31" s="52">
        <v>136.41999999999999</v>
      </c>
      <c r="E31" s="52">
        <v>136.94</v>
      </c>
      <c r="F31" s="52">
        <v>167.94</v>
      </c>
      <c r="G31" s="52">
        <v>101.69</v>
      </c>
      <c r="H31" s="52">
        <v>146.18</v>
      </c>
      <c r="I31" s="52">
        <v>126.19</v>
      </c>
      <c r="J31" s="52">
        <v>121.96</v>
      </c>
      <c r="K31" s="52">
        <v>141.16999999999999</v>
      </c>
      <c r="L31" s="52">
        <v>109.04</v>
      </c>
      <c r="M31" s="52">
        <v>127.46</v>
      </c>
      <c r="N31" s="52">
        <v>151.68</v>
      </c>
      <c r="O31" s="52">
        <v>163.24</v>
      </c>
      <c r="P31" s="52">
        <v>143.68</v>
      </c>
      <c r="Q31" s="52">
        <v>137.07</v>
      </c>
      <c r="R31" s="52">
        <v>134.24</v>
      </c>
      <c r="S31" s="52">
        <v>175.8</v>
      </c>
      <c r="T31" s="52">
        <v>167.28</v>
      </c>
      <c r="U31" s="52">
        <v>98.62</v>
      </c>
      <c r="V31" s="52">
        <v>110.79</v>
      </c>
      <c r="W31" s="52">
        <v>194.45</v>
      </c>
      <c r="X31" s="52">
        <v>129.81</v>
      </c>
      <c r="Y31" s="52">
        <v>121.06</v>
      </c>
      <c r="Z31" s="52">
        <v>135.74</v>
      </c>
      <c r="AA31" s="52">
        <v>139.78</v>
      </c>
      <c r="AB31" s="52">
        <v>113.61</v>
      </c>
      <c r="AC31" s="52">
        <v>105.72</v>
      </c>
      <c r="AD31" s="52">
        <v>133.41</v>
      </c>
      <c r="AE31" s="52">
        <v>135.88999999999999</v>
      </c>
      <c r="AF31" s="52">
        <v>127.59</v>
      </c>
      <c r="AG31" s="52">
        <v>91.57</v>
      </c>
      <c r="AH31" s="52">
        <v>149.24</v>
      </c>
      <c r="AI31" s="52">
        <v>157.31</v>
      </c>
      <c r="AJ31" s="52">
        <v>116.23</v>
      </c>
      <c r="AK31" s="52">
        <v>146.47999999999999</v>
      </c>
      <c r="AL31" s="52">
        <v>154.44999999999999</v>
      </c>
      <c r="AM31" s="52">
        <v>127.56</v>
      </c>
      <c r="AN31" s="52">
        <v>74.989999999999995</v>
      </c>
      <c r="AO31" s="52">
        <v>113.62</v>
      </c>
      <c r="AP31" s="52">
        <v>89.23</v>
      </c>
      <c r="AQ31" s="52">
        <v>124</v>
      </c>
      <c r="AR31" s="52">
        <v>151.19</v>
      </c>
      <c r="AS31" s="52">
        <v>149.16999999999999</v>
      </c>
      <c r="AT31" s="52">
        <v>142.37</v>
      </c>
      <c r="AU31" s="52">
        <v>144.78</v>
      </c>
      <c r="AV31" s="52">
        <v>155.68</v>
      </c>
      <c r="AW31" s="52">
        <v>161.43</v>
      </c>
      <c r="AX31" s="52">
        <v>155.74</v>
      </c>
      <c r="AY31" s="52">
        <v>141.19999999999999</v>
      </c>
      <c r="AZ31" s="52">
        <v>159.16999999999999</v>
      </c>
      <c r="BA31" s="52">
        <v>169.96</v>
      </c>
      <c r="BB31" s="52">
        <v>125.17</v>
      </c>
      <c r="BC31" s="52">
        <v>162.38999999999999</v>
      </c>
      <c r="BD31" s="52">
        <v>165</v>
      </c>
      <c r="BE31" s="52">
        <v>153.44999999999999</v>
      </c>
      <c r="BF31" s="52">
        <v>154.46</v>
      </c>
      <c r="BG31" s="52">
        <v>168.8</v>
      </c>
      <c r="BH31" s="52">
        <v>132.31</v>
      </c>
      <c r="BI31" s="52">
        <v>126.74</v>
      </c>
      <c r="BJ31" s="52">
        <v>137.15</v>
      </c>
      <c r="BK31" s="52">
        <v>135.05000000000001</v>
      </c>
      <c r="BL31" s="52">
        <v>119.82</v>
      </c>
      <c r="BM31" s="52">
        <v>124.81</v>
      </c>
      <c r="BN31" s="52">
        <v>176.44</v>
      </c>
      <c r="BO31" s="52">
        <v>120.82</v>
      </c>
      <c r="BP31" s="52">
        <v>138.88999999999999</v>
      </c>
      <c r="BQ31" s="52">
        <v>144.46</v>
      </c>
      <c r="BR31" s="52">
        <v>123.92</v>
      </c>
      <c r="BS31" s="52">
        <v>188.42</v>
      </c>
      <c r="BT31" s="52">
        <v>163.72999999999999</v>
      </c>
      <c r="BU31" s="52">
        <v>158.79</v>
      </c>
      <c r="BV31" s="52">
        <v>167.28</v>
      </c>
      <c r="BW31" s="52">
        <v>97.14</v>
      </c>
      <c r="BX31" s="52">
        <v>111.32</v>
      </c>
      <c r="BY31" s="52">
        <v>154.62</v>
      </c>
      <c r="BZ31" s="52">
        <v>110.5</v>
      </c>
      <c r="CA31" s="52">
        <v>156.63999999999999</v>
      </c>
      <c r="CB31" s="53">
        <v>194.45</v>
      </c>
      <c r="CC31" s="52">
        <v>129.81</v>
      </c>
      <c r="CD31" s="52">
        <v>120.23</v>
      </c>
      <c r="CE31" s="52">
        <v>99.97</v>
      </c>
      <c r="CF31" s="52">
        <v>160.88</v>
      </c>
      <c r="CG31" s="52">
        <v>152.6</v>
      </c>
      <c r="CH31" s="52">
        <v>144.41</v>
      </c>
      <c r="CI31" s="52">
        <v>122.2</v>
      </c>
      <c r="CJ31" s="52">
        <v>113.61</v>
      </c>
      <c r="CK31" s="52">
        <v>98.9</v>
      </c>
      <c r="CL31" s="52">
        <v>110.84</v>
      </c>
      <c r="CM31" s="52">
        <v>167.37</v>
      </c>
      <c r="CN31" s="52">
        <v>133.41</v>
      </c>
      <c r="CO31" s="52">
        <v>135.88999999999999</v>
      </c>
      <c r="CP31" s="52">
        <v>112.46</v>
      </c>
      <c r="CQ31" s="52">
        <v>171.08</v>
      </c>
      <c r="CR31" s="52">
        <v>88.03</v>
      </c>
      <c r="CS31" s="52">
        <v>126.38</v>
      </c>
      <c r="CT31" s="52">
        <v>110.36</v>
      </c>
      <c r="CU31" s="52">
        <v>184.89</v>
      </c>
      <c r="CV31" s="52">
        <v>143.83000000000001</v>
      </c>
      <c r="CW31" s="52">
        <v>92.76</v>
      </c>
      <c r="CX31" s="52">
        <v>157.31</v>
      </c>
      <c r="CY31" s="52">
        <v>116.56</v>
      </c>
      <c r="CZ31" s="52">
        <v>0</v>
      </c>
      <c r="DA31" s="52">
        <v>100.66</v>
      </c>
      <c r="DB31" s="52">
        <v>132.6</v>
      </c>
      <c r="DC31" s="52">
        <v>144.91</v>
      </c>
      <c r="DD31" s="52">
        <v>163.47</v>
      </c>
      <c r="DE31" s="52">
        <v>157.91</v>
      </c>
      <c r="DF31" s="52">
        <v>144.62</v>
      </c>
      <c r="DG31" s="52">
        <v>157.26</v>
      </c>
      <c r="DH31" s="52">
        <v>90.65</v>
      </c>
      <c r="DI31" s="52">
        <v>121.76</v>
      </c>
      <c r="DJ31" s="52">
        <v>176.24</v>
      </c>
      <c r="DK31" s="52">
        <v>127.56</v>
      </c>
      <c r="DL31" s="52">
        <v>74.989999999999995</v>
      </c>
      <c r="DM31" s="52">
        <v>113.62</v>
      </c>
      <c r="DN31" s="52">
        <v>79.150000000000006</v>
      </c>
      <c r="DO31" s="52">
        <v>94.2</v>
      </c>
      <c r="DP31" s="52">
        <v>136.57</v>
      </c>
      <c r="DQ31" s="52">
        <v>124</v>
      </c>
      <c r="DR31" s="52">
        <v>162.84</v>
      </c>
      <c r="DS31" s="52">
        <v>123.3</v>
      </c>
      <c r="DT31" s="52"/>
      <c r="DU31" s="52">
        <v>144.13999999999999</v>
      </c>
      <c r="DV31" s="52">
        <v>166.89</v>
      </c>
      <c r="DW31" s="52">
        <v>130.91</v>
      </c>
      <c r="DX31" s="52">
        <v>162.15</v>
      </c>
      <c r="DY31" s="52">
        <v>175.62</v>
      </c>
      <c r="DZ31" s="52">
        <v>121.4</v>
      </c>
      <c r="EA31" s="52">
        <v>124.62</v>
      </c>
      <c r="EB31" s="52">
        <v>144.78</v>
      </c>
      <c r="EC31" s="52">
        <v>155.68</v>
      </c>
      <c r="ED31" s="52">
        <v>161.43</v>
      </c>
      <c r="EE31" s="52">
        <v>155.74</v>
      </c>
      <c r="EF31" s="52">
        <v>141.19999999999999</v>
      </c>
      <c r="EG31" s="52">
        <v>159.16999999999999</v>
      </c>
      <c r="EH31" s="52">
        <v>169.96</v>
      </c>
      <c r="EI31" s="52">
        <v>167.55</v>
      </c>
      <c r="EJ31" s="52">
        <v>106.54</v>
      </c>
      <c r="EK31" s="52">
        <v>112.58</v>
      </c>
      <c r="EL31" s="52">
        <v>167.76</v>
      </c>
      <c r="EM31" s="52">
        <v>142.85</v>
      </c>
      <c r="EN31" s="52">
        <v>165</v>
      </c>
      <c r="EO31" s="52">
        <v>182.34</v>
      </c>
      <c r="EP31" s="52">
        <v>116.94</v>
      </c>
      <c r="EQ31" s="52">
        <v>146.78</v>
      </c>
      <c r="ER31" s="52">
        <v>154.46</v>
      </c>
      <c r="ES31" s="52">
        <v>168.8</v>
      </c>
      <c r="ET31" s="52">
        <v>137.54</v>
      </c>
      <c r="EU31" s="52">
        <v>119.44</v>
      </c>
      <c r="EV31" s="52">
        <v>132.35</v>
      </c>
      <c r="EW31" s="52">
        <v>147.82</v>
      </c>
      <c r="EX31" s="52">
        <v>128.62</v>
      </c>
      <c r="EY31" s="52">
        <v>113.13</v>
      </c>
      <c r="EZ31" s="52">
        <v>130.16</v>
      </c>
      <c r="FA31" s="52">
        <v>123.38</v>
      </c>
      <c r="FB31" s="52">
        <v>121.74</v>
      </c>
      <c r="FC31" s="52">
        <v>131.38999999999999</v>
      </c>
      <c r="FD31" s="52">
        <v>134.26</v>
      </c>
      <c r="FE31" s="52">
        <v>137.15</v>
      </c>
      <c r="FF31" s="52"/>
      <c r="FG31" s="52">
        <v>126.16</v>
      </c>
      <c r="FH31" s="52">
        <v>124.92</v>
      </c>
      <c r="FI31" s="52">
        <v>130.35</v>
      </c>
      <c r="FJ31" s="52">
        <v>166.76</v>
      </c>
      <c r="FK31" s="52">
        <v>133.66</v>
      </c>
      <c r="FL31" s="52">
        <v>116.49</v>
      </c>
      <c r="FM31" s="52">
        <v>119.14</v>
      </c>
      <c r="FN31" s="52">
        <v>119.49</v>
      </c>
      <c r="FO31" s="52">
        <v>151.66</v>
      </c>
      <c r="FP31" s="52">
        <v>183.15</v>
      </c>
      <c r="FQ31" s="52">
        <v>156.11000000000001</v>
      </c>
      <c r="FR31" s="52">
        <v>142.88999999999999</v>
      </c>
      <c r="FS31" s="52">
        <v>151.84</v>
      </c>
      <c r="FT31" s="52">
        <v>111.26</v>
      </c>
      <c r="FU31" s="52">
        <v>132.47</v>
      </c>
      <c r="FV31" s="52">
        <v>139.53</v>
      </c>
      <c r="FW31" s="52">
        <v>120.47</v>
      </c>
      <c r="FX31" s="52">
        <v>138.88999999999999</v>
      </c>
      <c r="FY31" s="52">
        <v>143.5</v>
      </c>
      <c r="FZ31" s="52">
        <v>144.72999999999999</v>
      </c>
      <c r="GA31" s="52">
        <v>128.1</v>
      </c>
      <c r="GB31" s="52">
        <v>119.8</v>
      </c>
      <c r="GC31" s="52">
        <v>126.04</v>
      </c>
      <c r="GD31" s="52">
        <v>120.88</v>
      </c>
      <c r="GE31" s="52">
        <v>188.42</v>
      </c>
      <c r="GF31" s="52">
        <v>163.72999999999999</v>
      </c>
      <c r="GG31" s="52">
        <v>158.79</v>
      </c>
      <c r="GH31" s="52">
        <v>167</v>
      </c>
      <c r="GI31" s="52">
        <v>99.7</v>
      </c>
      <c r="GJ31" s="52">
        <v>94.96</v>
      </c>
      <c r="GK31" s="52">
        <v>94.64</v>
      </c>
      <c r="GL31" s="52">
        <v>122.69</v>
      </c>
      <c r="GM31" s="52">
        <v>111.32</v>
      </c>
      <c r="GN31" s="52">
        <v>154.62</v>
      </c>
      <c r="GO31" s="52">
        <v>110.5</v>
      </c>
      <c r="GP31" s="52">
        <v>110.86</v>
      </c>
      <c r="GQ31" s="52">
        <v>109.58</v>
      </c>
      <c r="GR31" s="52">
        <v>156.63999999999999</v>
      </c>
      <c r="GS31" s="52">
        <v>194.45</v>
      </c>
      <c r="GT31" s="52">
        <v>129.81</v>
      </c>
      <c r="GU31" s="52">
        <v>120.23</v>
      </c>
      <c r="GV31" s="52">
        <v>99.97</v>
      </c>
      <c r="GW31" s="52">
        <v>164.86</v>
      </c>
      <c r="GX31" s="52">
        <v>160.56</v>
      </c>
      <c r="GY31" s="52">
        <v>152.6</v>
      </c>
      <c r="GZ31" s="52">
        <v>140.13999999999999</v>
      </c>
      <c r="HA31" s="52">
        <v>146.11000000000001</v>
      </c>
      <c r="HB31" s="52">
        <v>144.88</v>
      </c>
      <c r="HC31" s="52">
        <v>122.2</v>
      </c>
      <c r="HD31" s="52">
        <v>113.61</v>
      </c>
      <c r="HE31" s="52">
        <v>90.34</v>
      </c>
      <c r="HF31" s="52">
        <v>93.01</v>
      </c>
      <c r="HG31" s="52">
        <v>93.14</v>
      </c>
      <c r="HH31" s="52">
        <v>124.88</v>
      </c>
      <c r="HI31" s="52">
        <v>76.56</v>
      </c>
      <c r="HJ31" s="52">
        <v>110.84</v>
      </c>
      <c r="HK31" s="52">
        <v>167.37</v>
      </c>
      <c r="HL31" s="52">
        <v>120.81</v>
      </c>
      <c r="HM31" s="52">
        <v>148.22</v>
      </c>
      <c r="HN31" s="52">
        <v>141.68</v>
      </c>
      <c r="HO31" s="52">
        <v>123.35</v>
      </c>
      <c r="HP31" s="52">
        <v>147.85</v>
      </c>
      <c r="HQ31" s="52">
        <v>110.76</v>
      </c>
      <c r="HR31" s="52">
        <v>127.84</v>
      </c>
      <c r="HS31" s="52">
        <v>171.34</v>
      </c>
      <c r="HT31" s="52">
        <v>154.07</v>
      </c>
      <c r="HU31" s="52">
        <v>88.03</v>
      </c>
      <c r="HV31" s="52">
        <v>126.38</v>
      </c>
      <c r="HW31" s="52">
        <v>119.31</v>
      </c>
      <c r="HX31" s="52">
        <v>91.96</v>
      </c>
      <c r="HY31" s="52">
        <v>184.89</v>
      </c>
      <c r="HZ31" s="52">
        <v>143.83000000000001</v>
      </c>
      <c r="IA31" s="52">
        <v>85.1</v>
      </c>
      <c r="IB31" s="52">
        <v>157.31</v>
      </c>
      <c r="IC31" s="52">
        <v>106.61</v>
      </c>
      <c r="ID31" s="52">
        <v>118.5</v>
      </c>
      <c r="IE31" s="52">
        <v>0</v>
      </c>
      <c r="IF31" s="52">
        <v>100.66</v>
      </c>
      <c r="IG31" s="52">
        <v>132.6</v>
      </c>
      <c r="IH31" s="52">
        <v>144.91</v>
      </c>
      <c r="II31" s="52">
        <v>163.47</v>
      </c>
      <c r="IJ31" s="52">
        <v>157.91</v>
      </c>
      <c r="IK31" s="52">
        <v>151.41</v>
      </c>
      <c r="IL31" s="52">
        <v>127.42</v>
      </c>
      <c r="IM31" s="52">
        <v>163.79</v>
      </c>
      <c r="IN31" s="52">
        <v>156.80000000000001</v>
      </c>
      <c r="IO31" s="52">
        <v>133.07</v>
      </c>
      <c r="IP31" s="52">
        <v>90.65</v>
      </c>
      <c r="IQ31" s="52">
        <v>121.76</v>
      </c>
      <c r="IR31" s="52">
        <v>176.24</v>
      </c>
      <c r="IS31" s="52">
        <v>127.56</v>
      </c>
      <c r="IT31" s="52">
        <v>74.989999999999995</v>
      </c>
      <c r="IU31" s="52">
        <v>113.62</v>
      </c>
      <c r="IV31" s="52">
        <v>80.58</v>
      </c>
      <c r="IW31" s="52">
        <v>94.2</v>
      </c>
      <c r="IX31" s="52">
        <v>136.57</v>
      </c>
      <c r="IY31" s="52">
        <v>124</v>
      </c>
      <c r="IZ31" s="52">
        <v>162.84</v>
      </c>
      <c r="JA31" s="52">
        <v>123.3</v>
      </c>
      <c r="JB31" s="52"/>
      <c r="JC31" s="52">
        <v>144.13999999999999</v>
      </c>
      <c r="JD31" s="52">
        <v>166.89</v>
      </c>
      <c r="JE31" s="52">
        <v>133.51</v>
      </c>
      <c r="JF31" s="52">
        <v>129.9</v>
      </c>
      <c r="JG31" s="52">
        <v>162.15</v>
      </c>
      <c r="JH31" s="52">
        <v>175.62</v>
      </c>
      <c r="JI31" s="52">
        <v>121.4</v>
      </c>
      <c r="JJ31" s="52">
        <v>124.62</v>
      </c>
      <c r="JK31" s="52">
        <v>144.78</v>
      </c>
      <c r="JL31" s="52">
        <v>155.68</v>
      </c>
      <c r="JM31" s="52">
        <v>161.43</v>
      </c>
      <c r="JN31" s="52">
        <v>155.74</v>
      </c>
      <c r="JO31" s="52">
        <v>141.19999999999999</v>
      </c>
      <c r="JP31" s="52">
        <v>164.02</v>
      </c>
      <c r="JQ31" s="52">
        <v>148.01</v>
      </c>
      <c r="JR31" s="52">
        <v>160.27000000000001</v>
      </c>
      <c r="JS31" s="52">
        <v>182.67</v>
      </c>
      <c r="JT31" s="52">
        <v>176.84</v>
      </c>
      <c r="JU31" s="52">
        <v>158.61000000000001</v>
      </c>
      <c r="JV31" s="52">
        <v>106.54</v>
      </c>
      <c r="JW31" s="52">
        <v>112.58</v>
      </c>
      <c r="JX31" s="52">
        <v>167.76</v>
      </c>
      <c r="JY31" s="52">
        <v>147.66999999999999</v>
      </c>
      <c r="JZ31" s="52">
        <v>133.27000000000001</v>
      </c>
      <c r="KA31" s="52">
        <v>165</v>
      </c>
      <c r="KB31" s="52">
        <v>182.34</v>
      </c>
      <c r="KC31" s="52">
        <v>116.94</v>
      </c>
      <c r="KD31" s="52">
        <v>146.78</v>
      </c>
      <c r="KE31" s="52">
        <v>154.46</v>
      </c>
      <c r="KF31" s="52">
        <v>168.8</v>
      </c>
    </row>
    <row r="32" spans="1:292" s="41" customFormat="1" ht="12">
      <c r="A32" s="41">
        <v>2007</v>
      </c>
      <c r="B32" s="54" t="s">
        <v>981</v>
      </c>
      <c r="C32" s="55" t="s">
        <v>982</v>
      </c>
      <c r="D32" s="56">
        <v>137.66999999999999</v>
      </c>
      <c r="E32" s="56">
        <v>137.79</v>
      </c>
      <c r="F32" s="56">
        <v>180.06</v>
      </c>
      <c r="G32" s="56">
        <v>101.41</v>
      </c>
      <c r="H32" s="56">
        <v>146.77000000000001</v>
      </c>
      <c r="I32" s="56">
        <v>128.43</v>
      </c>
      <c r="J32" s="56">
        <v>122.29</v>
      </c>
      <c r="K32" s="56">
        <v>142.88</v>
      </c>
      <c r="L32" s="56">
        <v>108.5</v>
      </c>
      <c r="M32" s="56">
        <v>126.98</v>
      </c>
      <c r="N32" s="56">
        <v>151.53</v>
      </c>
      <c r="O32" s="56">
        <v>164.59</v>
      </c>
      <c r="P32" s="56">
        <v>144.38999999999999</v>
      </c>
      <c r="Q32" s="56">
        <v>137.91999999999999</v>
      </c>
      <c r="R32" s="56">
        <v>135.06</v>
      </c>
      <c r="S32" s="56">
        <v>179.06</v>
      </c>
      <c r="T32" s="56">
        <v>179.96</v>
      </c>
      <c r="U32" s="56">
        <v>97.56</v>
      </c>
      <c r="V32" s="56">
        <v>113.08</v>
      </c>
      <c r="W32" s="56">
        <v>196.37</v>
      </c>
      <c r="X32" s="56">
        <v>130.1</v>
      </c>
      <c r="Y32" s="56">
        <v>121.41</v>
      </c>
      <c r="Z32" s="56">
        <v>135.9</v>
      </c>
      <c r="AA32" s="56">
        <v>140.81</v>
      </c>
      <c r="AB32" s="56">
        <v>114.38</v>
      </c>
      <c r="AC32" s="56">
        <v>109.15</v>
      </c>
      <c r="AD32" s="56">
        <v>133.94</v>
      </c>
      <c r="AE32" s="56">
        <v>136.31</v>
      </c>
      <c r="AF32" s="56">
        <v>130.88999999999999</v>
      </c>
      <c r="AG32" s="56">
        <v>91.6</v>
      </c>
      <c r="AH32" s="56">
        <v>149.71</v>
      </c>
      <c r="AI32" s="56">
        <v>158.43</v>
      </c>
      <c r="AJ32" s="56">
        <v>116.21</v>
      </c>
      <c r="AK32" s="56">
        <v>151.46</v>
      </c>
      <c r="AL32" s="56">
        <v>154.35</v>
      </c>
      <c r="AM32" s="56">
        <v>127.56</v>
      </c>
      <c r="AN32" s="56">
        <v>70.94</v>
      </c>
      <c r="AO32" s="56">
        <v>113.69</v>
      </c>
      <c r="AP32" s="56">
        <v>87.66</v>
      </c>
      <c r="AQ32" s="56">
        <v>124.42</v>
      </c>
      <c r="AR32" s="56">
        <v>151.94</v>
      </c>
      <c r="AS32" s="56">
        <v>146.71</v>
      </c>
      <c r="AT32" s="56">
        <v>145.19</v>
      </c>
      <c r="AU32" s="56">
        <v>145.19</v>
      </c>
      <c r="AV32" s="56">
        <v>155.68</v>
      </c>
      <c r="AW32" s="56">
        <v>160.77000000000001</v>
      </c>
      <c r="AX32" s="56">
        <v>155.74</v>
      </c>
      <c r="AY32" s="56">
        <v>141.56</v>
      </c>
      <c r="AZ32" s="56">
        <v>160.57</v>
      </c>
      <c r="BA32" s="56">
        <v>170.6</v>
      </c>
      <c r="BB32" s="56">
        <v>125.66</v>
      </c>
      <c r="BC32" s="56">
        <v>161.99</v>
      </c>
      <c r="BD32" s="56">
        <v>165.34</v>
      </c>
      <c r="BE32" s="56">
        <v>154.86000000000001</v>
      </c>
      <c r="BF32" s="56">
        <v>154.46</v>
      </c>
      <c r="BG32" s="56">
        <v>173.09</v>
      </c>
      <c r="BH32" s="52">
        <v>134.28</v>
      </c>
      <c r="BI32" s="52">
        <v>128.38</v>
      </c>
      <c r="BJ32" s="52">
        <v>142.22</v>
      </c>
      <c r="BK32" s="52">
        <v>132.09</v>
      </c>
      <c r="BL32" s="52">
        <v>119.56</v>
      </c>
      <c r="BM32" s="52">
        <v>139.13999999999999</v>
      </c>
      <c r="BN32" s="52">
        <v>168.77</v>
      </c>
      <c r="BO32" s="52">
        <v>121.28</v>
      </c>
      <c r="BP32" s="52">
        <v>139.84</v>
      </c>
      <c r="BQ32" s="52">
        <v>145.47</v>
      </c>
      <c r="BR32" s="52">
        <v>124.58</v>
      </c>
      <c r="BS32" s="52">
        <v>192.82</v>
      </c>
      <c r="BT32" s="52">
        <v>169.6</v>
      </c>
      <c r="BU32" s="52">
        <v>159.88</v>
      </c>
      <c r="BV32" s="52">
        <v>179.96</v>
      </c>
      <c r="BW32" s="52">
        <v>95.96</v>
      </c>
      <c r="BX32" s="52">
        <v>111.88</v>
      </c>
      <c r="BY32" s="52">
        <v>155.53</v>
      </c>
      <c r="BZ32" s="52">
        <v>112.8</v>
      </c>
      <c r="CA32" s="52">
        <v>157.78</v>
      </c>
      <c r="CB32" s="53">
        <v>196.37</v>
      </c>
      <c r="CC32" s="52">
        <v>130.1</v>
      </c>
      <c r="CD32" s="52">
        <v>120.58</v>
      </c>
      <c r="CE32" s="52">
        <v>99.97</v>
      </c>
      <c r="CF32" s="52">
        <v>160.91999999999999</v>
      </c>
      <c r="CG32" s="52">
        <v>153.19999999999999</v>
      </c>
      <c r="CH32" s="52">
        <v>145.66</v>
      </c>
      <c r="CI32" s="52">
        <v>122.52</v>
      </c>
      <c r="CJ32" s="52">
        <v>114.38</v>
      </c>
      <c r="CK32" s="52">
        <v>102.47</v>
      </c>
      <c r="CL32" s="52">
        <v>113.68</v>
      </c>
      <c r="CM32" s="52">
        <v>167.41</v>
      </c>
      <c r="CN32" s="52">
        <v>133.94</v>
      </c>
      <c r="CO32" s="52">
        <v>136.31</v>
      </c>
      <c r="CP32" s="52">
        <v>115.81</v>
      </c>
      <c r="CQ32" s="52">
        <v>173.23</v>
      </c>
      <c r="CR32" s="52">
        <v>88.05</v>
      </c>
      <c r="CS32" s="52">
        <v>126.8</v>
      </c>
      <c r="CT32" s="52">
        <v>110.47</v>
      </c>
      <c r="CU32" s="52">
        <v>185.66</v>
      </c>
      <c r="CV32" s="52">
        <v>144.13999999999999</v>
      </c>
      <c r="CW32" s="52">
        <v>92.95</v>
      </c>
      <c r="CX32" s="52">
        <v>158.43</v>
      </c>
      <c r="CY32" s="52">
        <v>116.53</v>
      </c>
      <c r="CZ32" s="52">
        <v>0</v>
      </c>
      <c r="DA32" s="52">
        <v>101.3</v>
      </c>
      <c r="DB32" s="52">
        <v>133.27000000000001</v>
      </c>
      <c r="DC32" s="52">
        <v>150.72</v>
      </c>
      <c r="DD32" s="52">
        <v>165.43</v>
      </c>
      <c r="DE32" s="52">
        <v>158.02000000000001</v>
      </c>
      <c r="DF32" s="52">
        <v>149.52000000000001</v>
      </c>
      <c r="DG32" s="52">
        <v>156.97</v>
      </c>
      <c r="DH32" s="52">
        <v>92.1</v>
      </c>
      <c r="DI32" s="52">
        <v>121.76</v>
      </c>
      <c r="DJ32" s="52">
        <v>176.28</v>
      </c>
      <c r="DK32" s="52">
        <v>127.56</v>
      </c>
      <c r="DL32" s="52">
        <v>70.94</v>
      </c>
      <c r="DM32" s="52">
        <v>113.69</v>
      </c>
      <c r="DN32" s="52">
        <v>76.83</v>
      </c>
      <c r="DO32" s="52">
        <v>94.35</v>
      </c>
      <c r="DP32" s="52">
        <v>138.88999999999999</v>
      </c>
      <c r="DQ32" s="52">
        <v>124.42</v>
      </c>
      <c r="DR32" s="52">
        <v>163.72999999999999</v>
      </c>
      <c r="DS32" s="52">
        <v>123.51</v>
      </c>
      <c r="DT32" s="52"/>
      <c r="DU32" s="52">
        <v>145.93</v>
      </c>
      <c r="DV32" s="52">
        <v>160.57</v>
      </c>
      <c r="DW32" s="52">
        <v>131.01</v>
      </c>
      <c r="DX32" s="52">
        <v>162.15</v>
      </c>
      <c r="DY32" s="52">
        <v>183.41</v>
      </c>
      <c r="DZ32" s="52">
        <v>121.4</v>
      </c>
      <c r="EA32" s="52">
        <v>124.84</v>
      </c>
      <c r="EB32" s="52">
        <v>145.19</v>
      </c>
      <c r="EC32" s="52">
        <v>155.68</v>
      </c>
      <c r="ED32" s="52">
        <v>160.77000000000001</v>
      </c>
      <c r="EE32" s="52">
        <v>155.74</v>
      </c>
      <c r="EF32" s="52">
        <v>141.56</v>
      </c>
      <c r="EG32" s="52">
        <v>160.57</v>
      </c>
      <c r="EH32" s="52">
        <v>170.6</v>
      </c>
      <c r="EI32" s="52">
        <v>168.84</v>
      </c>
      <c r="EJ32" s="52">
        <v>106.79</v>
      </c>
      <c r="EK32" s="52">
        <v>112.87</v>
      </c>
      <c r="EL32" s="52">
        <v>167.42</v>
      </c>
      <c r="EM32" s="52">
        <v>142.27000000000001</v>
      </c>
      <c r="EN32" s="52">
        <v>165.34</v>
      </c>
      <c r="EO32" s="52">
        <v>192.37</v>
      </c>
      <c r="EP32" s="52">
        <v>118.04</v>
      </c>
      <c r="EQ32" s="52">
        <v>147.86000000000001</v>
      </c>
      <c r="ER32" s="52">
        <v>154.46</v>
      </c>
      <c r="ES32" s="52">
        <v>173.09</v>
      </c>
      <c r="ET32" s="52">
        <v>140.21</v>
      </c>
      <c r="EU32" s="52">
        <v>122.15</v>
      </c>
      <c r="EV32" s="52">
        <v>134.01</v>
      </c>
      <c r="EW32" s="52">
        <v>149.47999999999999</v>
      </c>
      <c r="EX32" s="52">
        <v>131.30000000000001</v>
      </c>
      <c r="EY32" s="52">
        <v>113.52</v>
      </c>
      <c r="EZ32" s="52">
        <v>130.28</v>
      </c>
      <c r="FA32" s="52">
        <v>121.65</v>
      </c>
      <c r="FB32" s="52">
        <v>129.72</v>
      </c>
      <c r="FC32" s="52">
        <v>132.1</v>
      </c>
      <c r="FD32" s="52">
        <v>133.62</v>
      </c>
      <c r="FE32" s="52">
        <v>142.22</v>
      </c>
      <c r="FF32" s="52"/>
      <c r="FG32" s="52">
        <v>126.87</v>
      </c>
      <c r="FH32" s="52">
        <v>124.93</v>
      </c>
      <c r="FI32" s="52">
        <v>130.02000000000001</v>
      </c>
      <c r="FJ32" s="52">
        <v>151.47999999999999</v>
      </c>
      <c r="FK32" s="52">
        <v>134.47</v>
      </c>
      <c r="FL32" s="52">
        <v>117.48</v>
      </c>
      <c r="FM32" s="52">
        <v>118.49</v>
      </c>
      <c r="FN32" s="52">
        <v>135.63</v>
      </c>
      <c r="FO32" s="52">
        <v>152.11000000000001</v>
      </c>
      <c r="FP32" s="52">
        <v>170.77</v>
      </c>
      <c r="FQ32" s="52">
        <v>162.62</v>
      </c>
      <c r="FR32" s="52">
        <v>144.76</v>
      </c>
      <c r="FS32" s="52">
        <v>152.88999999999999</v>
      </c>
      <c r="FT32" s="52">
        <v>111.46</v>
      </c>
      <c r="FU32" s="52">
        <v>133</v>
      </c>
      <c r="FV32" s="52">
        <v>140.69999999999999</v>
      </c>
      <c r="FW32" s="52">
        <v>120.96</v>
      </c>
      <c r="FX32" s="52">
        <v>139.84</v>
      </c>
      <c r="FY32" s="52">
        <v>149.15</v>
      </c>
      <c r="FZ32" s="52">
        <v>145.21</v>
      </c>
      <c r="GA32" s="52">
        <v>128.41</v>
      </c>
      <c r="GB32" s="52">
        <v>121.35</v>
      </c>
      <c r="GC32" s="52">
        <v>126.43</v>
      </c>
      <c r="GD32" s="52">
        <v>121.12</v>
      </c>
      <c r="GE32" s="52">
        <v>192.82</v>
      </c>
      <c r="GF32" s="52">
        <v>169.6</v>
      </c>
      <c r="GG32" s="52">
        <v>159.88</v>
      </c>
      <c r="GH32" s="52">
        <v>179.66</v>
      </c>
      <c r="GI32" s="52">
        <v>98.85</v>
      </c>
      <c r="GJ32" s="52">
        <v>93.26</v>
      </c>
      <c r="GK32" s="52">
        <v>93.92</v>
      </c>
      <c r="GL32" s="52">
        <v>122.81</v>
      </c>
      <c r="GM32" s="52">
        <v>111.88</v>
      </c>
      <c r="GN32" s="52">
        <v>155.53</v>
      </c>
      <c r="GO32" s="52">
        <v>113.47</v>
      </c>
      <c r="GP32" s="52">
        <v>112.57</v>
      </c>
      <c r="GQ32" s="52">
        <v>111.38</v>
      </c>
      <c r="GR32" s="52">
        <v>157.78</v>
      </c>
      <c r="GS32" s="52">
        <v>196.37</v>
      </c>
      <c r="GT32" s="52">
        <v>130.1</v>
      </c>
      <c r="GU32" s="52">
        <v>120.58</v>
      </c>
      <c r="GV32" s="52">
        <v>99.97</v>
      </c>
      <c r="GW32" s="52">
        <v>164.93</v>
      </c>
      <c r="GX32" s="52">
        <v>160.59</v>
      </c>
      <c r="GY32" s="52">
        <v>153.19999999999999</v>
      </c>
      <c r="GZ32" s="52">
        <v>140.25</v>
      </c>
      <c r="HA32" s="52">
        <v>149.57</v>
      </c>
      <c r="HB32" s="52">
        <v>145.31</v>
      </c>
      <c r="HC32" s="52">
        <v>122.52</v>
      </c>
      <c r="HD32" s="52">
        <v>114.38</v>
      </c>
      <c r="HE32" s="52">
        <v>95.51</v>
      </c>
      <c r="HF32" s="52">
        <v>98.86</v>
      </c>
      <c r="HG32" s="52">
        <v>96.35</v>
      </c>
      <c r="HH32" s="52">
        <v>125.16</v>
      </c>
      <c r="HI32" s="52">
        <v>73.63</v>
      </c>
      <c r="HJ32" s="52">
        <v>113.68</v>
      </c>
      <c r="HK32" s="52">
        <v>167.41</v>
      </c>
      <c r="HL32" s="52">
        <v>120.89</v>
      </c>
      <c r="HM32" s="52">
        <v>149.5</v>
      </c>
      <c r="HN32" s="52">
        <v>142.5</v>
      </c>
      <c r="HO32" s="52">
        <v>123.34</v>
      </c>
      <c r="HP32" s="52">
        <v>148.75</v>
      </c>
      <c r="HQ32" s="52">
        <v>114.33</v>
      </c>
      <c r="HR32" s="52">
        <v>129.16</v>
      </c>
      <c r="HS32" s="52">
        <v>173.5</v>
      </c>
      <c r="HT32" s="52">
        <v>155.97999999999999</v>
      </c>
      <c r="HU32" s="52">
        <v>88.05</v>
      </c>
      <c r="HV32" s="52">
        <v>126.8</v>
      </c>
      <c r="HW32" s="52">
        <v>119.35</v>
      </c>
      <c r="HX32" s="52">
        <v>92.18</v>
      </c>
      <c r="HY32" s="52">
        <v>185.66</v>
      </c>
      <c r="HZ32" s="52">
        <v>144.13999999999999</v>
      </c>
      <c r="IA32" s="52">
        <v>85.16</v>
      </c>
      <c r="IB32" s="52">
        <v>158.43</v>
      </c>
      <c r="IC32" s="52">
        <v>106.74</v>
      </c>
      <c r="ID32" s="52">
        <v>118.44</v>
      </c>
      <c r="IE32" s="52">
        <v>0</v>
      </c>
      <c r="IF32" s="52">
        <v>101.3</v>
      </c>
      <c r="IG32" s="52">
        <v>133.27000000000001</v>
      </c>
      <c r="IH32" s="52">
        <v>150.72</v>
      </c>
      <c r="II32" s="52">
        <v>165.43</v>
      </c>
      <c r="IJ32" s="52">
        <v>158.02000000000001</v>
      </c>
      <c r="IK32" s="52">
        <v>151.41</v>
      </c>
      <c r="IL32" s="52">
        <v>142.28</v>
      </c>
      <c r="IM32" s="52">
        <v>163.83000000000001</v>
      </c>
      <c r="IN32" s="52">
        <v>157.19</v>
      </c>
      <c r="IO32" s="52">
        <v>131.38999999999999</v>
      </c>
      <c r="IP32" s="52">
        <v>92.1</v>
      </c>
      <c r="IQ32" s="52">
        <v>121.76</v>
      </c>
      <c r="IR32" s="52">
        <v>176.28</v>
      </c>
      <c r="IS32" s="52">
        <v>127.56</v>
      </c>
      <c r="IT32" s="52">
        <v>70.94</v>
      </c>
      <c r="IU32" s="52">
        <v>113.69</v>
      </c>
      <c r="IV32" s="52">
        <v>77.88</v>
      </c>
      <c r="IW32" s="52">
        <v>94.35</v>
      </c>
      <c r="IX32" s="52">
        <v>138.88999999999999</v>
      </c>
      <c r="IY32" s="52">
        <v>124.42</v>
      </c>
      <c r="IZ32" s="52">
        <v>163.72999999999999</v>
      </c>
      <c r="JA32" s="52">
        <v>123.51</v>
      </c>
      <c r="JB32" s="52"/>
      <c r="JC32" s="52">
        <v>145.93</v>
      </c>
      <c r="JD32" s="52">
        <v>160.57</v>
      </c>
      <c r="JE32" s="52">
        <v>134.41</v>
      </c>
      <c r="JF32" s="52">
        <v>129.68</v>
      </c>
      <c r="JG32" s="52">
        <v>162.15</v>
      </c>
      <c r="JH32" s="52">
        <v>183.41</v>
      </c>
      <c r="JI32" s="52">
        <v>121.4</v>
      </c>
      <c r="JJ32" s="52">
        <v>124.84</v>
      </c>
      <c r="JK32" s="52">
        <v>145.19</v>
      </c>
      <c r="JL32" s="52">
        <v>155.68</v>
      </c>
      <c r="JM32" s="52">
        <v>160.77000000000001</v>
      </c>
      <c r="JN32" s="52">
        <v>155.74</v>
      </c>
      <c r="JO32" s="52">
        <v>141.56</v>
      </c>
      <c r="JP32" s="52">
        <v>165.42</v>
      </c>
      <c r="JQ32" s="52">
        <v>149.44</v>
      </c>
      <c r="JR32" s="52">
        <v>161.75</v>
      </c>
      <c r="JS32" s="52">
        <v>182.29</v>
      </c>
      <c r="JT32" s="52">
        <v>178.04</v>
      </c>
      <c r="JU32" s="52">
        <v>159.97999999999999</v>
      </c>
      <c r="JV32" s="52">
        <v>106.79</v>
      </c>
      <c r="JW32" s="52">
        <v>112.87</v>
      </c>
      <c r="JX32" s="52">
        <v>167.42</v>
      </c>
      <c r="JY32" s="52">
        <v>146.94999999999999</v>
      </c>
      <c r="JZ32" s="52">
        <v>132.94</v>
      </c>
      <c r="KA32" s="52">
        <v>165.34</v>
      </c>
      <c r="KB32" s="52">
        <v>192.37</v>
      </c>
      <c r="KC32" s="52">
        <v>118.04</v>
      </c>
      <c r="KD32" s="52">
        <v>147.86000000000001</v>
      </c>
      <c r="KE32" s="52">
        <v>154.46</v>
      </c>
      <c r="KF32" s="52">
        <v>173.09</v>
      </c>
    </row>
    <row r="33" spans="1:292" s="41" customFormat="1" ht="12">
      <c r="A33" s="41">
        <v>2007</v>
      </c>
      <c r="B33" s="54" t="s">
        <v>983</v>
      </c>
      <c r="C33" s="55" t="s">
        <v>984</v>
      </c>
      <c r="D33" s="52">
        <v>139.33000000000001</v>
      </c>
      <c r="E33" s="52">
        <v>139.09</v>
      </c>
      <c r="F33" s="52">
        <v>180.11</v>
      </c>
      <c r="G33" s="52">
        <v>112.88</v>
      </c>
      <c r="H33" s="52">
        <v>147.16999999999999</v>
      </c>
      <c r="I33" s="52">
        <v>127.91</v>
      </c>
      <c r="J33" s="52">
        <v>122.63</v>
      </c>
      <c r="K33" s="52">
        <v>144.15</v>
      </c>
      <c r="L33" s="52">
        <v>107.89</v>
      </c>
      <c r="M33" s="52">
        <v>127.87</v>
      </c>
      <c r="N33" s="52">
        <v>152.06</v>
      </c>
      <c r="O33" s="52">
        <v>165.48</v>
      </c>
      <c r="P33" s="52">
        <v>144.88</v>
      </c>
      <c r="Q33" s="52">
        <v>139.28</v>
      </c>
      <c r="R33" s="52">
        <v>135.4</v>
      </c>
      <c r="S33" s="52">
        <v>179.89</v>
      </c>
      <c r="T33" s="52">
        <v>179.96</v>
      </c>
      <c r="U33" s="52">
        <v>108.56</v>
      </c>
      <c r="V33" s="52">
        <v>126.01</v>
      </c>
      <c r="W33" s="52">
        <v>198.45</v>
      </c>
      <c r="X33" s="52">
        <v>130.57</v>
      </c>
      <c r="Y33" s="52">
        <v>121.89</v>
      </c>
      <c r="Z33" s="52">
        <v>135.56</v>
      </c>
      <c r="AA33" s="52">
        <v>140.93</v>
      </c>
      <c r="AB33" s="52">
        <v>114.69</v>
      </c>
      <c r="AC33" s="52">
        <v>106.05</v>
      </c>
      <c r="AD33" s="52">
        <v>134.57</v>
      </c>
      <c r="AE33" s="52">
        <v>136.65</v>
      </c>
      <c r="AF33" s="52">
        <v>131.77000000000001</v>
      </c>
      <c r="AG33" s="52">
        <v>91.58</v>
      </c>
      <c r="AH33" s="52">
        <v>150.4</v>
      </c>
      <c r="AI33" s="52">
        <v>159</v>
      </c>
      <c r="AJ33" s="52">
        <v>116.41</v>
      </c>
      <c r="AK33" s="52">
        <v>154.21</v>
      </c>
      <c r="AL33" s="52">
        <v>155.19</v>
      </c>
      <c r="AM33" s="52">
        <v>127.56</v>
      </c>
      <c r="AN33" s="52">
        <v>67.650000000000006</v>
      </c>
      <c r="AO33" s="52">
        <v>113.56</v>
      </c>
      <c r="AP33" s="52">
        <v>87.2</v>
      </c>
      <c r="AQ33" s="52">
        <v>124.5</v>
      </c>
      <c r="AR33" s="52">
        <v>152.18</v>
      </c>
      <c r="AS33" s="52">
        <v>150.26</v>
      </c>
      <c r="AT33" s="52">
        <v>146.54</v>
      </c>
      <c r="AU33" s="52">
        <v>145.97999999999999</v>
      </c>
      <c r="AV33" s="52">
        <v>155.72</v>
      </c>
      <c r="AW33" s="52">
        <v>162.29</v>
      </c>
      <c r="AX33" s="52">
        <v>155.74</v>
      </c>
      <c r="AY33" s="52">
        <v>141.5</v>
      </c>
      <c r="AZ33" s="52">
        <v>161.51</v>
      </c>
      <c r="BA33" s="52">
        <v>170.84</v>
      </c>
      <c r="BB33" s="52">
        <v>125.68</v>
      </c>
      <c r="BC33" s="52">
        <v>163.51</v>
      </c>
      <c r="BD33" s="52">
        <v>165.6</v>
      </c>
      <c r="BE33" s="52">
        <v>155.78</v>
      </c>
      <c r="BF33" s="52">
        <v>154.46</v>
      </c>
      <c r="BG33" s="52">
        <v>173.22</v>
      </c>
      <c r="BH33" s="52">
        <v>135.36000000000001</v>
      </c>
      <c r="BI33" s="52">
        <v>131.75</v>
      </c>
      <c r="BJ33" s="52">
        <v>153.22</v>
      </c>
      <c r="BK33" s="52">
        <v>131.88999999999999</v>
      </c>
      <c r="BL33" s="52">
        <v>119.2</v>
      </c>
      <c r="BM33" s="52">
        <v>152.27000000000001</v>
      </c>
      <c r="BN33" s="52">
        <v>162.31</v>
      </c>
      <c r="BO33" s="52">
        <v>121.1</v>
      </c>
      <c r="BP33" s="52">
        <v>140.04</v>
      </c>
      <c r="BQ33" s="52">
        <v>145.47999999999999</v>
      </c>
      <c r="BR33" s="52">
        <v>125.19</v>
      </c>
      <c r="BS33" s="52">
        <v>192.82</v>
      </c>
      <c r="BT33" s="52">
        <v>168.44</v>
      </c>
      <c r="BU33" s="52">
        <v>162.26</v>
      </c>
      <c r="BV33" s="52">
        <v>179.96</v>
      </c>
      <c r="BW33" s="52">
        <v>107.56</v>
      </c>
      <c r="BX33" s="52">
        <v>116.49</v>
      </c>
      <c r="BY33" s="52">
        <v>156.38</v>
      </c>
      <c r="BZ33" s="52">
        <v>125.79</v>
      </c>
      <c r="CA33" s="52">
        <v>158.97</v>
      </c>
      <c r="CB33" s="53">
        <v>198.45</v>
      </c>
      <c r="CC33" s="52">
        <v>130.57</v>
      </c>
      <c r="CD33" s="52">
        <v>121.07</v>
      </c>
      <c r="CE33" s="52">
        <v>99.97</v>
      </c>
      <c r="CF33" s="52">
        <v>160.78</v>
      </c>
      <c r="CG33" s="52">
        <v>151.97</v>
      </c>
      <c r="CH33" s="52">
        <v>145.82</v>
      </c>
      <c r="CI33" s="52">
        <v>122.48</v>
      </c>
      <c r="CJ33" s="52">
        <v>114.69</v>
      </c>
      <c r="CK33" s="52">
        <v>98.95</v>
      </c>
      <c r="CL33" s="52">
        <v>114.13</v>
      </c>
      <c r="CM33" s="52">
        <v>167.59</v>
      </c>
      <c r="CN33" s="52">
        <v>134.57</v>
      </c>
      <c r="CO33" s="52">
        <v>136.65</v>
      </c>
      <c r="CP33" s="52">
        <v>116.29</v>
      </c>
      <c r="CQ33" s="52">
        <v>175.92</v>
      </c>
      <c r="CR33" s="52">
        <v>88.05</v>
      </c>
      <c r="CS33" s="52">
        <v>127.04</v>
      </c>
      <c r="CT33" s="52">
        <v>110.16</v>
      </c>
      <c r="CU33" s="52">
        <v>186.77</v>
      </c>
      <c r="CV33" s="52">
        <v>144.25</v>
      </c>
      <c r="CW33" s="52">
        <v>93.5</v>
      </c>
      <c r="CX33" s="52">
        <v>159</v>
      </c>
      <c r="CY33" s="52">
        <v>116.72</v>
      </c>
      <c r="CZ33" s="52">
        <v>0</v>
      </c>
      <c r="DA33" s="52">
        <v>102</v>
      </c>
      <c r="DB33" s="52">
        <v>133.15</v>
      </c>
      <c r="DC33" s="52">
        <v>153.80000000000001</v>
      </c>
      <c r="DD33" s="52">
        <v>167.72</v>
      </c>
      <c r="DE33" s="52">
        <v>158.15</v>
      </c>
      <c r="DF33" s="52">
        <v>149.88999999999999</v>
      </c>
      <c r="DG33" s="52">
        <v>157.25</v>
      </c>
      <c r="DH33" s="52">
        <v>103.37</v>
      </c>
      <c r="DI33" s="52">
        <v>121.98</v>
      </c>
      <c r="DJ33" s="52">
        <v>177.37</v>
      </c>
      <c r="DK33" s="52">
        <v>127.56</v>
      </c>
      <c r="DL33" s="52">
        <v>67.650000000000006</v>
      </c>
      <c r="DM33" s="52">
        <v>113.56</v>
      </c>
      <c r="DN33" s="52">
        <v>76.95</v>
      </c>
      <c r="DO33" s="52">
        <v>92.26</v>
      </c>
      <c r="DP33" s="52">
        <v>137.59</v>
      </c>
      <c r="DQ33" s="52">
        <v>124.5</v>
      </c>
      <c r="DR33" s="52">
        <v>163.85</v>
      </c>
      <c r="DS33" s="52">
        <v>123.92</v>
      </c>
      <c r="DT33" s="52"/>
      <c r="DU33" s="52">
        <v>147.27000000000001</v>
      </c>
      <c r="DV33" s="52">
        <v>169.37</v>
      </c>
      <c r="DW33" s="52">
        <v>131.15</v>
      </c>
      <c r="DX33" s="52">
        <v>162.15</v>
      </c>
      <c r="DY33" s="52">
        <v>186.94</v>
      </c>
      <c r="DZ33" s="52">
        <v>121.4</v>
      </c>
      <c r="EA33" s="52">
        <v>125.17</v>
      </c>
      <c r="EB33" s="52">
        <v>145.97999999999999</v>
      </c>
      <c r="EC33" s="52">
        <v>155.72</v>
      </c>
      <c r="ED33" s="52">
        <v>162.29</v>
      </c>
      <c r="EE33" s="52">
        <v>155.74</v>
      </c>
      <c r="EF33" s="52">
        <v>141.5</v>
      </c>
      <c r="EG33" s="52">
        <v>161.51</v>
      </c>
      <c r="EH33" s="52">
        <v>170.84</v>
      </c>
      <c r="EI33" s="52">
        <v>170.2</v>
      </c>
      <c r="EJ33" s="52">
        <v>106.82</v>
      </c>
      <c r="EK33" s="52">
        <v>112.55</v>
      </c>
      <c r="EL33" s="52">
        <v>168.72</v>
      </c>
      <c r="EM33" s="52">
        <v>144.56</v>
      </c>
      <c r="EN33" s="52">
        <v>165.6</v>
      </c>
      <c r="EO33" s="52">
        <v>192.48</v>
      </c>
      <c r="EP33" s="52">
        <v>119.04</v>
      </c>
      <c r="EQ33" s="52">
        <v>148.69999999999999</v>
      </c>
      <c r="ER33" s="52">
        <v>154.46</v>
      </c>
      <c r="ES33" s="52">
        <v>173.22</v>
      </c>
      <c r="ET33" s="52">
        <v>140.72999999999999</v>
      </c>
      <c r="EU33" s="52">
        <v>122.61</v>
      </c>
      <c r="EV33" s="52">
        <v>135.61000000000001</v>
      </c>
      <c r="EW33" s="52">
        <v>149.59</v>
      </c>
      <c r="EX33" s="52">
        <v>132.76</v>
      </c>
      <c r="EY33" s="52">
        <v>114.19</v>
      </c>
      <c r="EZ33" s="52">
        <v>127.42</v>
      </c>
      <c r="FA33" s="52">
        <v>120.83</v>
      </c>
      <c r="FB33" s="52">
        <v>147.97999999999999</v>
      </c>
      <c r="FC33" s="52">
        <v>131.87</v>
      </c>
      <c r="FD33" s="52">
        <v>132.75</v>
      </c>
      <c r="FE33" s="52">
        <v>153.22</v>
      </c>
      <c r="FF33" s="52"/>
      <c r="FG33" s="52">
        <v>125.28</v>
      </c>
      <c r="FH33" s="52">
        <v>123.34</v>
      </c>
      <c r="FI33" s="52">
        <v>129.97</v>
      </c>
      <c r="FJ33" s="52">
        <v>154</v>
      </c>
      <c r="FK33" s="52">
        <v>135.19</v>
      </c>
      <c r="FL33" s="52">
        <v>116.12</v>
      </c>
      <c r="FM33" s="52">
        <v>118.27</v>
      </c>
      <c r="FN33" s="52">
        <v>150.38999999999999</v>
      </c>
      <c r="FO33" s="52">
        <v>152.65</v>
      </c>
      <c r="FP33" s="52">
        <v>159.30000000000001</v>
      </c>
      <c r="FQ33" s="52">
        <v>175.82</v>
      </c>
      <c r="FR33" s="52">
        <v>144.72999999999999</v>
      </c>
      <c r="FS33" s="52">
        <v>154.1</v>
      </c>
      <c r="FT33" s="52">
        <v>110.25</v>
      </c>
      <c r="FU33" s="52">
        <v>134.53</v>
      </c>
      <c r="FV33" s="52">
        <v>141.88</v>
      </c>
      <c r="FW33" s="52">
        <v>121.04</v>
      </c>
      <c r="FX33" s="52">
        <v>140.04</v>
      </c>
      <c r="FY33" s="52">
        <v>150.38</v>
      </c>
      <c r="FZ33" s="52">
        <v>145.07</v>
      </c>
      <c r="GA33" s="52">
        <v>128.58000000000001</v>
      </c>
      <c r="GB33" s="52">
        <v>122.89</v>
      </c>
      <c r="GC33" s="52">
        <v>126.89</v>
      </c>
      <c r="GD33" s="52">
        <v>120.68</v>
      </c>
      <c r="GE33" s="52">
        <v>192.82</v>
      </c>
      <c r="GF33" s="52">
        <v>168.44</v>
      </c>
      <c r="GG33" s="52">
        <v>162.26</v>
      </c>
      <c r="GH33" s="52">
        <v>179.66</v>
      </c>
      <c r="GI33" s="52">
        <v>111.33</v>
      </c>
      <c r="GJ33" s="52">
        <v>104.63</v>
      </c>
      <c r="GK33" s="52">
        <v>104.37</v>
      </c>
      <c r="GL33" s="52">
        <v>126.12</v>
      </c>
      <c r="GM33" s="52">
        <v>116.49</v>
      </c>
      <c r="GN33" s="52">
        <v>156.38</v>
      </c>
      <c r="GO33" s="52">
        <v>127.46</v>
      </c>
      <c r="GP33" s="52">
        <v>127.01</v>
      </c>
      <c r="GQ33" s="52">
        <v>119.49</v>
      </c>
      <c r="GR33" s="52">
        <v>158.97</v>
      </c>
      <c r="GS33" s="52">
        <v>198.45</v>
      </c>
      <c r="GT33" s="52">
        <v>130.57</v>
      </c>
      <c r="GU33" s="52">
        <v>121.07</v>
      </c>
      <c r="GV33" s="52">
        <v>99.97</v>
      </c>
      <c r="GW33" s="52">
        <v>164.64</v>
      </c>
      <c r="GX33" s="52">
        <v>160.5</v>
      </c>
      <c r="GY33" s="52">
        <v>151.97</v>
      </c>
      <c r="GZ33" s="52">
        <v>141.18</v>
      </c>
      <c r="HA33" s="52">
        <v>149.69</v>
      </c>
      <c r="HB33" s="52">
        <v>145.36000000000001</v>
      </c>
      <c r="HC33" s="52">
        <v>122.48</v>
      </c>
      <c r="HD33" s="52">
        <v>114.69</v>
      </c>
      <c r="HE33" s="52">
        <v>90.42</v>
      </c>
      <c r="HF33" s="52">
        <v>93.33</v>
      </c>
      <c r="HG33" s="52">
        <v>93.91</v>
      </c>
      <c r="HH33" s="52">
        <v>125.31</v>
      </c>
      <c r="HI33" s="52">
        <v>73.63</v>
      </c>
      <c r="HJ33" s="52">
        <v>114.13</v>
      </c>
      <c r="HK33" s="52">
        <v>167.59</v>
      </c>
      <c r="HL33" s="52">
        <v>121.1</v>
      </c>
      <c r="HM33" s="52">
        <v>149.76</v>
      </c>
      <c r="HN33" s="52">
        <v>143.57</v>
      </c>
      <c r="HO33" s="52">
        <v>123.28</v>
      </c>
      <c r="HP33" s="52">
        <v>149.52000000000001</v>
      </c>
      <c r="HQ33" s="52">
        <v>114.88</v>
      </c>
      <c r="HR33" s="52">
        <v>128.88999999999999</v>
      </c>
      <c r="HS33" s="52">
        <v>176.17</v>
      </c>
      <c r="HT33" s="52">
        <v>159.80000000000001</v>
      </c>
      <c r="HU33" s="52">
        <v>88.05</v>
      </c>
      <c r="HV33" s="52">
        <v>127.04</v>
      </c>
      <c r="HW33" s="52">
        <v>119.27</v>
      </c>
      <c r="HX33" s="52">
        <v>91.53</v>
      </c>
      <c r="HY33" s="52">
        <v>186.77</v>
      </c>
      <c r="HZ33" s="52">
        <v>144.25</v>
      </c>
      <c r="IA33" s="52">
        <v>85.63</v>
      </c>
      <c r="IB33" s="52">
        <v>159</v>
      </c>
      <c r="IC33" s="52">
        <v>106.99</v>
      </c>
      <c r="ID33" s="52">
        <v>118.62</v>
      </c>
      <c r="IE33" s="52">
        <v>0</v>
      </c>
      <c r="IF33" s="52">
        <v>102</v>
      </c>
      <c r="IG33" s="52">
        <v>133.15</v>
      </c>
      <c r="IH33" s="52">
        <v>153.80000000000001</v>
      </c>
      <c r="II33" s="52">
        <v>167.72</v>
      </c>
      <c r="IJ33" s="52">
        <v>158.15</v>
      </c>
      <c r="IK33" s="52">
        <v>151.94999999999999</v>
      </c>
      <c r="IL33" s="52">
        <v>142.28</v>
      </c>
      <c r="IM33" s="52">
        <v>164.66</v>
      </c>
      <c r="IN33" s="52">
        <v>157.34</v>
      </c>
      <c r="IO33" s="52">
        <v>129.81</v>
      </c>
      <c r="IP33" s="52">
        <v>103.37</v>
      </c>
      <c r="IQ33" s="52">
        <v>121.98</v>
      </c>
      <c r="IR33" s="52">
        <v>177.37</v>
      </c>
      <c r="IS33" s="52">
        <v>127.56</v>
      </c>
      <c r="IT33" s="52">
        <v>67.650000000000006</v>
      </c>
      <c r="IU33" s="52">
        <v>113.56</v>
      </c>
      <c r="IV33" s="52">
        <v>78.099999999999994</v>
      </c>
      <c r="IW33" s="52">
        <v>92.26</v>
      </c>
      <c r="IX33" s="52">
        <v>137.59</v>
      </c>
      <c r="IY33" s="52">
        <v>124.5</v>
      </c>
      <c r="IZ33" s="52">
        <v>163.85</v>
      </c>
      <c r="JA33" s="52">
        <v>123.92</v>
      </c>
      <c r="JB33" s="52"/>
      <c r="JC33" s="52">
        <v>147.27000000000001</v>
      </c>
      <c r="JD33" s="52">
        <v>169.37</v>
      </c>
      <c r="JE33" s="52">
        <v>135.49</v>
      </c>
      <c r="JF33" s="52">
        <v>129.44</v>
      </c>
      <c r="JG33" s="52">
        <v>162.15</v>
      </c>
      <c r="JH33" s="52">
        <v>186.94</v>
      </c>
      <c r="JI33" s="52">
        <v>121.4</v>
      </c>
      <c r="JJ33" s="52">
        <v>125.17</v>
      </c>
      <c r="JK33" s="52">
        <v>145.97999999999999</v>
      </c>
      <c r="JL33" s="52">
        <v>155.72</v>
      </c>
      <c r="JM33" s="52">
        <v>162.29</v>
      </c>
      <c r="JN33" s="52">
        <v>155.74</v>
      </c>
      <c r="JO33" s="52">
        <v>141.5</v>
      </c>
      <c r="JP33" s="52">
        <v>166.78</v>
      </c>
      <c r="JQ33" s="52">
        <v>149.26</v>
      </c>
      <c r="JR33" s="52">
        <v>162.30000000000001</v>
      </c>
      <c r="JS33" s="52">
        <v>182.15</v>
      </c>
      <c r="JT33" s="52">
        <v>179.99</v>
      </c>
      <c r="JU33" s="52">
        <v>160.79</v>
      </c>
      <c r="JV33" s="52">
        <v>106.82</v>
      </c>
      <c r="JW33" s="52">
        <v>112.55</v>
      </c>
      <c r="JX33" s="52">
        <v>168.72</v>
      </c>
      <c r="JY33" s="52">
        <v>148.56</v>
      </c>
      <c r="JZ33" s="52">
        <v>136.35</v>
      </c>
      <c r="KA33" s="52">
        <v>165.6</v>
      </c>
      <c r="KB33" s="52">
        <v>192.48</v>
      </c>
      <c r="KC33" s="52">
        <v>119.04</v>
      </c>
      <c r="KD33" s="52">
        <v>148.69999999999999</v>
      </c>
      <c r="KE33" s="52">
        <v>154.46</v>
      </c>
      <c r="KF33" s="52">
        <v>173.22</v>
      </c>
    </row>
    <row r="34" spans="1:292" s="41" customFormat="1" ht="12">
      <c r="A34" s="41">
        <v>2007</v>
      </c>
      <c r="B34" s="54" t="s">
        <v>985</v>
      </c>
      <c r="C34" s="55" t="s">
        <v>986</v>
      </c>
      <c r="D34" s="52">
        <v>140.03</v>
      </c>
      <c r="E34" s="52">
        <v>136.78</v>
      </c>
      <c r="F34" s="52">
        <v>180.13</v>
      </c>
      <c r="G34" s="52">
        <v>125.69</v>
      </c>
      <c r="H34" s="52">
        <v>147.72</v>
      </c>
      <c r="I34" s="52">
        <v>130.28</v>
      </c>
      <c r="J34" s="52">
        <v>122.73</v>
      </c>
      <c r="K34" s="52">
        <v>144.31</v>
      </c>
      <c r="L34" s="52">
        <v>107.63</v>
      </c>
      <c r="M34" s="52">
        <v>125.59</v>
      </c>
      <c r="N34" s="52">
        <v>152.68</v>
      </c>
      <c r="O34" s="52">
        <v>166.9</v>
      </c>
      <c r="P34" s="52">
        <v>143.87</v>
      </c>
      <c r="Q34" s="52">
        <v>136.85</v>
      </c>
      <c r="R34" s="52">
        <v>135.08000000000001</v>
      </c>
      <c r="S34" s="52">
        <v>180.23</v>
      </c>
      <c r="T34" s="52">
        <v>179.96</v>
      </c>
      <c r="U34" s="52">
        <v>123.53</v>
      </c>
      <c r="V34" s="52">
        <v>131.58000000000001</v>
      </c>
      <c r="W34" s="52">
        <v>200.8</v>
      </c>
      <c r="X34" s="52">
        <v>130.69999999999999</v>
      </c>
      <c r="Y34" s="52">
        <v>123.02</v>
      </c>
      <c r="Z34" s="52">
        <v>135.24</v>
      </c>
      <c r="AA34" s="52">
        <v>146.03</v>
      </c>
      <c r="AB34" s="52">
        <v>115.24</v>
      </c>
      <c r="AC34" s="52">
        <v>109.19</v>
      </c>
      <c r="AD34" s="52">
        <v>135.31</v>
      </c>
      <c r="AE34" s="52">
        <v>136.85</v>
      </c>
      <c r="AF34" s="52">
        <v>131.69999999999999</v>
      </c>
      <c r="AG34" s="52">
        <v>91.58</v>
      </c>
      <c r="AH34" s="52">
        <v>150.61000000000001</v>
      </c>
      <c r="AI34" s="52">
        <v>159.15</v>
      </c>
      <c r="AJ34" s="52">
        <v>114.42</v>
      </c>
      <c r="AK34" s="52">
        <v>156.94</v>
      </c>
      <c r="AL34" s="52">
        <v>155.22999999999999</v>
      </c>
      <c r="AM34" s="52">
        <v>127.56</v>
      </c>
      <c r="AN34" s="52">
        <v>65.959999999999994</v>
      </c>
      <c r="AO34" s="52">
        <v>113.56</v>
      </c>
      <c r="AP34" s="52">
        <v>83.46</v>
      </c>
      <c r="AQ34" s="52">
        <v>124.62</v>
      </c>
      <c r="AR34" s="52">
        <v>152.94</v>
      </c>
      <c r="AS34" s="52">
        <v>151.54</v>
      </c>
      <c r="AT34" s="52">
        <v>144.76</v>
      </c>
      <c r="AU34" s="52">
        <v>141.1</v>
      </c>
      <c r="AV34" s="52">
        <v>158</v>
      </c>
      <c r="AW34" s="52">
        <v>163.76</v>
      </c>
      <c r="AX34" s="52">
        <v>155.74</v>
      </c>
      <c r="AY34" s="52">
        <v>141.52000000000001</v>
      </c>
      <c r="AZ34" s="52">
        <v>163.01</v>
      </c>
      <c r="BA34" s="52">
        <v>171.12</v>
      </c>
      <c r="BB34" s="52">
        <v>125.4</v>
      </c>
      <c r="BC34" s="52">
        <v>160.01</v>
      </c>
      <c r="BD34" s="52">
        <v>165.99</v>
      </c>
      <c r="BE34" s="52">
        <v>156.41</v>
      </c>
      <c r="BF34" s="52">
        <v>154.46</v>
      </c>
      <c r="BG34" s="52">
        <v>173.21</v>
      </c>
      <c r="BH34" s="52">
        <v>135.41</v>
      </c>
      <c r="BI34" s="52">
        <v>136.19</v>
      </c>
      <c r="BJ34" s="52">
        <v>157.47</v>
      </c>
      <c r="BK34" s="52">
        <v>128.66</v>
      </c>
      <c r="BL34" s="52">
        <v>119.13</v>
      </c>
      <c r="BM34" s="52">
        <v>175.24</v>
      </c>
      <c r="BN34" s="52">
        <v>129.66999999999999</v>
      </c>
      <c r="BO34" s="52">
        <v>121.4</v>
      </c>
      <c r="BP34" s="52">
        <v>140.63</v>
      </c>
      <c r="BQ34" s="52">
        <v>145.13999999999999</v>
      </c>
      <c r="BR34" s="52">
        <v>124.88</v>
      </c>
      <c r="BS34" s="52">
        <v>192.84</v>
      </c>
      <c r="BT34" s="52">
        <v>168.03</v>
      </c>
      <c r="BU34" s="52">
        <v>163.19</v>
      </c>
      <c r="BV34" s="52">
        <v>179.96</v>
      </c>
      <c r="BW34" s="52">
        <v>123.56</v>
      </c>
      <c r="BX34" s="52">
        <v>118.18</v>
      </c>
      <c r="BY34" s="52">
        <v>157.06</v>
      </c>
      <c r="BZ34" s="52">
        <v>131.4</v>
      </c>
      <c r="CA34" s="52">
        <v>159.13999999999999</v>
      </c>
      <c r="CB34" s="53">
        <v>200.8</v>
      </c>
      <c r="CC34" s="52">
        <v>130.69999999999999</v>
      </c>
      <c r="CD34" s="52">
        <v>122.22</v>
      </c>
      <c r="CE34" s="52">
        <v>99.97</v>
      </c>
      <c r="CF34" s="52">
        <v>162.04</v>
      </c>
      <c r="CG34" s="52">
        <v>148.77000000000001</v>
      </c>
      <c r="CH34" s="52">
        <v>152.41999999999999</v>
      </c>
      <c r="CI34" s="52">
        <v>122.42</v>
      </c>
      <c r="CJ34" s="52">
        <v>115.24</v>
      </c>
      <c r="CK34" s="52">
        <v>102.13</v>
      </c>
      <c r="CL34" s="52">
        <v>116.04</v>
      </c>
      <c r="CM34" s="52">
        <v>170.52</v>
      </c>
      <c r="CN34" s="52">
        <v>135.31</v>
      </c>
      <c r="CO34" s="52">
        <v>136.85</v>
      </c>
      <c r="CP34" s="52">
        <v>115.76</v>
      </c>
      <c r="CQ34" s="52">
        <v>178.21</v>
      </c>
      <c r="CR34" s="52">
        <v>88.06</v>
      </c>
      <c r="CS34" s="52">
        <v>127.1</v>
      </c>
      <c r="CT34" s="52">
        <v>110.07</v>
      </c>
      <c r="CU34" s="52">
        <v>187.1</v>
      </c>
      <c r="CV34" s="52">
        <v>144.31</v>
      </c>
      <c r="CW34" s="52">
        <v>93.67</v>
      </c>
      <c r="CX34" s="52">
        <v>159.15</v>
      </c>
      <c r="CY34" s="52">
        <v>114.69</v>
      </c>
      <c r="CZ34" s="52">
        <v>0</v>
      </c>
      <c r="DA34" s="52">
        <v>103.02</v>
      </c>
      <c r="DB34" s="52">
        <v>133.31</v>
      </c>
      <c r="DC34" s="52">
        <v>157.15</v>
      </c>
      <c r="DD34" s="52">
        <v>167.53</v>
      </c>
      <c r="DE34" s="52">
        <v>158.13999999999999</v>
      </c>
      <c r="DF34" s="52">
        <v>149.88999999999999</v>
      </c>
      <c r="DG34" s="52">
        <v>157.32</v>
      </c>
      <c r="DH34" s="52">
        <v>101.73</v>
      </c>
      <c r="DI34" s="52">
        <v>121.98</v>
      </c>
      <c r="DJ34" s="52">
        <v>180.9</v>
      </c>
      <c r="DK34" s="52">
        <v>127.56</v>
      </c>
      <c r="DL34" s="52">
        <v>65.959999999999994</v>
      </c>
      <c r="DM34" s="52">
        <v>113.56</v>
      </c>
      <c r="DN34" s="52">
        <v>73.290000000000006</v>
      </c>
      <c r="DO34" s="52">
        <v>87.02</v>
      </c>
      <c r="DP34" s="52">
        <v>137.76</v>
      </c>
      <c r="DQ34" s="52">
        <v>124.62</v>
      </c>
      <c r="DR34" s="52">
        <v>164.94</v>
      </c>
      <c r="DS34" s="52">
        <v>123.67</v>
      </c>
      <c r="DT34" s="52"/>
      <c r="DU34" s="52">
        <v>148.26</v>
      </c>
      <c r="DV34" s="52">
        <v>172.13</v>
      </c>
      <c r="DW34" s="52">
        <v>131.56</v>
      </c>
      <c r="DX34" s="52">
        <v>162.15</v>
      </c>
      <c r="DY34" s="52">
        <v>181.8</v>
      </c>
      <c r="DZ34" s="52">
        <v>121.4</v>
      </c>
      <c r="EA34" s="52">
        <v>125.25</v>
      </c>
      <c r="EB34" s="52">
        <v>141.1</v>
      </c>
      <c r="EC34" s="52">
        <v>158</v>
      </c>
      <c r="ED34" s="52">
        <v>163.76</v>
      </c>
      <c r="EE34" s="52">
        <v>155.74</v>
      </c>
      <c r="EF34" s="52">
        <v>141.52000000000001</v>
      </c>
      <c r="EG34" s="52">
        <v>163.01</v>
      </c>
      <c r="EH34" s="52">
        <v>171.12</v>
      </c>
      <c r="EI34" s="52">
        <v>171.25</v>
      </c>
      <c r="EJ34" s="52">
        <v>105.57</v>
      </c>
      <c r="EK34" s="52">
        <v>111.97</v>
      </c>
      <c r="EL34" s="52">
        <v>164.17</v>
      </c>
      <c r="EM34" s="52">
        <v>144.81</v>
      </c>
      <c r="EN34" s="52">
        <v>165.99</v>
      </c>
      <c r="EO34" s="52">
        <v>192.49</v>
      </c>
      <c r="EP34" s="52">
        <v>120.07</v>
      </c>
      <c r="EQ34" s="52">
        <v>149.19999999999999</v>
      </c>
      <c r="ER34" s="52">
        <v>154.46</v>
      </c>
      <c r="ES34" s="52">
        <v>173.21</v>
      </c>
      <c r="ET34" s="52">
        <v>141</v>
      </c>
      <c r="EU34" s="52">
        <v>122.24</v>
      </c>
      <c r="EV34" s="52">
        <v>135.59</v>
      </c>
      <c r="EW34" s="52">
        <v>150.02000000000001</v>
      </c>
      <c r="EX34" s="52">
        <v>133.36000000000001</v>
      </c>
      <c r="EY34" s="52">
        <v>115.28</v>
      </c>
      <c r="EZ34" s="52">
        <v>127.25</v>
      </c>
      <c r="FA34" s="52">
        <v>120.32</v>
      </c>
      <c r="FB34" s="52">
        <v>165.68</v>
      </c>
      <c r="FC34" s="52">
        <v>132.29</v>
      </c>
      <c r="FD34" s="52">
        <v>132.79</v>
      </c>
      <c r="FE34" s="52">
        <v>157.47</v>
      </c>
      <c r="FF34" s="52"/>
      <c r="FG34" s="52">
        <v>122.75</v>
      </c>
      <c r="FH34" s="52">
        <v>123.98</v>
      </c>
      <c r="FI34" s="52">
        <v>130.85</v>
      </c>
      <c r="FJ34" s="52">
        <v>138.38</v>
      </c>
      <c r="FK34" s="52">
        <v>135.43</v>
      </c>
      <c r="FL34" s="52">
        <v>115.57</v>
      </c>
      <c r="FM34" s="52">
        <v>118.28</v>
      </c>
      <c r="FN34" s="52">
        <v>176.17</v>
      </c>
      <c r="FO34" s="52">
        <v>153.91</v>
      </c>
      <c r="FP34" s="52">
        <v>112.3</v>
      </c>
      <c r="FQ34" s="52">
        <v>173.39</v>
      </c>
      <c r="FR34" s="52">
        <v>144.36000000000001</v>
      </c>
      <c r="FS34" s="52">
        <v>155.71</v>
      </c>
      <c r="FT34" s="52">
        <v>110.78</v>
      </c>
      <c r="FU34" s="52">
        <v>135.04</v>
      </c>
      <c r="FV34" s="52">
        <v>143.1</v>
      </c>
      <c r="FW34" s="52">
        <v>115.89</v>
      </c>
      <c r="FX34" s="52">
        <v>140.63</v>
      </c>
      <c r="FY34" s="52">
        <v>151.86000000000001</v>
      </c>
      <c r="FZ34" s="52">
        <v>144.51</v>
      </c>
      <c r="GA34" s="52">
        <v>128.93</v>
      </c>
      <c r="GB34" s="52">
        <v>123.46</v>
      </c>
      <c r="GC34" s="52">
        <v>126.43</v>
      </c>
      <c r="GD34" s="52">
        <v>119.54</v>
      </c>
      <c r="GE34" s="52">
        <v>192.84</v>
      </c>
      <c r="GF34" s="52">
        <v>168.03</v>
      </c>
      <c r="GG34" s="52">
        <v>163.19</v>
      </c>
      <c r="GH34" s="52">
        <v>179.66</v>
      </c>
      <c r="GI34" s="52">
        <v>123.82</v>
      </c>
      <c r="GJ34" s="52">
        <v>121.72</v>
      </c>
      <c r="GK34" s="52">
        <v>126.92</v>
      </c>
      <c r="GL34" s="52">
        <v>128.96</v>
      </c>
      <c r="GM34" s="52">
        <v>118.18</v>
      </c>
      <c r="GN34" s="52">
        <v>157.06</v>
      </c>
      <c r="GO34" s="52">
        <v>132.05000000000001</v>
      </c>
      <c r="GP34" s="52">
        <v>136.27000000000001</v>
      </c>
      <c r="GQ34" s="52">
        <v>120.92</v>
      </c>
      <c r="GR34" s="52">
        <v>159.13999999999999</v>
      </c>
      <c r="GS34" s="52">
        <v>200.8</v>
      </c>
      <c r="GT34" s="52">
        <v>130.69999999999999</v>
      </c>
      <c r="GU34" s="52">
        <v>122.22</v>
      </c>
      <c r="GV34" s="52">
        <v>99.97</v>
      </c>
      <c r="GW34" s="52">
        <v>164.47</v>
      </c>
      <c r="GX34" s="52">
        <v>162.29</v>
      </c>
      <c r="GY34" s="52">
        <v>148.77000000000001</v>
      </c>
      <c r="GZ34" s="52">
        <v>141.86000000000001</v>
      </c>
      <c r="HA34" s="52">
        <v>156.65</v>
      </c>
      <c r="HB34" s="52">
        <v>152.80000000000001</v>
      </c>
      <c r="HC34" s="52">
        <v>122.42</v>
      </c>
      <c r="HD34" s="52">
        <v>115.24</v>
      </c>
      <c r="HE34" s="52">
        <v>94.72</v>
      </c>
      <c r="HF34" s="52">
        <v>96.1</v>
      </c>
      <c r="HG34" s="52">
        <v>97.04</v>
      </c>
      <c r="HH34" s="52">
        <v>127.09</v>
      </c>
      <c r="HI34" s="52">
        <v>75.87</v>
      </c>
      <c r="HJ34" s="52">
        <v>116.04</v>
      </c>
      <c r="HK34" s="52">
        <v>170.52</v>
      </c>
      <c r="HL34" s="52">
        <v>121.34</v>
      </c>
      <c r="HM34" s="52">
        <v>150.1</v>
      </c>
      <c r="HN34" s="52">
        <v>144.86000000000001</v>
      </c>
      <c r="HO34" s="52">
        <v>123.23</v>
      </c>
      <c r="HP34" s="52">
        <v>149.99</v>
      </c>
      <c r="HQ34" s="52">
        <v>114.37</v>
      </c>
      <c r="HR34" s="52">
        <v>128.12</v>
      </c>
      <c r="HS34" s="52">
        <v>178.45</v>
      </c>
      <c r="HT34" s="52">
        <v>162.11000000000001</v>
      </c>
      <c r="HU34" s="52">
        <v>88.06</v>
      </c>
      <c r="HV34" s="52">
        <v>127.1</v>
      </c>
      <c r="HW34" s="52">
        <v>119.29</v>
      </c>
      <c r="HX34" s="52">
        <v>91.27</v>
      </c>
      <c r="HY34" s="52">
        <v>187.1</v>
      </c>
      <c r="HZ34" s="52">
        <v>144.31</v>
      </c>
      <c r="IA34" s="52">
        <v>85.7</v>
      </c>
      <c r="IB34" s="52">
        <v>159.15</v>
      </c>
      <c r="IC34" s="52">
        <v>104.53</v>
      </c>
      <c r="ID34" s="52">
        <v>116.68</v>
      </c>
      <c r="IE34" s="52">
        <v>0</v>
      </c>
      <c r="IF34" s="52">
        <v>103.02</v>
      </c>
      <c r="IG34" s="52">
        <v>133.31</v>
      </c>
      <c r="IH34" s="52">
        <v>157.15</v>
      </c>
      <c r="II34" s="52">
        <v>167.53</v>
      </c>
      <c r="IJ34" s="52">
        <v>158.13999999999999</v>
      </c>
      <c r="IK34" s="52">
        <v>151.94999999999999</v>
      </c>
      <c r="IL34" s="52">
        <v>142.28</v>
      </c>
      <c r="IM34" s="52">
        <v>164.79</v>
      </c>
      <c r="IN34" s="52">
        <v>157.66999999999999</v>
      </c>
      <c r="IO34" s="52">
        <v>129.58000000000001</v>
      </c>
      <c r="IP34" s="52">
        <v>101.73</v>
      </c>
      <c r="IQ34" s="52">
        <v>121.98</v>
      </c>
      <c r="IR34" s="52">
        <v>180.9</v>
      </c>
      <c r="IS34" s="52">
        <v>127.56</v>
      </c>
      <c r="IT34" s="52">
        <v>65.959999999999994</v>
      </c>
      <c r="IU34" s="52">
        <v>113.56</v>
      </c>
      <c r="IV34" s="52">
        <v>73.95</v>
      </c>
      <c r="IW34" s="52">
        <v>87.02</v>
      </c>
      <c r="IX34" s="52">
        <v>137.76</v>
      </c>
      <c r="IY34" s="52">
        <v>124.62</v>
      </c>
      <c r="IZ34" s="52">
        <v>164.94</v>
      </c>
      <c r="JA34" s="52">
        <v>123.67</v>
      </c>
      <c r="JB34" s="52"/>
      <c r="JC34" s="52">
        <v>148.26</v>
      </c>
      <c r="JD34" s="52">
        <v>172.13</v>
      </c>
      <c r="JE34" s="52">
        <v>136.80000000000001</v>
      </c>
      <c r="JF34" s="52">
        <v>129.5</v>
      </c>
      <c r="JG34" s="52">
        <v>162.15</v>
      </c>
      <c r="JH34" s="52">
        <v>181.8</v>
      </c>
      <c r="JI34" s="52">
        <v>121.4</v>
      </c>
      <c r="JJ34" s="52">
        <v>125.25</v>
      </c>
      <c r="JK34" s="52">
        <v>141.1</v>
      </c>
      <c r="JL34" s="52">
        <v>158</v>
      </c>
      <c r="JM34" s="52">
        <v>163.76</v>
      </c>
      <c r="JN34" s="52">
        <v>155.74</v>
      </c>
      <c r="JO34" s="52">
        <v>141.52000000000001</v>
      </c>
      <c r="JP34" s="52">
        <v>168.17</v>
      </c>
      <c r="JQ34" s="52">
        <v>151.08000000000001</v>
      </c>
      <c r="JR34" s="52">
        <v>162.78</v>
      </c>
      <c r="JS34" s="52">
        <v>182.18</v>
      </c>
      <c r="JT34" s="52">
        <v>181.35</v>
      </c>
      <c r="JU34" s="52">
        <v>161.54</v>
      </c>
      <c r="JV34" s="52">
        <v>105.57</v>
      </c>
      <c r="JW34" s="52">
        <v>111.97</v>
      </c>
      <c r="JX34" s="52">
        <v>164.17</v>
      </c>
      <c r="JY34" s="52">
        <v>148.81</v>
      </c>
      <c r="JZ34" s="52">
        <v>136.58000000000001</v>
      </c>
      <c r="KA34" s="52">
        <v>165.99</v>
      </c>
      <c r="KB34" s="52">
        <v>192.49</v>
      </c>
      <c r="KC34" s="52">
        <v>120.07</v>
      </c>
      <c r="KD34" s="52">
        <v>149.19999999999999</v>
      </c>
      <c r="KE34" s="52">
        <v>154.46</v>
      </c>
      <c r="KF34" s="52">
        <v>173.21</v>
      </c>
    </row>
    <row r="35" spans="1:292" s="41" customFormat="1" ht="12">
      <c r="A35" s="41">
        <v>2007</v>
      </c>
      <c r="B35" s="54" t="s">
        <v>987</v>
      </c>
      <c r="C35" s="55" t="s">
        <v>988</v>
      </c>
      <c r="D35" s="56">
        <v>139.69</v>
      </c>
      <c r="E35" s="56">
        <v>134.13</v>
      </c>
      <c r="F35" s="56">
        <v>180.16</v>
      </c>
      <c r="G35" s="56">
        <v>127.32</v>
      </c>
      <c r="H35" s="56">
        <v>148.30000000000001</v>
      </c>
      <c r="I35" s="56">
        <v>130.59</v>
      </c>
      <c r="J35" s="56">
        <v>122.81</v>
      </c>
      <c r="K35" s="56">
        <v>144.07</v>
      </c>
      <c r="L35" s="56">
        <v>109.15</v>
      </c>
      <c r="M35" s="56">
        <v>127.24</v>
      </c>
      <c r="N35" s="56">
        <v>156.07</v>
      </c>
      <c r="O35" s="56">
        <v>167.79</v>
      </c>
      <c r="P35" s="56">
        <v>142.97999999999999</v>
      </c>
      <c r="Q35" s="56">
        <v>133.97</v>
      </c>
      <c r="R35" s="56">
        <v>135.85</v>
      </c>
      <c r="S35" s="56">
        <v>180.74</v>
      </c>
      <c r="T35" s="56">
        <v>179.96</v>
      </c>
      <c r="U35" s="56">
        <v>125.32</v>
      </c>
      <c r="V35" s="56">
        <v>132.65</v>
      </c>
      <c r="W35" s="56">
        <v>202.91</v>
      </c>
      <c r="X35" s="56">
        <v>130.75</v>
      </c>
      <c r="Y35" s="56">
        <v>123.68</v>
      </c>
      <c r="Z35" s="56">
        <v>135.25</v>
      </c>
      <c r="AA35" s="56">
        <v>146.31</v>
      </c>
      <c r="AB35" s="56">
        <v>115.45</v>
      </c>
      <c r="AC35" s="56">
        <v>109.26</v>
      </c>
      <c r="AD35" s="56">
        <v>136.02000000000001</v>
      </c>
      <c r="AE35" s="56">
        <v>137.55000000000001</v>
      </c>
      <c r="AF35" s="56">
        <v>132.18</v>
      </c>
      <c r="AG35" s="56">
        <v>91.58</v>
      </c>
      <c r="AH35" s="56">
        <v>150.77000000000001</v>
      </c>
      <c r="AI35" s="56">
        <v>159.32</v>
      </c>
      <c r="AJ35" s="56">
        <v>113.09</v>
      </c>
      <c r="AK35" s="56">
        <v>156.44999999999999</v>
      </c>
      <c r="AL35" s="56">
        <v>156.97999999999999</v>
      </c>
      <c r="AM35" s="56">
        <v>127.56</v>
      </c>
      <c r="AN35" s="56">
        <v>62.7</v>
      </c>
      <c r="AO35" s="56">
        <v>115.9</v>
      </c>
      <c r="AP35" s="56">
        <v>83.1</v>
      </c>
      <c r="AQ35" s="56">
        <v>124.83</v>
      </c>
      <c r="AR35" s="56">
        <v>153.63</v>
      </c>
      <c r="AS35" s="56">
        <v>155.76</v>
      </c>
      <c r="AT35" s="56">
        <v>146.08000000000001</v>
      </c>
      <c r="AU35" s="56">
        <v>146.97</v>
      </c>
      <c r="AV35" s="56">
        <v>163.22</v>
      </c>
      <c r="AW35" s="56">
        <v>169.79</v>
      </c>
      <c r="AX35" s="56">
        <v>155.74</v>
      </c>
      <c r="AY35" s="56">
        <v>142.63</v>
      </c>
      <c r="AZ35" s="56">
        <v>163.95</v>
      </c>
      <c r="BA35" s="56">
        <v>171.28</v>
      </c>
      <c r="BB35" s="56">
        <v>125.06</v>
      </c>
      <c r="BC35" s="56">
        <v>156.16</v>
      </c>
      <c r="BD35" s="56">
        <v>167.14</v>
      </c>
      <c r="BE35" s="56">
        <v>159.84</v>
      </c>
      <c r="BF35" s="56">
        <v>154.46</v>
      </c>
      <c r="BG35" s="56">
        <v>173.31</v>
      </c>
      <c r="BH35" s="52">
        <v>136.13</v>
      </c>
      <c r="BI35" s="52">
        <v>136.52000000000001</v>
      </c>
      <c r="BJ35" s="52">
        <v>152.06</v>
      </c>
      <c r="BK35" s="52">
        <v>128.49</v>
      </c>
      <c r="BL35" s="52">
        <v>119.37</v>
      </c>
      <c r="BM35" s="52">
        <v>158.66999999999999</v>
      </c>
      <c r="BN35" s="52">
        <v>123.3</v>
      </c>
      <c r="BO35" s="52">
        <v>122.15</v>
      </c>
      <c r="BP35" s="52">
        <v>138.25</v>
      </c>
      <c r="BQ35" s="52">
        <v>145.52000000000001</v>
      </c>
      <c r="BR35" s="52">
        <v>125.95</v>
      </c>
      <c r="BS35" s="52">
        <v>192.84</v>
      </c>
      <c r="BT35" s="52">
        <v>172.43</v>
      </c>
      <c r="BU35" s="52">
        <v>163.49</v>
      </c>
      <c r="BV35" s="52">
        <v>179.96</v>
      </c>
      <c r="BW35" s="52">
        <v>125.46</v>
      </c>
      <c r="BX35" s="52">
        <v>118.63</v>
      </c>
      <c r="BY35" s="52">
        <v>157.99</v>
      </c>
      <c r="BZ35" s="52">
        <v>132.47</v>
      </c>
      <c r="CA35" s="52">
        <v>159.53</v>
      </c>
      <c r="CB35" s="53">
        <v>202.91</v>
      </c>
      <c r="CC35" s="52">
        <v>130.75</v>
      </c>
      <c r="CD35" s="52">
        <v>122.88</v>
      </c>
      <c r="CE35" s="52">
        <v>99.97</v>
      </c>
      <c r="CF35" s="52">
        <v>163.43</v>
      </c>
      <c r="CG35" s="52">
        <v>146.78</v>
      </c>
      <c r="CH35" s="52">
        <v>152.21</v>
      </c>
      <c r="CI35" s="52">
        <v>124.35</v>
      </c>
      <c r="CJ35" s="52">
        <v>115.45</v>
      </c>
      <c r="CK35" s="52">
        <v>102.33</v>
      </c>
      <c r="CL35" s="52">
        <v>114.75</v>
      </c>
      <c r="CM35" s="52">
        <v>170.46</v>
      </c>
      <c r="CN35" s="52">
        <v>136.02000000000001</v>
      </c>
      <c r="CO35" s="52">
        <v>137.55000000000001</v>
      </c>
      <c r="CP35" s="52">
        <v>116.05</v>
      </c>
      <c r="CQ35" s="52">
        <v>179.53</v>
      </c>
      <c r="CR35" s="52">
        <v>88.06</v>
      </c>
      <c r="CS35" s="52">
        <v>127.32</v>
      </c>
      <c r="CT35" s="52">
        <v>109.94</v>
      </c>
      <c r="CU35" s="52">
        <v>187.56</v>
      </c>
      <c r="CV35" s="52">
        <v>144.46</v>
      </c>
      <c r="CW35" s="52">
        <v>93.5</v>
      </c>
      <c r="CX35" s="52">
        <v>159.32</v>
      </c>
      <c r="CY35" s="52">
        <v>113.34</v>
      </c>
      <c r="CZ35" s="52">
        <v>0</v>
      </c>
      <c r="DA35" s="52">
        <v>102.63</v>
      </c>
      <c r="DB35" s="52">
        <v>133.33000000000001</v>
      </c>
      <c r="DC35" s="52">
        <v>156.4</v>
      </c>
      <c r="DD35" s="52">
        <v>168.26</v>
      </c>
      <c r="DE35" s="52">
        <v>159.83000000000001</v>
      </c>
      <c r="DF35" s="52">
        <v>149.88999999999999</v>
      </c>
      <c r="DG35" s="52">
        <v>159.25</v>
      </c>
      <c r="DH35" s="52">
        <v>101</v>
      </c>
      <c r="DI35" s="52">
        <v>121.98</v>
      </c>
      <c r="DJ35" s="52">
        <v>183.23</v>
      </c>
      <c r="DK35" s="52">
        <v>127.56</v>
      </c>
      <c r="DL35" s="52">
        <v>62.7</v>
      </c>
      <c r="DM35" s="52">
        <v>115.9</v>
      </c>
      <c r="DN35" s="52">
        <v>73.48</v>
      </c>
      <c r="DO35" s="52">
        <v>84.61</v>
      </c>
      <c r="DP35" s="52">
        <v>138.41999999999999</v>
      </c>
      <c r="DQ35" s="52">
        <v>124.83</v>
      </c>
      <c r="DR35" s="52">
        <v>165.82</v>
      </c>
      <c r="DS35" s="52">
        <v>123.81</v>
      </c>
      <c r="DT35" s="52"/>
      <c r="DU35" s="52">
        <v>148.75</v>
      </c>
      <c r="DV35" s="52">
        <v>182.56</v>
      </c>
      <c r="DW35" s="52">
        <v>131.77000000000001</v>
      </c>
      <c r="DX35" s="52">
        <v>162.15</v>
      </c>
      <c r="DY35" s="52">
        <v>185.32</v>
      </c>
      <c r="DZ35" s="52">
        <v>121.4</v>
      </c>
      <c r="EA35" s="52">
        <v>125.49</v>
      </c>
      <c r="EB35" s="52">
        <v>146.97</v>
      </c>
      <c r="EC35" s="52">
        <v>163.22</v>
      </c>
      <c r="ED35" s="52">
        <v>169.79</v>
      </c>
      <c r="EE35" s="52">
        <v>155.74</v>
      </c>
      <c r="EF35" s="52">
        <v>142.63</v>
      </c>
      <c r="EG35" s="52">
        <v>163.95</v>
      </c>
      <c r="EH35" s="52">
        <v>171.28</v>
      </c>
      <c r="EI35" s="52">
        <v>173.3</v>
      </c>
      <c r="EJ35" s="52">
        <v>104.89</v>
      </c>
      <c r="EK35" s="52">
        <v>111.03</v>
      </c>
      <c r="EL35" s="52">
        <v>159.22</v>
      </c>
      <c r="EM35" s="52">
        <v>144.88999999999999</v>
      </c>
      <c r="EN35" s="52">
        <v>167.14</v>
      </c>
      <c r="EO35" s="52">
        <v>192.51</v>
      </c>
      <c r="EP35" s="52">
        <v>124.46</v>
      </c>
      <c r="EQ35" s="52">
        <v>152.19999999999999</v>
      </c>
      <c r="ER35" s="52">
        <v>154.46</v>
      </c>
      <c r="ES35" s="52">
        <v>173.31</v>
      </c>
      <c r="ET35" s="52">
        <v>141.19</v>
      </c>
      <c r="EU35" s="52">
        <v>122.84</v>
      </c>
      <c r="EV35" s="52">
        <v>137.78</v>
      </c>
      <c r="EW35" s="52">
        <v>146.09</v>
      </c>
      <c r="EX35" s="52">
        <v>132.82</v>
      </c>
      <c r="EY35" s="52">
        <v>112.95</v>
      </c>
      <c r="EZ35" s="52">
        <v>127.64</v>
      </c>
      <c r="FA35" s="52">
        <v>120.34</v>
      </c>
      <c r="FB35" s="52">
        <v>168.67</v>
      </c>
      <c r="FC35" s="52">
        <v>131.93</v>
      </c>
      <c r="FD35" s="52">
        <v>126.38</v>
      </c>
      <c r="FE35" s="52">
        <v>152.06</v>
      </c>
      <c r="FF35" s="52"/>
      <c r="FG35" s="52">
        <v>120.89</v>
      </c>
      <c r="FH35" s="52">
        <v>124.18</v>
      </c>
      <c r="FI35" s="52">
        <v>130.19</v>
      </c>
      <c r="FJ35" s="52">
        <v>140.82</v>
      </c>
      <c r="FK35" s="52">
        <v>135.72999999999999</v>
      </c>
      <c r="FL35" s="52">
        <v>118.54</v>
      </c>
      <c r="FM35" s="52">
        <v>117.86</v>
      </c>
      <c r="FN35" s="52">
        <v>157.19</v>
      </c>
      <c r="FO35" s="52">
        <v>155.63</v>
      </c>
      <c r="FP35" s="52">
        <v>108.13</v>
      </c>
      <c r="FQ35" s="52">
        <v>140.09</v>
      </c>
      <c r="FR35" s="52">
        <v>145.06</v>
      </c>
      <c r="FS35" s="52">
        <v>154.41</v>
      </c>
      <c r="FT35" s="52">
        <v>113.17</v>
      </c>
      <c r="FU35" s="52">
        <v>135.68</v>
      </c>
      <c r="FV35" s="52">
        <v>141.62</v>
      </c>
      <c r="FW35" s="52">
        <v>109.84</v>
      </c>
      <c r="FX35" s="52">
        <v>138.25</v>
      </c>
      <c r="FY35" s="52">
        <v>146.57</v>
      </c>
      <c r="FZ35" s="52">
        <v>145.53</v>
      </c>
      <c r="GA35" s="52">
        <v>129.86000000000001</v>
      </c>
      <c r="GB35" s="52">
        <v>123.99</v>
      </c>
      <c r="GC35" s="52">
        <v>128.81</v>
      </c>
      <c r="GD35" s="52">
        <v>115.57</v>
      </c>
      <c r="GE35" s="52">
        <v>192.84</v>
      </c>
      <c r="GF35" s="52">
        <v>172.43</v>
      </c>
      <c r="GG35" s="52">
        <v>163.49</v>
      </c>
      <c r="GH35" s="52">
        <v>179.66</v>
      </c>
      <c r="GI35" s="52">
        <v>125.42</v>
      </c>
      <c r="GJ35" s="52">
        <v>122.67</v>
      </c>
      <c r="GK35" s="52">
        <v>132.11000000000001</v>
      </c>
      <c r="GL35" s="52">
        <v>129.05000000000001</v>
      </c>
      <c r="GM35" s="52">
        <v>118.63</v>
      </c>
      <c r="GN35" s="52">
        <v>157.99</v>
      </c>
      <c r="GO35" s="52">
        <v>132.57</v>
      </c>
      <c r="GP35" s="52">
        <v>138.53</v>
      </c>
      <c r="GQ35" s="52">
        <v>121.11</v>
      </c>
      <c r="GR35" s="52">
        <v>159.53</v>
      </c>
      <c r="GS35" s="52">
        <v>202.91</v>
      </c>
      <c r="GT35" s="52">
        <v>130.75</v>
      </c>
      <c r="GU35" s="52">
        <v>122.88</v>
      </c>
      <c r="GV35" s="52">
        <v>99.97</v>
      </c>
      <c r="GW35" s="52">
        <v>164.44</v>
      </c>
      <c r="GX35" s="52">
        <v>164.22</v>
      </c>
      <c r="GY35" s="52">
        <v>146.78</v>
      </c>
      <c r="GZ35" s="52">
        <v>142.5</v>
      </c>
      <c r="HA35" s="52">
        <v>155.58000000000001</v>
      </c>
      <c r="HB35" s="52">
        <v>152.84</v>
      </c>
      <c r="HC35" s="52">
        <v>124.35</v>
      </c>
      <c r="HD35" s="52">
        <v>115.45</v>
      </c>
      <c r="HE35" s="52">
        <v>94.67</v>
      </c>
      <c r="HF35" s="52">
        <v>96.86</v>
      </c>
      <c r="HG35" s="52">
        <v>97.41</v>
      </c>
      <c r="HH35" s="52">
        <v>126.97</v>
      </c>
      <c r="HI35" s="52">
        <v>75.87</v>
      </c>
      <c r="HJ35" s="52">
        <v>114.75</v>
      </c>
      <c r="HK35" s="52">
        <v>170.46</v>
      </c>
      <c r="HL35" s="52">
        <v>121.71</v>
      </c>
      <c r="HM35" s="52">
        <v>150.97999999999999</v>
      </c>
      <c r="HN35" s="52">
        <v>145.86000000000001</v>
      </c>
      <c r="HO35" s="52">
        <v>123.97</v>
      </c>
      <c r="HP35" s="52">
        <v>150.63999999999999</v>
      </c>
      <c r="HQ35" s="52">
        <v>114.68</v>
      </c>
      <c r="HR35" s="52">
        <v>128.31</v>
      </c>
      <c r="HS35" s="52">
        <v>179.76</v>
      </c>
      <c r="HT35" s="52">
        <v>164.14</v>
      </c>
      <c r="HU35" s="52">
        <v>88.06</v>
      </c>
      <c r="HV35" s="52">
        <v>127.32</v>
      </c>
      <c r="HW35" s="52">
        <v>119.28</v>
      </c>
      <c r="HX35" s="52">
        <v>90.95</v>
      </c>
      <c r="HY35" s="52">
        <v>187.56</v>
      </c>
      <c r="HZ35" s="52">
        <v>144.46</v>
      </c>
      <c r="IA35" s="52">
        <v>85.74</v>
      </c>
      <c r="IB35" s="52">
        <v>159.32</v>
      </c>
      <c r="IC35" s="52">
        <v>102.8</v>
      </c>
      <c r="ID35" s="52">
        <v>115.41</v>
      </c>
      <c r="IE35" s="52">
        <v>0</v>
      </c>
      <c r="IF35" s="52">
        <v>102.63</v>
      </c>
      <c r="IG35" s="52">
        <v>133.33000000000001</v>
      </c>
      <c r="IH35" s="52">
        <v>156.4</v>
      </c>
      <c r="II35" s="52">
        <v>168.26</v>
      </c>
      <c r="IJ35" s="52">
        <v>159.83000000000001</v>
      </c>
      <c r="IK35" s="52">
        <v>151.94999999999999</v>
      </c>
      <c r="IL35" s="52">
        <v>142.28</v>
      </c>
      <c r="IM35" s="52">
        <v>164.87</v>
      </c>
      <c r="IN35" s="52">
        <v>157.9</v>
      </c>
      <c r="IO35" s="52">
        <v>138.53</v>
      </c>
      <c r="IP35" s="52">
        <v>101</v>
      </c>
      <c r="IQ35" s="52">
        <v>121.98</v>
      </c>
      <c r="IR35" s="52">
        <v>183.23</v>
      </c>
      <c r="IS35" s="52">
        <v>127.56</v>
      </c>
      <c r="IT35" s="52">
        <v>62.7</v>
      </c>
      <c r="IU35" s="52">
        <v>115.9</v>
      </c>
      <c r="IV35" s="52">
        <v>74.22</v>
      </c>
      <c r="IW35" s="52">
        <v>84.61</v>
      </c>
      <c r="IX35" s="52">
        <v>138.41999999999999</v>
      </c>
      <c r="IY35" s="52">
        <v>124.83</v>
      </c>
      <c r="IZ35" s="52">
        <v>165.82</v>
      </c>
      <c r="JA35" s="52">
        <v>123.81</v>
      </c>
      <c r="JB35" s="52"/>
      <c r="JC35" s="52">
        <v>148.75</v>
      </c>
      <c r="JD35" s="52">
        <v>182.56</v>
      </c>
      <c r="JE35" s="52">
        <v>137.56</v>
      </c>
      <c r="JF35" s="52">
        <v>129.49</v>
      </c>
      <c r="JG35" s="52">
        <v>162.15</v>
      </c>
      <c r="JH35" s="52">
        <v>185.32</v>
      </c>
      <c r="JI35" s="52">
        <v>121.4</v>
      </c>
      <c r="JJ35" s="52">
        <v>125.49</v>
      </c>
      <c r="JK35" s="52">
        <v>146.97</v>
      </c>
      <c r="JL35" s="52">
        <v>163.22</v>
      </c>
      <c r="JM35" s="52">
        <v>169.79</v>
      </c>
      <c r="JN35" s="52">
        <v>155.74</v>
      </c>
      <c r="JO35" s="52">
        <v>142.63</v>
      </c>
      <c r="JP35" s="52">
        <v>169.28</v>
      </c>
      <c r="JQ35" s="52">
        <v>151.6</v>
      </c>
      <c r="JR35" s="52">
        <v>163.02000000000001</v>
      </c>
      <c r="JS35" s="52">
        <v>182.26</v>
      </c>
      <c r="JT35" s="52">
        <v>183.02</v>
      </c>
      <c r="JU35" s="52">
        <v>163.95</v>
      </c>
      <c r="JV35" s="52">
        <v>104.89</v>
      </c>
      <c r="JW35" s="52">
        <v>111.03</v>
      </c>
      <c r="JX35" s="52">
        <v>159.22</v>
      </c>
      <c r="JY35" s="52">
        <v>148.41</v>
      </c>
      <c r="JZ35" s="52">
        <v>137.49</v>
      </c>
      <c r="KA35" s="52">
        <v>167.14</v>
      </c>
      <c r="KB35" s="52">
        <v>192.51</v>
      </c>
      <c r="KC35" s="52">
        <v>124.46</v>
      </c>
      <c r="KD35" s="52">
        <v>152.19999999999999</v>
      </c>
      <c r="KE35" s="52">
        <v>154.46</v>
      </c>
      <c r="KF35" s="52">
        <v>173.31</v>
      </c>
    </row>
    <row r="36" spans="1:292" s="41" customFormat="1" ht="12">
      <c r="A36" s="41">
        <v>2007</v>
      </c>
      <c r="B36" s="54" t="s">
        <v>989</v>
      </c>
      <c r="C36" s="55" t="s">
        <v>990</v>
      </c>
      <c r="D36" s="52">
        <v>138.66999999999999</v>
      </c>
      <c r="E36" s="52">
        <v>133.18</v>
      </c>
      <c r="F36" s="52">
        <v>180.22</v>
      </c>
      <c r="G36" s="52">
        <v>117.5</v>
      </c>
      <c r="H36" s="52">
        <v>149.12</v>
      </c>
      <c r="I36" s="52">
        <v>130.88999999999999</v>
      </c>
      <c r="J36" s="52">
        <v>122.93</v>
      </c>
      <c r="K36" s="52">
        <v>144.03</v>
      </c>
      <c r="L36" s="52">
        <v>107.61</v>
      </c>
      <c r="M36" s="52">
        <v>127.55</v>
      </c>
      <c r="N36" s="52">
        <v>157.19</v>
      </c>
      <c r="O36" s="52">
        <v>168.6</v>
      </c>
      <c r="P36" s="52">
        <v>142.66999999999999</v>
      </c>
      <c r="Q36" s="52">
        <v>132.91</v>
      </c>
      <c r="R36" s="52">
        <v>136.79</v>
      </c>
      <c r="S36" s="52">
        <v>181.67</v>
      </c>
      <c r="T36" s="52">
        <v>179.96</v>
      </c>
      <c r="U36" s="52">
        <v>115.14</v>
      </c>
      <c r="V36" s="52">
        <v>124.11</v>
      </c>
      <c r="W36" s="52">
        <v>205.81</v>
      </c>
      <c r="X36" s="52">
        <v>131.12</v>
      </c>
      <c r="Y36" s="52">
        <v>123.98</v>
      </c>
      <c r="Z36" s="52">
        <v>135.44999999999999</v>
      </c>
      <c r="AA36" s="52">
        <v>146.21</v>
      </c>
      <c r="AB36" s="52">
        <v>114.81</v>
      </c>
      <c r="AC36" s="52">
        <v>109.35</v>
      </c>
      <c r="AD36" s="52">
        <v>136.5</v>
      </c>
      <c r="AE36" s="52">
        <v>137.78</v>
      </c>
      <c r="AF36" s="52">
        <v>133.46</v>
      </c>
      <c r="AG36" s="52">
        <v>91.57</v>
      </c>
      <c r="AH36" s="52">
        <v>151.05000000000001</v>
      </c>
      <c r="AI36" s="52">
        <v>159.38</v>
      </c>
      <c r="AJ36" s="52">
        <v>112.97</v>
      </c>
      <c r="AK36" s="52">
        <v>155.37</v>
      </c>
      <c r="AL36" s="52">
        <v>158.38</v>
      </c>
      <c r="AM36" s="52">
        <v>127.56</v>
      </c>
      <c r="AN36" s="52">
        <v>61.88</v>
      </c>
      <c r="AO36" s="52">
        <v>114.25</v>
      </c>
      <c r="AP36" s="52">
        <v>81.55</v>
      </c>
      <c r="AQ36" s="52">
        <v>124.92</v>
      </c>
      <c r="AR36" s="52">
        <v>153.76</v>
      </c>
      <c r="AS36" s="52">
        <v>156</v>
      </c>
      <c r="AT36" s="52">
        <v>146.77000000000001</v>
      </c>
      <c r="AU36" s="52">
        <v>154.25</v>
      </c>
      <c r="AV36" s="52">
        <v>165.87</v>
      </c>
      <c r="AW36" s="52">
        <v>171.41</v>
      </c>
      <c r="AX36" s="52">
        <v>156.01</v>
      </c>
      <c r="AY36" s="52">
        <v>142.4</v>
      </c>
      <c r="AZ36" s="52">
        <v>164.74</v>
      </c>
      <c r="BA36" s="52">
        <v>172.15</v>
      </c>
      <c r="BB36" s="52">
        <v>125.06</v>
      </c>
      <c r="BC36" s="52">
        <v>155.02000000000001</v>
      </c>
      <c r="BD36" s="52">
        <v>167.4</v>
      </c>
      <c r="BE36" s="52">
        <v>159.44</v>
      </c>
      <c r="BF36" s="52">
        <v>154.46</v>
      </c>
      <c r="BG36" s="52">
        <v>173.34</v>
      </c>
      <c r="BH36" s="52">
        <v>136.97999999999999</v>
      </c>
      <c r="BI36" s="52">
        <v>135.86000000000001</v>
      </c>
      <c r="BJ36" s="52">
        <v>154.52000000000001</v>
      </c>
      <c r="BK36" s="52">
        <v>129.72999999999999</v>
      </c>
      <c r="BL36" s="52">
        <v>120.49</v>
      </c>
      <c r="BM36" s="52">
        <v>137.68</v>
      </c>
      <c r="BN36" s="52">
        <v>129.19999999999999</v>
      </c>
      <c r="BO36" s="52">
        <v>122.95</v>
      </c>
      <c r="BP36" s="52">
        <v>137.44</v>
      </c>
      <c r="BQ36" s="52">
        <v>146.66999999999999</v>
      </c>
      <c r="BR36" s="52">
        <v>126.7</v>
      </c>
      <c r="BS36" s="52">
        <v>192.84</v>
      </c>
      <c r="BT36" s="52">
        <v>172.57</v>
      </c>
      <c r="BU36" s="52">
        <v>165.83</v>
      </c>
      <c r="BV36" s="52">
        <v>179.96</v>
      </c>
      <c r="BW36" s="52">
        <v>114.55</v>
      </c>
      <c r="BX36" s="52">
        <v>117.63</v>
      </c>
      <c r="BY36" s="52">
        <v>158.72</v>
      </c>
      <c r="BZ36" s="52">
        <v>123.88</v>
      </c>
      <c r="CA36" s="52">
        <v>160.11000000000001</v>
      </c>
      <c r="CB36" s="53">
        <v>205.81</v>
      </c>
      <c r="CC36" s="52">
        <v>131.12</v>
      </c>
      <c r="CD36" s="52">
        <v>123.18</v>
      </c>
      <c r="CE36" s="52">
        <v>99.97</v>
      </c>
      <c r="CF36" s="52">
        <v>164.27</v>
      </c>
      <c r="CG36" s="52">
        <v>146.47</v>
      </c>
      <c r="CH36" s="52">
        <v>151.97999999999999</v>
      </c>
      <c r="CI36" s="52">
        <v>124.71</v>
      </c>
      <c r="CJ36" s="52">
        <v>114.81</v>
      </c>
      <c r="CK36" s="52">
        <v>102.61</v>
      </c>
      <c r="CL36" s="52">
        <v>112.76</v>
      </c>
      <c r="CM36" s="52">
        <v>170.69</v>
      </c>
      <c r="CN36" s="52">
        <v>136.5</v>
      </c>
      <c r="CO36" s="52">
        <v>137.78</v>
      </c>
      <c r="CP36" s="52">
        <v>116.58</v>
      </c>
      <c r="CQ36" s="52">
        <v>184.28</v>
      </c>
      <c r="CR36" s="52">
        <v>88.06</v>
      </c>
      <c r="CS36" s="52">
        <v>127.7</v>
      </c>
      <c r="CT36" s="52">
        <v>109.79</v>
      </c>
      <c r="CU36" s="52">
        <v>188.04</v>
      </c>
      <c r="CV36" s="52">
        <v>144.52000000000001</v>
      </c>
      <c r="CW36" s="52">
        <v>93.66</v>
      </c>
      <c r="CX36" s="52">
        <v>159.38</v>
      </c>
      <c r="CY36" s="52">
        <v>113.22</v>
      </c>
      <c r="CZ36" s="52">
        <v>0</v>
      </c>
      <c r="DA36" s="52">
        <v>102.12</v>
      </c>
      <c r="DB36" s="52">
        <v>133.77000000000001</v>
      </c>
      <c r="DC36" s="52">
        <v>154.97</v>
      </c>
      <c r="DD36" s="52">
        <v>168.86</v>
      </c>
      <c r="DE36" s="52">
        <v>160.15</v>
      </c>
      <c r="DF36" s="52">
        <v>149.88999999999999</v>
      </c>
      <c r="DG36" s="52">
        <v>160.74</v>
      </c>
      <c r="DH36" s="52">
        <v>101.02</v>
      </c>
      <c r="DI36" s="52">
        <v>121.98</v>
      </c>
      <c r="DJ36" s="52">
        <v>186.05</v>
      </c>
      <c r="DK36" s="52">
        <v>127.56</v>
      </c>
      <c r="DL36" s="52">
        <v>61.88</v>
      </c>
      <c r="DM36" s="52">
        <v>114.25</v>
      </c>
      <c r="DN36" s="52">
        <v>72.27</v>
      </c>
      <c r="DO36" s="52">
        <v>81.63</v>
      </c>
      <c r="DP36" s="52">
        <v>137.43</v>
      </c>
      <c r="DQ36" s="52">
        <v>124.92</v>
      </c>
      <c r="DR36" s="52">
        <v>166.03</v>
      </c>
      <c r="DS36" s="52">
        <v>123.49</v>
      </c>
      <c r="DT36" s="52"/>
      <c r="DU36" s="52">
        <v>150.11000000000001</v>
      </c>
      <c r="DV36" s="52">
        <v>183.29</v>
      </c>
      <c r="DW36" s="52">
        <v>131.63999999999999</v>
      </c>
      <c r="DX36" s="52">
        <v>162.15</v>
      </c>
      <c r="DY36" s="52">
        <v>187.08</v>
      </c>
      <c r="DZ36" s="52">
        <v>121.4</v>
      </c>
      <c r="EA36" s="52">
        <v>125.68</v>
      </c>
      <c r="EB36" s="52">
        <v>154.25</v>
      </c>
      <c r="EC36" s="52">
        <v>165.87</v>
      </c>
      <c r="ED36" s="52">
        <v>171.41</v>
      </c>
      <c r="EE36" s="52">
        <v>156.01</v>
      </c>
      <c r="EF36" s="52">
        <v>142.4</v>
      </c>
      <c r="EG36" s="52">
        <v>164.74</v>
      </c>
      <c r="EH36" s="52">
        <v>172.15</v>
      </c>
      <c r="EI36" s="52">
        <v>173.61</v>
      </c>
      <c r="EJ36" s="52">
        <v>105.18</v>
      </c>
      <c r="EK36" s="52">
        <v>110.95</v>
      </c>
      <c r="EL36" s="52">
        <v>157.69</v>
      </c>
      <c r="EM36" s="52">
        <v>145.19</v>
      </c>
      <c r="EN36" s="52">
        <v>167.4</v>
      </c>
      <c r="EO36" s="52">
        <v>192.51</v>
      </c>
      <c r="EP36" s="52">
        <v>123.29</v>
      </c>
      <c r="EQ36" s="52">
        <v>152.01</v>
      </c>
      <c r="ER36" s="52">
        <v>154.46</v>
      </c>
      <c r="ES36" s="52">
        <v>173.34</v>
      </c>
      <c r="ET36" s="52">
        <v>142.27000000000001</v>
      </c>
      <c r="EU36" s="52">
        <v>124.49</v>
      </c>
      <c r="EV36" s="52">
        <v>138.66</v>
      </c>
      <c r="EW36" s="52">
        <v>145.59</v>
      </c>
      <c r="EX36" s="52">
        <v>134.22</v>
      </c>
      <c r="EY36" s="52">
        <v>112.74</v>
      </c>
      <c r="EZ36" s="52">
        <v>127.22</v>
      </c>
      <c r="FA36" s="52">
        <v>119.88</v>
      </c>
      <c r="FB36" s="52">
        <v>167.88</v>
      </c>
      <c r="FC36" s="52">
        <v>131.27000000000001</v>
      </c>
      <c r="FD36" s="52">
        <v>124.54</v>
      </c>
      <c r="FE36" s="52">
        <v>154.52000000000001</v>
      </c>
      <c r="FF36" s="52"/>
      <c r="FG36" s="52">
        <v>123.02</v>
      </c>
      <c r="FH36" s="52">
        <v>128.47</v>
      </c>
      <c r="FI36" s="52">
        <v>132.77000000000001</v>
      </c>
      <c r="FJ36" s="52">
        <v>135.54</v>
      </c>
      <c r="FK36" s="52">
        <v>138.44</v>
      </c>
      <c r="FL36" s="52">
        <v>119.93</v>
      </c>
      <c r="FM36" s="52">
        <v>118.76</v>
      </c>
      <c r="FN36" s="52">
        <v>133.27000000000001</v>
      </c>
      <c r="FO36" s="52">
        <v>157.01</v>
      </c>
      <c r="FP36" s="52">
        <v>117.18</v>
      </c>
      <c r="FQ36" s="52">
        <v>132.49</v>
      </c>
      <c r="FR36" s="52">
        <v>148.69</v>
      </c>
      <c r="FS36" s="52">
        <v>155.35</v>
      </c>
      <c r="FT36" s="52">
        <v>114.34</v>
      </c>
      <c r="FU36" s="52">
        <v>135.91</v>
      </c>
      <c r="FV36" s="52">
        <v>141.11000000000001</v>
      </c>
      <c r="FW36" s="52">
        <v>112.84</v>
      </c>
      <c r="FX36" s="52">
        <v>137.44</v>
      </c>
      <c r="FY36" s="52">
        <v>145.75</v>
      </c>
      <c r="FZ36" s="52">
        <v>146.94</v>
      </c>
      <c r="GA36" s="52">
        <v>130.28</v>
      </c>
      <c r="GB36" s="52">
        <v>126.54</v>
      </c>
      <c r="GC36" s="52">
        <v>129.22999999999999</v>
      </c>
      <c r="GD36" s="52">
        <v>114.56</v>
      </c>
      <c r="GE36" s="52">
        <v>192.84</v>
      </c>
      <c r="GF36" s="52">
        <v>172.57</v>
      </c>
      <c r="GG36" s="52">
        <v>165.83</v>
      </c>
      <c r="GH36" s="52">
        <v>179.66</v>
      </c>
      <c r="GI36" s="52">
        <v>114.86</v>
      </c>
      <c r="GJ36" s="52">
        <v>111.67</v>
      </c>
      <c r="GK36" s="52">
        <v>120.15</v>
      </c>
      <c r="GL36" s="52">
        <v>125.73</v>
      </c>
      <c r="GM36" s="52">
        <v>117.63</v>
      </c>
      <c r="GN36" s="52">
        <v>158.72</v>
      </c>
      <c r="GO36" s="52">
        <v>124.41</v>
      </c>
      <c r="GP36" s="52">
        <v>127.33</v>
      </c>
      <c r="GQ36" s="52">
        <v>116.2</v>
      </c>
      <c r="GR36" s="52">
        <v>160.11000000000001</v>
      </c>
      <c r="GS36" s="52">
        <v>205.81</v>
      </c>
      <c r="GT36" s="52">
        <v>131.12</v>
      </c>
      <c r="GU36" s="52">
        <v>123.18</v>
      </c>
      <c r="GV36" s="52">
        <v>99.97</v>
      </c>
      <c r="GW36" s="52">
        <v>164.18</v>
      </c>
      <c r="GX36" s="52">
        <v>165.47</v>
      </c>
      <c r="GY36" s="52">
        <v>146.47</v>
      </c>
      <c r="GZ36" s="52">
        <v>143.02000000000001</v>
      </c>
      <c r="HA36" s="52">
        <v>157.82</v>
      </c>
      <c r="HB36" s="52">
        <v>151.35</v>
      </c>
      <c r="HC36" s="52">
        <v>124.71</v>
      </c>
      <c r="HD36" s="52">
        <v>114.81</v>
      </c>
      <c r="HE36" s="52">
        <v>94.62</v>
      </c>
      <c r="HF36" s="52">
        <v>97.61</v>
      </c>
      <c r="HG36" s="52">
        <v>97.78</v>
      </c>
      <c r="HH36" s="52">
        <v>127.25</v>
      </c>
      <c r="HI36" s="52">
        <v>75.87</v>
      </c>
      <c r="HJ36" s="52">
        <v>112.76</v>
      </c>
      <c r="HK36" s="52">
        <v>170.69</v>
      </c>
      <c r="HL36" s="52">
        <v>122.03</v>
      </c>
      <c r="HM36" s="52">
        <v>151.37</v>
      </c>
      <c r="HN36" s="52">
        <v>146.49</v>
      </c>
      <c r="HO36" s="52">
        <v>123.97</v>
      </c>
      <c r="HP36" s="52">
        <v>151.11000000000001</v>
      </c>
      <c r="HQ36" s="52">
        <v>115.32</v>
      </c>
      <c r="HR36" s="52">
        <v>127.79</v>
      </c>
      <c r="HS36" s="52">
        <v>184.58</v>
      </c>
      <c r="HT36" s="52">
        <v>164.93</v>
      </c>
      <c r="HU36" s="52">
        <v>88.06</v>
      </c>
      <c r="HV36" s="52">
        <v>127.7</v>
      </c>
      <c r="HW36" s="52">
        <v>119.28</v>
      </c>
      <c r="HX36" s="52">
        <v>90.57</v>
      </c>
      <c r="HY36" s="52">
        <v>188.04</v>
      </c>
      <c r="HZ36" s="52">
        <v>144.52000000000001</v>
      </c>
      <c r="IA36" s="52">
        <v>85.84</v>
      </c>
      <c r="IB36" s="52">
        <v>159.38</v>
      </c>
      <c r="IC36" s="52">
        <v>102.73</v>
      </c>
      <c r="ID36" s="52">
        <v>115.28</v>
      </c>
      <c r="IE36" s="52">
        <v>0</v>
      </c>
      <c r="IF36" s="52">
        <v>102.12</v>
      </c>
      <c r="IG36" s="52">
        <v>133.77000000000001</v>
      </c>
      <c r="IH36" s="52">
        <v>154.97</v>
      </c>
      <c r="II36" s="52">
        <v>168.86</v>
      </c>
      <c r="IJ36" s="52">
        <v>160.15</v>
      </c>
      <c r="IK36" s="52">
        <v>151.94999999999999</v>
      </c>
      <c r="IL36" s="52">
        <v>142.28</v>
      </c>
      <c r="IM36" s="52">
        <v>165.17</v>
      </c>
      <c r="IN36" s="52">
        <v>157.99</v>
      </c>
      <c r="IO36" s="52">
        <v>144.65</v>
      </c>
      <c r="IP36" s="52">
        <v>101.02</v>
      </c>
      <c r="IQ36" s="52">
        <v>121.98</v>
      </c>
      <c r="IR36" s="52">
        <v>186.05</v>
      </c>
      <c r="IS36" s="52">
        <v>127.56</v>
      </c>
      <c r="IT36" s="52">
        <v>61.88</v>
      </c>
      <c r="IU36" s="52">
        <v>114.25</v>
      </c>
      <c r="IV36" s="52">
        <v>72.88</v>
      </c>
      <c r="IW36" s="52">
        <v>81.63</v>
      </c>
      <c r="IX36" s="52">
        <v>137.43</v>
      </c>
      <c r="IY36" s="52">
        <v>124.92</v>
      </c>
      <c r="IZ36" s="52">
        <v>166.03</v>
      </c>
      <c r="JA36" s="52">
        <v>123.49</v>
      </c>
      <c r="JB36" s="52"/>
      <c r="JC36" s="52">
        <v>150.11000000000001</v>
      </c>
      <c r="JD36" s="52">
        <v>183.29</v>
      </c>
      <c r="JE36" s="52">
        <v>137.82</v>
      </c>
      <c r="JF36" s="52">
        <v>129.19999999999999</v>
      </c>
      <c r="JG36" s="52">
        <v>162.15</v>
      </c>
      <c r="JH36" s="52">
        <v>187.08</v>
      </c>
      <c r="JI36" s="52">
        <v>121.4</v>
      </c>
      <c r="JJ36" s="52">
        <v>125.68</v>
      </c>
      <c r="JK36" s="52">
        <v>154.25</v>
      </c>
      <c r="JL36" s="52">
        <v>165.87</v>
      </c>
      <c r="JM36" s="52">
        <v>171.41</v>
      </c>
      <c r="JN36" s="52">
        <v>156.01</v>
      </c>
      <c r="JO36" s="52">
        <v>142.4</v>
      </c>
      <c r="JP36" s="52">
        <v>170.13</v>
      </c>
      <c r="JQ36" s="52">
        <v>152.24</v>
      </c>
      <c r="JR36" s="52">
        <v>164.53</v>
      </c>
      <c r="JS36" s="52">
        <v>182.35</v>
      </c>
      <c r="JT36" s="52">
        <v>183.82</v>
      </c>
      <c r="JU36" s="52">
        <v>163.80000000000001</v>
      </c>
      <c r="JV36" s="52">
        <v>105.18</v>
      </c>
      <c r="JW36" s="52">
        <v>110.95</v>
      </c>
      <c r="JX36" s="52">
        <v>157.69</v>
      </c>
      <c r="JY36" s="52">
        <v>148.86000000000001</v>
      </c>
      <c r="JZ36" s="52">
        <v>137.52000000000001</v>
      </c>
      <c r="KA36" s="52">
        <v>167.4</v>
      </c>
      <c r="KB36" s="52">
        <v>192.51</v>
      </c>
      <c r="KC36" s="52">
        <v>123.29</v>
      </c>
      <c r="KD36" s="52">
        <v>152.01</v>
      </c>
      <c r="KE36" s="52">
        <v>154.46</v>
      </c>
      <c r="KF36" s="52">
        <v>173.34</v>
      </c>
    </row>
    <row r="37" spans="1:292" s="41" customFormat="1" ht="12">
      <c r="A37" s="41">
        <v>2007</v>
      </c>
      <c r="B37" s="54" t="s">
        <v>991</v>
      </c>
      <c r="C37" s="55" t="s">
        <v>992</v>
      </c>
      <c r="D37" s="52">
        <v>138.69999999999999</v>
      </c>
      <c r="E37" s="52">
        <v>135.43</v>
      </c>
      <c r="F37" s="52">
        <v>180.22</v>
      </c>
      <c r="G37" s="52">
        <v>109.12</v>
      </c>
      <c r="H37" s="52">
        <v>150.16999999999999</v>
      </c>
      <c r="I37" s="52">
        <v>130.84</v>
      </c>
      <c r="J37" s="52">
        <v>123.09</v>
      </c>
      <c r="K37" s="52">
        <v>143.88999999999999</v>
      </c>
      <c r="L37" s="52">
        <v>104.47</v>
      </c>
      <c r="M37" s="52">
        <v>128.28</v>
      </c>
      <c r="N37" s="52">
        <v>157.6</v>
      </c>
      <c r="O37" s="52">
        <v>169.79</v>
      </c>
      <c r="P37" s="52">
        <v>143.61000000000001</v>
      </c>
      <c r="Q37" s="52">
        <v>135.21</v>
      </c>
      <c r="R37" s="52">
        <v>138.16999999999999</v>
      </c>
      <c r="S37" s="52">
        <v>181.76</v>
      </c>
      <c r="T37" s="52">
        <v>179.96</v>
      </c>
      <c r="U37" s="52">
        <v>106.83</v>
      </c>
      <c r="V37" s="52">
        <v>115.59</v>
      </c>
      <c r="W37" s="52">
        <v>208.71</v>
      </c>
      <c r="X37" s="52">
        <v>131.84</v>
      </c>
      <c r="Y37" s="52">
        <v>124.06</v>
      </c>
      <c r="Z37" s="52">
        <v>136.09</v>
      </c>
      <c r="AA37" s="52">
        <v>145.63999999999999</v>
      </c>
      <c r="AB37" s="52">
        <v>114.63</v>
      </c>
      <c r="AC37" s="52">
        <v>109.61</v>
      </c>
      <c r="AD37" s="52">
        <v>137.13</v>
      </c>
      <c r="AE37" s="52">
        <v>138.35</v>
      </c>
      <c r="AF37" s="52">
        <v>133.44999999999999</v>
      </c>
      <c r="AG37" s="52">
        <v>91.59</v>
      </c>
      <c r="AH37" s="52">
        <v>151.38</v>
      </c>
      <c r="AI37" s="52">
        <v>159.47999999999999</v>
      </c>
      <c r="AJ37" s="52">
        <v>112.96</v>
      </c>
      <c r="AK37" s="52">
        <v>154.49</v>
      </c>
      <c r="AL37" s="52">
        <v>158.97999999999999</v>
      </c>
      <c r="AM37" s="52">
        <v>127.56</v>
      </c>
      <c r="AN37" s="52">
        <v>60.86</v>
      </c>
      <c r="AO37" s="52">
        <v>110.77</v>
      </c>
      <c r="AP37" s="52">
        <v>81.02</v>
      </c>
      <c r="AQ37" s="52">
        <v>124.94</v>
      </c>
      <c r="AR37" s="52">
        <v>153.87</v>
      </c>
      <c r="AS37" s="52">
        <v>158.33000000000001</v>
      </c>
      <c r="AT37" s="52">
        <v>148.59</v>
      </c>
      <c r="AU37" s="52">
        <v>155.25</v>
      </c>
      <c r="AV37" s="52">
        <v>167.06</v>
      </c>
      <c r="AW37" s="52">
        <v>171.86</v>
      </c>
      <c r="AX37" s="52">
        <v>156.29</v>
      </c>
      <c r="AY37" s="52">
        <v>142.16</v>
      </c>
      <c r="AZ37" s="52">
        <v>165.87</v>
      </c>
      <c r="BA37" s="52">
        <v>173.72</v>
      </c>
      <c r="BB37" s="52">
        <v>125.4</v>
      </c>
      <c r="BC37" s="52">
        <v>157.18</v>
      </c>
      <c r="BD37" s="52">
        <v>168.46</v>
      </c>
      <c r="BE37" s="52">
        <v>161.69</v>
      </c>
      <c r="BF37" s="52">
        <v>155.97999999999999</v>
      </c>
      <c r="BG37" s="52">
        <v>173.36</v>
      </c>
      <c r="BH37" s="52">
        <v>139.12</v>
      </c>
      <c r="BI37" s="52">
        <v>137.38999999999999</v>
      </c>
      <c r="BJ37" s="52">
        <v>152.47</v>
      </c>
      <c r="BK37" s="52">
        <v>138.11000000000001</v>
      </c>
      <c r="BL37" s="52">
        <v>121.93</v>
      </c>
      <c r="BM37" s="52">
        <v>127.46</v>
      </c>
      <c r="BN37" s="52">
        <v>138.22999999999999</v>
      </c>
      <c r="BO37" s="52">
        <v>123.7</v>
      </c>
      <c r="BP37" s="52">
        <v>137.88999999999999</v>
      </c>
      <c r="BQ37" s="52">
        <v>148.31</v>
      </c>
      <c r="BR37" s="52">
        <v>127.85</v>
      </c>
      <c r="BS37" s="52">
        <v>192.83</v>
      </c>
      <c r="BT37" s="52">
        <v>170.21</v>
      </c>
      <c r="BU37" s="52">
        <v>166.6</v>
      </c>
      <c r="BV37" s="52">
        <v>179.96</v>
      </c>
      <c r="BW37" s="52">
        <v>105.72</v>
      </c>
      <c r="BX37" s="52">
        <v>115.57</v>
      </c>
      <c r="BY37" s="52">
        <v>158.80000000000001</v>
      </c>
      <c r="BZ37" s="52">
        <v>115.3</v>
      </c>
      <c r="CA37" s="52">
        <v>160.52000000000001</v>
      </c>
      <c r="CB37" s="53">
        <v>208.71</v>
      </c>
      <c r="CC37" s="52">
        <v>131.84</v>
      </c>
      <c r="CD37" s="52">
        <v>123.27</v>
      </c>
      <c r="CE37" s="52">
        <v>99.97</v>
      </c>
      <c r="CF37" s="52">
        <v>164.65</v>
      </c>
      <c r="CG37" s="52">
        <v>148.66</v>
      </c>
      <c r="CH37" s="52">
        <v>151.25</v>
      </c>
      <c r="CI37" s="52">
        <v>124.68</v>
      </c>
      <c r="CJ37" s="52">
        <v>114.63</v>
      </c>
      <c r="CK37" s="52">
        <v>102.93</v>
      </c>
      <c r="CL37" s="52">
        <v>112.34</v>
      </c>
      <c r="CM37" s="52">
        <v>170.81</v>
      </c>
      <c r="CN37" s="52">
        <v>137.13</v>
      </c>
      <c r="CO37" s="52">
        <v>138.35</v>
      </c>
      <c r="CP37" s="52">
        <v>116.31</v>
      </c>
      <c r="CQ37" s="52">
        <v>185.6</v>
      </c>
      <c r="CR37" s="52">
        <v>88.07</v>
      </c>
      <c r="CS37" s="52">
        <v>127.8</v>
      </c>
      <c r="CT37" s="52">
        <v>109.86</v>
      </c>
      <c r="CU37" s="52">
        <v>188.22</v>
      </c>
      <c r="CV37" s="52">
        <v>144.69</v>
      </c>
      <c r="CW37" s="52">
        <v>94.21</v>
      </c>
      <c r="CX37" s="52">
        <v>159.47999999999999</v>
      </c>
      <c r="CY37" s="52">
        <v>113.23</v>
      </c>
      <c r="CZ37" s="52">
        <v>0</v>
      </c>
      <c r="DA37" s="52">
        <v>101.71</v>
      </c>
      <c r="DB37" s="52">
        <v>134.56</v>
      </c>
      <c r="DC37" s="52">
        <v>153.69999999999999</v>
      </c>
      <c r="DD37" s="52">
        <v>170.14</v>
      </c>
      <c r="DE37" s="52">
        <v>159.6</v>
      </c>
      <c r="DF37" s="52">
        <v>149.88999999999999</v>
      </c>
      <c r="DG37" s="52">
        <v>161.34</v>
      </c>
      <c r="DH37" s="52">
        <v>101.57</v>
      </c>
      <c r="DI37" s="52">
        <v>121.98</v>
      </c>
      <c r="DJ37" s="52">
        <v>187.73</v>
      </c>
      <c r="DK37" s="52">
        <v>127.56</v>
      </c>
      <c r="DL37" s="52">
        <v>60.86</v>
      </c>
      <c r="DM37" s="52">
        <v>110.77</v>
      </c>
      <c r="DN37" s="52">
        <v>70.84</v>
      </c>
      <c r="DO37" s="52">
        <v>83.61</v>
      </c>
      <c r="DP37" s="52">
        <v>142.18</v>
      </c>
      <c r="DQ37" s="52">
        <v>124.94</v>
      </c>
      <c r="DR37" s="52">
        <v>166.61</v>
      </c>
      <c r="DS37" s="52">
        <v>122.09</v>
      </c>
      <c r="DT37" s="52"/>
      <c r="DU37" s="52">
        <v>150.44</v>
      </c>
      <c r="DV37" s="52">
        <v>185.39</v>
      </c>
      <c r="DW37" s="52">
        <v>134.97</v>
      </c>
      <c r="DX37" s="52">
        <v>162.15</v>
      </c>
      <c r="DY37" s="52">
        <v>191.84</v>
      </c>
      <c r="DZ37" s="52">
        <v>121.4</v>
      </c>
      <c r="EA37" s="52">
        <v>126.13</v>
      </c>
      <c r="EB37" s="52">
        <v>155.25</v>
      </c>
      <c r="EC37" s="52">
        <v>167.06</v>
      </c>
      <c r="ED37" s="52">
        <v>171.86</v>
      </c>
      <c r="EE37" s="52">
        <v>156.29</v>
      </c>
      <c r="EF37" s="52">
        <v>142.16</v>
      </c>
      <c r="EG37" s="52">
        <v>165.87</v>
      </c>
      <c r="EH37" s="52">
        <v>173.72</v>
      </c>
      <c r="EI37" s="52">
        <v>173.85</v>
      </c>
      <c r="EJ37" s="52">
        <v>103.73</v>
      </c>
      <c r="EK37" s="52">
        <v>111.37</v>
      </c>
      <c r="EL37" s="52">
        <v>160.22999999999999</v>
      </c>
      <c r="EM37" s="52">
        <v>145.94999999999999</v>
      </c>
      <c r="EN37" s="52">
        <v>168.46</v>
      </c>
      <c r="EO37" s="52">
        <v>192.53</v>
      </c>
      <c r="EP37" s="52">
        <v>124.17</v>
      </c>
      <c r="EQ37" s="52">
        <v>154.44</v>
      </c>
      <c r="ER37" s="52">
        <v>155.97999999999999</v>
      </c>
      <c r="ES37" s="52">
        <v>173.36</v>
      </c>
      <c r="ET37" s="52">
        <v>143.94</v>
      </c>
      <c r="EU37" s="52">
        <v>127.73</v>
      </c>
      <c r="EV37" s="52">
        <v>140.78</v>
      </c>
      <c r="EW37" s="52">
        <v>146.13</v>
      </c>
      <c r="EX37" s="52">
        <v>138.41</v>
      </c>
      <c r="EY37" s="52">
        <v>113.27</v>
      </c>
      <c r="EZ37" s="52">
        <v>129.44</v>
      </c>
      <c r="FA37" s="52">
        <v>121.51</v>
      </c>
      <c r="FB37" s="52">
        <v>168.8</v>
      </c>
      <c r="FC37" s="52">
        <v>130.86000000000001</v>
      </c>
      <c r="FD37" s="52">
        <v>124.79</v>
      </c>
      <c r="FE37" s="52">
        <v>152.47</v>
      </c>
      <c r="FF37" s="52"/>
      <c r="FG37" s="52">
        <v>123.54</v>
      </c>
      <c r="FH37" s="52">
        <v>135</v>
      </c>
      <c r="FI37" s="52">
        <v>137.02000000000001</v>
      </c>
      <c r="FJ37" s="52">
        <v>163.18</v>
      </c>
      <c r="FK37" s="52">
        <v>143.41</v>
      </c>
      <c r="FL37" s="52">
        <v>119.82</v>
      </c>
      <c r="FM37" s="52">
        <v>120.26</v>
      </c>
      <c r="FN37" s="52">
        <v>121.49</v>
      </c>
      <c r="FO37" s="52">
        <v>158.63</v>
      </c>
      <c r="FP37" s="52">
        <v>130.65</v>
      </c>
      <c r="FQ37" s="52">
        <v>128.04</v>
      </c>
      <c r="FR37" s="52">
        <v>153.19999999999999</v>
      </c>
      <c r="FS37" s="52">
        <v>154.49</v>
      </c>
      <c r="FT37" s="52">
        <v>115.09</v>
      </c>
      <c r="FU37" s="52">
        <v>136.29</v>
      </c>
      <c r="FV37" s="52">
        <v>141.19</v>
      </c>
      <c r="FW37" s="52">
        <v>116.78</v>
      </c>
      <c r="FX37" s="52">
        <v>137.88999999999999</v>
      </c>
      <c r="FY37" s="52">
        <v>145.06</v>
      </c>
      <c r="FZ37" s="52">
        <v>148.88</v>
      </c>
      <c r="GA37" s="52">
        <v>130.53</v>
      </c>
      <c r="GB37" s="52">
        <v>128.49</v>
      </c>
      <c r="GC37" s="52">
        <v>130.19</v>
      </c>
      <c r="GD37" s="52">
        <v>115.14</v>
      </c>
      <c r="GE37" s="52">
        <v>192.83</v>
      </c>
      <c r="GF37" s="52">
        <v>170.21</v>
      </c>
      <c r="GG37" s="52">
        <v>166.6</v>
      </c>
      <c r="GH37" s="52">
        <v>179.66</v>
      </c>
      <c r="GI37" s="52">
        <v>107.27</v>
      </c>
      <c r="GJ37" s="52">
        <v>102.57</v>
      </c>
      <c r="GK37" s="52">
        <v>108.62</v>
      </c>
      <c r="GL37" s="52">
        <v>124.02</v>
      </c>
      <c r="GM37" s="52">
        <v>115.57</v>
      </c>
      <c r="GN37" s="52">
        <v>158.80000000000001</v>
      </c>
      <c r="GO37" s="52">
        <v>117.05</v>
      </c>
      <c r="GP37" s="52">
        <v>115.75</v>
      </c>
      <c r="GQ37" s="52">
        <v>110.21</v>
      </c>
      <c r="GR37" s="52">
        <v>160.52000000000001</v>
      </c>
      <c r="GS37" s="52">
        <v>208.71</v>
      </c>
      <c r="GT37" s="52">
        <v>131.84</v>
      </c>
      <c r="GU37" s="52">
        <v>123.27</v>
      </c>
      <c r="GV37" s="52">
        <v>99.97</v>
      </c>
      <c r="GW37" s="52">
        <v>164.4</v>
      </c>
      <c r="GX37" s="52">
        <v>165.92</v>
      </c>
      <c r="GY37" s="52">
        <v>148.66</v>
      </c>
      <c r="GZ37" s="52">
        <v>142.94</v>
      </c>
      <c r="HA37" s="52">
        <v>155.88999999999999</v>
      </c>
      <c r="HB37" s="52">
        <v>151.06</v>
      </c>
      <c r="HC37" s="52">
        <v>124.68</v>
      </c>
      <c r="HD37" s="52">
        <v>114.63</v>
      </c>
      <c r="HE37" s="52">
        <v>95.6</v>
      </c>
      <c r="HF37" s="52">
        <v>97.61</v>
      </c>
      <c r="HG37" s="52">
        <v>97.84</v>
      </c>
      <c r="HH37" s="52">
        <v>127.09</v>
      </c>
      <c r="HI37" s="52">
        <v>75.87</v>
      </c>
      <c r="HJ37" s="52">
        <v>112.34</v>
      </c>
      <c r="HK37" s="52">
        <v>170.81</v>
      </c>
      <c r="HL37" s="52">
        <v>122.34</v>
      </c>
      <c r="HM37" s="52">
        <v>152.72</v>
      </c>
      <c r="HN37" s="52">
        <v>147.30000000000001</v>
      </c>
      <c r="HO37" s="52">
        <v>124.43</v>
      </c>
      <c r="HP37" s="52">
        <v>151.81</v>
      </c>
      <c r="HQ37" s="52">
        <v>115.12</v>
      </c>
      <c r="HR37" s="52">
        <v>126.85</v>
      </c>
      <c r="HS37" s="52">
        <v>185.91</v>
      </c>
      <c r="HT37" s="52">
        <v>165.81</v>
      </c>
      <c r="HU37" s="52">
        <v>88.07</v>
      </c>
      <c r="HV37" s="52">
        <v>127.8</v>
      </c>
      <c r="HW37" s="52">
        <v>119.28</v>
      </c>
      <c r="HX37" s="52">
        <v>90.74</v>
      </c>
      <c r="HY37" s="52">
        <v>188.22</v>
      </c>
      <c r="HZ37" s="52">
        <v>144.69</v>
      </c>
      <c r="IA37" s="52">
        <v>86.16</v>
      </c>
      <c r="IB37" s="52">
        <v>159.47999999999999</v>
      </c>
      <c r="IC37" s="52">
        <v>102.75</v>
      </c>
      <c r="ID37" s="52">
        <v>115.28</v>
      </c>
      <c r="IE37" s="52">
        <v>0</v>
      </c>
      <c r="IF37" s="52">
        <v>101.71</v>
      </c>
      <c r="IG37" s="52">
        <v>134.56</v>
      </c>
      <c r="IH37" s="52">
        <v>153.69999999999999</v>
      </c>
      <c r="II37" s="52">
        <v>170.14</v>
      </c>
      <c r="IJ37" s="52">
        <v>159.6</v>
      </c>
      <c r="IK37" s="52">
        <v>151.94999999999999</v>
      </c>
      <c r="IL37" s="52">
        <v>142.28</v>
      </c>
      <c r="IM37" s="52">
        <v>165.35</v>
      </c>
      <c r="IN37" s="52">
        <v>158.11000000000001</v>
      </c>
      <c r="IO37" s="52">
        <v>146.86000000000001</v>
      </c>
      <c r="IP37" s="52">
        <v>101.57</v>
      </c>
      <c r="IQ37" s="52">
        <v>121.98</v>
      </c>
      <c r="IR37" s="52">
        <v>187.73</v>
      </c>
      <c r="IS37" s="52">
        <v>127.56</v>
      </c>
      <c r="IT37" s="52">
        <v>60.86</v>
      </c>
      <c r="IU37" s="52">
        <v>110.77</v>
      </c>
      <c r="IV37" s="52">
        <v>71.23</v>
      </c>
      <c r="IW37" s="52">
        <v>83.61</v>
      </c>
      <c r="IX37" s="52">
        <v>142.18</v>
      </c>
      <c r="IY37" s="52">
        <v>124.94</v>
      </c>
      <c r="IZ37" s="52">
        <v>166.61</v>
      </c>
      <c r="JA37" s="52">
        <v>122.09</v>
      </c>
      <c r="JB37" s="52"/>
      <c r="JC37" s="52">
        <v>150.44</v>
      </c>
      <c r="JD37" s="52">
        <v>185.39</v>
      </c>
      <c r="JE37" s="52">
        <v>138.03</v>
      </c>
      <c r="JF37" s="52">
        <v>133.77000000000001</v>
      </c>
      <c r="JG37" s="52">
        <v>162.15</v>
      </c>
      <c r="JH37" s="52">
        <v>191.84</v>
      </c>
      <c r="JI37" s="52">
        <v>121.4</v>
      </c>
      <c r="JJ37" s="52">
        <v>126.13</v>
      </c>
      <c r="JK37" s="52">
        <v>155.25</v>
      </c>
      <c r="JL37" s="52">
        <v>167.06</v>
      </c>
      <c r="JM37" s="52">
        <v>171.86</v>
      </c>
      <c r="JN37" s="52">
        <v>156.29</v>
      </c>
      <c r="JO37" s="52">
        <v>142.16</v>
      </c>
      <c r="JP37" s="52">
        <v>171.32</v>
      </c>
      <c r="JQ37" s="52">
        <v>153.19999999999999</v>
      </c>
      <c r="JR37" s="52">
        <v>165.88</v>
      </c>
      <c r="JS37" s="52">
        <v>184.19</v>
      </c>
      <c r="JT37" s="52">
        <v>184.17</v>
      </c>
      <c r="JU37" s="52">
        <v>163.95</v>
      </c>
      <c r="JV37" s="52">
        <v>103.73</v>
      </c>
      <c r="JW37" s="52">
        <v>111.37</v>
      </c>
      <c r="JX37" s="52">
        <v>160.22999999999999</v>
      </c>
      <c r="JY37" s="52">
        <v>150.18</v>
      </c>
      <c r="JZ37" s="52">
        <v>137.33000000000001</v>
      </c>
      <c r="KA37" s="52">
        <v>168.46</v>
      </c>
      <c r="KB37" s="52">
        <v>192.53</v>
      </c>
      <c r="KC37" s="52">
        <v>124.17</v>
      </c>
      <c r="KD37" s="52">
        <v>154.44</v>
      </c>
      <c r="KE37" s="52">
        <v>155.97999999999999</v>
      </c>
      <c r="KF37" s="52">
        <v>173.36</v>
      </c>
    </row>
    <row r="38" spans="1:292" s="41" customFormat="1" ht="12">
      <c r="A38" s="41">
        <v>2007</v>
      </c>
      <c r="B38" s="54" t="s">
        <v>993</v>
      </c>
      <c r="C38" s="55" t="s">
        <v>994</v>
      </c>
      <c r="D38" s="52">
        <v>140.13</v>
      </c>
      <c r="E38" s="52">
        <v>138.53</v>
      </c>
      <c r="F38" s="52">
        <v>180.26</v>
      </c>
      <c r="G38" s="52">
        <v>110.89</v>
      </c>
      <c r="H38" s="52">
        <v>151.62</v>
      </c>
      <c r="I38" s="52">
        <v>129.22</v>
      </c>
      <c r="J38" s="52">
        <v>123.19</v>
      </c>
      <c r="K38" s="52">
        <v>144.77000000000001</v>
      </c>
      <c r="L38" s="52">
        <v>103.95</v>
      </c>
      <c r="M38" s="52">
        <v>127.37</v>
      </c>
      <c r="N38" s="52">
        <v>161.19</v>
      </c>
      <c r="O38" s="52">
        <v>171.6</v>
      </c>
      <c r="P38" s="52">
        <v>144.74</v>
      </c>
      <c r="Q38" s="52">
        <v>138.41</v>
      </c>
      <c r="R38" s="52">
        <v>139.80000000000001</v>
      </c>
      <c r="S38" s="52">
        <v>182.29</v>
      </c>
      <c r="T38" s="52">
        <v>179.96</v>
      </c>
      <c r="U38" s="52">
        <v>106.86</v>
      </c>
      <c r="V38" s="52">
        <v>123.1</v>
      </c>
      <c r="W38" s="52">
        <v>212.17</v>
      </c>
      <c r="X38" s="52">
        <v>132.65</v>
      </c>
      <c r="Y38" s="52">
        <v>125.03</v>
      </c>
      <c r="Z38" s="52">
        <v>136.99</v>
      </c>
      <c r="AA38" s="52">
        <v>138.66999999999999</v>
      </c>
      <c r="AB38" s="52">
        <v>115.64</v>
      </c>
      <c r="AC38" s="52">
        <v>110.26</v>
      </c>
      <c r="AD38" s="52">
        <v>137.69</v>
      </c>
      <c r="AE38" s="52">
        <v>138.9</v>
      </c>
      <c r="AF38" s="52">
        <v>133.19</v>
      </c>
      <c r="AG38" s="52">
        <v>91.57</v>
      </c>
      <c r="AH38" s="52">
        <v>151.61000000000001</v>
      </c>
      <c r="AI38" s="52">
        <v>159.66</v>
      </c>
      <c r="AJ38" s="52">
        <v>113.87</v>
      </c>
      <c r="AK38" s="52">
        <v>154.93</v>
      </c>
      <c r="AL38" s="52">
        <v>160.28</v>
      </c>
      <c r="AM38" s="52">
        <v>127.56</v>
      </c>
      <c r="AN38" s="52">
        <v>56.92</v>
      </c>
      <c r="AO38" s="52">
        <v>110.86</v>
      </c>
      <c r="AP38" s="52">
        <v>80.2</v>
      </c>
      <c r="AQ38" s="52">
        <v>125.04</v>
      </c>
      <c r="AR38" s="52">
        <v>154.52000000000001</v>
      </c>
      <c r="AS38" s="52">
        <v>158.43</v>
      </c>
      <c r="AT38" s="52">
        <v>148.5</v>
      </c>
      <c r="AU38" s="52">
        <v>149.77000000000001</v>
      </c>
      <c r="AV38" s="52">
        <v>171.09</v>
      </c>
      <c r="AW38" s="52">
        <v>172.51</v>
      </c>
      <c r="AX38" s="52">
        <v>165.79</v>
      </c>
      <c r="AY38" s="52">
        <v>143.63</v>
      </c>
      <c r="AZ38" s="52">
        <v>167.38</v>
      </c>
      <c r="BA38" s="52">
        <v>178.03</v>
      </c>
      <c r="BB38" s="52">
        <v>125.94</v>
      </c>
      <c r="BC38" s="52">
        <v>160.91</v>
      </c>
      <c r="BD38" s="52">
        <v>175.5</v>
      </c>
      <c r="BE38" s="52">
        <v>159.24</v>
      </c>
      <c r="BF38" s="52">
        <v>155.97999999999999</v>
      </c>
      <c r="BG38" s="52">
        <v>173.37</v>
      </c>
      <c r="BH38" s="52">
        <v>141.93</v>
      </c>
      <c r="BI38" s="52">
        <v>141.04</v>
      </c>
      <c r="BJ38" s="52">
        <v>137.77000000000001</v>
      </c>
      <c r="BK38" s="52">
        <v>143.12</v>
      </c>
      <c r="BL38" s="52">
        <v>128.83000000000001</v>
      </c>
      <c r="BM38" s="52">
        <v>127.74</v>
      </c>
      <c r="BN38" s="52">
        <v>143.65</v>
      </c>
      <c r="BO38" s="52">
        <v>124.13</v>
      </c>
      <c r="BP38" s="52">
        <v>139.01</v>
      </c>
      <c r="BQ38" s="52">
        <v>149.83000000000001</v>
      </c>
      <c r="BR38" s="52">
        <v>129.56</v>
      </c>
      <c r="BS38" s="52">
        <v>192.82</v>
      </c>
      <c r="BT38" s="52">
        <v>173.81</v>
      </c>
      <c r="BU38" s="52">
        <v>167.14</v>
      </c>
      <c r="BV38" s="52">
        <v>179.96</v>
      </c>
      <c r="BW38" s="52">
        <v>105.66</v>
      </c>
      <c r="BX38" s="52">
        <v>117.18</v>
      </c>
      <c r="BY38" s="52">
        <v>160.41</v>
      </c>
      <c r="BZ38" s="52">
        <v>122.86</v>
      </c>
      <c r="CA38" s="52">
        <v>161.07</v>
      </c>
      <c r="CB38" s="53">
        <v>212.17</v>
      </c>
      <c r="CC38" s="52">
        <v>132.65</v>
      </c>
      <c r="CD38" s="52">
        <v>124.25</v>
      </c>
      <c r="CE38" s="52">
        <v>99.97</v>
      </c>
      <c r="CF38" s="52">
        <v>165.58</v>
      </c>
      <c r="CG38" s="52">
        <v>151.13</v>
      </c>
      <c r="CH38" s="52">
        <v>142.57</v>
      </c>
      <c r="CI38" s="52">
        <v>123.6</v>
      </c>
      <c r="CJ38" s="52">
        <v>115.64</v>
      </c>
      <c r="CK38" s="52">
        <v>103.72</v>
      </c>
      <c r="CL38" s="52">
        <v>111.71</v>
      </c>
      <c r="CM38" s="52">
        <v>170.82</v>
      </c>
      <c r="CN38" s="52">
        <v>137.69</v>
      </c>
      <c r="CO38" s="52">
        <v>138.9</v>
      </c>
      <c r="CP38" s="52">
        <v>115.88</v>
      </c>
      <c r="CQ38" s="52">
        <v>186.25</v>
      </c>
      <c r="CR38" s="52">
        <v>88.07</v>
      </c>
      <c r="CS38" s="52">
        <v>127.84</v>
      </c>
      <c r="CT38" s="52">
        <v>109.7</v>
      </c>
      <c r="CU38" s="52">
        <v>188.52</v>
      </c>
      <c r="CV38" s="52">
        <v>144.85</v>
      </c>
      <c r="CW38" s="52">
        <v>94.38</v>
      </c>
      <c r="CX38" s="52">
        <v>159.66</v>
      </c>
      <c r="CY38" s="52">
        <v>114.15</v>
      </c>
      <c r="CZ38" s="52">
        <v>0</v>
      </c>
      <c r="DA38" s="52">
        <v>101.98</v>
      </c>
      <c r="DB38" s="52">
        <v>135.66999999999999</v>
      </c>
      <c r="DC38" s="52">
        <v>154.11000000000001</v>
      </c>
      <c r="DD38" s="52">
        <v>170.55</v>
      </c>
      <c r="DE38" s="52">
        <v>159.6</v>
      </c>
      <c r="DF38" s="52">
        <v>149.88999999999999</v>
      </c>
      <c r="DG38" s="52">
        <v>162.80000000000001</v>
      </c>
      <c r="DH38" s="52">
        <v>100.66</v>
      </c>
      <c r="DI38" s="52">
        <v>121.98</v>
      </c>
      <c r="DJ38" s="52">
        <v>188.81</v>
      </c>
      <c r="DK38" s="52">
        <v>127.56</v>
      </c>
      <c r="DL38" s="52">
        <v>56.92</v>
      </c>
      <c r="DM38" s="52">
        <v>110.86</v>
      </c>
      <c r="DN38" s="52">
        <v>70.44</v>
      </c>
      <c r="DO38" s="52">
        <v>81.58</v>
      </c>
      <c r="DP38" s="52">
        <v>138.19999999999999</v>
      </c>
      <c r="DQ38" s="52">
        <v>125.04</v>
      </c>
      <c r="DR38" s="52">
        <v>166.89</v>
      </c>
      <c r="DS38" s="52">
        <v>123.93</v>
      </c>
      <c r="DT38" s="52"/>
      <c r="DU38" s="52">
        <v>151</v>
      </c>
      <c r="DV38" s="52">
        <v>185.58</v>
      </c>
      <c r="DW38" s="52">
        <v>135.03</v>
      </c>
      <c r="DX38" s="52">
        <v>162.15</v>
      </c>
      <c r="DY38" s="52">
        <v>189.96</v>
      </c>
      <c r="DZ38" s="52">
        <v>121.4</v>
      </c>
      <c r="EA38" s="52">
        <v>127.79</v>
      </c>
      <c r="EB38" s="52">
        <v>149.77000000000001</v>
      </c>
      <c r="EC38" s="52">
        <v>171.09</v>
      </c>
      <c r="ED38" s="52">
        <v>172.51</v>
      </c>
      <c r="EE38" s="52">
        <v>165.79</v>
      </c>
      <c r="EF38" s="52">
        <v>143.63</v>
      </c>
      <c r="EG38" s="52">
        <v>167.38</v>
      </c>
      <c r="EH38" s="52">
        <v>178.03</v>
      </c>
      <c r="EI38" s="52">
        <v>175</v>
      </c>
      <c r="EJ38" s="52">
        <v>101.23</v>
      </c>
      <c r="EK38" s="52">
        <v>111.86</v>
      </c>
      <c r="EL38" s="52">
        <v>163.82</v>
      </c>
      <c r="EM38" s="52">
        <v>150.19999999999999</v>
      </c>
      <c r="EN38" s="52">
        <v>175.5</v>
      </c>
      <c r="EO38" s="52">
        <v>192.53</v>
      </c>
      <c r="EP38" s="52">
        <v>122.72</v>
      </c>
      <c r="EQ38" s="52">
        <v>151.9</v>
      </c>
      <c r="ER38" s="52">
        <v>155.97999999999999</v>
      </c>
      <c r="ES38" s="52">
        <v>173.37</v>
      </c>
      <c r="ET38" s="52">
        <v>144.15</v>
      </c>
      <c r="EU38" s="52">
        <v>131.65</v>
      </c>
      <c r="EV38" s="52">
        <v>143.56</v>
      </c>
      <c r="EW38" s="52">
        <v>149.75</v>
      </c>
      <c r="EX38" s="52">
        <v>140.18</v>
      </c>
      <c r="EY38" s="52">
        <v>113.43</v>
      </c>
      <c r="EZ38" s="52">
        <v>134.43</v>
      </c>
      <c r="FA38" s="52">
        <v>122.84</v>
      </c>
      <c r="FB38" s="52">
        <v>173.8</v>
      </c>
      <c r="FC38" s="52">
        <v>131.49</v>
      </c>
      <c r="FD38" s="52">
        <v>125.51</v>
      </c>
      <c r="FE38" s="52">
        <v>137.77000000000001</v>
      </c>
      <c r="FF38" s="52"/>
      <c r="FG38" s="52">
        <v>128.37</v>
      </c>
      <c r="FH38" s="52">
        <v>138.13</v>
      </c>
      <c r="FI38" s="52">
        <v>139.69</v>
      </c>
      <c r="FJ38" s="52">
        <v>174.78</v>
      </c>
      <c r="FK38" s="52">
        <v>149.28</v>
      </c>
      <c r="FL38" s="52">
        <v>122.22</v>
      </c>
      <c r="FM38" s="52">
        <v>128.34</v>
      </c>
      <c r="FN38" s="52">
        <v>121.05</v>
      </c>
      <c r="FO38" s="52">
        <v>163.95</v>
      </c>
      <c r="FP38" s="52">
        <v>137.79</v>
      </c>
      <c r="FQ38" s="52">
        <v>130.02000000000001</v>
      </c>
      <c r="FR38" s="52">
        <v>156.38</v>
      </c>
      <c r="FS38" s="52">
        <v>154.99</v>
      </c>
      <c r="FT38" s="52">
        <v>115.63</v>
      </c>
      <c r="FU38" s="52">
        <v>135.69999999999999</v>
      </c>
      <c r="FV38" s="52">
        <v>141.77000000000001</v>
      </c>
      <c r="FW38" s="52">
        <v>118.38</v>
      </c>
      <c r="FX38" s="52">
        <v>139.01</v>
      </c>
      <c r="FY38" s="52">
        <v>145.32</v>
      </c>
      <c r="FZ38" s="52">
        <v>150.57</v>
      </c>
      <c r="GA38" s="52">
        <v>130.34</v>
      </c>
      <c r="GB38" s="52">
        <v>130.13</v>
      </c>
      <c r="GC38" s="52">
        <v>131.68</v>
      </c>
      <c r="GD38" s="52">
        <v>117.93</v>
      </c>
      <c r="GE38" s="52">
        <v>192.82</v>
      </c>
      <c r="GF38" s="52">
        <v>173.81</v>
      </c>
      <c r="GG38" s="52">
        <v>167.14</v>
      </c>
      <c r="GH38" s="52">
        <v>179.66</v>
      </c>
      <c r="GI38" s="52">
        <v>107.31</v>
      </c>
      <c r="GJ38" s="52">
        <v>103.62</v>
      </c>
      <c r="GK38" s="52">
        <v>105.34</v>
      </c>
      <c r="GL38" s="52">
        <v>125.04</v>
      </c>
      <c r="GM38" s="52">
        <v>117.18</v>
      </c>
      <c r="GN38" s="52">
        <v>160.41</v>
      </c>
      <c r="GO38" s="52">
        <v>124.16</v>
      </c>
      <c r="GP38" s="52">
        <v>122.97</v>
      </c>
      <c r="GQ38" s="52">
        <v>119.35</v>
      </c>
      <c r="GR38" s="52">
        <v>161.07</v>
      </c>
      <c r="GS38" s="52">
        <v>212.17</v>
      </c>
      <c r="GT38" s="52">
        <v>132.65</v>
      </c>
      <c r="GU38" s="52">
        <v>124.25</v>
      </c>
      <c r="GV38" s="52">
        <v>99.97</v>
      </c>
      <c r="GW38" s="52">
        <v>164.66</v>
      </c>
      <c r="GX38" s="52">
        <v>167.1</v>
      </c>
      <c r="GY38" s="52">
        <v>151.13</v>
      </c>
      <c r="GZ38" s="52">
        <v>143.84</v>
      </c>
      <c r="HA38" s="52">
        <v>150.11000000000001</v>
      </c>
      <c r="HB38" s="52">
        <v>139.46</v>
      </c>
      <c r="HC38" s="52">
        <v>123.6</v>
      </c>
      <c r="HD38" s="52">
        <v>115.64</v>
      </c>
      <c r="HE38" s="52">
        <v>96.19</v>
      </c>
      <c r="HF38" s="52">
        <v>98.49</v>
      </c>
      <c r="HG38" s="52">
        <v>97.85</v>
      </c>
      <c r="HH38" s="52">
        <v>128.85</v>
      </c>
      <c r="HI38" s="52">
        <v>75.87</v>
      </c>
      <c r="HJ38" s="52">
        <v>111.71</v>
      </c>
      <c r="HK38" s="52">
        <v>170.82</v>
      </c>
      <c r="HL38" s="52">
        <v>122.43</v>
      </c>
      <c r="HM38" s="52">
        <v>155.82</v>
      </c>
      <c r="HN38" s="52">
        <v>147.82</v>
      </c>
      <c r="HO38" s="52">
        <v>124.32</v>
      </c>
      <c r="HP38" s="52">
        <v>153.05000000000001</v>
      </c>
      <c r="HQ38" s="52">
        <v>114.72</v>
      </c>
      <c r="HR38" s="52">
        <v>126.11</v>
      </c>
      <c r="HS38" s="52">
        <v>186.57</v>
      </c>
      <c r="HT38" s="52">
        <v>166.22</v>
      </c>
      <c r="HU38" s="52">
        <v>88.07</v>
      </c>
      <c r="HV38" s="52">
        <v>127.84</v>
      </c>
      <c r="HW38" s="52">
        <v>119.22</v>
      </c>
      <c r="HX38" s="52">
        <v>90.44</v>
      </c>
      <c r="HY38" s="52">
        <v>188.52</v>
      </c>
      <c r="HZ38" s="52">
        <v>144.85</v>
      </c>
      <c r="IA38" s="52">
        <v>86.34</v>
      </c>
      <c r="IB38" s="52">
        <v>159.66</v>
      </c>
      <c r="IC38" s="52">
        <v>103.12</v>
      </c>
      <c r="ID38" s="52">
        <v>116.31</v>
      </c>
      <c r="IE38" s="52">
        <v>0</v>
      </c>
      <c r="IF38" s="52">
        <v>101.98</v>
      </c>
      <c r="IG38" s="52">
        <v>135.66999999999999</v>
      </c>
      <c r="IH38" s="52">
        <v>154.11000000000001</v>
      </c>
      <c r="II38" s="52">
        <v>170.55</v>
      </c>
      <c r="IJ38" s="52">
        <v>159.6</v>
      </c>
      <c r="IK38" s="52">
        <v>151.94999999999999</v>
      </c>
      <c r="IL38" s="52">
        <v>142.28</v>
      </c>
      <c r="IM38" s="52">
        <v>167.67</v>
      </c>
      <c r="IN38" s="52">
        <v>158.19</v>
      </c>
      <c r="IO38" s="52">
        <v>145.77000000000001</v>
      </c>
      <c r="IP38" s="52">
        <v>100.66</v>
      </c>
      <c r="IQ38" s="52">
        <v>121.98</v>
      </c>
      <c r="IR38" s="52">
        <v>188.81</v>
      </c>
      <c r="IS38" s="52">
        <v>127.56</v>
      </c>
      <c r="IT38" s="52">
        <v>56.92</v>
      </c>
      <c r="IU38" s="52">
        <v>110.86</v>
      </c>
      <c r="IV38" s="52">
        <v>70.790000000000006</v>
      </c>
      <c r="IW38" s="52">
        <v>81.58</v>
      </c>
      <c r="IX38" s="52">
        <v>138.19999999999999</v>
      </c>
      <c r="IY38" s="52">
        <v>125.04</v>
      </c>
      <c r="IZ38" s="52">
        <v>166.89</v>
      </c>
      <c r="JA38" s="52">
        <v>123.93</v>
      </c>
      <c r="JB38" s="52"/>
      <c r="JC38" s="52">
        <v>151</v>
      </c>
      <c r="JD38" s="52">
        <v>185.58</v>
      </c>
      <c r="JE38" s="52">
        <v>138.36000000000001</v>
      </c>
      <c r="JF38" s="52">
        <v>133.72999999999999</v>
      </c>
      <c r="JG38" s="52">
        <v>162.15</v>
      </c>
      <c r="JH38" s="52">
        <v>189.96</v>
      </c>
      <c r="JI38" s="52">
        <v>121.4</v>
      </c>
      <c r="JJ38" s="52">
        <v>127.79</v>
      </c>
      <c r="JK38" s="52">
        <v>149.77000000000001</v>
      </c>
      <c r="JL38" s="52">
        <v>171.09</v>
      </c>
      <c r="JM38" s="52">
        <v>172.51</v>
      </c>
      <c r="JN38" s="52">
        <v>165.79</v>
      </c>
      <c r="JO38" s="52">
        <v>143.63</v>
      </c>
      <c r="JP38" s="52">
        <v>173.08</v>
      </c>
      <c r="JQ38" s="52">
        <v>154.08000000000001</v>
      </c>
      <c r="JR38" s="52">
        <v>165.78</v>
      </c>
      <c r="JS38" s="52">
        <v>193.93</v>
      </c>
      <c r="JT38" s="52">
        <v>185.41</v>
      </c>
      <c r="JU38" s="52">
        <v>165</v>
      </c>
      <c r="JV38" s="52">
        <v>101.23</v>
      </c>
      <c r="JW38" s="52">
        <v>111.86</v>
      </c>
      <c r="JX38" s="52">
        <v>163.82</v>
      </c>
      <c r="JY38" s="52">
        <v>156.12</v>
      </c>
      <c r="JZ38" s="52">
        <v>138.66999999999999</v>
      </c>
      <c r="KA38" s="52">
        <v>175.5</v>
      </c>
      <c r="KB38" s="52">
        <v>192.53</v>
      </c>
      <c r="KC38" s="52">
        <v>122.72</v>
      </c>
      <c r="KD38" s="52">
        <v>151.9</v>
      </c>
      <c r="KE38" s="52">
        <v>155.97999999999999</v>
      </c>
      <c r="KF38" s="52">
        <v>173.37</v>
      </c>
    </row>
    <row r="39" spans="1:292" s="41" customFormat="1" ht="12">
      <c r="A39" s="41">
        <v>2007</v>
      </c>
      <c r="B39" s="54" t="s">
        <v>995</v>
      </c>
      <c r="C39" s="55" t="s">
        <v>996</v>
      </c>
      <c r="D39" s="52">
        <v>142.66999999999999</v>
      </c>
      <c r="E39" s="52">
        <v>143.26</v>
      </c>
      <c r="F39" s="52">
        <v>180.26</v>
      </c>
      <c r="G39" s="52">
        <v>120</v>
      </c>
      <c r="H39" s="52">
        <v>152.6</v>
      </c>
      <c r="I39" s="52">
        <v>129.54</v>
      </c>
      <c r="J39" s="52">
        <v>123.28</v>
      </c>
      <c r="K39" s="52">
        <v>144.16999999999999</v>
      </c>
      <c r="L39" s="52">
        <v>103.93</v>
      </c>
      <c r="M39" s="52">
        <v>127.7</v>
      </c>
      <c r="N39" s="52">
        <v>160.88</v>
      </c>
      <c r="O39" s="52">
        <v>174.25</v>
      </c>
      <c r="P39" s="52">
        <v>146.22</v>
      </c>
      <c r="Q39" s="52">
        <v>143.41</v>
      </c>
      <c r="R39" s="52">
        <v>140.26</v>
      </c>
      <c r="S39" s="52">
        <v>182.4</v>
      </c>
      <c r="T39" s="52">
        <v>179.96</v>
      </c>
      <c r="U39" s="52">
        <v>115.66</v>
      </c>
      <c r="V39" s="52">
        <v>133.12</v>
      </c>
      <c r="W39" s="52">
        <v>215.33</v>
      </c>
      <c r="X39" s="52">
        <v>133.12</v>
      </c>
      <c r="Y39" s="52">
        <v>125.29</v>
      </c>
      <c r="Z39" s="52">
        <v>137.38999999999999</v>
      </c>
      <c r="AA39" s="52">
        <v>138.5</v>
      </c>
      <c r="AB39" s="52">
        <v>116</v>
      </c>
      <c r="AC39" s="52">
        <v>110.87</v>
      </c>
      <c r="AD39" s="52">
        <v>138.15</v>
      </c>
      <c r="AE39" s="52">
        <v>139.16</v>
      </c>
      <c r="AF39" s="52">
        <v>133.63999999999999</v>
      </c>
      <c r="AG39" s="52">
        <v>91.61</v>
      </c>
      <c r="AH39" s="52">
        <v>151.77000000000001</v>
      </c>
      <c r="AI39" s="52">
        <v>159.66999999999999</v>
      </c>
      <c r="AJ39" s="52">
        <v>111.51</v>
      </c>
      <c r="AK39" s="52">
        <v>154.72999999999999</v>
      </c>
      <c r="AL39" s="52">
        <v>161.84</v>
      </c>
      <c r="AM39" s="52">
        <v>127.56</v>
      </c>
      <c r="AN39" s="52">
        <v>51.81</v>
      </c>
      <c r="AO39" s="52">
        <v>111.74</v>
      </c>
      <c r="AP39" s="52">
        <v>79.64</v>
      </c>
      <c r="AQ39" s="52">
        <v>125.75</v>
      </c>
      <c r="AR39" s="52">
        <v>155.05000000000001</v>
      </c>
      <c r="AS39" s="52">
        <v>158.61000000000001</v>
      </c>
      <c r="AT39" s="52">
        <v>148.33000000000001</v>
      </c>
      <c r="AU39" s="52">
        <v>154.76</v>
      </c>
      <c r="AV39" s="52">
        <v>167.42</v>
      </c>
      <c r="AW39" s="52">
        <v>172.64</v>
      </c>
      <c r="AX39" s="52">
        <v>166.09</v>
      </c>
      <c r="AY39" s="52">
        <v>144.97999999999999</v>
      </c>
      <c r="AZ39" s="52">
        <v>170.24</v>
      </c>
      <c r="BA39" s="52">
        <v>178.15</v>
      </c>
      <c r="BB39" s="52">
        <v>127.14</v>
      </c>
      <c r="BC39" s="52">
        <v>161.47</v>
      </c>
      <c r="BD39" s="52">
        <v>178.07</v>
      </c>
      <c r="BE39" s="52">
        <v>167.01</v>
      </c>
      <c r="BF39" s="52">
        <v>158.72</v>
      </c>
      <c r="BG39" s="52">
        <v>173.4</v>
      </c>
      <c r="BH39" s="52">
        <v>143.86000000000001</v>
      </c>
      <c r="BI39" s="52">
        <v>142.41999999999999</v>
      </c>
      <c r="BJ39" s="52">
        <v>134.37</v>
      </c>
      <c r="BK39" s="52">
        <v>145.31</v>
      </c>
      <c r="BL39" s="52">
        <v>136.1</v>
      </c>
      <c r="BM39" s="52">
        <v>138.35</v>
      </c>
      <c r="BN39" s="52">
        <v>156.13999999999999</v>
      </c>
      <c r="BO39" s="52">
        <v>125.97</v>
      </c>
      <c r="BP39" s="52">
        <v>141.74</v>
      </c>
      <c r="BQ39" s="52">
        <v>149.9</v>
      </c>
      <c r="BR39" s="52">
        <v>130.32</v>
      </c>
      <c r="BS39" s="52">
        <v>192.87</v>
      </c>
      <c r="BT39" s="52">
        <v>174.85</v>
      </c>
      <c r="BU39" s="52">
        <v>167.12</v>
      </c>
      <c r="BV39" s="52">
        <v>179.96</v>
      </c>
      <c r="BW39" s="52">
        <v>114.97</v>
      </c>
      <c r="BX39" s="52">
        <v>119.81</v>
      </c>
      <c r="BY39" s="52">
        <v>161.68</v>
      </c>
      <c r="BZ39" s="52">
        <v>132.91999999999999</v>
      </c>
      <c r="CA39" s="52">
        <v>164.44</v>
      </c>
      <c r="CB39" s="53">
        <v>215.33</v>
      </c>
      <c r="CC39" s="52">
        <v>133.12</v>
      </c>
      <c r="CD39" s="52">
        <v>124.52</v>
      </c>
      <c r="CE39" s="52">
        <v>99.97</v>
      </c>
      <c r="CF39" s="52">
        <v>165.57</v>
      </c>
      <c r="CG39" s="52">
        <v>152.87</v>
      </c>
      <c r="CH39" s="52">
        <v>142.65</v>
      </c>
      <c r="CI39" s="52">
        <v>122.58</v>
      </c>
      <c r="CJ39" s="52">
        <v>116</v>
      </c>
      <c r="CK39" s="52">
        <v>104.18</v>
      </c>
      <c r="CL39" s="52">
        <v>114.04</v>
      </c>
      <c r="CM39" s="52">
        <v>170.93</v>
      </c>
      <c r="CN39" s="52">
        <v>138.15</v>
      </c>
      <c r="CO39" s="52">
        <v>139.16</v>
      </c>
      <c r="CP39" s="52">
        <v>116</v>
      </c>
      <c r="CQ39" s="52">
        <v>188.25</v>
      </c>
      <c r="CR39" s="52">
        <v>88.07</v>
      </c>
      <c r="CS39" s="52">
        <v>127.87</v>
      </c>
      <c r="CT39" s="52">
        <v>110</v>
      </c>
      <c r="CU39" s="52">
        <v>188.82</v>
      </c>
      <c r="CV39" s="52">
        <v>144.80000000000001</v>
      </c>
      <c r="CW39" s="52">
        <v>94.5</v>
      </c>
      <c r="CX39" s="52">
        <v>159.66999999999999</v>
      </c>
      <c r="CY39" s="52">
        <v>111.75</v>
      </c>
      <c r="CZ39" s="52">
        <v>0</v>
      </c>
      <c r="DA39" s="52">
        <v>101.98</v>
      </c>
      <c r="DB39" s="52">
        <v>138.19</v>
      </c>
      <c r="DC39" s="52">
        <v>153.47999999999999</v>
      </c>
      <c r="DD39" s="52">
        <v>172.2</v>
      </c>
      <c r="DE39" s="52">
        <v>159.80000000000001</v>
      </c>
      <c r="DF39" s="52">
        <v>149.88999999999999</v>
      </c>
      <c r="DG39" s="52">
        <v>164.62</v>
      </c>
      <c r="DH39" s="52">
        <v>98.65</v>
      </c>
      <c r="DI39" s="52">
        <v>121.98</v>
      </c>
      <c r="DJ39" s="52">
        <v>189.4</v>
      </c>
      <c r="DK39" s="52">
        <v>127.56</v>
      </c>
      <c r="DL39" s="52">
        <v>51.81</v>
      </c>
      <c r="DM39" s="52">
        <v>111.74</v>
      </c>
      <c r="DN39" s="52">
        <v>70.67</v>
      </c>
      <c r="DO39" s="52">
        <v>78.69</v>
      </c>
      <c r="DP39" s="52">
        <v>136.57</v>
      </c>
      <c r="DQ39" s="52">
        <v>125.75</v>
      </c>
      <c r="DR39" s="52">
        <v>167.37</v>
      </c>
      <c r="DS39" s="52">
        <v>124.71</v>
      </c>
      <c r="DT39" s="52"/>
      <c r="DU39" s="52">
        <v>151.1</v>
      </c>
      <c r="DV39" s="52">
        <v>185.42</v>
      </c>
      <c r="DW39" s="52">
        <v>135.58000000000001</v>
      </c>
      <c r="DX39" s="52">
        <v>162.15</v>
      </c>
      <c r="DY39" s="52">
        <v>189.04</v>
      </c>
      <c r="DZ39" s="52">
        <v>121.4</v>
      </c>
      <c r="EA39" s="52">
        <v>128.22999999999999</v>
      </c>
      <c r="EB39" s="52">
        <v>154.76</v>
      </c>
      <c r="EC39" s="52">
        <v>167.42</v>
      </c>
      <c r="ED39" s="52">
        <v>172.64</v>
      </c>
      <c r="EE39" s="52">
        <v>166.09</v>
      </c>
      <c r="EF39" s="52">
        <v>144.97999999999999</v>
      </c>
      <c r="EG39" s="52">
        <v>170.24</v>
      </c>
      <c r="EH39" s="52">
        <v>178.15</v>
      </c>
      <c r="EI39" s="52">
        <v>175.6</v>
      </c>
      <c r="EJ39" s="52">
        <v>104.77</v>
      </c>
      <c r="EK39" s="52">
        <v>113.1</v>
      </c>
      <c r="EL39" s="52">
        <v>164.2</v>
      </c>
      <c r="EM39" s="52">
        <v>151.38999999999999</v>
      </c>
      <c r="EN39" s="52">
        <v>178.07</v>
      </c>
      <c r="EO39" s="52">
        <v>192.66</v>
      </c>
      <c r="EP39" s="52">
        <v>120.85</v>
      </c>
      <c r="EQ39" s="52">
        <v>161.43</v>
      </c>
      <c r="ER39" s="52">
        <v>158.72</v>
      </c>
      <c r="ES39" s="52">
        <v>173.4</v>
      </c>
      <c r="ET39" s="52">
        <v>144.11000000000001</v>
      </c>
      <c r="EU39" s="52">
        <v>135.54</v>
      </c>
      <c r="EV39" s="52">
        <v>144.88</v>
      </c>
      <c r="EW39" s="52">
        <v>151.87</v>
      </c>
      <c r="EX39" s="52">
        <v>145.49</v>
      </c>
      <c r="EY39" s="52">
        <v>112.88</v>
      </c>
      <c r="EZ39" s="52">
        <v>136.21</v>
      </c>
      <c r="FA39" s="52">
        <v>123.16</v>
      </c>
      <c r="FB39" s="52">
        <v>176.08</v>
      </c>
      <c r="FC39" s="52">
        <v>131.83000000000001</v>
      </c>
      <c r="FD39" s="52">
        <v>125.63</v>
      </c>
      <c r="FE39" s="52">
        <v>134.37</v>
      </c>
      <c r="FF39" s="52"/>
      <c r="FG39" s="52">
        <v>133.69</v>
      </c>
      <c r="FH39" s="52">
        <v>143.07</v>
      </c>
      <c r="FI39" s="52">
        <v>146.91999999999999</v>
      </c>
      <c r="FJ39" s="52">
        <v>160.97999999999999</v>
      </c>
      <c r="FK39" s="52">
        <v>155.53</v>
      </c>
      <c r="FL39" s="52">
        <v>124.66</v>
      </c>
      <c r="FM39" s="52">
        <v>136.86000000000001</v>
      </c>
      <c r="FN39" s="52">
        <v>132.49</v>
      </c>
      <c r="FO39" s="52">
        <v>167.85</v>
      </c>
      <c r="FP39" s="52">
        <v>154.33000000000001</v>
      </c>
      <c r="FQ39" s="52">
        <v>135.27000000000001</v>
      </c>
      <c r="FR39" s="52">
        <v>160.41</v>
      </c>
      <c r="FS39" s="52">
        <v>156.4</v>
      </c>
      <c r="FT39" s="52">
        <v>116.57</v>
      </c>
      <c r="FU39" s="52">
        <v>143.41999999999999</v>
      </c>
      <c r="FV39" s="52">
        <v>141.66999999999999</v>
      </c>
      <c r="FW39" s="52">
        <v>119.03</v>
      </c>
      <c r="FX39" s="52">
        <v>141.74</v>
      </c>
      <c r="FY39" s="52">
        <v>146.03</v>
      </c>
      <c r="FZ39" s="52">
        <v>150.57</v>
      </c>
      <c r="GA39" s="52">
        <v>130.82</v>
      </c>
      <c r="GB39" s="52">
        <v>131.15</v>
      </c>
      <c r="GC39" s="52">
        <v>132.31</v>
      </c>
      <c r="GD39" s="52">
        <v>118.79</v>
      </c>
      <c r="GE39" s="52">
        <v>192.87</v>
      </c>
      <c r="GF39" s="52">
        <v>174.85</v>
      </c>
      <c r="GG39" s="52">
        <v>167.12</v>
      </c>
      <c r="GH39" s="52">
        <v>179.66</v>
      </c>
      <c r="GI39" s="52">
        <v>116.58</v>
      </c>
      <c r="GJ39" s="52">
        <v>115.08</v>
      </c>
      <c r="GK39" s="52">
        <v>109.62</v>
      </c>
      <c r="GL39" s="52">
        <v>128.02000000000001</v>
      </c>
      <c r="GM39" s="52">
        <v>119.81</v>
      </c>
      <c r="GN39" s="52">
        <v>161.68</v>
      </c>
      <c r="GO39" s="52">
        <v>133.59</v>
      </c>
      <c r="GP39" s="52">
        <v>135.94999999999999</v>
      </c>
      <c r="GQ39" s="52">
        <v>125.62</v>
      </c>
      <c r="GR39" s="52">
        <v>164.44</v>
      </c>
      <c r="GS39" s="52">
        <v>215.33</v>
      </c>
      <c r="GT39" s="52">
        <v>133.12</v>
      </c>
      <c r="GU39" s="52">
        <v>124.52</v>
      </c>
      <c r="GV39" s="52">
        <v>99.97</v>
      </c>
      <c r="GW39" s="52">
        <v>164.36</v>
      </c>
      <c r="GX39" s="52">
        <v>167.21</v>
      </c>
      <c r="GY39" s="52">
        <v>152.87</v>
      </c>
      <c r="GZ39" s="52">
        <v>144.65</v>
      </c>
      <c r="HA39" s="52">
        <v>150.06</v>
      </c>
      <c r="HB39" s="52">
        <v>139.49</v>
      </c>
      <c r="HC39" s="52">
        <v>122.58</v>
      </c>
      <c r="HD39" s="52">
        <v>116</v>
      </c>
      <c r="HE39" s="52">
        <v>96.59</v>
      </c>
      <c r="HF39" s="52">
        <v>98.55</v>
      </c>
      <c r="HG39" s="52">
        <v>98.55</v>
      </c>
      <c r="HH39" s="52">
        <v>129.94</v>
      </c>
      <c r="HI39" s="52">
        <v>75.86</v>
      </c>
      <c r="HJ39" s="52">
        <v>114.04</v>
      </c>
      <c r="HK39" s="52">
        <v>170.93</v>
      </c>
      <c r="HL39" s="52">
        <v>122.65</v>
      </c>
      <c r="HM39" s="52">
        <v>156.56</v>
      </c>
      <c r="HN39" s="52">
        <v>148.44999999999999</v>
      </c>
      <c r="HO39" s="52">
        <v>124.3</v>
      </c>
      <c r="HP39" s="52">
        <v>153.62</v>
      </c>
      <c r="HQ39" s="52">
        <v>114.67</v>
      </c>
      <c r="HR39" s="52">
        <v>127.83</v>
      </c>
      <c r="HS39" s="52">
        <v>188.59</v>
      </c>
      <c r="HT39" s="52">
        <v>166.87</v>
      </c>
      <c r="HU39" s="52">
        <v>88.07</v>
      </c>
      <c r="HV39" s="52">
        <v>127.87</v>
      </c>
      <c r="HW39" s="52">
        <v>119.2</v>
      </c>
      <c r="HX39" s="52">
        <v>91.23</v>
      </c>
      <c r="HY39" s="52">
        <v>188.82</v>
      </c>
      <c r="HZ39" s="52">
        <v>144.80000000000001</v>
      </c>
      <c r="IA39" s="52">
        <v>86.42</v>
      </c>
      <c r="IB39" s="52">
        <v>159.66999999999999</v>
      </c>
      <c r="IC39" s="52">
        <v>101.62</v>
      </c>
      <c r="ID39" s="52">
        <v>113.73</v>
      </c>
      <c r="IE39" s="52">
        <v>0</v>
      </c>
      <c r="IF39" s="52">
        <v>101.98</v>
      </c>
      <c r="IG39" s="52">
        <v>138.19</v>
      </c>
      <c r="IH39" s="52">
        <v>153.47999999999999</v>
      </c>
      <c r="II39" s="52">
        <v>172.2</v>
      </c>
      <c r="IJ39" s="52">
        <v>159.80000000000001</v>
      </c>
      <c r="IK39" s="52">
        <v>151.94999999999999</v>
      </c>
      <c r="IL39" s="52">
        <v>142.28</v>
      </c>
      <c r="IM39" s="52">
        <v>170.13</v>
      </c>
      <c r="IN39" s="52">
        <v>158.27000000000001</v>
      </c>
      <c r="IO39" s="52">
        <v>145.9</v>
      </c>
      <c r="IP39" s="52">
        <v>98.65</v>
      </c>
      <c r="IQ39" s="52">
        <v>121.98</v>
      </c>
      <c r="IR39" s="52">
        <v>189.4</v>
      </c>
      <c r="IS39" s="52">
        <v>127.56</v>
      </c>
      <c r="IT39" s="52">
        <v>51.81</v>
      </c>
      <c r="IU39" s="52">
        <v>111.74</v>
      </c>
      <c r="IV39" s="52">
        <v>71.03</v>
      </c>
      <c r="IW39" s="52">
        <v>78.69</v>
      </c>
      <c r="IX39" s="52">
        <v>136.57</v>
      </c>
      <c r="IY39" s="52">
        <v>125.75</v>
      </c>
      <c r="IZ39" s="52">
        <v>167.37</v>
      </c>
      <c r="JA39" s="52">
        <v>124.71</v>
      </c>
      <c r="JB39" s="52"/>
      <c r="JC39" s="52">
        <v>151.1</v>
      </c>
      <c r="JD39" s="52">
        <v>185.42</v>
      </c>
      <c r="JE39" s="52">
        <v>137.94</v>
      </c>
      <c r="JF39" s="52">
        <v>134.65</v>
      </c>
      <c r="JG39" s="52">
        <v>162.15</v>
      </c>
      <c r="JH39" s="52">
        <v>189.04</v>
      </c>
      <c r="JI39" s="52">
        <v>121.4</v>
      </c>
      <c r="JJ39" s="52">
        <v>128.22999999999999</v>
      </c>
      <c r="JK39" s="52">
        <v>154.76</v>
      </c>
      <c r="JL39" s="52">
        <v>167.42</v>
      </c>
      <c r="JM39" s="52">
        <v>172.64</v>
      </c>
      <c r="JN39" s="52">
        <v>166.09</v>
      </c>
      <c r="JO39" s="52">
        <v>144.97999999999999</v>
      </c>
      <c r="JP39" s="52">
        <v>176.09</v>
      </c>
      <c r="JQ39" s="52">
        <v>156.55000000000001</v>
      </c>
      <c r="JR39" s="52">
        <v>165.63</v>
      </c>
      <c r="JS39" s="52">
        <v>194.4</v>
      </c>
      <c r="JT39" s="52">
        <v>186.08</v>
      </c>
      <c r="JU39" s="52">
        <v>165.54</v>
      </c>
      <c r="JV39" s="52">
        <v>104.77</v>
      </c>
      <c r="JW39" s="52">
        <v>113.1</v>
      </c>
      <c r="JX39" s="52">
        <v>164.2</v>
      </c>
      <c r="JY39" s="52">
        <v>156.53</v>
      </c>
      <c r="JZ39" s="52">
        <v>141.16999999999999</v>
      </c>
      <c r="KA39" s="52">
        <v>178.07</v>
      </c>
      <c r="KB39" s="52">
        <v>192.66</v>
      </c>
      <c r="KC39" s="52">
        <v>120.85</v>
      </c>
      <c r="KD39" s="52">
        <v>161.43</v>
      </c>
      <c r="KE39" s="52">
        <v>158.72</v>
      </c>
      <c r="KF39" s="52">
        <v>173.4</v>
      </c>
    </row>
    <row r="40" spans="1:292" s="41" customFormat="1" ht="12">
      <c r="A40" s="41">
        <v>2007</v>
      </c>
      <c r="B40" s="54" t="s">
        <v>997</v>
      </c>
      <c r="C40" s="55" t="s">
        <v>998</v>
      </c>
      <c r="D40" s="52">
        <v>145.44999999999999</v>
      </c>
      <c r="E40" s="52">
        <v>144.05000000000001</v>
      </c>
      <c r="F40" s="52">
        <v>191.99</v>
      </c>
      <c r="G40" s="52">
        <v>125.16</v>
      </c>
      <c r="H40" s="52">
        <v>158.72</v>
      </c>
      <c r="I40" s="52">
        <v>130.1</v>
      </c>
      <c r="J40" s="52">
        <v>122.45</v>
      </c>
      <c r="K40" s="52">
        <v>147.77000000000001</v>
      </c>
      <c r="L40" s="52">
        <v>103.87</v>
      </c>
      <c r="M40" s="52">
        <v>127.34</v>
      </c>
      <c r="N40" s="52">
        <v>160.68</v>
      </c>
      <c r="O40" s="52">
        <v>176.84</v>
      </c>
      <c r="P40" s="52">
        <v>148.91999999999999</v>
      </c>
      <c r="Q40" s="52">
        <v>144.19999999999999</v>
      </c>
      <c r="R40" s="52">
        <v>141.04</v>
      </c>
      <c r="S40" s="52">
        <v>186.56</v>
      </c>
      <c r="T40" s="52">
        <v>192.16</v>
      </c>
      <c r="U40" s="52">
        <v>120.89</v>
      </c>
      <c r="V40" s="52">
        <v>137.97999999999999</v>
      </c>
      <c r="W40" s="52">
        <v>217.52</v>
      </c>
      <c r="X40" s="52">
        <v>133.65</v>
      </c>
      <c r="Y40" s="52">
        <v>142.88</v>
      </c>
      <c r="Z40" s="52">
        <v>142.13999999999999</v>
      </c>
      <c r="AA40" s="52">
        <v>139.68</v>
      </c>
      <c r="AB40" s="52">
        <v>116.67</v>
      </c>
      <c r="AC40" s="52">
        <v>111.34</v>
      </c>
      <c r="AD40" s="52">
        <v>138.78</v>
      </c>
      <c r="AE40" s="52">
        <v>140.08000000000001</v>
      </c>
      <c r="AF40" s="52">
        <v>133.51</v>
      </c>
      <c r="AG40" s="52">
        <v>89.75</v>
      </c>
      <c r="AH40" s="52">
        <v>151.87</v>
      </c>
      <c r="AI40" s="52">
        <v>159.72999999999999</v>
      </c>
      <c r="AJ40" s="52">
        <v>110.63</v>
      </c>
      <c r="AK40" s="52">
        <v>166.34</v>
      </c>
      <c r="AL40" s="52">
        <v>161.47</v>
      </c>
      <c r="AM40" s="52">
        <v>127.56</v>
      </c>
      <c r="AN40" s="52">
        <v>50.9</v>
      </c>
      <c r="AO40" s="52">
        <v>111.83</v>
      </c>
      <c r="AP40" s="52">
        <v>78.760000000000005</v>
      </c>
      <c r="AQ40" s="52">
        <v>125.73</v>
      </c>
      <c r="AR40" s="52">
        <v>155.66999999999999</v>
      </c>
      <c r="AS40" s="52">
        <v>160.35</v>
      </c>
      <c r="AT40" s="52">
        <v>148.83000000000001</v>
      </c>
      <c r="AU40" s="52">
        <v>150.54</v>
      </c>
      <c r="AV40" s="52">
        <v>166.82</v>
      </c>
      <c r="AW40" s="52">
        <v>172.65</v>
      </c>
      <c r="AX40" s="52">
        <v>166.09</v>
      </c>
      <c r="AY40" s="52">
        <v>144.94999999999999</v>
      </c>
      <c r="AZ40" s="52">
        <v>172.96</v>
      </c>
      <c r="BA40" s="52">
        <v>178.94</v>
      </c>
      <c r="BB40" s="52">
        <v>128.33000000000001</v>
      </c>
      <c r="BC40" s="52">
        <v>169.74</v>
      </c>
      <c r="BD40" s="52">
        <v>178.75</v>
      </c>
      <c r="BE40" s="52">
        <v>165.59</v>
      </c>
      <c r="BF40" s="52">
        <v>158.72</v>
      </c>
      <c r="BG40" s="52">
        <v>173.42</v>
      </c>
      <c r="BH40" s="52">
        <v>146.65</v>
      </c>
      <c r="BI40" s="52">
        <v>132.53</v>
      </c>
      <c r="BJ40" s="52">
        <v>131.08000000000001</v>
      </c>
      <c r="BK40" s="52">
        <v>149.19</v>
      </c>
      <c r="BL40" s="52">
        <v>140.66</v>
      </c>
      <c r="BM40" s="52">
        <v>147.19</v>
      </c>
      <c r="BN40" s="52">
        <v>155.53</v>
      </c>
      <c r="BO40" s="52">
        <v>126.98</v>
      </c>
      <c r="BP40" s="52">
        <v>144.05000000000001</v>
      </c>
      <c r="BQ40" s="52">
        <v>150.38</v>
      </c>
      <c r="BR40" s="52">
        <v>131.33000000000001</v>
      </c>
      <c r="BS40" s="52">
        <v>200.1</v>
      </c>
      <c r="BT40" s="52">
        <v>177.43</v>
      </c>
      <c r="BU40" s="52">
        <v>167.47</v>
      </c>
      <c r="BV40" s="52">
        <v>192.16</v>
      </c>
      <c r="BW40" s="52">
        <v>120.49</v>
      </c>
      <c r="BX40" s="52">
        <v>121.29</v>
      </c>
      <c r="BY40" s="52">
        <v>163.36000000000001</v>
      </c>
      <c r="BZ40" s="52">
        <v>137.81</v>
      </c>
      <c r="CA40" s="52">
        <v>164.27</v>
      </c>
      <c r="CB40" s="53">
        <v>217.52</v>
      </c>
      <c r="CC40" s="52">
        <v>133.65</v>
      </c>
      <c r="CD40" s="52">
        <v>142.37</v>
      </c>
      <c r="CE40" s="52">
        <v>99.97</v>
      </c>
      <c r="CF40" s="52">
        <v>176.69</v>
      </c>
      <c r="CG40" s="52">
        <v>157.1</v>
      </c>
      <c r="CH40" s="52">
        <v>143.88999999999999</v>
      </c>
      <c r="CI40" s="52">
        <v>123.55</v>
      </c>
      <c r="CJ40" s="52">
        <v>116.67</v>
      </c>
      <c r="CK40" s="52">
        <v>104.67</v>
      </c>
      <c r="CL40" s="52">
        <v>114.41</v>
      </c>
      <c r="CM40" s="52">
        <v>170.97</v>
      </c>
      <c r="CN40" s="52">
        <v>138.78</v>
      </c>
      <c r="CO40" s="52">
        <v>140.08000000000001</v>
      </c>
      <c r="CP40" s="52">
        <v>115.8</v>
      </c>
      <c r="CQ40" s="52">
        <v>188.53</v>
      </c>
      <c r="CR40" s="52">
        <v>85.98</v>
      </c>
      <c r="CS40" s="52">
        <v>127.96</v>
      </c>
      <c r="CT40" s="52">
        <v>109.87</v>
      </c>
      <c r="CU40" s="52">
        <v>188.96</v>
      </c>
      <c r="CV40" s="52">
        <v>144.84</v>
      </c>
      <c r="CW40" s="52">
        <v>94.61</v>
      </c>
      <c r="CX40" s="52">
        <v>159.72999999999999</v>
      </c>
      <c r="CY40" s="52">
        <v>110.85</v>
      </c>
      <c r="CZ40" s="52">
        <v>0</v>
      </c>
      <c r="DA40" s="52">
        <v>101.87</v>
      </c>
      <c r="DB40" s="52">
        <v>140.19</v>
      </c>
      <c r="DC40" s="52">
        <v>167.47</v>
      </c>
      <c r="DD40" s="52">
        <v>172.66</v>
      </c>
      <c r="DE40" s="52">
        <v>160.76</v>
      </c>
      <c r="DF40" s="52">
        <v>149.88999999999999</v>
      </c>
      <c r="DG40" s="52">
        <v>164.11</v>
      </c>
      <c r="DH40" s="52">
        <v>100.25</v>
      </c>
      <c r="DI40" s="52">
        <v>121.98</v>
      </c>
      <c r="DJ40" s="52">
        <v>190.29</v>
      </c>
      <c r="DK40" s="52">
        <v>127.56</v>
      </c>
      <c r="DL40" s="52">
        <v>50.9</v>
      </c>
      <c r="DM40" s="52">
        <v>111.83</v>
      </c>
      <c r="DN40" s="52">
        <v>69.95</v>
      </c>
      <c r="DO40" s="52">
        <v>78</v>
      </c>
      <c r="DP40" s="52">
        <v>136.09</v>
      </c>
      <c r="DQ40" s="52">
        <v>125.73</v>
      </c>
      <c r="DR40" s="52">
        <v>168.14</v>
      </c>
      <c r="DS40" s="52">
        <v>124.96</v>
      </c>
      <c r="DT40" s="52"/>
      <c r="DU40" s="52">
        <v>151.36000000000001</v>
      </c>
      <c r="DV40" s="52">
        <v>188.98</v>
      </c>
      <c r="DW40" s="52">
        <v>136.30000000000001</v>
      </c>
      <c r="DX40" s="52">
        <v>162.15</v>
      </c>
      <c r="DY40" s="52">
        <v>190.33</v>
      </c>
      <c r="DZ40" s="52">
        <v>121.4</v>
      </c>
      <c r="EA40" s="52">
        <v>128.37</v>
      </c>
      <c r="EB40" s="52">
        <v>150.54</v>
      </c>
      <c r="EC40" s="52">
        <v>166.82</v>
      </c>
      <c r="ED40" s="52">
        <v>172.65</v>
      </c>
      <c r="EE40" s="52">
        <v>166.09</v>
      </c>
      <c r="EF40" s="52">
        <v>144.94999999999999</v>
      </c>
      <c r="EG40" s="52">
        <v>172.96</v>
      </c>
      <c r="EH40" s="52">
        <v>178.94</v>
      </c>
      <c r="EI40" s="52">
        <v>176.95</v>
      </c>
      <c r="EJ40" s="52">
        <v>106.41</v>
      </c>
      <c r="EK40" s="52">
        <v>114.21</v>
      </c>
      <c r="EL40" s="52">
        <v>174.47</v>
      </c>
      <c r="EM40" s="52">
        <v>152.51</v>
      </c>
      <c r="EN40" s="52">
        <v>178.75</v>
      </c>
      <c r="EO40" s="52">
        <v>192.66</v>
      </c>
      <c r="EP40" s="52">
        <v>120.5</v>
      </c>
      <c r="EQ40" s="52">
        <v>159.84</v>
      </c>
      <c r="ER40" s="52">
        <v>158.72</v>
      </c>
      <c r="ES40" s="52">
        <v>173.42</v>
      </c>
      <c r="ET40" s="52">
        <v>144.41999999999999</v>
      </c>
      <c r="EU40" s="52">
        <v>139.22</v>
      </c>
      <c r="EV40" s="52">
        <v>147.79</v>
      </c>
      <c r="EW40" s="52">
        <v>153.33000000000001</v>
      </c>
      <c r="EX40" s="52">
        <v>152.13999999999999</v>
      </c>
      <c r="EY40" s="52">
        <v>113.7</v>
      </c>
      <c r="EZ40" s="52">
        <v>135.61000000000001</v>
      </c>
      <c r="FA40" s="52">
        <v>122.92</v>
      </c>
      <c r="FB40" s="52">
        <v>139.91999999999999</v>
      </c>
      <c r="FC40" s="52">
        <v>132.87</v>
      </c>
      <c r="FD40" s="52">
        <v>123.91</v>
      </c>
      <c r="FE40" s="52">
        <v>131.08000000000001</v>
      </c>
      <c r="FF40" s="52"/>
      <c r="FG40" s="52">
        <v>142.69</v>
      </c>
      <c r="FH40" s="52">
        <v>145.61000000000001</v>
      </c>
      <c r="FI40" s="52">
        <v>151.83000000000001</v>
      </c>
      <c r="FJ40" s="52">
        <v>158.06</v>
      </c>
      <c r="FK40" s="52">
        <v>161.5</v>
      </c>
      <c r="FL40" s="52">
        <v>124.51</v>
      </c>
      <c r="FM40" s="52">
        <v>142.43</v>
      </c>
      <c r="FN40" s="52">
        <v>142.11000000000001</v>
      </c>
      <c r="FO40" s="52">
        <v>170.42</v>
      </c>
      <c r="FP40" s="52">
        <v>152.65</v>
      </c>
      <c r="FQ40" s="52">
        <v>136.86000000000001</v>
      </c>
      <c r="FR40" s="52">
        <v>165</v>
      </c>
      <c r="FS40" s="52">
        <v>157.19999999999999</v>
      </c>
      <c r="FT40" s="52">
        <v>116.6</v>
      </c>
      <c r="FU40" s="52">
        <v>147.46</v>
      </c>
      <c r="FV40" s="52">
        <v>143.1</v>
      </c>
      <c r="FW40" s="52">
        <v>119.47</v>
      </c>
      <c r="FX40" s="52">
        <v>144.05000000000001</v>
      </c>
      <c r="FY40" s="52">
        <v>146.11000000000001</v>
      </c>
      <c r="FZ40" s="52">
        <v>151.09</v>
      </c>
      <c r="GA40" s="52">
        <v>131.37</v>
      </c>
      <c r="GB40" s="52">
        <v>131.97</v>
      </c>
      <c r="GC40" s="52">
        <v>133.46</v>
      </c>
      <c r="GD40" s="52">
        <v>119.53</v>
      </c>
      <c r="GE40" s="52">
        <v>200.1</v>
      </c>
      <c r="GF40" s="52">
        <v>177.43</v>
      </c>
      <c r="GG40" s="52">
        <v>167.47</v>
      </c>
      <c r="GH40" s="52">
        <v>191.84</v>
      </c>
      <c r="GI40" s="52">
        <v>122.54</v>
      </c>
      <c r="GJ40" s="52">
        <v>120.43</v>
      </c>
      <c r="GK40" s="52">
        <v>114.64</v>
      </c>
      <c r="GL40" s="52">
        <v>131.41999999999999</v>
      </c>
      <c r="GM40" s="52">
        <v>121.29</v>
      </c>
      <c r="GN40" s="52">
        <v>163.36000000000001</v>
      </c>
      <c r="GO40" s="52">
        <v>136.63999999999999</v>
      </c>
      <c r="GP40" s="52">
        <v>142.06</v>
      </c>
      <c r="GQ40" s="52">
        <v>132.53</v>
      </c>
      <c r="GR40" s="52">
        <v>164.27</v>
      </c>
      <c r="GS40" s="52">
        <v>217.52</v>
      </c>
      <c r="GT40" s="52">
        <v>133.65</v>
      </c>
      <c r="GU40" s="52">
        <v>142.37</v>
      </c>
      <c r="GV40" s="52">
        <v>99.97</v>
      </c>
      <c r="GW40" s="52">
        <v>164.2</v>
      </c>
      <c r="GX40" s="52">
        <v>182.58</v>
      </c>
      <c r="GY40" s="52">
        <v>157.1</v>
      </c>
      <c r="GZ40" s="52">
        <v>145.29</v>
      </c>
      <c r="HA40" s="52">
        <v>144.78</v>
      </c>
      <c r="HB40" s="52">
        <v>143.80000000000001</v>
      </c>
      <c r="HC40" s="52">
        <v>123.55</v>
      </c>
      <c r="HD40" s="52">
        <v>116.67</v>
      </c>
      <c r="HE40" s="52">
        <v>96.98</v>
      </c>
      <c r="HF40" s="52">
        <v>98.62</v>
      </c>
      <c r="HG40" s="52">
        <v>99.15</v>
      </c>
      <c r="HH40" s="52">
        <v>131.22999999999999</v>
      </c>
      <c r="HI40" s="52">
        <v>75.86</v>
      </c>
      <c r="HJ40" s="52">
        <v>114.41</v>
      </c>
      <c r="HK40" s="52">
        <v>170.97</v>
      </c>
      <c r="HL40" s="52">
        <v>123.19</v>
      </c>
      <c r="HM40" s="52">
        <v>156.80000000000001</v>
      </c>
      <c r="HN40" s="52">
        <v>149.24</v>
      </c>
      <c r="HO40" s="52">
        <v>125.18</v>
      </c>
      <c r="HP40" s="52">
        <v>154.58000000000001</v>
      </c>
      <c r="HQ40" s="52">
        <v>114.19</v>
      </c>
      <c r="HR40" s="52">
        <v>130.27000000000001</v>
      </c>
      <c r="HS40" s="52">
        <v>188.86</v>
      </c>
      <c r="HT40" s="52">
        <v>167.54</v>
      </c>
      <c r="HU40" s="52">
        <v>85.98</v>
      </c>
      <c r="HV40" s="52">
        <v>127.96</v>
      </c>
      <c r="HW40" s="52">
        <v>119.19</v>
      </c>
      <c r="HX40" s="52">
        <v>90.91</v>
      </c>
      <c r="HY40" s="52">
        <v>188.96</v>
      </c>
      <c r="HZ40" s="52">
        <v>144.84</v>
      </c>
      <c r="IA40" s="52">
        <v>86.45</v>
      </c>
      <c r="IB40" s="52">
        <v>159.72999999999999</v>
      </c>
      <c r="IC40" s="52">
        <v>101</v>
      </c>
      <c r="ID40" s="52">
        <v>112.78</v>
      </c>
      <c r="IE40" s="52">
        <v>0</v>
      </c>
      <c r="IF40" s="52">
        <v>101.87</v>
      </c>
      <c r="IG40" s="52">
        <v>140.19</v>
      </c>
      <c r="IH40" s="52">
        <v>167.47</v>
      </c>
      <c r="II40" s="52">
        <v>172.66</v>
      </c>
      <c r="IJ40" s="52">
        <v>160.76</v>
      </c>
      <c r="IK40" s="52">
        <v>151.94999999999999</v>
      </c>
      <c r="IL40" s="52">
        <v>142.28</v>
      </c>
      <c r="IM40" s="52">
        <v>170.88</v>
      </c>
      <c r="IN40" s="52">
        <v>158.97999999999999</v>
      </c>
      <c r="IO40" s="52">
        <v>140.61000000000001</v>
      </c>
      <c r="IP40" s="52">
        <v>100.25</v>
      </c>
      <c r="IQ40" s="52">
        <v>121.98</v>
      </c>
      <c r="IR40" s="52">
        <v>190.29</v>
      </c>
      <c r="IS40" s="52">
        <v>127.56</v>
      </c>
      <c r="IT40" s="52">
        <v>50.9</v>
      </c>
      <c r="IU40" s="52">
        <v>111.83</v>
      </c>
      <c r="IV40" s="52">
        <v>70.23</v>
      </c>
      <c r="IW40" s="52">
        <v>78</v>
      </c>
      <c r="IX40" s="52">
        <v>136.09</v>
      </c>
      <c r="IY40" s="52">
        <v>125.73</v>
      </c>
      <c r="IZ40" s="52">
        <v>168.14</v>
      </c>
      <c r="JA40" s="52">
        <v>124.96</v>
      </c>
      <c r="JB40" s="52"/>
      <c r="JC40" s="52">
        <v>151.36000000000001</v>
      </c>
      <c r="JD40" s="52">
        <v>188.98</v>
      </c>
      <c r="JE40" s="52">
        <v>138.28</v>
      </c>
      <c r="JF40" s="52">
        <v>135.53</v>
      </c>
      <c r="JG40" s="52">
        <v>162.15</v>
      </c>
      <c r="JH40" s="52">
        <v>190.33</v>
      </c>
      <c r="JI40" s="52">
        <v>121.4</v>
      </c>
      <c r="JJ40" s="52">
        <v>128.37</v>
      </c>
      <c r="JK40" s="52">
        <v>150.54</v>
      </c>
      <c r="JL40" s="52">
        <v>166.82</v>
      </c>
      <c r="JM40" s="52">
        <v>172.65</v>
      </c>
      <c r="JN40" s="52">
        <v>166.09</v>
      </c>
      <c r="JO40" s="52">
        <v>144.94999999999999</v>
      </c>
      <c r="JP40" s="52">
        <v>179.25</v>
      </c>
      <c r="JQ40" s="52">
        <v>158.13999999999999</v>
      </c>
      <c r="JR40" s="52">
        <v>167.14</v>
      </c>
      <c r="JS40" s="52">
        <v>194.31</v>
      </c>
      <c r="JT40" s="52">
        <v>187.76</v>
      </c>
      <c r="JU40" s="52">
        <v>166.58</v>
      </c>
      <c r="JV40" s="52">
        <v>106.41</v>
      </c>
      <c r="JW40" s="52">
        <v>114.21</v>
      </c>
      <c r="JX40" s="52">
        <v>174.47</v>
      </c>
      <c r="JY40" s="52">
        <v>156.55000000000001</v>
      </c>
      <c r="JZ40" s="52">
        <v>144.13999999999999</v>
      </c>
      <c r="KA40" s="52">
        <v>178.75</v>
      </c>
      <c r="KB40" s="52">
        <v>192.66</v>
      </c>
      <c r="KC40" s="52">
        <v>120.5</v>
      </c>
      <c r="KD40" s="52">
        <v>159.84</v>
      </c>
      <c r="KE40" s="52">
        <v>158.72</v>
      </c>
      <c r="KF40" s="52">
        <v>173.42</v>
      </c>
    </row>
    <row r="41" spans="1:292" s="41" customFormat="1" ht="12">
      <c r="A41" s="41">
        <v>2007</v>
      </c>
      <c r="B41" s="54" t="s">
        <v>999</v>
      </c>
      <c r="C41" s="55" t="s">
        <v>1000</v>
      </c>
      <c r="D41" s="52">
        <v>145.77000000000001</v>
      </c>
      <c r="E41" s="52">
        <v>144.57</v>
      </c>
      <c r="F41" s="52">
        <v>192</v>
      </c>
      <c r="G41" s="52">
        <v>123.59</v>
      </c>
      <c r="H41" s="52">
        <v>160.26</v>
      </c>
      <c r="I41" s="52">
        <v>130.35</v>
      </c>
      <c r="J41" s="52">
        <v>121.63</v>
      </c>
      <c r="K41" s="52">
        <v>147.65</v>
      </c>
      <c r="L41" s="52">
        <v>105.39</v>
      </c>
      <c r="M41" s="52">
        <v>126.79</v>
      </c>
      <c r="N41" s="52">
        <v>160.6</v>
      </c>
      <c r="O41" s="52">
        <v>177.85</v>
      </c>
      <c r="P41" s="52">
        <v>148.02000000000001</v>
      </c>
      <c r="Q41" s="52">
        <v>144.69</v>
      </c>
      <c r="R41" s="52">
        <v>141.88999999999999</v>
      </c>
      <c r="S41" s="52">
        <v>186.77</v>
      </c>
      <c r="T41" s="52">
        <v>192.16</v>
      </c>
      <c r="U41" s="52">
        <v>119.06</v>
      </c>
      <c r="V41" s="52">
        <v>137.32</v>
      </c>
      <c r="W41" s="52">
        <v>219.17</v>
      </c>
      <c r="X41" s="52">
        <v>134.02000000000001</v>
      </c>
      <c r="Y41" s="52">
        <v>143.12</v>
      </c>
      <c r="Z41" s="52">
        <v>144.27000000000001</v>
      </c>
      <c r="AA41" s="52">
        <v>139.94999999999999</v>
      </c>
      <c r="AB41" s="52">
        <v>116.92</v>
      </c>
      <c r="AC41" s="52">
        <v>111.36</v>
      </c>
      <c r="AD41" s="52">
        <v>139.25</v>
      </c>
      <c r="AE41" s="52">
        <v>140.04</v>
      </c>
      <c r="AF41" s="52">
        <v>133.91999999999999</v>
      </c>
      <c r="AG41" s="52">
        <v>87.71</v>
      </c>
      <c r="AH41" s="52">
        <v>152.1</v>
      </c>
      <c r="AI41" s="52">
        <v>160.08000000000001</v>
      </c>
      <c r="AJ41" s="52">
        <v>108.89</v>
      </c>
      <c r="AK41" s="52">
        <v>166.55</v>
      </c>
      <c r="AL41" s="52">
        <v>163.34</v>
      </c>
      <c r="AM41" s="52">
        <v>127.56</v>
      </c>
      <c r="AN41" s="52">
        <v>50.31</v>
      </c>
      <c r="AO41" s="52">
        <v>113.7</v>
      </c>
      <c r="AP41" s="52">
        <v>77.680000000000007</v>
      </c>
      <c r="AQ41" s="52">
        <v>125.36</v>
      </c>
      <c r="AR41" s="52">
        <v>156.12</v>
      </c>
      <c r="AS41" s="52">
        <v>158.49</v>
      </c>
      <c r="AT41" s="52">
        <v>149.36000000000001</v>
      </c>
      <c r="AU41" s="52">
        <v>151.93</v>
      </c>
      <c r="AV41" s="52">
        <v>166.52</v>
      </c>
      <c r="AW41" s="52">
        <v>172.63</v>
      </c>
      <c r="AX41" s="52">
        <v>166.09</v>
      </c>
      <c r="AY41" s="52">
        <v>145.4</v>
      </c>
      <c r="AZ41" s="52">
        <v>174.06</v>
      </c>
      <c r="BA41" s="52">
        <v>178.82</v>
      </c>
      <c r="BB41" s="52">
        <v>128.30000000000001</v>
      </c>
      <c r="BC41" s="52">
        <v>166.85</v>
      </c>
      <c r="BD41" s="52">
        <v>178.69</v>
      </c>
      <c r="BE41" s="52">
        <v>163.89</v>
      </c>
      <c r="BF41" s="52">
        <v>158.72</v>
      </c>
      <c r="BG41" s="52">
        <v>173.42</v>
      </c>
      <c r="BH41" s="52">
        <v>150.13</v>
      </c>
      <c r="BI41" s="52">
        <v>125.83</v>
      </c>
      <c r="BJ41" s="52">
        <v>116.49</v>
      </c>
      <c r="BK41" s="52">
        <v>151.66999999999999</v>
      </c>
      <c r="BL41" s="52">
        <v>141.79</v>
      </c>
      <c r="BM41" s="52">
        <v>147.33000000000001</v>
      </c>
      <c r="BN41" s="52">
        <v>158.79</v>
      </c>
      <c r="BO41" s="52">
        <v>127.53</v>
      </c>
      <c r="BP41" s="52">
        <v>144.47999999999999</v>
      </c>
      <c r="BQ41" s="52">
        <v>151.69999999999999</v>
      </c>
      <c r="BR41" s="52">
        <v>131.78</v>
      </c>
      <c r="BS41" s="52">
        <v>200.09</v>
      </c>
      <c r="BT41" s="52">
        <v>177.61</v>
      </c>
      <c r="BU41" s="52">
        <v>167.98</v>
      </c>
      <c r="BV41" s="52">
        <v>192.16</v>
      </c>
      <c r="BW41" s="52">
        <v>118.5</v>
      </c>
      <c r="BX41" s="52">
        <v>121.43</v>
      </c>
      <c r="BY41" s="52">
        <v>163.89</v>
      </c>
      <c r="BZ41" s="52">
        <v>137.13</v>
      </c>
      <c r="CA41" s="52">
        <v>164.95</v>
      </c>
      <c r="CB41" s="53">
        <v>219.17</v>
      </c>
      <c r="CC41" s="52">
        <v>134.02000000000001</v>
      </c>
      <c r="CD41" s="52">
        <v>142.61000000000001</v>
      </c>
      <c r="CE41" s="52">
        <v>99.97</v>
      </c>
      <c r="CF41" s="52">
        <v>181.33</v>
      </c>
      <c r="CG41" s="52">
        <v>159.53</v>
      </c>
      <c r="CH41" s="52">
        <v>143.9</v>
      </c>
      <c r="CI41" s="52">
        <v>124.7</v>
      </c>
      <c r="CJ41" s="52">
        <v>116.92</v>
      </c>
      <c r="CK41" s="52">
        <v>104.18</v>
      </c>
      <c r="CL41" s="52">
        <v>113.11</v>
      </c>
      <c r="CM41" s="52">
        <v>182.54</v>
      </c>
      <c r="CN41" s="52">
        <v>139.25</v>
      </c>
      <c r="CO41" s="52">
        <v>140.04</v>
      </c>
      <c r="CP41" s="52">
        <v>115.95</v>
      </c>
      <c r="CQ41" s="52">
        <v>190.17</v>
      </c>
      <c r="CR41" s="52">
        <v>83.9</v>
      </c>
      <c r="CS41" s="52">
        <v>127.86</v>
      </c>
      <c r="CT41" s="52">
        <v>107.87</v>
      </c>
      <c r="CU41" s="52">
        <v>189.36</v>
      </c>
      <c r="CV41" s="52">
        <v>144.87</v>
      </c>
      <c r="CW41" s="52">
        <v>94.76</v>
      </c>
      <c r="CX41" s="52">
        <v>160.08000000000001</v>
      </c>
      <c r="CY41" s="52">
        <v>109.09</v>
      </c>
      <c r="CZ41" s="52">
        <v>100</v>
      </c>
      <c r="DA41" s="52">
        <v>101.78</v>
      </c>
      <c r="DB41" s="52">
        <v>141.13999999999999</v>
      </c>
      <c r="DC41" s="52">
        <v>167.64</v>
      </c>
      <c r="DD41" s="52">
        <v>172.94</v>
      </c>
      <c r="DE41" s="52">
        <v>160.44999999999999</v>
      </c>
      <c r="DF41" s="52">
        <v>149.88999999999999</v>
      </c>
      <c r="DG41" s="52">
        <v>166.2</v>
      </c>
      <c r="DH41" s="52">
        <v>98.6</v>
      </c>
      <c r="DI41" s="52">
        <v>122.28</v>
      </c>
      <c r="DJ41" s="52">
        <v>193.67</v>
      </c>
      <c r="DK41" s="52">
        <v>127.56</v>
      </c>
      <c r="DL41" s="52">
        <v>50.31</v>
      </c>
      <c r="DM41" s="52">
        <v>113.7</v>
      </c>
      <c r="DN41" s="52">
        <v>68.91</v>
      </c>
      <c r="DO41" s="52">
        <v>77.069999999999993</v>
      </c>
      <c r="DP41" s="52">
        <v>135.68</v>
      </c>
      <c r="DQ41" s="52">
        <v>125.36</v>
      </c>
      <c r="DR41" s="52">
        <v>168.79</v>
      </c>
      <c r="DS41" s="52">
        <v>124.64</v>
      </c>
      <c r="DT41" s="52"/>
      <c r="DU41" s="52">
        <v>152.94999999999999</v>
      </c>
      <c r="DV41" s="52">
        <v>183.72</v>
      </c>
      <c r="DW41" s="52">
        <v>136.80000000000001</v>
      </c>
      <c r="DX41" s="52">
        <v>162.15</v>
      </c>
      <c r="DY41" s="52">
        <v>191.73</v>
      </c>
      <c r="DZ41" s="52">
        <v>121.4</v>
      </c>
      <c r="EA41" s="52">
        <v>128.47999999999999</v>
      </c>
      <c r="EB41" s="52">
        <v>151.93</v>
      </c>
      <c r="EC41" s="52">
        <v>166.52</v>
      </c>
      <c r="ED41" s="52">
        <v>172.63</v>
      </c>
      <c r="EE41" s="52">
        <v>166.09</v>
      </c>
      <c r="EF41" s="52">
        <v>145.4</v>
      </c>
      <c r="EG41" s="52">
        <v>174.06</v>
      </c>
      <c r="EH41" s="52">
        <v>178.82</v>
      </c>
      <c r="EI41" s="52">
        <v>177.78</v>
      </c>
      <c r="EJ41" s="52">
        <v>104.92</v>
      </c>
      <c r="EK41" s="52">
        <v>114.01</v>
      </c>
      <c r="EL41" s="52">
        <v>170.83</v>
      </c>
      <c r="EM41" s="52">
        <v>152.29</v>
      </c>
      <c r="EN41" s="52">
        <v>178.69</v>
      </c>
      <c r="EO41" s="52">
        <v>192.66</v>
      </c>
      <c r="EP41" s="52">
        <v>120.23</v>
      </c>
      <c r="EQ41" s="52">
        <v>157.91999999999999</v>
      </c>
      <c r="ER41" s="52">
        <v>158.72</v>
      </c>
      <c r="ES41" s="52">
        <v>173.42</v>
      </c>
      <c r="ET41" s="52">
        <v>147.30000000000001</v>
      </c>
      <c r="EU41" s="52">
        <v>141.44999999999999</v>
      </c>
      <c r="EV41" s="52">
        <v>152.25</v>
      </c>
      <c r="EW41" s="52">
        <v>154.18</v>
      </c>
      <c r="EX41" s="52">
        <v>158.25</v>
      </c>
      <c r="EY41" s="52">
        <v>114.3</v>
      </c>
      <c r="EZ41" s="52">
        <v>135.12</v>
      </c>
      <c r="FA41" s="52">
        <v>123.71</v>
      </c>
      <c r="FB41" s="52">
        <v>113.51</v>
      </c>
      <c r="FC41" s="52">
        <v>134.22999999999999</v>
      </c>
      <c r="FD41" s="52">
        <v>125.86</v>
      </c>
      <c r="FE41" s="52">
        <v>116.49</v>
      </c>
      <c r="FF41" s="52"/>
      <c r="FG41" s="52">
        <v>142.38</v>
      </c>
      <c r="FH41" s="52">
        <v>143.4</v>
      </c>
      <c r="FI41" s="52">
        <v>153.09</v>
      </c>
      <c r="FJ41" s="52">
        <v>170.76</v>
      </c>
      <c r="FK41" s="52">
        <v>163.6</v>
      </c>
      <c r="FL41" s="52">
        <v>124.35</v>
      </c>
      <c r="FM41" s="52">
        <v>143.78</v>
      </c>
      <c r="FN41" s="52">
        <v>142.06</v>
      </c>
      <c r="FO41" s="52">
        <v>171.99</v>
      </c>
      <c r="FP41" s="52">
        <v>155.77000000000001</v>
      </c>
      <c r="FQ41" s="52">
        <v>143.53</v>
      </c>
      <c r="FR41" s="52">
        <v>169.04</v>
      </c>
      <c r="FS41" s="52">
        <v>158.43</v>
      </c>
      <c r="FT41" s="52">
        <v>117.07</v>
      </c>
      <c r="FU41" s="52">
        <v>149.63</v>
      </c>
      <c r="FV41" s="52">
        <v>142.66999999999999</v>
      </c>
      <c r="FW41" s="52">
        <v>119.76</v>
      </c>
      <c r="FX41" s="52">
        <v>144.47999999999999</v>
      </c>
      <c r="FY41" s="52">
        <v>145.47</v>
      </c>
      <c r="FZ41" s="52">
        <v>152.65</v>
      </c>
      <c r="GA41" s="52">
        <v>131.53</v>
      </c>
      <c r="GB41" s="52">
        <v>132.05000000000001</v>
      </c>
      <c r="GC41" s="52">
        <v>134.35</v>
      </c>
      <c r="GD41" s="52">
        <v>118.67</v>
      </c>
      <c r="GE41" s="52">
        <v>200.09</v>
      </c>
      <c r="GF41" s="52">
        <v>177.61</v>
      </c>
      <c r="GG41" s="52">
        <v>167.98</v>
      </c>
      <c r="GH41" s="52">
        <v>191.84</v>
      </c>
      <c r="GI41" s="52">
        <v>120.14</v>
      </c>
      <c r="GJ41" s="52">
        <v>118.22</v>
      </c>
      <c r="GK41" s="52">
        <v>114.06</v>
      </c>
      <c r="GL41" s="52">
        <v>131.76</v>
      </c>
      <c r="GM41" s="52">
        <v>121.43</v>
      </c>
      <c r="GN41" s="52">
        <v>163.89</v>
      </c>
      <c r="GO41" s="52">
        <v>135.6</v>
      </c>
      <c r="GP41" s="52">
        <v>141.35</v>
      </c>
      <c r="GQ41" s="52">
        <v>132.75</v>
      </c>
      <c r="GR41" s="52">
        <v>164.95</v>
      </c>
      <c r="GS41" s="52">
        <v>219.17</v>
      </c>
      <c r="GT41" s="52">
        <v>134.02000000000001</v>
      </c>
      <c r="GU41" s="52">
        <v>142.61000000000001</v>
      </c>
      <c r="GV41" s="52">
        <v>99.97</v>
      </c>
      <c r="GW41" s="52">
        <v>163.69999999999999</v>
      </c>
      <c r="GX41" s="52">
        <v>189.17</v>
      </c>
      <c r="GY41" s="52">
        <v>159.53</v>
      </c>
      <c r="GZ41" s="52">
        <v>145.6</v>
      </c>
      <c r="HA41" s="52">
        <v>144.72999999999999</v>
      </c>
      <c r="HB41" s="52">
        <v>143.79</v>
      </c>
      <c r="HC41" s="52">
        <v>124.7</v>
      </c>
      <c r="HD41" s="52">
        <v>116.92</v>
      </c>
      <c r="HE41" s="52">
        <v>96.69</v>
      </c>
      <c r="HF41" s="52">
        <v>98.1</v>
      </c>
      <c r="HG41" s="52">
        <v>99.09</v>
      </c>
      <c r="HH41" s="52">
        <v>130.38999999999999</v>
      </c>
      <c r="HI41" s="52">
        <v>74.900000000000006</v>
      </c>
      <c r="HJ41" s="52">
        <v>113.11</v>
      </c>
      <c r="HK41" s="52">
        <v>182.54</v>
      </c>
      <c r="HL41" s="52">
        <v>123.66</v>
      </c>
      <c r="HM41" s="52">
        <v>157.06</v>
      </c>
      <c r="HN41" s="52">
        <v>149.75</v>
      </c>
      <c r="HO41" s="52">
        <v>124.9</v>
      </c>
      <c r="HP41" s="52">
        <v>154.80000000000001</v>
      </c>
      <c r="HQ41" s="52">
        <v>114.21</v>
      </c>
      <c r="HR41" s="52">
        <v>131.77000000000001</v>
      </c>
      <c r="HS41" s="52">
        <v>190.53</v>
      </c>
      <c r="HT41" s="52">
        <v>167.34</v>
      </c>
      <c r="HU41" s="52">
        <v>83.9</v>
      </c>
      <c r="HV41" s="52">
        <v>127.86</v>
      </c>
      <c r="HW41" s="52">
        <v>115.7</v>
      </c>
      <c r="HX41" s="52">
        <v>91.31</v>
      </c>
      <c r="HY41" s="52">
        <v>189.36</v>
      </c>
      <c r="HZ41" s="52">
        <v>144.87</v>
      </c>
      <c r="IA41" s="52">
        <v>86.56</v>
      </c>
      <c r="IB41" s="52">
        <v>160.08000000000001</v>
      </c>
      <c r="IC41" s="52">
        <v>98.82</v>
      </c>
      <c r="ID41" s="52">
        <v>111.11</v>
      </c>
      <c r="IE41" s="52">
        <v>100</v>
      </c>
      <c r="IF41" s="52">
        <v>101.78</v>
      </c>
      <c r="IG41" s="52">
        <v>141.13999999999999</v>
      </c>
      <c r="IH41" s="52">
        <v>167.64</v>
      </c>
      <c r="II41" s="52">
        <v>172.94</v>
      </c>
      <c r="IJ41" s="52">
        <v>160.44999999999999</v>
      </c>
      <c r="IK41" s="52">
        <v>151.94999999999999</v>
      </c>
      <c r="IL41" s="52">
        <v>142.28</v>
      </c>
      <c r="IM41" s="52">
        <v>171.39</v>
      </c>
      <c r="IN41" s="52">
        <v>168.42</v>
      </c>
      <c r="IO41" s="52">
        <v>145.72999999999999</v>
      </c>
      <c r="IP41" s="52">
        <v>98.6</v>
      </c>
      <c r="IQ41" s="52">
        <v>122.28</v>
      </c>
      <c r="IR41" s="52">
        <v>193.67</v>
      </c>
      <c r="IS41" s="52">
        <v>127.56</v>
      </c>
      <c r="IT41" s="52">
        <v>50.31</v>
      </c>
      <c r="IU41" s="52">
        <v>113.7</v>
      </c>
      <c r="IV41" s="52">
        <v>69.319999999999993</v>
      </c>
      <c r="IW41" s="52">
        <v>77.069999999999993</v>
      </c>
      <c r="IX41" s="52">
        <v>135.68</v>
      </c>
      <c r="IY41" s="52">
        <v>125.36</v>
      </c>
      <c r="IZ41" s="52">
        <v>168.79</v>
      </c>
      <c r="JA41" s="52">
        <v>124.64</v>
      </c>
      <c r="JB41" s="52"/>
      <c r="JC41" s="52">
        <v>152.94999999999999</v>
      </c>
      <c r="JD41" s="52">
        <v>183.72</v>
      </c>
      <c r="JE41" s="52">
        <v>138.72</v>
      </c>
      <c r="JF41" s="52">
        <v>136.05000000000001</v>
      </c>
      <c r="JG41" s="52">
        <v>162.15</v>
      </c>
      <c r="JH41" s="52">
        <v>191.73</v>
      </c>
      <c r="JI41" s="52">
        <v>121.4</v>
      </c>
      <c r="JJ41" s="52">
        <v>128.47999999999999</v>
      </c>
      <c r="JK41" s="52">
        <v>151.93</v>
      </c>
      <c r="JL41" s="52">
        <v>166.52</v>
      </c>
      <c r="JM41" s="52">
        <v>172.63</v>
      </c>
      <c r="JN41" s="52">
        <v>166.09</v>
      </c>
      <c r="JO41" s="52">
        <v>145.4</v>
      </c>
      <c r="JP41" s="52">
        <v>180.17</v>
      </c>
      <c r="JQ41" s="52">
        <v>159.72999999999999</v>
      </c>
      <c r="JR41" s="52">
        <v>167</v>
      </c>
      <c r="JS41" s="52">
        <v>194.21</v>
      </c>
      <c r="JT41" s="52">
        <v>188.78</v>
      </c>
      <c r="JU41" s="52">
        <v>167.24</v>
      </c>
      <c r="JV41" s="52">
        <v>104.92</v>
      </c>
      <c r="JW41" s="52">
        <v>114.01</v>
      </c>
      <c r="JX41" s="52">
        <v>170.83</v>
      </c>
      <c r="JY41" s="52">
        <v>156.11000000000001</v>
      </c>
      <c r="JZ41" s="52">
        <v>144.29</v>
      </c>
      <c r="KA41" s="52">
        <v>178.69</v>
      </c>
      <c r="KB41" s="52">
        <v>192.66</v>
      </c>
      <c r="KC41" s="52">
        <v>120.23</v>
      </c>
      <c r="KD41" s="52">
        <v>157.91999999999999</v>
      </c>
      <c r="KE41" s="52">
        <v>158.72</v>
      </c>
      <c r="KF41" s="52">
        <v>173.42</v>
      </c>
    </row>
    <row r="42" spans="1:292" s="41" customFormat="1" ht="12">
      <c r="A42" s="41">
        <v>2008</v>
      </c>
      <c r="B42" s="49" t="s">
        <v>977</v>
      </c>
      <c r="C42" s="50" t="s">
        <v>978</v>
      </c>
      <c r="D42" s="52">
        <v>146.94</v>
      </c>
      <c r="E42" s="52">
        <v>147.21</v>
      </c>
      <c r="F42" s="52">
        <v>191.98</v>
      </c>
      <c r="G42" s="52">
        <v>110.96</v>
      </c>
      <c r="H42" s="52">
        <v>167.09</v>
      </c>
      <c r="I42" s="52">
        <v>131.15</v>
      </c>
      <c r="J42" s="52">
        <v>121.84</v>
      </c>
      <c r="K42" s="52">
        <v>149.62</v>
      </c>
      <c r="L42" s="52">
        <v>106.46</v>
      </c>
      <c r="M42" s="52">
        <v>125.46</v>
      </c>
      <c r="N42" s="52">
        <v>160.63999999999999</v>
      </c>
      <c r="O42" s="52">
        <v>179.62</v>
      </c>
      <c r="P42" s="52">
        <v>151.88</v>
      </c>
      <c r="Q42" s="52">
        <v>147.62</v>
      </c>
      <c r="R42" s="52">
        <v>140.31</v>
      </c>
      <c r="S42" s="52">
        <v>186.44</v>
      </c>
      <c r="T42" s="52">
        <v>192.16</v>
      </c>
      <c r="U42" s="52">
        <v>107.13</v>
      </c>
      <c r="V42" s="52">
        <v>122.48</v>
      </c>
      <c r="W42" s="52">
        <v>221.53</v>
      </c>
      <c r="X42" s="52">
        <v>134.1</v>
      </c>
      <c r="Y42" s="52">
        <v>147.1</v>
      </c>
      <c r="Z42" s="52">
        <v>155.11000000000001</v>
      </c>
      <c r="AA42" s="52">
        <v>143.54</v>
      </c>
      <c r="AB42" s="52">
        <v>115.48</v>
      </c>
      <c r="AC42" s="52">
        <v>111.05</v>
      </c>
      <c r="AD42" s="52">
        <v>139.81</v>
      </c>
      <c r="AE42" s="52">
        <v>140.36000000000001</v>
      </c>
      <c r="AF42" s="52">
        <v>134.02000000000001</v>
      </c>
      <c r="AG42" s="52">
        <v>87.7</v>
      </c>
      <c r="AH42" s="52">
        <v>152.51</v>
      </c>
      <c r="AI42" s="52">
        <v>160.63</v>
      </c>
      <c r="AJ42" s="52">
        <v>110.35</v>
      </c>
      <c r="AK42" s="52">
        <v>167.65</v>
      </c>
      <c r="AL42" s="52">
        <v>166.9</v>
      </c>
      <c r="AM42" s="52">
        <v>127.56</v>
      </c>
      <c r="AN42" s="52">
        <v>49.56</v>
      </c>
      <c r="AO42" s="52">
        <v>115.09</v>
      </c>
      <c r="AP42" s="52">
        <v>76.92</v>
      </c>
      <c r="AQ42" s="52">
        <v>125.57</v>
      </c>
      <c r="AR42" s="52">
        <v>156.07</v>
      </c>
      <c r="AS42" s="52">
        <v>156.19</v>
      </c>
      <c r="AT42" s="52">
        <v>148.46</v>
      </c>
      <c r="AU42" s="52">
        <v>148.16</v>
      </c>
      <c r="AV42" s="52">
        <v>166.53</v>
      </c>
      <c r="AW42" s="52">
        <v>172.67</v>
      </c>
      <c r="AX42" s="52">
        <v>166.09</v>
      </c>
      <c r="AY42" s="52">
        <v>146.03</v>
      </c>
      <c r="AZ42" s="52">
        <v>175.22</v>
      </c>
      <c r="BA42" s="52">
        <v>185.84</v>
      </c>
      <c r="BB42" s="52">
        <v>128.58000000000001</v>
      </c>
      <c r="BC42" s="52">
        <v>177.59</v>
      </c>
      <c r="BD42" s="52">
        <v>178.81</v>
      </c>
      <c r="BE42" s="52">
        <v>167.94</v>
      </c>
      <c r="BF42" s="52">
        <v>158.72</v>
      </c>
      <c r="BG42" s="52">
        <v>182.14</v>
      </c>
      <c r="BH42" s="52">
        <v>151.94999999999999</v>
      </c>
      <c r="BI42" s="52">
        <v>129.01</v>
      </c>
      <c r="BJ42" s="52">
        <v>124.62</v>
      </c>
      <c r="BK42" s="52">
        <v>152.38999999999999</v>
      </c>
      <c r="BL42" s="52">
        <v>143.55000000000001</v>
      </c>
      <c r="BM42" s="52">
        <v>146.66999999999999</v>
      </c>
      <c r="BN42" s="52">
        <v>168.79</v>
      </c>
      <c r="BO42" s="52">
        <v>127.55</v>
      </c>
      <c r="BP42" s="52">
        <v>145.34</v>
      </c>
      <c r="BQ42" s="52">
        <v>152.25</v>
      </c>
      <c r="BR42" s="52">
        <v>128.63</v>
      </c>
      <c r="BS42" s="52">
        <v>200.1</v>
      </c>
      <c r="BT42" s="52">
        <v>175.26</v>
      </c>
      <c r="BU42" s="52">
        <v>167.71</v>
      </c>
      <c r="BV42" s="52">
        <v>192.16</v>
      </c>
      <c r="BW42" s="52">
        <v>105.83</v>
      </c>
      <c r="BX42" s="52">
        <v>118.91</v>
      </c>
      <c r="BY42" s="52">
        <v>165.41</v>
      </c>
      <c r="BZ42" s="52">
        <v>122.2</v>
      </c>
      <c r="CA42" s="52">
        <v>167.83</v>
      </c>
      <c r="CB42" s="53">
        <v>221.53</v>
      </c>
      <c r="CC42" s="52">
        <v>134.1</v>
      </c>
      <c r="CD42" s="52">
        <v>146.5</v>
      </c>
      <c r="CE42" s="52">
        <v>119.15</v>
      </c>
      <c r="CF42" s="52">
        <v>185.95</v>
      </c>
      <c r="CG42" s="52">
        <v>160.61000000000001</v>
      </c>
      <c r="CH42" s="52">
        <v>148.41999999999999</v>
      </c>
      <c r="CI42" s="52">
        <v>124.88</v>
      </c>
      <c r="CJ42" s="52">
        <v>115.48</v>
      </c>
      <c r="CK42" s="52">
        <v>103.99</v>
      </c>
      <c r="CL42" s="52">
        <v>110.46</v>
      </c>
      <c r="CM42" s="52">
        <v>184.44</v>
      </c>
      <c r="CN42" s="52">
        <v>139.81</v>
      </c>
      <c r="CO42" s="52">
        <v>140.36000000000001</v>
      </c>
      <c r="CP42" s="52">
        <v>115.49</v>
      </c>
      <c r="CQ42" s="52">
        <v>194</v>
      </c>
      <c r="CR42" s="52">
        <v>83.9</v>
      </c>
      <c r="CS42" s="52">
        <v>128.04</v>
      </c>
      <c r="CT42" s="52">
        <v>107.73</v>
      </c>
      <c r="CU42" s="52">
        <v>190.03</v>
      </c>
      <c r="CV42" s="52">
        <v>144.97</v>
      </c>
      <c r="CW42" s="52">
        <v>95.05</v>
      </c>
      <c r="CX42" s="52">
        <v>160.63</v>
      </c>
      <c r="CY42" s="52">
        <v>110.61</v>
      </c>
      <c r="CZ42" s="52">
        <v>99.89</v>
      </c>
      <c r="DA42" s="52">
        <v>101.58</v>
      </c>
      <c r="DB42" s="52">
        <v>141.44999999999999</v>
      </c>
      <c r="DC42" s="52">
        <v>168.61</v>
      </c>
      <c r="DD42" s="52">
        <v>175.55</v>
      </c>
      <c r="DE42" s="52">
        <v>161.91</v>
      </c>
      <c r="DF42" s="52">
        <v>156.18</v>
      </c>
      <c r="DG42" s="52">
        <v>169.99</v>
      </c>
      <c r="DH42" s="52">
        <v>98.49</v>
      </c>
      <c r="DI42" s="52">
        <v>122.76</v>
      </c>
      <c r="DJ42" s="52">
        <v>194.93</v>
      </c>
      <c r="DK42" s="52">
        <v>127.56</v>
      </c>
      <c r="DL42" s="52">
        <v>49.56</v>
      </c>
      <c r="DM42" s="52">
        <v>115.09</v>
      </c>
      <c r="DN42" s="52">
        <v>68.47</v>
      </c>
      <c r="DO42" s="52">
        <v>75.78</v>
      </c>
      <c r="DP42" s="52">
        <v>135.66</v>
      </c>
      <c r="DQ42" s="52">
        <v>125.57</v>
      </c>
      <c r="DR42" s="52">
        <v>168.62</v>
      </c>
      <c r="DS42" s="52">
        <v>124.67</v>
      </c>
      <c r="DT42" s="52"/>
      <c r="DU42" s="52">
        <v>154.99</v>
      </c>
      <c r="DV42" s="52">
        <v>175.4</v>
      </c>
      <c r="DW42" s="52">
        <v>137.15</v>
      </c>
      <c r="DX42" s="52">
        <v>170.74</v>
      </c>
      <c r="DY42" s="52">
        <v>188.62</v>
      </c>
      <c r="DZ42" s="52">
        <v>121.4</v>
      </c>
      <c r="EA42" s="52">
        <v>128.72999999999999</v>
      </c>
      <c r="EB42" s="52">
        <v>148.16</v>
      </c>
      <c r="EC42" s="52">
        <v>166.53</v>
      </c>
      <c r="ED42" s="52">
        <v>172.67</v>
      </c>
      <c r="EE42" s="52">
        <v>166.09</v>
      </c>
      <c r="EF42" s="52">
        <v>146.03</v>
      </c>
      <c r="EG42" s="52">
        <v>175.22</v>
      </c>
      <c r="EH42" s="52">
        <v>185.84</v>
      </c>
      <c r="EI42" s="52">
        <v>179.54</v>
      </c>
      <c r="EJ42" s="52">
        <v>103.56</v>
      </c>
      <c r="EK42" s="52">
        <v>113.98</v>
      </c>
      <c r="EL42" s="52">
        <v>185.77</v>
      </c>
      <c r="EM42" s="52">
        <v>151.11000000000001</v>
      </c>
      <c r="EN42" s="52">
        <v>178.81</v>
      </c>
      <c r="EO42" s="52">
        <v>192.71</v>
      </c>
      <c r="EP42" s="52">
        <v>120.2</v>
      </c>
      <c r="EQ42" s="52">
        <v>162.61000000000001</v>
      </c>
      <c r="ER42" s="52">
        <v>158.72</v>
      </c>
      <c r="ES42" s="52">
        <v>182.14</v>
      </c>
      <c r="ET42" s="52">
        <v>148.27000000000001</v>
      </c>
      <c r="EU42" s="52">
        <v>143.93</v>
      </c>
      <c r="EV42" s="52">
        <v>153.93</v>
      </c>
      <c r="EW42" s="52">
        <v>155.75</v>
      </c>
      <c r="EX42" s="52">
        <v>162.15</v>
      </c>
      <c r="EY42" s="52">
        <v>114.04</v>
      </c>
      <c r="EZ42" s="52">
        <v>136.06</v>
      </c>
      <c r="FA42" s="52">
        <v>127.35</v>
      </c>
      <c r="FB42" s="52">
        <v>121.55</v>
      </c>
      <c r="FC42" s="52">
        <v>134.44999999999999</v>
      </c>
      <c r="FD42" s="52">
        <v>126.81</v>
      </c>
      <c r="FE42" s="52">
        <v>124.62</v>
      </c>
      <c r="FF42" s="52"/>
      <c r="FG42" s="52">
        <v>141.72</v>
      </c>
      <c r="FH42" s="52">
        <v>146.13</v>
      </c>
      <c r="FI42" s="52">
        <v>155.88999999999999</v>
      </c>
      <c r="FJ42" s="52">
        <v>166.01</v>
      </c>
      <c r="FK42" s="52">
        <v>164.13</v>
      </c>
      <c r="FL42" s="52">
        <v>124.92</v>
      </c>
      <c r="FM42" s="52">
        <v>145.96</v>
      </c>
      <c r="FN42" s="52">
        <v>141.06</v>
      </c>
      <c r="FO42" s="52">
        <v>173.32</v>
      </c>
      <c r="FP42" s="52">
        <v>168.77</v>
      </c>
      <c r="FQ42" s="52">
        <v>145.47</v>
      </c>
      <c r="FR42" s="52">
        <v>172.59</v>
      </c>
      <c r="FS42" s="52">
        <v>159.72999999999999</v>
      </c>
      <c r="FT42" s="52">
        <v>117.36</v>
      </c>
      <c r="FU42" s="52">
        <v>151.1</v>
      </c>
      <c r="FV42" s="52">
        <v>141.02000000000001</v>
      </c>
      <c r="FW42" s="52">
        <v>119.59</v>
      </c>
      <c r="FX42" s="52">
        <v>145.34</v>
      </c>
      <c r="FY42" s="52">
        <v>145.85</v>
      </c>
      <c r="FZ42" s="52">
        <v>153.34</v>
      </c>
      <c r="GA42" s="52">
        <v>127.15</v>
      </c>
      <c r="GB42" s="52">
        <v>133.13999999999999</v>
      </c>
      <c r="GC42" s="52">
        <v>127.87</v>
      </c>
      <c r="GD42" s="52">
        <v>120.58</v>
      </c>
      <c r="GE42" s="52">
        <v>200.1</v>
      </c>
      <c r="GF42" s="52">
        <v>175.26</v>
      </c>
      <c r="GG42" s="52">
        <v>167.71</v>
      </c>
      <c r="GH42" s="52">
        <v>191.84</v>
      </c>
      <c r="GI42" s="52">
        <v>108.74</v>
      </c>
      <c r="GJ42" s="52">
        <v>104.62</v>
      </c>
      <c r="GK42" s="52">
        <v>100.38</v>
      </c>
      <c r="GL42" s="52">
        <v>129.25</v>
      </c>
      <c r="GM42" s="52">
        <v>118.91</v>
      </c>
      <c r="GN42" s="52">
        <v>165.41</v>
      </c>
      <c r="GO42" s="52">
        <v>122.06</v>
      </c>
      <c r="GP42" s="52">
        <v>123.36</v>
      </c>
      <c r="GQ42" s="52">
        <v>120.15</v>
      </c>
      <c r="GR42" s="52">
        <v>167.83</v>
      </c>
      <c r="GS42" s="52">
        <v>221.53</v>
      </c>
      <c r="GT42" s="52">
        <v>134.1</v>
      </c>
      <c r="GU42" s="52">
        <v>146.5</v>
      </c>
      <c r="GV42" s="52">
        <v>119.15</v>
      </c>
      <c r="GW42" s="52">
        <v>176.31</v>
      </c>
      <c r="GX42" s="52">
        <v>189.71</v>
      </c>
      <c r="GY42" s="52">
        <v>160.61000000000001</v>
      </c>
      <c r="GZ42" s="52">
        <v>146.49</v>
      </c>
      <c r="HA42" s="52">
        <v>150.04</v>
      </c>
      <c r="HB42" s="52">
        <v>148.41</v>
      </c>
      <c r="HC42" s="52">
        <v>124.88</v>
      </c>
      <c r="HD42" s="52">
        <v>115.48</v>
      </c>
      <c r="HE42" s="52">
        <v>96.33</v>
      </c>
      <c r="HF42" s="52">
        <v>97.92</v>
      </c>
      <c r="HG42" s="52">
        <v>99.18</v>
      </c>
      <c r="HH42" s="52">
        <v>130.25</v>
      </c>
      <c r="HI42" s="52">
        <v>74.900000000000006</v>
      </c>
      <c r="HJ42" s="52">
        <v>110.46</v>
      </c>
      <c r="HK42" s="52">
        <v>184.44</v>
      </c>
      <c r="HL42" s="52">
        <v>124.08</v>
      </c>
      <c r="HM42" s="52">
        <v>157.33000000000001</v>
      </c>
      <c r="HN42" s="52">
        <v>150.5</v>
      </c>
      <c r="HO42" s="52">
        <v>125.1</v>
      </c>
      <c r="HP42" s="52">
        <v>155.25</v>
      </c>
      <c r="HQ42" s="52">
        <v>113.47</v>
      </c>
      <c r="HR42" s="52">
        <v>133.75</v>
      </c>
      <c r="HS42" s="52">
        <v>194.44</v>
      </c>
      <c r="HT42" s="52">
        <v>168.49</v>
      </c>
      <c r="HU42" s="52">
        <v>83.9</v>
      </c>
      <c r="HV42" s="52">
        <v>128.04</v>
      </c>
      <c r="HW42" s="52">
        <v>114.85</v>
      </c>
      <c r="HX42" s="52">
        <v>91.81</v>
      </c>
      <c r="HY42" s="52">
        <v>190.03</v>
      </c>
      <c r="HZ42" s="52">
        <v>144.97</v>
      </c>
      <c r="IA42" s="52">
        <v>86.82</v>
      </c>
      <c r="IB42" s="52">
        <v>160.63</v>
      </c>
      <c r="IC42" s="52">
        <v>99.89</v>
      </c>
      <c r="ID42" s="52">
        <v>112.82</v>
      </c>
      <c r="IE42" s="52">
        <v>99.89</v>
      </c>
      <c r="IF42" s="52">
        <v>101.58</v>
      </c>
      <c r="IG42" s="52">
        <v>141.44999999999999</v>
      </c>
      <c r="IH42" s="52">
        <v>168.61</v>
      </c>
      <c r="II42" s="52">
        <v>175.55</v>
      </c>
      <c r="IJ42" s="52">
        <v>161.91</v>
      </c>
      <c r="IK42" s="52">
        <v>161.69</v>
      </c>
      <c r="IL42" s="52">
        <v>142.28</v>
      </c>
      <c r="IM42" s="52">
        <v>176.33</v>
      </c>
      <c r="IN42" s="52">
        <v>175.53</v>
      </c>
      <c r="IO42" s="52">
        <v>144.69999999999999</v>
      </c>
      <c r="IP42" s="52">
        <v>98.49</v>
      </c>
      <c r="IQ42" s="52">
        <v>122.76</v>
      </c>
      <c r="IR42" s="52">
        <v>194.93</v>
      </c>
      <c r="IS42" s="52">
        <v>127.56</v>
      </c>
      <c r="IT42" s="52">
        <v>49.56</v>
      </c>
      <c r="IU42" s="52">
        <v>115.09</v>
      </c>
      <c r="IV42" s="52">
        <v>68.989999999999995</v>
      </c>
      <c r="IW42" s="52">
        <v>75.78</v>
      </c>
      <c r="IX42" s="52">
        <v>135.66</v>
      </c>
      <c r="IY42" s="52">
        <v>125.57</v>
      </c>
      <c r="IZ42" s="52">
        <v>168.62</v>
      </c>
      <c r="JA42" s="52">
        <v>124.67</v>
      </c>
      <c r="JB42" s="52"/>
      <c r="JC42" s="52">
        <v>154.99</v>
      </c>
      <c r="JD42" s="52">
        <v>175.4</v>
      </c>
      <c r="JE42" s="52">
        <v>139.61000000000001</v>
      </c>
      <c r="JF42" s="52">
        <v>136.19999999999999</v>
      </c>
      <c r="JG42" s="52">
        <v>170.74</v>
      </c>
      <c r="JH42" s="52">
        <v>188.62</v>
      </c>
      <c r="JI42" s="52">
        <v>121.4</v>
      </c>
      <c r="JJ42" s="52">
        <v>128.72999999999999</v>
      </c>
      <c r="JK42" s="52">
        <v>148.16</v>
      </c>
      <c r="JL42" s="52">
        <v>166.53</v>
      </c>
      <c r="JM42" s="52">
        <v>172.67</v>
      </c>
      <c r="JN42" s="52">
        <v>166.09</v>
      </c>
      <c r="JO42" s="52">
        <v>146.03</v>
      </c>
      <c r="JP42" s="52">
        <v>181.04</v>
      </c>
      <c r="JQ42" s="52">
        <v>161.57</v>
      </c>
      <c r="JR42" s="52">
        <v>169.53</v>
      </c>
      <c r="JS42" s="52">
        <v>206.57</v>
      </c>
      <c r="JT42" s="52">
        <v>190.7</v>
      </c>
      <c r="JU42" s="52">
        <v>168.85</v>
      </c>
      <c r="JV42" s="52">
        <v>103.56</v>
      </c>
      <c r="JW42" s="52">
        <v>113.98</v>
      </c>
      <c r="JX42" s="52">
        <v>185.77</v>
      </c>
      <c r="JY42" s="52">
        <v>155.1</v>
      </c>
      <c r="JZ42" s="52">
        <v>142.87</v>
      </c>
      <c r="KA42" s="52">
        <v>178.81</v>
      </c>
      <c r="KB42" s="52">
        <v>192.71</v>
      </c>
      <c r="KC42" s="52">
        <v>120.2</v>
      </c>
      <c r="KD42" s="52">
        <v>162.61000000000001</v>
      </c>
      <c r="KE42" s="52">
        <v>158.72</v>
      </c>
      <c r="KF42" s="52">
        <v>182.14</v>
      </c>
    </row>
    <row r="43" spans="1:292" s="41" customFormat="1" ht="12">
      <c r="A43" s="41">
        <v>2008</v>
      </c>
      <c r="B43" s="54" t="s">
        <v>979</v>
      </c>
      <c r="C43" s="55" t="s">
        <v>980</v>
      </c>
      <c r="D43" s="52">
        <v>148.84</v>
      </c>
      <c r="E43" s="52">
        <v>154.65</v>
      </c>
      <c r="F43" s="52">
        <v>192.02</v>
      </c>
      <c r="G43" s="52">
        <v>103.27</v>
      </c>
      <c r="H43" s="52">
        <v>167.74</v>
      </c>
      <c r="I43" s="52">
        <v>132.28</v>
      </c>
      <c r="J43" s="52">
        <v>121.93</v>
      </c>
      <c r="K43" s="52">
        <v>150.43</v>
      </c>
      <c r="L43" s="52">
        <v>106.59</v>
      </c>
      <c r="M43" s="52">
        <v>125.46</v>
      </c>
      <c r="N43" s="52">
        <v>160.59</v>
      </c>
      <c r="O43" s="52">
        <v>181.23</v>
      </c>
      <c r="P43" s="52">
        <v>154.5</v>
      </c>
      <c r="Q43" s="52">
        <v>155.47</v>
      </c>
      <c r="R43" s="52">
        <v>141.44</v>
      </c>
      <c r="S43" s="52">
        <v>187.02</v>
      </c>
      <c r="T43" s="52">
        <v>192.16</v>
      </c>
      <c r="U43" s="52">
        <v>99.43</v>
      </c>
      <c r="V43" s="52">
        <v>114.93</v>
      </c>
      <c r="W43" s="52">
        <v>223.73</v>
      </c>
      <c r="X43" s="52">
        <v>134.79</v>
      </c>
      <c r="Y43" s="52">
        <v>147.4</v>
      </c>
      <c r="Z43" s="52">
        <v>155.24</v>
      </c>
      <c r="AA43" s="52">
        <v>144.13</v>
      </c>
      <c r="AB43" s="52">
        <v>115.17</v>
      </c>
      <c r="AC43" s="52">
        <v>112.49</v>
      </c>
      <c r="AD43" s="52">
        <v>140.72999999999999</v>
      </c>
      <c r="AE43" s="52">
        <v>140.82</v>
      </c>
      <c r="AF43" s="52">
        <v>136.12</v>
      </c>
      <c r="AG43" s="52">
        <v>87.68</v>
      </c>
      <c r="AH43" s="52">
        <v>152.69</v>
      </c>
      <c r="AI43" s="52">
        <v>160.93</v>
      </c>
      <c r="AJ43" s="52">
        <v>110.77</v>
      </c>
      <c r="AK43" s="52">
        <v>169.01</v>
      </c>
      <c r="AL43" s="52">
        <v>167.56</v>
      </c>
      <c r="AM43" s="52">
        <v>127.56</v>
      </c>
      <c r="AN43" s="52">
        <v>48.42</v>
      </c>
      <c r="AO43" s="52">
        <v>115.45</v>
      </c>
      <c r="AP43" s="52">
        <v>76.92</v>
      </c>
      <c r="AQ43" s="52">
        <v>125.74</v>
      </c>
      <c r="AR43" s="52">
        <v>156.37</v>
      </c>
      <c r="AS43" s="52">
        <v>153.61000000000001</v>
      </c>
      <c r="AT43" s="52">
        <v>149.81</v>
      </c>
      <c r="AU43" s="52">
        <v>150.94</v>
      </c>
      <c r="AV43" s="52">
        <v>166.19</v>
      </c>
      <c r="AW43" s="52">
        <v>172.67</v>
      </c>
      <c r="AX43" s="52">
        <v>166.09</v>
      </c>
      <c r="AY43" s="52">
        <v>146.18</v>
      </c>
      <c r="AZ43" s="52">
        <v>176.98</v>
      </c>
      <c r="BA43" s="52">
        <v>185.78</v>
      </c>
      <c r="BB43" s="52">
        <v>129.51</v>
      </c>
      <c r="BC43" s="52">
        <v>186.88</v>
      </c>
      <c r="BD43" s="52">
        <v>179.81</v>
      </c>
      <c r="BE43" s="52">
        <v>166.93</v>
      </c>
      <c r="BF43" s="52">
        <v>158.72</v>
      </c>
      <c r="BG43" s="52">
        <v>182.14</v>
      </c>
      <c r="BH43" s="52">
        <v>154.33000000000001</v>
      </c>
      <c r="BI43" s="52">
        <v>135.63999999999999</v>
      </c>
      <c r="BJ43" s="52">
        <v>131.6</v>
      </c>
      <c r="BK43" s="52">
        <v>151.36000000000001</v>
      </c>
      <c r="BL43" s="52">
        <v>154.62</v>
      </c>
      <c r="BM43" s="52">
        <v>155.27000000000001</v>
      </c>
      <c r="BN43" s="52">
        <v>194.44</v>
      </c>
      <c r="BO43" s="52">
        <v>129.47</v>
      </c>
      <c r="BP43" s="52">
        <v>147.43</v>
      </c>
      <c r="BQ43" s="52">
        <v>154.55000000000001</v>
      </c>
      <c r="BR43" s="52">
        <v>128.85</v>
      </c>
      <c r="BS43" s="52">
        <v>200.12</v>
      </c>
      <c r="BT43" s="52">
        <v>179.04</v>
      </c>
      <c r="BU43" s="52">
        <v>168.24</v>
      </c>
      <c r="BV43" s="52">
        <v>192.16</v>
      </c>
      <c r="BW43" s="52">
        <v>97.69</v>
      </c>
      <c r="BX43" s="52">
        <v>116.3</v>
      </c>
      <c r="BY43" s="52">
        <v>166.86</v>
      </c>
      <c r="BZ43" s="52">
        <v>114.6</v>
      </c>
      <c r="CA43" s="52">
        <v>168.87</v>
      </c>
      <c r="CB43" s="53">
        <v>223.73</v>
      </c>
      <c r="CC43" s="52">
        <v>134.79</v>
      </c>
      <c r="CD43" s="52">
        <v>146.81</v>
      </c>
      <c r="CE43" s="52">
        <v>119.18</v>
      </c>
      <c r="CF43" s="52">
        <v>185.93</v>
      </c>
      <c r="CG43" s="52">
        <v>161.15</v>
      </c>
      <c r="CH43" s="52">
        <v>149.29</v>
      </c>
      <c r="CI43" s="52">
        <v>124.52</v>
      </c>
      <c r="CJ43" s="52">
        <v>115.17</v>
      </c>
      <c r="CK43" s="52">
        <v>105.32</v>
      </c>
      <c r="CL43" s="52">
        <v>113.21</v>
      </c>
      <c r="CM43" s="52">
        <v>184.68</v>
      </c>
      <c r="CN43" s="52">
        <v>140.72999999999999</v>
      </c>
      <c r="CO43" s="52">
        <v>140.82</v>
      </c>
      <c r="CP43" s="52">
        <v>117.32</v>
      </c>
      <c r="CQ43" s="52">
        <v>196.92</v>
      </c>
      <c r="CR43" s="52">
        <v>83.9</v>
      </c>
      <c r="CS43" s="52">
        <v>128.27000000000001</v>
      </c>
      <c r="CT43" s="52">
        <v>107.5</v>
      </c>
      <c r="CU43" s="52">
        <v>190.3</v>
      </c>
      <c r="CV43" s="52">
        <v>145.09</v>
      </c>
      <c r="CW43" s="52">
        <v>95.13</v>
      </c>
      <c r="CX43" s="52">
        <v>160.93</v>
      </c>
      <c r="CY43" s="52">
        <v>111.05</v>
      </c>
      <c r="CZ43" s="52">
        <v>99.18</v>
      </c>
      <c r="DA43" s="52">
        <v>101.77</v>
      </c>
      <c r="DB43" s="52">
        <v>142.63999999999999</v>
      </c>
      <c r="DC43" s="52">
        <v>170.01</v>
      </c>
      <c r="DD43" s="52">
        <v>176.67</v>
      </c>
      <c r="DE43" s="52">
        <v>163.41</v>
      </c>
      <c r="DF43" s="52">
        <v>156.18</v>
      </c>
      <c r="DG43" s="52">
        <v>170.74</v>
      </c>
      <c r="DH43" s="52">
        <v>98.1</v>
      </c>
      <c r="DI43" s="52">
        <v>122.76</v>
      </c>
      <c r="DJ43" s="52">
        <v>195.43</v>
      </c>
      <c r="DK43" s="52">
        <v>127.56</v>
      </c>
      <c r="DL43" s="52">
        <v>48.42</v>
      </c>
      <c r="DM43" s="52">
        <v>115.45</v>
      </c>
      <c r="DN43" s="52">
        <v>67.83</v>
      </c>
      <c r="DO43" s="52">
        <v>77.89</v>
      </c>
      <c r="DP43" s="52">
        <v>136.76</v>
      </c>
      <c r="DQ43" s="52">
        <v>125.74</v>
      </c>
      <c r="DR43" s="52">
        <v>169.02</v>
      </c>
      <c r="DS43" s="52">
        <v>124.62</v>
      </c>
      <c r="DT43" s="52"/>
      <c r="DU43" s="52">
        <v>155.63999999999999</v>
      </c>
      <c r="DV43" s="52">
        <v>168.54</v>
      </c>
      <c r="DW43" s="52">
        <v>137.61000000000001</v>
      </c>
      <c r="DX43" s="52">
        <v>170.74</v>
      </c>
      <c r="DY43" s="52">
        <v>192.36</v>
      </c>
      <c r="DZ43" s="52">
        <v>121.4</v>
      </c>
      <c r="EA43" s="52">
        <v>129.13999999999999</v>
      </c>
      <c r="EB43" s="52">
        <v>150.94</v>
      </c>
      <c r="EC43" s="52">
        <v>166.19</v>
      </c>
      <c r="ED43" s="52">
        <v>172.67</v>
      </c>
      <c r="EE43" s="52">
        <v>166.09</v>
      </c>
      <c r="EF43" s="52">
        <v>146.18</v>
      </c>
      <c r="EG43" s="52">
        <v>176.98</v>
      </c>
      <c r="EH43" s="52">
        <v>185.78</v>
      </c>
      <c r="EI43" s="52">
        <v>180.78</v>
      </c>
      <c r="EJ43" s="52">
        <v>106.1</v>
      </c>
      <c r="EK43" s="52">
        <v>114.75</v>
      </c>
      <c r="EL43" s="52">
        <v>198.64</v>
      </c>
      <c r="EM43" s="52">
        <v>150.26</v>
      </c>
      <c r="EN43" s="52">
        <v>179.81</v>
      </c>
      <c r="EO43" s="52">
        <v>192.71</v>
      </c>
      <c r="EP43" s="52">
        <v>121.43</v>
      </c>
      <c r="EQ43" s="52">
        <v>161.21</v>
      </c>
      <c r="ER43" s="52">
        <v>158.72</v>
      </c>
      <c r="ES43" s="52">
        <v>182.14</v>
      </c>
      <c r="ET43" s="52">
        <v>151.44</v>
      </c>
      <c r="EU43" s="52">
        <v>147.08000000000001</v>
      </c>
      <c r="EV43" s="52">
        <v>156.29</v>
      </c>
      <c r="EW43" s="52">
        <v>155.99</v>
      </c>
      <c r="EX43" s="52">
        <v>168.61</v>
      </c>
      <c r="EY43" s="52">
        <v>113.91</v>
      </c>
      <c r="EZ43" s="52">
        <v>136.54</v>
      </c>
      <c r="FA43" s="52">
        <v>131.29</v>
      </c>
      <c r="FB43" s="52">
        <v>146.13999999999999</v>
      </c>
      <c r="FC43" s="52">
        <v>136.46</v>
      </c>
      <c r="FD43" s="52">
        <v>126.39</v>
      </c>
      <c r="FE43" s="52">
        <v>131.6</v>
      </c>
      <c r="FF43" s="52"/>
      <c r="FG43" s="52">
        <v>140.72</v>
      </c>
      <c r="FH43" s="52">
        <v>146.26</v>
      </c>
      <c r="FI43" s="52">
        <v>155.75</v>
      </c>
      <c r="FJ43" s="52">
        <v>161.27000000000001</v>
      </c>
      <c r="FK43" s="52">
        <v>165.99</v>
      </c>
      <c r="FL43" s="52">
        <v>124.86</v>
      </c>
      <c r="FM43" s="52">
        <v>160.58000000000001</v>
      </c>
      <c r="FN43" s="52">
        <v>150.69</v>
      </c>
      <c r="FO43" s="52">
        <v>175.71</v>
      </c>
      <c r="FP43" s="52">
        <v>202.74</v>
      </c>
      <c r="FQ43" s="52">
        <v>148.58000000000001</v>
      </c>
      <c r="FR43" s="52">
        <v>182.11</v>
      </c>
      <c r="FS43" s="52">
        <v>160.99</v>
      </c>
      <c r="FT43" s="52">
        <v>118.41</v>
      </c>
      <c r="FU43" s="52">
        <v>158.71</v>
      </c>
      <c r="FV43" s="52">
        <v>141.35</v>
      </c>
      <c r="FW43" s="52">
        <v>119.68</v>
      </c>
      <c r="FX43" s="52">
        <v>147.43</v>
      </c>
      <c r="FY43" s="52">
        <v>145.76</v>
      </c>
      <c r="FZ43" s="52">
        <v>156.01</v>
      </c>
      <c r="GA43" s="52">
        <v>126.05</v>
      </c>
      <c r="GB43" s="52">
        <v>134.13</v>
      </c>
      <c r="GC43" s="52">
        <v>127.72</v>
      </c>
      <c r="GD43" s="52">
        <v>120.84</v>
      </c>
      <c r="GE43" s="52">
        <v>200.12</v>
      </c>
      <c r="GF43" s="52">
        <v>179.04</v>
      </c>
      <c r="GG43" s="52">
        <v>168.24</v>
      </c>
      <c r="GH43" s="52">
        <v>191.84</v>
      </c>
      <c r="GI43" s="52">
        <v>100.85</v>
      </c>
      <c r="GJ43" s="52">
        <v>95.78</v>
      </c>
      <c r="GK43" s="52">
        <v>93.15</v>
      </c>
      <c r="GL43" s="52">
        <v>128.13</v>
      </c>
      <c r="GM43" s="52">
        <v>116.3</v>
      </c>
      <c r="GN43" s="52">
        <v>166.86</v>
      </c>
      <c r="GO43" s="52">
        <v>115.17</v>
      </c>
      <c r="GP43" s="52">
        <v>114.51</v>
      </c>
      <c r="GQ43" s="52">
        <v>113.19</v>
      </c>
      <c r="GR43" s="52">
        <v>168.87</v>
      </c>
      <c r="GS43" s="52">
        <v>223.73</v>
      </c>
      <c r="GT43" s="52">
        <v>134.79</v>
      </c>
      <c r="GU43" s="52">
        <v>146.81</v>
      </c>
      <c r="GV43" s="52">
        <v>119.18</v>
      </c>
      <c r="GW43" s="52">
        <v>176.49</v>
      </c>
      <c r="GX43" s="52">
        <v>189.59</v>
      </c>
      <c r="GY43" s="52">
        <v>161.15</v>
      </c>
      <c r="GZ43" s="52">
        <v>146.75</v>
      </c>
      <c r="HA43" s="52">
        <v>151.08000000000001</v>
      </c>
      <c r="HB43" s="52">
        <v>149.28</v>
      </c>
      <c r="HC43" s="52">
        <v>124.52</v>
      </c>
      <c r="HD43" s="52">
        <v>115.17</v>
      </c>
      <c r="HE43" s="52">
        <v>98.8</v>
      </c>
      <c r="HF43" s="52">
        <v>99</v>
      </c>
      <c r="HG43" s="52">
        <v>99.52</v>
      </c>
      <c r="HH43" s="52">
        <v>130.51</v>
      </c>
      <c r="HI43" s="52">
        <v>75.900000000000006</v>
      </c>
      <c r="HJ43" s="52">
        <v>113.21</v>
      </c>
      <c r="HK43" s="52">
        <v>184.68</v>
      </c>
      <c r="HL43" s="52">
        <v>125.42</v>
      </c>
      <c r="HM43" s="52">
        <v>157.54</v>
      </c>
      <c r="HN43" s="52">
        <v>151.15</v>
      </c>
      <c r="HO43" s="52">
        <v>125.09</v>
      </c>
      <c r="HP43" s="52">
        <v>156.24</v>
      </c>
      <c r="HQ43" s="52">
        <v>115.22</v>
      </c>
      <c r="HR43" s="52">
        <v>136.30000000000001</v>
      </c>
      <c r="HS43" s="52">
        <v>197.4</v>
      </c>
      <c r="HT43" s="52">
        <v>170.03</v>
      </c>
      <c r="HU43" s="52">
        <v>83.9</v>
      </c>
      <c r="HV43" s="52">
        <v>128.27000000000001</v>
      </c>
      <c r="HW43" s="52">
        <v>114.95</v>
      </c>
      <c r="HX43" s="52">
        <v>91.31</v>
      </c>
      <c r="HY43" s="52">
        <v>190.3</v>
      </c>
      <c r="HZ43" s="52">
        <v>145.09</v>
      </c>
      <c r="IA43" s="52">
        <v>86.9</v>
      </c>
      <c r="IB43" s="52">
        <v>160.93</v>
      </c>
      <c r="IC43" s="52">
        <v>100.28</v>
      </c>
      <c r="ID43" s="52">
        <v>113.28</v>
      </c>
      <c r="IE43" s="52">
        <v>99.18</v>
      </c>
      <c r="IF43" s="52">
        <v>101.77</v>
      </c>
      <c r="IG43" s="52">
        <v>142.63999999999999</v>
      </c>
      <c r="IH43" s="52">
        <v>170.01</v>
      </c>
      <c r="II43" s="52">
        <v>176.67</v>
      </c>
      <c r="IJ43" s="52">
        <v>163.41</v>
      </c>
      <c r="IK43" s="52">
        <v>161.69</v>
      </c>
      <c r="IL43" s="52">
        <v>142.28</v>
      </c>
      <c r="IM43" s="52">
        <v>177.31</v>
      </c>
      <c r="IN43" s="52">
        <v>177.49</v>
      </c>
      <c r="IO43" s="52">
        <v>144.34</v>
      </c>
      <c r="IP43" s="52">
        <v>98.1</v>
      </c>
      <c r="IQ43" s="52">
        <v>122.76</v>
      </c>
      <c r="IR43" s="52">
        <v>195.43</v>
      </c>
      <c r="IS43" s="52">
        <v>127.56</v>
      </c>
      <c r="IT43" s="52">
        <v>48.42</v>
      </c>
      <c r="IU43" s="52">
        <v>115.45</v>
      </c>
      <c r="IV43" s="52">
        <v>68.39</v>
      </c>
      <c r="IW43" s="52">
        <v>77.89</v>
      </c>
      <c r="IX43" s="52">
        <v>136.76</v>
      </c>
      <c r="IY43" s="52">
        <v>125.74</v>
      </c>
      <c r="IZ43" s="52">
        <v>169.02</v>
      </c>
      <c r="JA43" s="52">
        <v>124.62</v>
      </c>
      <c r="JB43" s="52"/>
      <c r="JC43" s="52">
        <v>155.63999999999999</v>
      </c>
      <c r="JD43" s="52">
        <v>168.54</v>
      </c>
      <c r="JE43" s="52">
        <v>140.69</v>
      </c>
      <c r="JF43" s="52">
        <v>136.44</v>
      </c>
      <c r="JG43" s="52">
        <v>170.74</v>
      </c>
      <c r="JH43" s="52">
        <v>192.36</v>
      </c>
      <c r="JI43" s="52">
        <v>121.4</v>
      </c>
      <c r="JJ43" s="52">
        <v>129.13999999999999</v>
      </c>
      <c r="JK43" s="52">
        <v>150.94</v>
      </c>
      <c r="JL43" s="52">
        <v>166.19</v>
      </c>
      <c r="JM43" s="52">
        <v>172.67</v>
      </c>
      <c r="JN43" s="52">
        <v>166.09</v>
      </c>
      <c r="JO43" s="52">
        <v>146.18</v>
      </c>
      <c r="JP43" s="52">
        <v>182.86</v>
      </c>
      <c r="JQ43" s="52">
        <v>163.16999999999999</v>
      </c>
      <c r="JR43" s="52">
        <v>169.91</v>
      </c>
      <c r="JS43" s="52">
        <v>205.99</v>
      </c>
      <c r="JT43" s="52">
        <v>192.77</v>
      </c>
      <c r="JU43" s="52">
        <v>169.25</v>
      </c>
      <c r="JV43" s="52">
        <v>106.1</v>
      </c>
      <c r="JW43" s="52">
        <v>114.75</v>
      </c>
      <c r="JX43" s="52">
        <v>198.64</v>
      </c>
      <c r="JY43" s="52">
        <v>154.47</v>
      </c>
      <c r="JZ43" s="52">
        <v>141.71</v>
      </c>
      <c r="KA43" s="52">
        <v>179.81</v>
      </c>
      <c r="KB43" s="52">
        <v>192.71</v>
      </c>
      <c r="KC43" s="52">
        <v>121.43</v>
      </c>
      <c r="KD43" s="52">
        <v>161.21</v>
      </c>
      <c r="KE43" s="52">
        <v>158.72</v>
      </c>
      <c r="KF43" s="52">
        <v>182.14</v>
      </c>
    </row>
    <row r="44" spans="1:292" s="41" customFormat="1" ht="12">
      <c r="A44" s="41">
        <v>2008</v>
      </c>
      <c r="B44" s="54" t="s">
        <v>981</v>
      </c>
      <c r="C44" s="55" t="s">
        <v>982</v>
      </c>
      <c r="D44" s="52">
        <v>150.27000000000001</v>
      </c>
      <c r="E44" s="52">
        <v>156.26</v>
      </c>
      <c r="F44" s="52">
        <v>192.42</v>
      </c>
      <c r="G44" s="52">
        <v>105.13</v>
      </c>
      <c r="H44" s="52">
        <v>168.36</v>
      </c>
      <c r="I44" s="52">
        <v>133.76</v>
      </c>
      <c r="J44" s="52">
        <v>122.03</v>
      </c>
      <c r="K44" s="52">
        <v>152.21</v>
      </c>
      <c r="L44" s="52">
        <v>107.05</v>
      </c>
      <c r="M44" s="52">
        <v>127.09</v>
      </c>
      <c r="N44" s="52">
        <v>161.22</v>
      </c>
      <c r="O44" s="52">
        <v>183.42</v>
      </c>
      <c r="P44" s="52">
        <v>157.88999999999999</v>
      </c>
      <c r="Q44" s="52">
        <v>157.05000000000001</v>
      </c>
      <c r="R44" s="52">
        <v>143.57</v>
      </c>
      <c r="S44" s="52">
        <v>193.37</v>
      </c>
      <c r="T44" s="52">
        <v>192.16</v>
      </c>
      <c r="U44" s="52">
        <v>100.53</v>
      </c>
      <c r="V44" s="52">
        <v>119.37</v>
      </c>
      <c r="W44" s="52">
        <v>225.29</v>
      </c>
      <c r="X44" s="52">
        <v>135.47999999999999</v>
      </c>
      <c r="Y44" s="52">
        <v>148.13999999999999</v>
      </c>
      <c r="Z44" s="52">
        <v>155.4</v>
      </c>
      <c r="AA44" s="52">
        <v>144.61000000000001</v>
      </c>
      <c r="AB44" s="52">
        <v>115.31</v>
      </c>
      <c r="AC44" s="52">
        <v>113.35</v>
      </c>
      <c r="AD44" s="52">
        <v>141.24</v>
      </c>
      <c r="AE44" s="52">
        <v>141.41999999999999</v>
      </c>
      <c r="AF44" s="52">
        <v>140.46</v>
      </c>
      <c r="AG44" s="52">
        <v>87.72</v>
      </c>
      <c r="AH44" s="52">
        <v>152.81</v>
      </c>
      <c r="AI44" s="52">
        <v>161.26</v>
      </c>
      <c r="AJ44" s="52">
        <v>110.02</v>
      </c>
      <c r="AK44" s="52">
        <v>173.67</v>
      </c>
      <c r="AL44" s="52">
        <v>170.03</v>
      </c>
      <c r="AM44" s="52">
        <v>127.56</v>
      </c>
      <c r="AN44" s="52">
        <v>49.89</v>
      </c>
      <c r="AO44" s="52">
        <v>115.71</v>
      </c>
      <c r="AP44" s="52">
        <v>78.11</v>
      </c>
      <c r="AQ44" s="52">
        <v>125.57</v>
      </c>
      <c r="AR44" s="52">
        <v>157.59</v>
      </c>
      <c r="AS44" s="52">
        <v>159.61000000000001</v>
      </c>
      <c r="AT44" s="52">
        <v>147.68</v>
      </c>
      <c r="AU44" s="52">
        <v>152.88</v>
      </c>
      <c r="AV44" s="52">
        <v>165.93</v>
      </c>
      <c r="AW44" s="52">
        <v>175.06</v>
      </c>
      <c r="AX44" s="52">
        <v>166.09</v>
      </c>
      <c r="AY44" s="52">
        <v>146.44</v>
      </c>
      <c r="AZ44" s="52">
        <v>179.21</v>
      </c>
      <c r="BA44" s="52">
        <v>187.25</v>
      </c>
      <c r="BB44" s="52">
        <v>130</v>
      </c>
      <c r="BC44" s="52">
        <v>198.64</v>
      </c>
      <c r="BD44" s="52">
        <v>180.65</v>
      </c>
      <c r="BE44" s="52">
        <v>165.85</v>
      </c>
      <c r="BF44" s="52">
        <v>158.72</v>
      </c>
      <c r="BG44" s="52">
        <v>186.65</v>
      </c>
      <c r="BH44" s="52">
        <v>160.51</v>
      </c>
      <c r="BI44" s="52">
        <v>137.07</v>
      </c>
      <c r="BJ44" s="52">
        <v>127.72</v>
      </c>
      <c r="BK44" s="52">
        <v>151.49</v>
      </c>
      <c r="BL44" s="52">
        <v>159.63</v>
      </c>
      <c r="BM44" s="52">
        <v>166.29</v>
      </c>
      <c r="BN44" s="52">
        <v>181.98</v>
      </c>
      <c r="BO44" s="52">
        <v>134.46</v>
      </c>
      <c r="BP44" s="52">
        <v>150.26</v>
      </c>
      <c r="BQ44" s="52">
        <v>157.22999999999999</v>
      </c>
      <c r="BR44" s="52">
        <v>130.52000000000001</v>
      </c>
      <c r="BS44" s="52">
        <v>209.83</v>
      </c>
      <c r="BT44" s="52">
        <v>178.99</v>
      </c>
      <c r="BU44" s="52">
        <v>171.76</v>
      </c>
      <c r="BV44" s="52">
        <v>192.16</v>
      </c>
      <c r="BW44" s="52">
        <v>98.82</v>
      </c>
      <c r="BX44" s="52">
        <v>117.35</v>
      </c>
      <c r="BY44" s="52">
        <v>167.31</v>
      </c>
      <c r="BZ44" s="52">
        <v>119.06</v>
      </c>
      <c r="CA44" s="52">
        <v>170.22</v>
      </c>
      <c r="CB44" s="53">
        <v>225.29</v>
      </c>
      <c r="CC44" s="52">
        <v>135.47999999999999</v>
      </c>
      <c r="CD44" s="52">
        <v>147.56</v>
      </c>
      <c r="CE44" s="52">
        <v>119.18</v>
      </c>
      <c r="CF44" s="52">
        <v>186.68</v>
      </c>
      <c r="CG44" s="52">
        <v>160.82</v>
      </c>
      <c r="CH44" s="52">
        <v>149.84</v>
      </c>
      <c r="CI44" s="52">
        <v>124.72</v>
      </c>
      <c r="CJ44" s="52">
        <v>115.31</v>
      </c>
      <c r="CK44" s="52">
        <v>106.17</v>
      </c>
      <c r="CL44" s="52">
        <v>113.66</v>
      </c>
      <c r="CM44" s="52">
        <v>185.99</v>
      </c>
      <c r="CN44" s="52">
        <v>141.24</v>
      </c>
      <c r="CO44" s="52">
        <v>141.41999999999999</v>
      </c>
      <c r="CP44" s="52">
        <v>121.37</v>
      </c>
      <c r="CQ44" s="52">
        <v>201.11</v>
      </c>
      <c r="CR44" s="52">
        <v>83.9</v>
      </c>
      <c r="CS44" s="52">
        <v>128.77000000000001</v>
      </c>
      <c r="CT44" s="52">
        <v>107.72</v>
      </c>
      <c r="CU44" s="52">
        <v>190.53</v>
      </c>
      <c r="CV44" s="52">
        <v>145.13</v>
      </c>
      <c r="CW44" s="52">
        <v>95.18</v>
      </c>
      <c r="CX44" s="52">
        <v>161.26</v>
      </c>
      <c r="CY44" s="52">
        <v>110.28</v>
      </c>
      <c r="CZ44" s="52">
        <v>98.47</v>
      </c>
      <c r="DA44" s="52">
        <v>102.62</v>
      </c>
      <c r="DB44" s="52">
        <v>144.25</v>
      </c>
      <c r="DC44" s="52">
        <v>175.5</v>
      </c>
      <c r="DD44" s="52">
        <v>177.26</v>
      </c>
      <c r="DE44" s="52">
        <v>163.66</v>
      </c>
      <c r="DF44" s="52">
        <v>156.18</v>
      </c>
      <c r="DG44" s="52">
        <v>173.36</v>
      </c>
      <c r="DH44" s="52">
        <v>99.1</v>
      </c>
      <c r="DI44" s="52">
        <v>122.76</v>
      </c>
      <c r="DJ44" s="52">
        <v>197.58</v>
      </c>
      <c r="DK44" s="52">
        <v>127.56</v>
      </c>
      <c r="DL44" s="52">
        <v>49.89</v>
      </c>
      <c r="DM44" s="52">
        <v>115.71</v>
      </c>
      <c r="DN44" s="52">
        <v>68.319999999999993</v>
      </c>
      <c r="DO44" s="52">
        <v>81.31</v>
      </c>
      <c r="DP44" s="52">
        <v>137.6</v>
      </c>
      <c r="DQ44" s="52">
        <v>125.57</v>
      </c>
      <c r="DR44" s="52">
        <v>170.06</v>
      </c>
      <c r="DS44" s="52">
        <v>126.47</v>
      </c>
      <c r="DT44" s="52"/>
      <c r="DU44" s="52">
        <v>156.76</v>
      </c>
      <c r="DV44" s="52">
        <v>182.91</v>
      </c>
      <c r="DW44" s="52">
        <v>137.88</v>
      </c>
      <c r="DX44" s="52">
        <v>170.74</v>
      </c>
      <c r="DY44" s="52">
        <v>185.1</v>
      </c>
      <c r="DZ44" s="52">
        <v>121.4</v>
      </c>
      <c r="EA44" s="52">
        <v>129.69</v>
      </c>
      <c r="EB44" s="52">
        <v>152.88</v>
      </c>
      <c r="EC44" s="52">
        <v>165.93</v>
      </c>
      <c r="ED44" s="52">
        <v>175.06</v>
      </c>
      <c r="EE44" s="52">
        <v>166.09</v>
      </c>
      <c r="EF44" s="52">
        <v>146.44</v>
      </c>
      <c r="EG44" s="52">
        <v>179.21</v>
      </c>
      <c r="EH44" s="52">
        <v>187.25</v>
      </c>
      <c r="EI44" s="52">
        <v>181.99</v>
      </c>
      <c r="EJ44" s="52">
        <v>106.34</v>
      </c>
      <c r="EK44" s="52">
        <v>115.05</v>
      </c>
      <c r="EL44" s="52">
        <v>214.38</v>
      </c>
      <c r="EM44" s="52">
        <v>150.69999999999999</v>
      </c>
      <c r="EN44" s="52">
        <v>180.65</v>
      </c>
      <c r="EO44" s="52">
        <v>207.13</v>
      </c>
      <c r="EP44" s="52">
        <v>122.36</v>
      </c>
      <c r="EQ44" s="52">
        <v>159.08000000000001</v>
      </c>
      <c r="ER44" s="52">
        <v>158.72</v>
      </c>
      <c r="ES44" s="52">
        <v>186.65</v>
      </c>
      <c r="ET44" s="52">
        <v>158.65</v>
      </c>
      <c r="EU44" s="52">
        <v>152.97</v>
      </c>
      <c r="EV44" s="52">
        <v>163.77000000000001</v>
      </c>
      <c r="EW44" s="52">
        <v>157.21</v>
      </c>
      <c r="EX44" s="52">
        <v>177.04</v>
      </c>
      <c r="EY44" s="52">
        <v>114.45</v>
      </c>
      <c r="EZ44" s="52">
        <v>137.38</v>
      </c>
      <c r="FA44" s="52">
        <v>133.54</v>
      </c>
      <c r="FB44" s="52">
        <v>147.51</v>
      </c>
      <c r="FC44" s="52">
        <v>137.94999999999999</v>
      </c>
      <c r="FD44" s="52">
        <v>128.61000000000001</v>
      </c>
      <c r="FE44" s="52">
        <v>127.72</v>
      </c>
      <c r="FF44" s="52"/>
      <c r="FG44" s="52">
        <v>140.69999999999999</v>
      </c>
      <c r="FH44" s="52">
        <v>147.31</v>
      </c>
      <c r="FI44" s="52">
        <v>157</v>
      </c>
      <c r="FJ44" s="52">
        <v>157.75</v>
      </c>
      <c r="FK44" s="52">
        <v>167.05</v>
      </c>
      <c r="FL44" s="52">
        <v>129.16999999999999</v>
      </c>
      <c r="FM44" s="52">
        <v>166.21</v>
      </c>
      <c r="FN44" s="52">
        <v>163.01</v>
      </c>
      <c r="FO44" s="52">
        <v>179.08</v>
      </c>
      <c r="FP44" s="52">
        <v>184.22</v>
      </c>
      <c r="FQ44" s="52">
        <v>148</v>
      </c>
      <c r="FR44" s="52">
        <v>196.17</v>
      </c>
      <c r="FS44" s="52">
        <v>162.97999999999999</v>
      </c>
      <c r="FT44" s="52">
        <v>124.38</v>
      </c>
      <c r="FU44" s="52">
        <v>168.28</v>
      </c>
      <c r="FV44" s="52">
        <v>142.31</v>
      </c>
      <c r="FW44" s="52">
        <v>119.58</v>
      </c>
      <c r="FX44" s="52">
        <v>150.26</v>
      </c>
      <c r="FY44" s="52">
        <v>146.35</v>
      </c>
      <c r="FZ44" s="52">
        <v>159.03</v>
      </c>
      <c r="GA44" s="52">
        <v>125.76</v>
      </c>
      <c r="GB44" s="52">
        <v>136.05000000000001</v>
      </c>
      <c r="GC44" s="52">
        <v>129.56</v>
      </c>
      <c r="GD44" s="52">
        <v>121.39</v>
      </c>
      <c r="GE44" s="52">
        <v>209.83</v>
      </c>
      <c r="GF44" s="52">
        <v>178.99</v>
      </c>
      <c r="GG44" s="52">
        <v>171.76</v>
      </c>
      <c r="GH44" s="52">
        <v>191.84</v>
      </c>
      <c r="GI44" s="52">
        <v>103.44</v>
      </c>
      <c r="GJ44" s="52">
        <v>95.88</v>
      </c>
      <c r="GK44" s="52">
        <v>93.6</v>
      </c>
      <c r="GL44" s="52">
        <v>128</v>
      </c>
      <c r="GM44" s="52">
        <v>117.35</v>
      </c>
      <c r="GN44" s="52">
        <v>167.31</v>
      </c>
      <c r="GO44" s="52">
        <v>120.16</v>
      </c>
      <c r="GP44" s="52">
        <v>119.08</v>
      </c>
      <c r="GQ44" s="52">
        <v>116.26</v>
      </c>
      <c r="GR44" s="52">
        <v>170.22</v>
      </c>
      <c r="GS44" s="52">
        <v>225.29</v>
      </c>
      <c r="GT44" s="52">
        <v>135.47999999999999</v>
      </c>
      <c r="GU44" s="52">
        <v>147.56</v>
      </c>
      <c r="GV44" s="52">
        <v>119.18</v>
      </c>
      <c r="GW44" s="52">
        <v>176.99</v>
      </c>
      <c r="GX44" s="52">
        <v>190.46</v>
      </c>
      <c r="GY44" s="52">
        <v>160.82</v>
      </c>
      <c r="GZ44" s="52">
        <v>148.78</v>
      </c>
      <c r="HA44" s="52">
        <v>152.80000000000001</v>
      </c>
      <c r="HB44" s="52">
        <v>149.08000000000001</v>
      </c>
      <c r="HC44" s="52">
        <v>124.72</v>
      </c>
      <c r="HD44" s="52">
        <v>115.31</v>
      </c>
      <c r="HE44" s="52">
        <v>99.67</v>
      </c>
      <c r="HF44" s="52">
        <v>99.71</v>
      </c>
      <c r="HG44" s="52">
        <v>100.48</v>
      </c>
      <c r="HH44" s="52">
        <v>131.38999999999999</v>
      </c>
      <c r="HI44" s="52">
        <v>76.650000000000006</v>
      </c>
      <c r="HJ44" s="52">
        <v>113.66</v>
      </c>
      <c r="HK44" s="52">
        <v>185.99</v>
      </c>
      <c r="HL44" s="52">
        <v>126.1</v>
      </c>
      <c r="HM44" s="52">
        <v>158.01</v>
      </c>
      <c r="HN44" s="52">
        <v>151.49</v>
      </c>
      <c r="HO44" s="52">
        <v>125.06</v>
      </c>
      <c r="HP44" s="52">
        <v>157.54</v>
      </c>
      <c r="HQ44" s="52">
        <v>119.53</v>
      </c>
      <c r="HR44" s="52">
        <v>138.11000000000001</v>
      </c>
      <c r="HS44" s="52">
        <v>201.68</v>
      </c>
      <c r="HT44" s="52">
        <v>171.08</v>
      </c>
      <c r="HU44" s="52">
        <v>83.9</v>
      </c>
      <c r="HV44" s="52">
        <v>128.77000000000001</v>
      </c>
      <c r="HW44" s="52">
        <v>114.99</v>
      </c>
      <c r="HX44" s="52">
        <v>91.67</v>
      </c>
      <c r="HY44" s="52">
        <v>190.53</v>
      </c>
      <c r="HZ44" s="52">
        <v>145.13</v>
      </c>
      <c r="IA44" s="52">
        <v>86.94</v>
      </c>
      <c r="IB44" s="52">
        <v>161.26</v>
      </c>
      <c r="IC44" s="52">
        <v>99.8</v>
      </c>
      <c r="ID44" s="52">
        <v>112.38</v>
      </c>
      <c r="IE44" s="52">
        <v>98.47</v>
      </c>
      <c r="IF44" s="52">
        <v>102.62</v>
      </c>
      <c r="IG44" s="52">
        <v>144.25</v>
      </c>
      <c r="IH44" s="52">
        <v>175.5</v>
      </c>
      <c r="II44" s="52">
        <v>177.26</v>
      </c>
      <c r="IJ44" s="52">
        <v>163.66</v>
      </c>
      <c r="IK44" s="52">
        <v>161.69</v>
      </c>
      <c r="IL44" s="52">
        <v>142.28</v>
      </c>
      <c r="IM44" s="52">
        <v>180.96</v>
      </c>
      <c r="IN44" s="52">
        <v>178.16</v>
      </c>
      <c r="IO44" s="52">
        <v>144.06</v>
      </c>
      <c r="IP44" s="52">
        <v>99.1</v>
      </c>
      <c r="IQ44" s="52">
        <v>122.76</v>
      </c>
      <c r="IR44" s="52">
        <v>197.58</v>
      </c>
      <c r="IS44" s="52">
        <v>127.56</v>
      </c>
      <c r="IT44" s="52">
        <v>49.89</v>
      </c>
      <c r="IU44" s="52">
        <v>115.71</v>
      </c>
      <c r="IV44" s="52">
        <v>68.88</v>
      </c>
      <c r="IW44" s="52">
        <v>81.31</v>
      </c>
      <c r="IX44" s="52">
        <v>137.6</v>
      </c>
      <c r="IY44" s="52">
        <v>125.57</v>
      </c>
      <c r="IZ44" s="52">
        <v>170.06</v>
      </c>
      <c r="JA44" s="52">
        <v>126.47</v>
      </c>
      <c r="JB44" s="52"/>
      <c r="JC44" s="52">
        <v>156.76</v>
      </c>
      <c r="JD44" s="52">
        <v>182.91</v>
      </c>
      <c r="JE44" s="52">
        <v>141.6</v>
      </c>
      <c r="JF44" s="52">
        <v>136.47999999999999</v>
      </c>
      <c r="JG44" s="52">
        <v>170.74</v>
      </c>
      <c r="JH44" s="52">
        <v>185.1</v>
      </c>
      <c r="JI44" s="52">
        <v>121.4</v>
      </c>
      <c r="JJ44" s="52">
        <v>129.69</v>
      </c>
      <c r="JK44" s="52">
        <v>152.88</v>
      </c>
      <c r="JL44" s="52">
        <v>165.93</v>
      </c>
      <c r="JM44" s="52">
        <v>175.06</v>
      </c>
      <c r="JN44" s="52">
        <v>166.09</v>
      </c>
      <c r="JO44" s="52">
        <v>146.44</v>
      </c>
      <c r="JP44" s="52">
        <v>185.13</v>
      </c>
      <c r="JQ44" s="52">
        <v>165.29</v>
      </c>
      <c r="JR44" s="52">
        <v>172.28</v>
      </c>
      <c r="JS44" s="52">
        <v>206.42</v>
      </c>
      <c r="JT44" s="52">
        <v>194.46</v>
      </c>
      <c r="JU44" s="52">
        <v>170</v>
      </c>
      <c r="JV44" s="52">
        <v>106.34</v>
      </c>
      <c r="JW44" s="52">
        <v>115.05</v>
      </c>
      <c r="JX44" s="52">
        <v>214.38</v>
      </c>
      <c r="JY44" s="52">
        <v>155.84</v>
      </c>
      <c r="JZ44" s="52">
        <v>140.77000000000001</v>
      </c>
      <c r="KA44" s="52">
        <v>180.65</v>
      </c>
      <c r="KB44" s="52">
        <v>207.13</v>
      </c>
      <c r="KC44" s="52">
        <v>122.36</v>
      </c>
      <c r="KD44" s="52">
        <v>159.08000000000001</v>
      </c>
      <c r="KE44" s="52">
        <v>158.72</v>
      </c>
      <c r="KF44" s="52">
        <v>186.65</v>
      </c>
    </row>
    <row r="45" spans="1:292" s="41" customFormat="1" ht="12">
      <c r="A45" s="41">
        <v>2008</v>
      </c>
      <c r="B45" s="54" t="s">
        <v>983</v>
      </c>
      <c r="C45" s="55" t="s">
        <v>984</v>
      </c>
      <c r="D45" s="52">
        <v>152.79</v>
      </c>
      <c r="E45" s="52">
        <v>157.84</v>
      </c>
      <c r="F45" s="52">
        <v>192.47</v>
      </c>
      <c r="G45" s="52">
        <v>117.42</v>
      </c>
      <c r="H45" s="52">
        <v>169.57</v>
      </c>
      <c r="I45" s="52">
        <v>134.44999999999999</v>
      </c>
      <c r="J45" s="52">
        <v>122.1</v>
      </c>
      <c r="K45" s="52">
        <v>155.83000000000001</v>
      </c>
      <c r="L45" s="52">
        <v>107.09</v>
      </c>
      <c r="M45" s="52">
        <v>126.92</v>
      </c>
      <c r="N45" s="52">
        <v>161.41999999999999</v>
      </c>
      <c r="O45" s="52">
        <v>186.61</v>
      </c>
      <c r="P45" s="52">
        <v>159.13999999999999</v>
      </c>
      <c r="Q45" s="52">
        <v>158.63</v>
      </c>
      <c r="R45" s="52">
        <v>144.99</v>
      </c>
      <c r="S45" s="52">
        <v>194.24</v>
      </c>
      <c r="T45" s="52">
        <v>192.16</v>
      </c>
      <c r="U45" s="52">
        <v>112.1</v>
      </c>
      <c r="V45" s="52">
        <v>133.97</v>
      </c>
      <c r="W45" s="52">
        <v>227.02</v>
      </c>
      <c r="X45" s="52">
        <v>136.65</v>
      </c>
      <c r="Y45" s="52">
        <v>149.27000000000001</v>
      </c>
      <c r="Z45" s="52">
        <v>156.4</v>
      </c>
      <c r="AA45" s="52">
        <v>145.11000000000001</v>
      </c>
      <c r="AB45" s="52">
        <v>115.33</v>
      </c>
      <c r="AC45" s="52">
        <v>112.81</v>
      </c>
      <c r="AD45" s="52">
        <v>142.29</v>
      </c>
      <c r="AE45" s="52">
        <v>143.44</v>
      </c>
      <c r="AF45" s="52">
        <v>143</v>
      </c>
      <c r="AG45" s="52">
        <v>87.76</v>
      </c>
      <c r="AH45" s="52">
        <v>152.87</v>
      </c>
      <c r="AI45" s="52">
        <v>161.58000000000001</v>
      </c>
      <c r="AJ45" s="52">
        <v>111.81</v>
      </c>
      <c r="AK45" s="52">
        <v>179.95</v>
      </c>
      <c r="AL45" s="52">
        <v>172.95</v>
      </c>
      <c r="AM45" s="52">
        <v>127.56</v>
      </c>
      <c r="AN45" s="52">
        <v>49.47</v>
      </c>
      <c r="AO45" s="52">
        <v>115.84</v>
      </c>
      <c r="AP45" s="52">
        <v>78.150000000000006</v>
      </c>
      <c r="AQ45" s="52">
        <v>126.3</v>
      </c>
      <c r="AR45" s="52">
        <v>159.13999999999999</v>
      </c>
      <c r="AS45" s="52">
        <v>158.01</v>
      </c>
      <c r="AT45" s="52">
        <v>147.06</v>
      </c>
      <c r="AU45" s="52">
        <v>154.63</v>
      </c>
      <c r="AV45" s="52">
        <v>166.02</v>
      </c>
      <c r="AW45" s="52">
        <v>176.73</v>
      </c>
      <c r="AX45" s="52">
        <v>166.09</v>
      </c>
      <c r="AY45" s="52">
        <v>146.72999999999999</v>
      </c>
      <c r="AZ45" s="52">
        <v>182.55</v>
      </c>
      <c r="BA45" s="52">
        <v>188.4</v>
      </c>
      <c r="BB45" s="52">
        <v>131.07</v>
      </c>
      <c r="BC45" s="52">
        <v>201.34</v>
      </c>
      <c r="BD45" s="52">
        <v>181.4</v>
      </c>
      <c r="BE45" s="52">
        <v>165.53</v>
      </c>
      <c r="BF45" s="52">
        <v>158.72</v>
      </c>
      <c r="BG45" s="52">
        <v>186.77</v>
      </c>
      <c r="BH45" s="52">
        <v>172.68</v>
      </c>
      <c r="BI45" s="52">
        <v>136</v>
      </c>
      <c r="BJ45" s="52">
        <v>134.31</v>
      </c>
      <c r="BK45" s="52">
        <v>149.27000000000001</v>
      </c>
      <c r="BL45" s="52">
        <v>169.46</v>
      </c>
      <c r="BM45" s="52">
        <v>168.55</v>
      </c>
      <c r="BN45" s="52">
        <v>170.23</v>
      </c>
      <c r="BO45" s="52">
        <v>137.54</v>
      </c>
      <c r="BP45" s="52">
        <v>151.62</v>
      </c>
      <c r="BQ45" s="52">
        <v>158.91</v>
      </c>
      <c r="BR45" s="52">
        <v>131.71</v>
      </c>
      <c r="BS45" s="52">
        <v>209.82</v>
      </c>
      <c r="BT45" s="52">
        <v>178.15</v>
      </c>
      <c r="BU45" s="52">
        <v>174.05</v>
      </c>
      <c r="BV45" s="52">
        <v>192.16</v>
      </c>
      <c r="BW45" s="52">
        <v>111</v>
      </c>
      <c r="BX45" s="52">
        <v>121.65</v>
      </c>
      <c r="BY45" s="52">
        <v>168.2</v>
      </c>
      <c r="BZ45" s="52">
        <v>133.72</v>
      </c>
      <c r="CA45" s="52">
        <v>172.62</v>
      </c>
      <c r="CB45" s="53">
        <v>227.02</v>
      </c>
      <c r="CC45" s="52">
        <v>136.65</v>
      </c>
      <c r="CD45" s="52">
        <v>148.69</v>
      </c>
      <c r="CE45" s="52">
        <v>119.18</v>
      </c>
      <c r="CF45" s="52">
        <v>189.47</v>
      </c>
      <c r="CG45" s="52">
        <v>161.27000000000001</v>
      </c>
      <c r="CH45" s="52">
        <v>151.12</v>
      </c>
      <c r="CI45" s="52">
        <v>122.41</v>
      </c>
      <c r="CJ45" s="52">
        <v>115.33</v>
      </c>
      <c r="CK45" s="52">
        <v>105.38</v>
      </c>
      <c r="CL45" s="52">
        <v>114.89</v>
      </c>
      <c r="CM45" s="52">
        <v>187.57</v>
      </c>
      <c r="CN45" s="52">
        <v>142.29</v>
      </c>
      <c r="CO45" s="52">
        <v>143.44</v>
      </c>
      <c r="CP45" s="52">
        <v>123.77</v>
      </c>
      <c r="CQ45" s="52">
        <v>203.35</v>
      </c>
      <c r="CR45" s="52">
        <v>83.9</v>
      </c>
      <c r="CS45" s="52">
        <v>129.88999999999999</v>
      </c>
      <c r="CT45" s="52">
        <v>107.79</v>
      </c>
      <c r="CU45" s="52">
        <v>190.61</v>
      </c>
      <c r="CV45" s="52">
        <v>145.18</v>
      </c>
      <c r="CW45" s="52">
        <v>95.22</v>
      </c>
      <c r="CX45" s="52">
        <v>161.58000000000001</v>
      </c>
      <c r="CY45" s="52">
        <v>112.11</v>
      </c>
      <c r="CZ45" s="52">
        <v>98.72</v>
      </c>
      <c r="DA45" s="52">
        <v>104.18</v>
      </c>
      <c r="DB45" s="52">
        <v>146.13</v>
      </c>
      <c r="DC45" s="52">
        <v>182.52</v>
      </c>
      <c r="DD45" s="52">
        <v>181.62</v>
      </c>
      <c r="DE45" s="52">
        <v>163.71</v>
      </c>
      <c r="DF45" s="52">
        <v>159.07</v>
      </c>
      <c r="DG45" s="52">
        <v>176.36</v>
      </c>
      <c r="DH45" s="52">
        <v>100.9</v>
      </c>
      <c r="DI45" s="52">
        <v>122.76</v>
      </c>
      <c r="DJ45" s="52">
        <v>200.6</v>
      </c>
      <c r="DK45" s="52">
        <v>127.56</v>
      </c>
      <c r="DL45" s="52">
        <v>49.47</v>
      </c>
      <c r="DM45" s="52">
        <v>115.84</v>
      </c>
      <c r="DN45" s="52">
        <v>67.52</v>
      </c>
      <c r="DO45" s="52">
        <v>83.04</v>
      </c>
      <c r="DP45" s="52">
        <v>143.57</v>
      </c>
      <c r="DQ45" s="52">
        <v>126.3</v>
      </c>
      <c r="DR45" s="52">
        <v>171.87</v>
      </c>
      <c r="DS45" s="52">
        <v>127.42</v>
      </c>
      <c r="DT45" s="52"/>
      <c r="DU45" s="52">
        <v>157.30000000000001</v>
      </c>
      <c r="DV45" s="52">
        <v>180.86</v>
      </c>
      <c r="DW45" s="52">
        <v>138.22999999999999</v>
      </c>
      <c r="DX45" s="52">
        <v>162.15</v>
      </c>
      <c r="DY45" s="52">
        <v>181.98</v>
      </c>
      <c r="DZ45" s="52">
        <v>121.4</v>
      </c>
      <c r="EA45" s="52">
        <v>130.71</v>
      </c>
      <c r="EB45" s="52">
        <v>154.63</v>
      </c>
      <c r="EC45" s="52">
        <v>166.02</v>
      </c>
      <c r="ED45" s="52">
        <v>176.73</v>
      </c>
      <c r="EE45" s="52">
        <v>166.09</v>
      </c>
      <c r="EF45" s="52">
        <v>146.72999999999999</v>
      </c>
      <c r="EG45" s="52">
        <v>182.55</v>
      </c>
      <c r="EH45" s="52">
        <v>188.4</v>
      </c>
      <c r="EI45" s="52">
        <v>183.11</v>
      </c>
      <c r="EJ45" s="52">
        <v>106.32</v>
      </c>
      <c r="EK45" s="52">
        <v>116.13</v>
      </c>
      <c r="EL45" s="52">
        <v>217.73</v>
      </c>
      <c r="EM45" s="52">
        <v>151.54</v>
      </c>
      <c r="EN45" s="52">
        <v>181.4</v>
      </c>
      <c r="EO45" s="52">
        <v>207.26</v>
      </c>
      <c r="EP45" s="52">
        <v>124.33</v>
      </c>
      <c r="EQ45" s="52">
        <v>158.34</v>
      </c>
      <c r="ER45" s="52">
        <v>158.72</v>
      </c>
      <c r="ES45" s="52">
        <v>186.77</v>
      </c>
      <c r="ET45" s="52">
        <v>207.69</v>
      </c>
      <c r="EU45" s="52">
        <v>161.37</v>
      </c>
      <c r="EV45" s="52">
        <v>174.15</v>
      </c>
      <c r="EW45" s="52">
        <v>160.19999999999999</v>
      </c>
      <c r="EX45" s="52">
        <v>186.4</v>
      </c>
      <c r="EY45" s="52">
        <v>115.21</v>
      </c>
      <c r="EZ45" s="52">
        <v>136.35</v>
      </c>
      <c r="FA45" s="52">
        <v>134.66999999999999</v>
      </c>
      <c r="FB45" s="52">
        <v>143.11000000000001</v>
      </c>
      <c r="FC45" s="52">
        <v>138.91</v>
      </c>
      <c r="FD45" s="52">
        <v>129.38999999999999</v>
      </c>
      <c r="FE45" s="52">
        <v>134.31</v>
      </c>
      <c r="FF45" s="52"/>
      <c r="FG45" s="52">
        <v>136.9</v>
      </c>
      <c r="FH45" s="52">
        <v>147.19999999999999</v>
      </c>
      <c r="FI45" s="52">
        <v>158.31</v>
      </c>
      <c r="FJ45" s="52">
        <v>146.74</v>
      </c>
      <c r="FK45" s="52">
        <v>166.4</v>
      </c>
      <c r="FL45" s="52">
        <v>132.54</v>
      </c>
      <c r="FM45" s="52">
        <v>178.69</v>
      </c>
      <c r="FN45" s="52">
        <v>165.09</v>
      </c>
      <c r="FO45" s="52">
        <v>182.19</v>
      </c>
      <c r="FP45" s="52">
        <v>165.9</v>
      </c>
      <c r="FQ45" s="52">
        <v>148.54</v>
      </c>
      <c r="FR45" s="52">
        <v>221.76</v>
      </c>
      <c r="FS45" s="52">
        <v>164.16</v>
      </c>
      <c r="FT45" s="52">
        <v>127.07</v>
      </c>
      <c r="FU45" s="52">
        <v>177.44</v>
      </c>
      <c r="FV45" s="52">
        <v>143.61000000000001</v>
      </c>
      <c r="FW45" s="52">
        <v>116.85</v>
      </c>
      <c r="FX45" s="52">
        <v>151.62</v>
      </c>
      <c r="FY45" s="52">
        <v>145.53</v>
      </c>
      <c r="FZ45" s="52">
        <v>161.06</v>
      </c>
      <c r="GA45" s="52">
        <v>125.86</v>
      </c>
      <c r="GB45" s="52">
        <v>138.05000000000001</v>
      </c>
      <c r="GC45" s="52">
        <v>130.07</v>
      </c>
      <c r="GD45" s="52">
        <v>123.67</v>
      </c>
      <c r="GE45" s="52">
        <v>209.82</v>
      </c>
      <c r="GF45" s="52">
        <v>178.15</v>
      </c>
      <c r="GG45" s="52">
        <v>174.05</v>
      </c>
      <c r="GH45" s="52">
        <v>191.84</v>
      </c>
      <c r="GI45" s="52">
        <v>116.65</v>
      </c>
      <c r="GJ45" s="52">
        <v>107.93</v>
      </c>
      <c r="GK45" s="52">
        <v>104.17</v>
      </c>
      <c r="GL45" s="52">
        <v>132.04</v>
      </c>
      <c r="GM45" s="52">
        <v>121.65</v>
      </c>
      <c r="GN45" s="52">
        <v>168.2</v>
      </c>
      <c r="GO45" s="52">
        <v>135.16999999999999</v>
      </c>
      <c r="GP45" s="52">
        <v>135.79</v>
      </c>
      <c r="GQ45" s="52">
        <v>126.48</v>
      </c>
      <c r="GR45" s="52">
        <v>172.62</v>
      </c>
      <c r="GS45" s="52">
        <v>227.02</v>
      </c>
      <c r="GT45" s="52">
        <v>136.65</v>
      </c>
      <c r="GU45" s="52">
        <v>148.69</v>
      </c>
      <c r="GV45" s="52">
        <v>119.18</v>
      </c>
      <c r="GW45" s="52">
        <v>178.31</v>
      </c>
      <c r="GX45" s="52">
        <v>193.97</v>
      </c>
      <c r="GY45" s="52">
        <v>161.27000000000001</v>
      </c>
      <c r="GZ45" s="52">
        <v>154.47</v>
      </c>
      <c r="HA45" s="52">
        <v>153.33000000000001</v>
      </c>
      <c r="HB45" s="52">
        <v>150.16</v>
      </c>
      <c r="HC45" s="52">
        <v>122.41</v>
      </c>
      <c r="HD45" s="52">
        <v>115.33</v>
      </c>
      <c r="HE45" s="52">
        <v>95.34</v>
      </c>
      <c r="HF45" s="52">
        <v>101.11</v>
      </c>
      <c r="HG45" s="52">
        <v>101.3</v>
      </c>
      <c r="HH45" s="52">
        <v>132.88999999999999</v>
      </c>
      <c r="HI45" s="52">
        <v>76.400000000000006</v>
      </c>
      <c r="HJ45" s="52">
        <v>114.89</v>
      </c>
      <c r="HK45" s="52">
        <v>187.57</v>
      </c>
      <c r="HL45" s="52">
        <v>126.86</v>
      </c>
      <c r="HM45" s="52">
        <v>158.59</v>
      </c>
      <c r="HN45" s="52">
        <v>152.88999999999999</v>
      </c>
      <c r="HO45" s="52">
        <v>125.21</v>
      </c>
      <c r="HP45" s="52">
        <v>161.63</v>
      </c>
      <c r="HQ45" s="52">
        <v>122.17</v>
      </c>
      <c r="HR45" s="52">
        <v>138.47999999999999</v>
      </c>
      <c r="HS45" s="52">
        <v>203.91</v>
      </c>
      <c r="HT45" s="52">
        <v>173.57</v>
      </c>
      <c r="HU45" s="52">
        <v>83.9</v>
      </c>
      <c r="HV45" s="52">
        <v>129.88999999999999</v>
      </c>
      <c r="HW45" s="52">
        <v>114.92</v>
      </c>
      <c r="HX45" s="52">
        <v>91.86</v>
      </c>
      <c r="HY45" s="52">
        <v>190.61</v>
      </c>
      <c r="HZ45" s="52">
        <v>145.18</v>
      </c>
      <c r="IA45" s="52">
        <v>86.98</v>
      </c>
      <c r="IB45" s="52">
        <v>161.58000000000001</v>
      </c>
      <c r="IC45" s="52">
        <v>100.99</v>
      </c>
      <c r="ID45" s="52">
        <v>114.5</v>
      </c>
      <c r="IE45" s="52">
        <v>98.72</v>
      </c>
      <c r="IF45" s="52">
        <v>104.18</v>
      </c>
      <c r="IG45" s="52">
        <v>146.13</v>
      </c>
      <c r="IH45" s="52">
        <v>182.52</v>
      </c>
      <c r="II45" s="52">
        <v>181.62</v>
      </c>
      <c r="IJ45" s="52">
        <v>163.71</v>
      </c>
      <c r="IK45" s="52">
        <v>161.69</v>
      </c>
      <c r="IL45" s="52">
        <v>150.22</v>
      </c>
      <c r="IM45" s="52">
        <v>184.94</v>
      </c>
      <c r="IN45" s="52">
        <v>178.45</v>
      </c>
      <c r="IO45" s="52">
        <v>144.5</v>
      </c>
      <c r="IP45" s="52">
        <v>100.9</v>
      </c>
      <c r="IQ45" s="52">
        <v>122.76</v>
      </c>
      <c r="IR45" s="52">
        <v>200.6</v>
      </c>
      <c r="IS45" s="52">
        <v>127.56</v>
      </c>
      <c r="IT45" s="52">
        <v>49.47</v>
      </c>
      <c r="IU45" s="52">
        <v>115.84</v>
      </c>
      <c r="IV45" s="52">
        <v>68.040000000000006</v>
      </c>
      <c r="IW45" s="52">
        <v>83.04</v>
      </c>
      <c r="IX45" s="52">
        <v>143.57</v>
      </c>
      <c r="IY45" s="52">
        <v>126.3</v>
      </c>
      <c r="IZ45" s="52">
        <v>171.87</v>
      </c>
      <c r="JA45" s="52">
        <v>127.42</v>
      </c>
      <c r="JB45" s="52"/>
      <c r="JC45" s="52">
        <v>157.30000000000001</v>
      </c>
      <c r="JD45" s="52">
        <v>180.86</v>
      </c>
      <c r="JE45" s="52">
        <v>142.47</v>
      </c>
      <c r="JF45" s="52">
        <v>136.65</v>
      </c>
      <c r="JG45" s="52">
        <v>162.15</v>
      </c>
      <c r="JH45" s="52">
        <v>181.98</v>
      </c>
      <c r="JI45" s="52">
        <v>121.4</v>
      </c>
      <c r="JJ45" s="52">
        <v>130.71</v>
      </c>
      <c r="JK45" s="52">
        <v>154.63</v>
      </c>
      <c r="JL45" s="52">
        <v>166.02</v>
      </c>
      <c r="JM45" s="52">
        <v>176.73</v>
      </c>
      <c r="JN45" s="52">
        <v>166.09</v>
      </c>
      <c r="JO45" s="52">
        <v>146.72999999999999</v>
      </c>
      <c r="JP45" s="52">
        <v>189.47</v>
      </c>
      <c r="JQ45" s="52">
        <v>166.34</v>
      </c>
      <c r="JR45" s="52">
        <v>174.1</v>
      </c>
      <c r="JS45" s="52">
        <v>206.78</v>
      </c>
      <c r="JT45" s="52">
        <v>195.51</v>
      </c>
      <c r="JU45" s="52">
        <v>171.19</v>
      </c>
      <c r="JV45" s="52">
        <v>106.32</v>
      </c>
      <c r="JW45" s="52">
        <v>116.13</v>
      </c>
      <c r="JX45" s="52">
        <v>217.73</v>
      </c>
      <c r="JY45" s="52">
        <v>156.66</v>
      </c>
      <c r="JZ45" s="52">
        <v>141.62</v>
      </c>
      <c r="KA45" s="52">
        <v>181.4</v>
      </c>
      <c r="KB45" s="52">
        <v>207.26</v>
      </c>
      <c r="KC45" s="52">
        <v>124.33</v>
      </c>
      <c r="KD45" s="52">
        <v>158.34</v>
      </c>
      <c r="KE45" s="52">
        <v>158.72</v>
      </c>
      <c r="KF45" s="52">
        <v>186.77</v>
      </c>
    </row>
    <row r="46" spans="1:292" s="41" customFormat="1" ht="12">
      <c r="A46" s="41">
        <v>2008</v>
      </c>
      <c r="B46" s="54" t="s">
        <v>985</v>
      </c>
      <c r="C46" s="55" t="s">
        <v>986</v>
      </c>
      <c r="D46" s="52">
        <v>155.07</v>
      </c>
      <c r="E46" s="52">
        <v>158.24</v>
      </c>
      <c r="F46" s="52">
        <v>192.48</v>
      </c>
      <c r="G46" s="52">
        <v>131.5</v>
      </c>
      <c r="H46" s="52">
        <v>170.26</v>
      </c>
      <c r="I46" s="52">
        <v>137.28</v>
      </c>
      <c r="J46" s="52">
        <v>122.17</v>
      </c>
      <c r="K46" s="52">
        <v>158.27000000000001</v>
      </c>
      <c r="L46" s="52">
        <v>107.05</v>
      </c>
      <c r="M46" s="52">
        <v>128.93</v>
      </c>
      <c r="N46" s="52">
        <v>162.88999999999999</v>
      </c>
      <c r="O46" s="52">
        <v>189.71</v>
      </c>
      <c r="P46" s="52">
        <v>157.84</v>
      </c>
      <c r="Q46" s="52">
        <v>158.99</v>
      </c>
      <c r="R46" s="52">
        <v>146.08000000000001</v>
      </c>
      <c r="S46" s="52">
        <v>194.37</v>
      </c>
      <c r="T46" s="52">
        <v>192.16</v>
      </c>
      <c r="U46" s="52">
        <v>128.6</v>
      </c>
      <c r="V46" s="52">
        <v>139.47999999999999</v>
      </c>
      <c r="W46" s="52">
        <v>228.96</v>
      </c>
      <c r="X46" s="52">
        <v>138.38</v>
      </c>
      <c r="Y46" s="52">
        <v>150.75</v>
      </c>
      <c r="Z46" s="52">
        <v>156.1</v>
      </c>
      <c r="AA46" s="52">
        <v>151.26</v>
      </c>
      <c r="AB46" s="52">
        <v>116.52</v>
      </c>
      <c r="AC46" s="52">
        <v>114.29</v>
      </c>
      <c r="AD46" s="52">
        <v>143.66999999999999</v>
      </c>
      <c r="AE46" s="52">
        <v>145.56</v>
      </c>
      <c r="AF46" s="52">
        <v>144.69</v>
      </c>
      <c r="AG46" s="52">
        <v>87.86</v>
      </c>
      <c r="AH46" s="52">
        <v>152.91</v>
      </c>
      <c r="AI46" s="52">
        <v>161.63</v>
      </c>
      <c r="AJ46" s="52">
        <v>112.4</v>
      </c>
      <c r="AK46" s="52">
        <v>184.16</v>
      </c>
      <c r="AL46" s="52">
        <v>176.05</v>
      </c>
      <c r="AM46" s="52">
        <v>127.56</v>
      </c>
      <c r="AN46" s="52">
        <v>48.69</v>
      </c>
      <c r="AO46" s="52">
        <v>115.93</v>
      </c>
      <c r="AP46" s="52">
        <v>78.349999999999994</v>
      </c>
      <c r="AQ46" s="52">
        <v>127.55</v>
      </c>
      <c r="AR46" s="52">
        <v>160.30000000000001</v>
      </c>
      <c r="AS46" s="52">
        <v>160.46</v>
      </c>
      <c r="AT46" s="52">
        <v>149.82</v>
      </c>
      <c r="AU46" s="52">
        <v>165.27</v>
      </c>
      <c r="AV46" s="52">
        <v>167.76</v>
      </c>
      <c r="AW46" s="52">
        <v>179.68</v>
      </c>
      <c r="AX46" s="52">
        <v>166.09</v>
      </c>
      <c r="AY46" s="52">
        <v>147.66</v>
      </c>
      <c r="AZ46" s="52">
        <v>185.87</v>
      </c>
      <c r="BA46" s="52">
        <v>188.84</v>
      </c>
      <c r="BB46" s="52">
        <v>132.76</v>
      </c>
      <c r="BC46" s="52">
        <v>191.65</v>
      </c>
      <c r="BD46" s="52">
        <v>182.12</v>
      </c>
      <c r="BE46" s="52">
        <v>163.96</v>
      </c>
      <c r="BF46" s="52">
        <v>158.72</v>
      </c>
      <c r="BG46" s="52">
        <v>186.85</v>
      </c>
      <c r="BH46" s="52">
        <v>178.12</v>
      </c>
      <c r="BI46" s="52">
        <v>143.52000000000001</v>
      </c>
      <c r="BJ46" s="52">
        <v>141.97</v>
      </c>
      <c r="BK46" s="52">
        <v>146.22</v>
      </c>
      <c r="BL46" s="52">
        <v>183.05</v>
      </c>
      <c r="BM46" s="52">
        <v>172.63</v>
      </c>
      <c r="BN46" s="52">
        <v>149.31</v>
      </c>
      <c r="BO46" s="52">
        <v>139.43</v>
      </c>
      <c r="BP46" s="52">
        <v>154.47999999999999</v>
      </c>
      <c r="BQ46" s="52">
        <v>159.94</v>
      </c>
      <c r="BR46" s="52">
        <v>132.83000000000001</v>
      </c>
      <c r="BS46" s="52">
        <v>209.8</v>
      </c>
      <c r="BT46" s="52">
        <v>176.92</v>
      </c>
      <c r="BU46" s="52">
        <v>174.66</v>
      </c>
      <c r="BV46" s="52">
        <v>192.16</v>
      </c>
      <c r="BW46" s="52">
        <v>128.56</v>
      </c>
      <c r="BX46" s="52">
        <v>123.32</v>
      </c>
      <c r="BY46" s="52">
        <v>169.19</v>
      </c>
      <c r="BZ46" s="52">
        <v>139.24</v>
      </c>
      <c r="CA46" s="52">
        <v>175.11</v>
      </c>
      <c r="CB46" s="53">
        <v>228.96</v>
      </c>
      <c r="CC46" s="52">
        <v>138.38</v>
      </c>
      <c r="CD46" s="52">
        <v>150.19</v>
      </c>
      <c r="CE46" s="52">
        <v>119.18</v>
      </c>
      <c r="CF46" s="52">
        <v>190.2</v>
      </c>
      <c r="CG46" s="52">
        <v>159.04</v>
      </c>
      <c r="CH46" s="52">
        <v>158.99</v>
      </c>
      <c r="CI46" s="52">
        <v>122.32</v>
      </c>
      <c r="CJ46" s="52">
        <v>116.52</v>
      </c>
      <c r="CK46" s="52">
        <v>107.01</v>
      </c>
      <c r="CL46" s="52">
        <v>114.85</v>
      </c>
      <c r="CM46" s="52">
        <v>187.78</v>
      </c>
      <c r="CN46" s="52">
        <v>143.66999999999999</v>
      </c>
      <c r="CO46" s="52">
        <v>145.56</v>
      </c>
      <c r="CP46" s="52">
        <v>125.12</v>
      </c>
      <c r="CQ46" s="52">
        <v>206.48</v>
      </c>
      <c r="CR46" s="52">
        <v>83.91</v>
      </c>
      <c r="CS46" s="52">
        <v>130.31</v>
      </c>
      <c r="CT46" s="52">
        <v>108.54</v>
      </c>
      <c r="CU46" s="52">
        <v>190.65</v>
      </c>
      <c r="CV46" s="52">
        <v>145.22</v>
      </c>
      <c r="CW46" s="52">
        <v>95.24</v>
      </c>
      <c r="CX46" s="52">
        <v>161.63</v>
      </c>
      <c r="CY46" s="52">
        <v>112.71</v>
      </c>
      <c r="CZ46" s="52">
        <v>98.5</v>
      </c>
      <c r="DA46" s="52">
        <v>106.03</v>
      </c>
      <c r="DB46" s="52">
        <v>148.83000000000001</v>
      </c>
      <c r="DC46" s="52">
        <v>187.22</v>
      </c>
      <c r="DD46" s="52">
        <v>183.49</v>
      </c>
      <c r="DE46" s="52">
        <v>164.63</v>
      </c>
      <c r="DF46" s="52">
        <v>159.07</v>
      </c>
      <c r="DG46" s="52">
        <v>179.37</v>
      </c>
      <c r="DH46" s="52">
        <v>105.63</v>
      </c>
      <c r="DI46" s="52">
        <v>122.76</v>
      </c>
      <c r="DJ46" s="52">
        <v>206.71</v>
      </c>
      <c r="DK46" s="52">
        <v>127.56</v>
      </c>
      <c r="DL46" s="52">
        <v>48.69</v>
      </c>
      <c r="DM46" s="52">
        <v>115.93</v>
      </c>
      <c r="DN46" s="52">
        <v>68.23</v>
      </c>
      <c r="DO46" s="52">
        <v>82.2</v>
      </c>
      <c r="DP46" s="52">
        <v>141.83000000000001</v>
      </c>
      <c r="DQ46" s="52">
        <v>127.55</v>
      </c>
      <c r="DR46" s="52">
        <v>173.35</v>
      </c>
      <c r="DS46" s="52">
        <v>127.75</v>
      </c>
      <c r="DT46" s="52"/>
      <c r="DU46" s="52">
        <v>157.63</v>
      </c>
      <c r="DV46" s="52">
        <v>186.28</v>
      </c>
      <c r="DW46" s="52">
        <v>138.72999999999999</v>
      </c>
      <c r="DX46" s="52">
        <v>162.15</v>
      </c>
      <c r="DY46" s="52">
        <v>189.41</v>
      </c>
      <c r="DZ46" s="52">
        <v>121.4</v>
      </c>
      <c r="EA46" s="52">
        <v>131.72999999999999</v>
      </c>
      <c r="EB46" s="52">
        <v>165.27</v>
      </c>
      <c r="EC46" s="52">
        <v>167.76</v>
      </c>
      <c r="ED46" s="52">
        <v>179.68</v>
      </c>
      <c r="EE46" s="52">
        <v>166.09</v>
      </c>
      <c r="EF46" s="52">
        <v>147.66</v>
      </c>
      <c r="EG46" s="52">
        <v>185.87</v>
      </c>
      <c r="EH46" s="52">
        <v>188.84</v>
      </c>
      <c r="EI46" s="52">
        <v>185.54</v>
      </c>
      <c r="EJ46" s="52">
        <v>106.54</v>
      </c>
      <c r="EK46" s="52">
        <v>117.66</v>
      </c>
      <c r="EL46" s="52">
        <v>204.31</v>
      </c>
      <c r="EM46" s="52">
        <v>152.41</v>
      </c>
      <c r="EN46" s="52">
        <v>182.12</v>
      </c>
      <c r="EO46" s="52">
        <v>207.27</v>
      </c>
      <c r="EP46" s="52">
        <v>122.48</v>
      </c>
      <c r="EQ46" s="52">
        <v>156.87</v>
      </c>
      <c r="ER46" s="52">
        <v>158.72</v>
      </c>
      <c r="ES46" s="52">
        <v>186.85</v>
      </c>
      <c r="ET46" s="52">
        <v>225.48</v>
      </c>
      <c r="EU46" s="52">
        <v>164.66</v>
      </c>
      <c r="EV46" s="52">
        <v>179.88</v>
      </c>
      <c r="EW46" s="52">
        <v>161.31</v>
      </c>
      <c r="EX46" s="52">
        <v>188.14</v>
      </c>
      <c r="EY46" s="52">
        <v>115.48</v>
      </c>
      <c r="EZ46" s="52">
        <v>144.76</v>
      </c>
      <c r="FA46" s="52">
        <v>137.84</v>
      </c>
      <c r="FB46" s="52">
        <v>155.76</v>
      </c>
      <c r="FC46" s="52">
        <v>141.15</v>
      </c>
      <c r="FD46" s="52">
        <v>132.82</v>
      </c>
      <c r="FE46" s="52">
        <v>141.97</v>
      </c>
      <c r="FF46" s="52"/>
      <c r="FG46" s="52">
        <v>132.43</v>
      </c>
      <c r="FH46" s="52">
        <v>146.09</v>
      </c>
      <c r="FI46" s="52">
        <v>157.41999999999999</v>
      </c>
      <c r="FJ46" s="52">
        <v>138.13999999999999</v>
      </c>
      <c r="FK46" s="52">
        <v>165.31</v>
      </c>
      <c r="FL46" s="52">
        <v>132.81</v>
      </c>
      <c r="FM46" s="52">
        <v>196.95</v>
      </c>
      <c r="FN46" s="52">
        <v>169.1</v>
      </c>
      <c r="FO46" s="52">
        <v>186.6</v>
      </c>
      <c r="FP46" s="52">
        <v>129.56</v>
      </c>
      <c r="FQ46" s="52">
        <v>199.57</v>
      </c>
      <c r="FR46" s="52">
        <v>239.92</v>
      </c>
      <c r="FS46" s="52">
        <v>166.23</v>
      </c>
      <c r="FT46" s="52">
        <v>127.94</v>
      </c>
      <c r="FU46" s="52">
        <v>187.55</v>
      </c>
      <c r="FV46" s="52">
        <v>144.37</v>
      </c>
      <c r="FW46" s="52">
        <v>110.46</v>
      </c>
      <c r="FX46" s="52">
        <v>154.47999999999999</v>
      </c>
      <c r="FY46" s="52">
        <v>146.69</v>
      </c>
      <c r="FZ46" s="52">
        <v>162.1</v>
      </c>
      <c r="GA46" s="52">
        <v>125.92</v>
      </c>
      <c r="GB46" s="52">
        <v>138.97999999999999</v>
      </c>
      <c r="GC46" s="52">
        <v>131.08000000000001</v>
      </c>
      <c r="GD46" s="52">
        <v>125.52</v>
      </c>
      <c r="GE46" s="52">
        <v>209.8</v>
      </c>
      <c r="GF46" s="52">
        <v>176.92</v>
      </c>
      <c r="GG46" s="52">
        <v>174.66</v>
      </c>
      <c r="GH46" s="52">
        <v>191.84</v>
      </c>
      <c r="GI46" s="52">
        <v>128.51</v>
      </c>
      <c r="GJ46" s="52">
        <v>130.51</v>
      </c>
      <c r="GK46" s="52">
        <v>122.59</v>
      </c>
      <c r="GL46" s="52">
        <v>134.25</v>
      </c>
      <c r="GM46" s="52">
        <v>123.32</v>
      </c>
      <c r="GN46" s="52">
        <v>169.19</v>
      </c>
      <c r="GO46" s="52">
        <v>138.97</v>
      </c>
      <c r="GP46" s="52">
        <v>145.03</v>
      </c>
      <c r="GQ46" s="52">
        <v>129.24</v>
      </c>
      <c r="GR46" s="52">
        <v>175.11</v>
      </c>
      <c r="GS46" s="52">
        <v>228.96</v>
      </c>
      <c r="GT46" s="52">
        <v>138.38</v>
      </c>
      <c r="GU46" s="52">
        <v>150.19</v>
      </c>
      <c r="GV46" s="52">
        <v>119.18</v>
      </c>
      <c r="GW46" s="52">
        <v>178.83</v>
      </c>
      <c r="GX46" s="52">
        <v>194.81</v>
      </c>
      <c r="GY46" s="52">
        <v>159.04</v>
      </c>
      <c r="GZ46" s="52">
        <v>158.49</v>
      </c>
      <c r="HA46" s="52">
        <v>159.22999999999999</v>
      </c>
      <c r="HB46" s="52">
        <v>159.49</v>
      </c>
      <c r="HC46" s="52">
        <v>122.32</v>
      </c>
      <c r="HD46" s="52">
        <v>116.52</v>
      </c>
      <c r="HE46" s="52">
        <v>97.7</v>
      </c>
      <c r="HF46" s="52">
        <v>101.85</v>
      </c>
      <c r="HG46" s="52">
        <v>102.45</v>
      </c>
      <c r="HH46" s="52">
        <v>134.9</v>
      </c>
      <c r="HI46" s="52">
        <v>77.180000000000007</v>
      </c>
      <c r="HJ46" s="52">
        <v>114.85</v>
      </c>
      <c r="HK46" s="52">
        <v>187.78</v>
      </c>
      <c r="HL46" s="52">
        <v>127.95</v>
      </c>
      <c r="HM46" s="52">
        <v>159.62</v>
      </c>
      <c r="HN46" s="52">
        <v>154.61000000000001</v>
      </c>
      <c r="HO46" s="52">
        <v>126.21</v>
      </c>
      <c r="HP46" s="52">
        <v>164.98</v>
      </c>
      <c r="HQ46" s="52">
        <v>123.68</v>
      </c>
      <c r="HR46" s="52">
        <v>138.43</v>
      </c>
      <c r="HS46" s="52">
        <v>207.07</v>
      </c>
      <c r="HT46" s="52">
        <v>175.55</v>
      </c>
      <c r="HU46" s="52">
        <v>83.91</v>
      </c>
      <c r="HV46" s="52">
        <v>130.31</v>
      </c>
      <c r="HW46" s="52">
        <v>114.97</v>
      </c>
      <c r="HX46" s="52">
        <v>93.16</v>
      </c>
      <c r="HY46" s="52">
        <v>190.65</v>
      </c>
      <c r="HZ46" s="52">
        <v>145.22</v>
      </c>
      <c r="IA46" s="52">
        <v>87</v>
      </c>
      <c r="IB46" s="52">
        <v>161.63</v>
      </c>
      <c r="IC46" s="52">
        <v>101.63</v>
      </c>
      <c r="ID46" s="52">
        <v>115.06</v>
      </c>
      <c r="IE46" s="52">
        <v>98.5</v>
      </c>
      <c r="IF46" s="52">
        <v>106.03</v>
      </c>
      <c r="IG46" s="52">
        <v>148.83000000000001</v>
      </c>
      <c r="IH46" s="52">
        <v>187.22</v>
      </c>
      <c r="II46" s="52">
        <v>183.49</v>
      </c>
      <c r="IJ46" s="52">
        <v>164.63</v>
      </c>
      <c r="IK46" s="52">
        <v>161.69</v>
      </c>
      <c r="IL46" s="52">
        <v>150.22</v>
      </c>
      <c r="IM46" s="52">
        <v>186.32</v>
      </c>
      <c r="IN46" s="52">
        <v>180.22</v>
      </c>
      <c r="IO46" s="52">
        <v>153.27000000000001</v>
      </c>
      <c r="IP46" s="52">
        <v>105.63</v>
      </c>
      <c r="IQ46" s="52">
        <v>122.76</v>
      </c>
      <c r="IR46" s="52">
        <v>206.71</v>
      </c>
      <c r="IS46" s="52">
        <v>127.56</v>
      </c>
      <c r="IT46" s="52">
        <v>48.69</v>
      </c>
      <c r="IU46" s="52">
        <v>115.93</v>
      </c>
      <c r="IV46" s="52">
        <v>68.819999999999993</v>
      </c>
      <c r="IW46" s="52">
        <v>82.2</v>
      </c>
      <c r="IX46" s="52">
        <v>141.83000000000001</v>
      </c>
      <c r="IY46" s="52">
        <v>127.55</v>
      </c>
      <c r="IZ46" s="52">
        <v>173.35</v>
      </c>
      <c r="JA46" s="52">
        <v>127.75</v>
      </c>
      <c r="JB46" s="52"/>
      <c r="JC46" s="52">
        <v>157.63</v>
      </c>
      <c r="JD46" s="52">
        <v>186.28</v>
      </c>
      <c r="JE46" s="52">
        <v>143.74</v>
      </c>
      <c r="JF46" s="52">
        <v>136.86000000000001</v>
      </c>
      <c r="JG46" s="52">
        <v>162.15</v>
      </c>
      <c r="JH46" s="52">
        <v>189.41</v>
      </c>
      <c r="JI46" s="52">
        <v>121.4</v>
      </c>
      <c r="JJ46" s="52">
        <v>131.72999999999999</v>
      </c>
      <c r="JK46" s="52">
        <v>165.27</v>
      </c>
      <c r="JL46" s="52">
        <v>167.76</v>
      </c>
      <c r="JM46" s="52">
        <v>179.68</v>
      </c>
      <c r="JN46" s="52">
        <v>166.09</v>
      </c>
      <c r="JO46" s="52">
        <v>147.66</v>
      </c>
      <c r="JP46" s="52">
        <v>193.34</v>
      </c>
      <c r="JQ46" s="52">
        <v>168.41</v>
      </c>
      <c r="JR46" s="52">
        <v>174.86</v>
      </c>
      <c r="JS46" s="52">
        <v>206.85</v>
      </c>
      <c r="JT46" s="52">
        <v>199.13</v>
      </c>
      <c r="JU46" s="52">
        <v>172.43</v>
      </c>
      <c r="JV46" s="52">
        <v>106.54</v>
      </c>
      <c r="JW46" s="52">
        <v>117.66</v>
      </c>
      <c r="JX46" s="52">
        <v>204.31</v>
      </c>
      <c r="JY46" s="52">
        <v>157.69</v>
      </c>
      <c r="JZ46" s="52">
        <v>142.22999999999999</v>
      </c>
      <c r="KA46" s="52">
        <v>182.12</v>
      </c>
      <c r="KB46" s="52">
        <v>207.27</v>
      </c>
      <c r="KC46" s="52">
        <v>122.48</v>
      </c>
      <c r="KD46" s="52">
        <v>156.87</v>
      </c>
      <c r="KE46" s="52">
        <v>158.72</v>
      </c>
      <c r="KF46" s="52">
        <v>186.85</v>
      </c>
    </row>
    <row r="47" spans="1:292" s="41" customFormat="1" ht="12">
      <c r="A47" s="41">
        <v>2008</v>
      </c>
      <c r="B47" s="54" t="s">
        <v>987</v>
      </c>
      <c r="C47" s="55" t="s">
        <v>988</v>
      </c>
      <c r="D47" s="52">
        <v>154.51</v>
      </c>
      <c r="E47" s="52">
        <v>152.86000000000001</v>
      </c>
      <c r="F47" s="52">
        <v>192.49</v>
      </c>
      <c r="G47" s="52">
        <v>130.96</v>
      </c>
      <c r="H47" s="52">
        <v>172.48</v>
      </c>
      <c r="I47" s="52">
        <v>138.71</v>
      </c>
      <c r="J47" s="52">
        <v>122.31</v>
      </c>
      <c r="K47" s="52">
        <v>160.84</v>
      </c>
      <c r="L47" s="52">
        <v>107.76</v>
      </c>
      <c r="M47" s="52">
        <v>129.83000000000001</v>
      </c>
      <c r="N47" s="52">
        <v>166.78</v>
      </c>
      <c r="O47" s="52">
        <v>191.82</v>
      </c>
      <c r="P47" s="52">
        <v>158.15</v>
      </c>
      <c r="Q47" s="52">
        <v>153.07</v>
      </c>
      <c r="R47" s="52">
        <v>148.77000000000001</v>
      </c>
      <c r="S47" s="52">
        <v>194.51</v>
      </c>
      <c r="T47" s="52">
        <v>192.16</v>
      </c>
      <c r="U47" s="52">
        <v>128.22999999999999</v>
      </c>
      <c r="V47" s="52">
        <v>138.33000000000001</v>
      </c>
      <c r="W47" s="52">
        <v>231.46</v>
      </c>
      <c r="X47" s="52">
        <v>139.93</v>
      </c>
      <c r="Y47" s="52">
        <v>151.13</v>
      </c>
      <c r="Z47" s="52">
        <v>158.94</v>
      </c>
      <c r="AA47" s="52">
        <v>153.53</v>
      </c>
      <c r="AB47" s="52">
        <v>116.98</v>
      </c>
      <c r="AC47" s="52">
        <v>115.91</v>
      </c>
      <c r="AD47" s="52">
        <v>144.74</v>
      </c>
      <c r="AE47" s="52">
        <v>147.86000000000001</v>
      </c>
      <c r="AF47" s="52">
        <v>145.26</v>
      </c>
      <c r="AG47" s="52">
        <v>88.06</v>
      </c>
      <c r="AH47" s="52">
        <v>152.96</v>
      </c>
      <c r="AI47" s="52">
        <v>161.75</v>
      </c>
      <c r="AJ47" s="52">
        <v>112.72</v>
      </c>
      <c r="AK47" s="52">
        <v>188.33</v>
      </c>
      <c r="AL47" s="52">
        <v>180.19</v>
      </c>
      <c r="AM47" s="52">
        <v>143.38999999999999</v>
      </c>
      <c r="AN47" s="52">
        <v>47.15</v>
      </c>
      <c r="AO47" s="52">
        <v>117.04</v>
      </c>
      <c r="AP47" s="52">
        <v>78.150000000000006</v>
      </c>
      <c r="AQ47" s="52">
        <v>127.98</v>
      </c>
      <c r="AR47" s="52">
        <v>161.96</v>
      </c>
      <c r="AS47" s="52">
        <v>160.66999999999999</v>
      </c>
      <c r="AT47" s="52">
        <v>151.72</v>
      </c>
      <c r="AU47" s="52">
        <v>171.7</v>
      </c>
      <c r="AV47" s="52">
        <v>174.68</v>
      </c>
      <c r="AW47" s="52">
        <v>185.21</v>
      </c>
      <c r="AX47" s="52">
        <v>166.09</v>
      </c>
      <c r="AY47" s="52">
        <v>149.78</v>
      </c>
      <c r="AZ47" s="52">
        <v>188.09</v>
      </c>
      <c r="BA47" s="52">
        <v>189.61</v>
      </c>
      <c r="BB47" s="52">
        <v>134.07</v>
      </c>
      <c r="BC47" s="52">
        <v>189.72</v>
      </c>
      <c r="BD47" s="52">
        <v>182.69</v>
      </c>
      <c r="BE47" s="52">
        <v>163.30000000000001</v>
      </c>
      <c r="BF47" s="52">
        <v>158.72</v>
      </c>
      <c r="BG47" s="52">
        <v>186.92</v>
      </c>
      <c r="BH47" s="52">
        <v>184.99</v>
      </c>
      <c r="BI47" s="52">
        <v>140.47999999999999</v>
      </c>
      <c r="BJ47" s="52">
        <v>138.03</v>
      </c>
      <c r="BK47" s="52">
        <v>144.47</v>
      </c>
      <c r="BL47" s="52">
        <v>184.39</v>
      </c>
      <c r="BM47" s="52">
        <v>149.22</v>
      </c>
      <c r="BN47" s="52">
        <v>123.56</v>
      </c>
      <c r="BO47" s="52">
        <v>140.97</v>
      </c>
      <c r="BP47" s="52">
        <v>155.62</v>
      </c>
      <c r="BQ47" s="52">
        <v>164.68</v>
      </c>
      <c r="BR47" s="52">
        <v>133.91</v>
      </c>
      <c r="BS47" s="52">
        <v>209.83</v>
      </c>
      <c r="BT47" s="52">
        <v>176.52</v>
      </c>
      <c r="BU47" s="52">
        <v>175.06</v>
      </c>
      <c r="BV47" s="52">
        <v>192.16</v>
      </c>
      <c r="BW47" s="52">
        <v>128.15</v>
      </c>
      <c r="BX47" s="52">
        <v>123.56</v>
      </c>
      <c r="BY47" s="52">
        <v>170.04</v>
      </c>
      <c r="BZ47" s="52">
        <v>138.09</v>
      </c>
      <c r="CA47" s="52">
        <v>175.55</v>
      </c>
      <c r="CB47" s="53">
        <v>231.46</v>
      </c>
      <c r="CC47" s="52">
        <v>139.93</v>
      </c>
      <c r="CD47" s="52">
        <v>150.57</v>
      </c>
      <c r="CE47" s="52">
        <v>119.18</v>
      </c>
      <c r="CF47" s="52">
        <v>197.3</v>
      </c>
      <c r="CG47" s="52">
        <v>161.37</v>
      </c>
      <c r="CH47" s="52">
        <v>161.22999999999999</v>
      </c>
      <c r="CI47" s="52">
        <v>124.67</v>
      </c>
      <c r="CJ47" s="52">
        <v>116.98</v>
      </c>
      <c r="CK47" s="52">
        <v>108.63</v>
      </c>
      <c r="CL47" s="52">
        <v>116.63</v>
      </c>
      <c r="CM47" s="52">
        <v>188.12</v>
      </c>
      <c r="CN47" s="52">
        <v>144.74</v>
      </c>
      <c r="CO47" s="52">
        <v>147.86000000000001</v>
      </c>
      <c r="CP47" s="52">
        <v>125.57</v>
      </c>
      <c r="CQ47" s="52">
        <v>207.6</v>
      </c>
      <c r="CR47" s="52">
        <v>83.91</v>
      </c>
      <c r="CS47" s="52">
        <v>129.97999999999999</v>
      </c>
      <c r="CT47" s="52">
        <v>110.3</v>
      </c>
      <c r="CU47" s="52">
        <v>190.7</v>
      </c>
      <c r="CV47" s="52">
        <v>145.34</v>
      </c>
      <c r="CW47" s="52">
        <v>95.24</v>
      </c>
      <c r="CX47" s="52">
        <v>161.75</v>
      </c>
      <c r="CY47" s="52">
        <v>113.04</v>
      </c>
      <c r="CZ47" s="52">
        <v>98.07</v>
      </c>
      <c r="DA47" s="52">
        <v>107.6</v>
      </c>
      <c r="DB47" s="52">
        <v>150.53</v>
      </c>
      <c r="DC47" s="52">
        <v>192.15</v>
      </c>
      <c r="DD47" s="52">
        <v>184.03</v>
      </c>
      <c r="DE47" s="52">
        <v>164.19</v>
      </c>
      <c r="DF47" s="52">
        <v>162.05000000000001</v>
      </c>
      <c r="DG47" s="52">
        <v>183.2</v>
      </c>
      <c r="DH47" s="52">
        <v>111.4</v>
      </c>
      <c r="DI47" s="52">
        <v>141.6</v>
      </c>
      <c r="DJ47" s="52">
        <v>211.04</v>
      </c>
      <c r="DK47" s="52">
        <v>143.38999999999999</v>
      </c>
      <c r="DL47" s="52">
        <v>47.15</v>
      </c>
      <c r="DM47" s="52">
        <v>117.04</v>
      </c>
      <c r="DN47" s="52">
        <v>68.19</v>
      </c>
      <c r="DO47" s="52">
        <v>81.58</v>
      </c>
      <c r="DP47" s="52">
        <v>141.27000000000001</v>
      </c>
      <c r="DQ47" s="52">
        <v>127.98</v>
      </c>
      <c r="DR47" s="52">
        <v>175.41</v>
      </c>
      <c r="DS47" s="52">
        <v>128.38</v>
      </c>
      <c r="DT47" s="52"/>
      <c r="DU47" s="52">
        <v>158.41999999999999</v>
      </c>
      <c r="DV47" s="52">
        <v>186.42</v>
      </c>
      <c r="DW47" s="52">
        <v>139.03</v>
      </c>
      <c r="DX47" s="52">
        <v>162.15</v>
      </c>
      <c r="DY47" s="52">
        <v>194.05</v>
      </c>
      <c r="DZ47" s="52">
        <v>122.08</v>
      </c>
      <c r="EA47" s="52">
        <v>132.22</v>
      </c>
      <c r="EB47" s="52">
        <v>171.7</v>
      </c>
      <c r="EC47" s="52">
        <v>174.68</v>
      </c>
      <c r="ED47" s="52">
        <v>185.21</v>
      </c>
      <c r="EE47" s="52">
        <v>166.09</v>
      </c>
      <c r="EF47" s="52">
        <v>149.78</v>
      </c>
      <c r="EG47" s="52">
        <v>188.09</v>
      </c>
      <c r="EH47" s="52">
        <v>189.61</v>
      </c>
      <c r="EI47" s="52">
        <v>187.17</v>
      </c>
      <c r="EJ47" s="52">
        <v>108.37</v>
      </c>
      <c r="EK47" s="52">
        <v>118.84</v>
      </c>
      <c r="EL47" s="52">
        <v>201.34</v>
      </c>
      <c r="EM47" s="52">
        <v>153.41</v>
      </c>
      <c r="EN47" s="52">
        <v>182.69</v>
      </c>
      <c r="EO47" s="52">
        <v>207.26</v>
      </c>
      <c r="EP47" s="52">
        <v>121.9</v>
      </c>
      <c r="EQ47" s="52">
        <v>156.21</v>
      </c>
      <c r="ER47" s="52">
        <v>158.72</v>
      </c>
      <c r="ES47" s="52">
        <v>186.92</v>
      </c>
      <c r="ET47" s="52">
        <v>229.69</v>
      </c>
      <c r="EU47" s="52">
        <v>166.14</v>
      </c>
      <c r="EV47" s="52">
        <v>191.06</v>
      </c>
      <c r="EW47" s="52">
        <v>162.56</v>
      </c>
      <c r="EX47" s="52">
        <v>189.89</v>
      </c>
      <c r="EY47" s="52">
        <v>117.11</v>
      </c>
      <c r="EZ47" s="52">
        <v>146.03</v>
      </c>
      <c r="FA47" s="52">
        <v>138.27000000000001</v>
      </c>
      <c r="FB47" s="52">
        <v>138.28</v>
      </c>
      <c r="FC47" s="52">
        <v>140.4</v>
      </c>
      <c r="FD47" s="52">
        <v>135.22999999999999</v>
      </c>
      <c r="FE47" s="52">
        <v>138.03</v>
      </c>
      <c r="FF47" s="52"/>
      <c r="FG47" s="52">
        <v>128.1</v>
      </c>
      <c r="FH47" s="52">
        <v>145.01</v>
      </c>
      <c r="FI47" s="52">
        <v>157.55000000000001</v>
      </c>
      <c r="FJ47" s="52">
        <v>134.96</v>
      </c>
      <c r="FK47" s="52">
        <v>164.23</v>
      </c>
      <c r="FL47" s="52">
        <v>132.66</v>
      </c>
      <c r="FM47" s="52">
        <v>198.9</v>
      </c>
      <c r="FN47" s="52">
        <v>141.27000000000001</v>
      </c>
      <c r="FO47" s="52">
        <v>188.99</v>
      </c>
      <c r="FP47" s="52">
        <v>94.58</v>
      </c>
      <c r="FQ47" s="52">
        <v>181.74</v>
      </c>
      <c r="FR47" s="52">
        <v>253.87</v>
      </c>
      <c r="FS47" s="52">
        <v>168.88</v>
      </c>
      <c r="FT47" s="52">
        <v>128.69999999999999</v>
      </c>
      <c r="FU47" s="52">
        <v>193.11</v>
      </c>
      <c r="FV47" s="52">
        <v>145.93</v>
      </c>
      <c r="FW47" s="52">
        <v>108.37</v>
      </c>
      <c r="FX47" s="52">
        <v>155.62</v>
      </c>
      <c r="FY47" s="52">
        <v>146.44999999999999</v>
      </c>
      <c r="FZ47" s="52">
        <v>167.57</v>
      </c>
      <c r="GA47" s="52">
        <v>126.02</v>
      </c>
      <c r="GB47" s="52">
        <v>141.43</v>
      </c>
      <c r="GC47" s="52">
        <v>131.81</v>
      </c>
      <c r="GD47" s="52">
        <v>125.45</v>
      </c>
      <c r="GE47" s="52">
        <v>209.83</v>
      </c>
      <c r="GF47" s="52">
        <v>176.52</v>
      </c>
      <c r="GG47" s="52">
        <v>175.06</v>
      </c>
      <c r="GH47" s="52">
        <v>191.84</v>
      </c>
      <c r="GI47" s="52">
        <v>128.19999999999999</v>
      </c>
      <c r="GJ47" s="52">
        <v>129.30000000000001</v>
      </c>
      <c r="GK47" s="52">
        <v>123.99</v>
      </c>
      <c r="GL47" s="52">
        <v>134.08000000000001</v>
      </c>
      <c r="GM47" s="52">
        <v>123.56</v>
      </c>
      <c r="GN47" s="52">
        <v>170.04</v>
      </c>
      <c r="GO47" s="52">
        <v>137.6</v>
      </c>
      <c r="GP47" s="52">
        <v>143.35</v>
      </c>
      <c r="GQ47" s="52">
        <v>129.52000000000001</v>
      </c>
      <c r="GR47" s="52">
        <v>175.55</v>
      </c>
      <c r="GS47" s="52">
        <v>231.46</v>
      </c>
      <c r="GT47" s="52">
        <v>139.93</v>
      </c>
      <c r="GU47" s="52">
        <v>150.57</v>
      </c>
      <c r="GV47" s="52">
        <v>119.18</v>
      </c>
      <c r="GW47" s="52">
        <v>192.42</v>
      </c>
      <c r="GX47" s="52">
        <v>198.57</v>
      </c>
      <c r="GY47" s="52">
        <v>161.37</v>
      </c>
      <c r="GZ47" s="52">
        <v>162.25</v>
      </c>
      <c r="HA47" s="52">
        <v>164.51</v>
      </c>
      <c r="HB47" s="52">
        <v>160.08000000000001</v>
      </c>
      <c r="HC47" s="52">
        <v>124.67</v>
      </c>
      <c r="HD47" s="52">
        <v>116.98</v>
      </c>
      <c r="HE47" s="52">
        <v>99.38</v>
      </c>
      <c r="HF47" s="52">
        <v>102.5</v>
      </c>
      <c r="HG47" s="52">
        <v>104.4</v>
      </c>
      <c r="HH47" s="52">
        <v>137.38999999999999</v>
      </c>
      <c r="HI47" s="52">
        <v>78.540000000000006</v>
      </c>
      <c r="HJ47" s="52">
        <v>116.63</v>
      </c>
      <c r="HK47" s="52">
        <v>188.12</v>
      </c>
      <c r="HL47" s="52">
        <v>128.52000000000001</v>
      </c>
      <c r="HM47" s="52">
        <v>161.94999999999999</v>
      </c>
      <c r="HN47" s="52">
        <v>155.91999999999999</v>
      </c>
      <c r="HO47" s="52">
        <v>126.78</v>
      </c>
      <c r="HP47" s="52">
        <v>169.2</v>
      </c>
      <c r="HQ47" s="52">
        <v>124.05</v>
      </c>
      <c r="HR47" s="52">
        <v>139.6</v>
      </c>
      <c r="HS47" s="52">
        <v>208.2</v>
      </c>
      <c r="HT47" s="52">
        <v>176.37</v>
      </c>
      <c r="HU47" s="52">
        <v>83.91</v>
      </c>
      <c r="HV47" s="52">
        <v>129.97999999999999</v>
      </c>
      <c r="HW47" s="52">
        <v>118.43</v>
      </c>
      <c r="HX47" s="52">
        <v>93.25</v>
      </c>
      <c r="HY47" s="52">
        <v>190.7</v>
      </c>
      <c r="HZ47" s="52">
        <v>145.34</v>
      </c>
      <c r="IA47" s="52">
        <v>87</v>
      </c>
      <c r="IB47" s="52">
        <v>161.75</v>
      </c>
      <c r="IC47" s="52">
        <v>102.27</v>
      </c>
      <c r="ID47" s="52">
        <v>115.2</v>
      </c>
      <c r="IE47" s="52">
        <v>98.07</v>
      </c>
      <c r="IF47" s="52">
        <v>107.6</v>
      </c>
      <c r="IG47" s="52">
        <v>150.53</v>
      </c>
      <c r="IH47" s="52">
        <v>192.15</v>
      </c>
      <c r="II47" s="52">
        <v>184.03</v>
      </c>
      <c r="IJ47" s="52">
        <v>164.19</v>
      </c>
      <c r="IK47" s="52">
        <v>166.31</v>
      </c>
      <c r="IL47" s="52">
        <v>150.22</v>
      </c>
      <c r="IM47" s="52">
        <v>188.57</v>
      </c>
      <c r="IN47" s="52">
        <v>181.31</v>
      </c>
      <c r="IO47" s="52">
        <v>163.02000000000001</v>
      </c>
      <c r="IP47" s="52">
        <v>111.4</v>
      </c>
      <c r="IQ47" s="52">
        <v>141.6</v>
      </c>
      <c r="IR47" s="52">
        <v>211.04</v>
      </c>
      <c r="IS47" s="52">
        <v>143.38999999999999</v>
      </c>
      <c r="IT47" s="52">
        <v>47.15</v>
      </c>
      <c r="IU47" s="52">
        <v>117.04</v>
      </c>
      <c r="IV47" s="52">
        <v>68.930000000000007</v>
      </c>
      <c r="IW47" s="52">
        <v>81.58</v>
      </c>
      <c r="IX47" s="52">
        <v>141.27000000000001</v>
      </c>
      <c r="IY47" s="52">
        <v>127.98</v>
      </c>
      <c r="IZ47" s="52">
        <v>175.41</v>
      </c>
      <c r="JA47" s="52">
        <v>128.38</v>
      </c>
      <c r="JB47" s="52"/>
      <c r="JC47" s="52">
        <v>158.41999999999999</v>
      </c>
      <c r="JD47" s="52">
        <v>186.42</v>
      </c>
      <c r="JE47" s="52">
        <v>145.99</v>
      </c>
      <c r="JF47" s="52">
        <v>136.47</v>
      </c>
      <c r="JG47" s="52">
        <v>162.15</v>
      </c>
      <c r="JH47" s="52">
        <v>194.05</v>
      </c>
      <c r="JI47" s="52">
        <v>122.08</v>
      </c>
      <c r="JJ47" s="52">
        <v>132.22</v>
      </c>
      <c r="JK47" s="52">
        <v>171.7</v>
      </c>
      <c r="JL47" s="52">
        <v>174.68</v>
      </c>
      <c r="JM47" s="52">
        <v>185.21</v>
      </c>
      <c r="JN47" s="52">
        <v>166.09</v>
      </c>
      <c r="JO47" s="52">
        <v>149.78</v>
      </c>
      <c r="JP47" s="52">
        <v>195.91</v>
      </c>
      <c r="JQ47" s="52">
        <v>169.8</v>
      </c>
      <c r="JR47" s="52">
        <v>176.22</v>
      </c>
      <c r="JS47" s="52">
        <v>206.94</v>
      </c>
      <c r="JT47" s="52">
        <v>201.39</v>
      </c>
      <c r="JU47" s="52">
        <v>173.44</v>
      </c>
      <c r="JV47" s="52">
        <v>108.37</v>
      </c>
      <c r="JW47" s="52">
        <v>118.84</v>
      </c>
      <c r="JX47" s="52">
        <v>201.34</v>
      </c>
      <c r="JY47" s="52">
        <v>159.09</v>
      </c>
      <c r="JZ47" s="52">
        <v>142.63</v>
      </c>
      <c r="KA47" s="52">
        <v>182.69</v>
      </c>
      <c r="KB47" s="52">
        <v>207.26</v>
      </c>
      <c r="KC47" s="52">
        <v>121.9</v>
      </c>
      <c r="KD47" s="52">
        <v>156.21</v>
      </c>
      <c r="KE47" s="52">
        <v>158.72</v>
      </c>
      <c r="KF47" s="52">
        <v>186.92</v>
      </c>
    </row>
    <row r="48" spans="1:292" s="41" customFormat="1" ht="12">
      <c r="A48" s="41">
        <v>2008</v>
      </c>
      <c r="B48" s="54" t="s">
        <v>989</v>
      </c>
      <c r="C48" s="55" t="s">
        <v>990</v>
      </c>
      <c r="D48" s="52">
        <v>155.4</v>
      </c>
      <c r="E48" s="52">
        <v>153.53</v>
      </c>
      <c r="F48" s="52">
        <v>192.6</v>
      </c>
      <c r="G48" s="52">
        <v>120.48</v>
      </c>
      <c r="H48" s="52">
        <v>181.69</v>
      </c>
      <c r="I48" s="52">
        <v>140.07</v>
      </c>
      <c r="J48" s="52">
        <v>122.43</v>
      </c>
      <c r="K48" s="52">
        <v>160.33000000000001</v>
      </c>
      <c r="L48" s="52">
        <v>108.74</v>
      </c>
      <c r="M48" s="52">
        <v>130.38999999999999</v>
      </c>
      <c r="N48" s="52">
        <v>168.22</v>
      </c>
      <c r="O48" s="52">
        <v>193.61</v>
      </c>
      <c r="P48" s="52">
        <v>159.61000000000001</v>
      </c>
      <c r="Q48" s="52">
        <v>153.66999999999999</v>
      </c>
      <c r="R48" s="52">
        <v>150.47999999999999</v>
      </c>
      <c r="S48" s="52">
        <v>196.21</v>
      </c>
      <c r="T48" s="52">
        <v>192.16</v>
      </c>
      <c r="U48" s="52">
        <v>117.98</v>
      </c>
      <c r="V48" s="52">
        <v>127.25</v>
      </c>
      <c r="W48" s="52">
        <v>234</v>
      </c>
      <c r="X48" s="52">
        <v>141.93</v>
      </c>
      <c r="Y48" s="52">
        <v>151.38999999999999</v>
      </c>
      <c r="Z48" s="52">
        <v>175.23</v>
      </c>
      <c r="AA48" s="52">
        <v>153.9</v>
      </c>
      <c r="AB48" s="52">
        <v>117.6</v>
      </c>
      <c r="AC48" s="52">
        <v>118.31</v>
      </c>
      <c r="AD48" s="52">
        <v>145.51</v>
      </c>
      <c r="AE48" s="52">
        <v>150.22999999999999</v>
      </c>
      <c r="AF48" s="52">
        <v>146.78</v>
      </c>
      <c r="AG48" s="52">
        <v>88.26</v>
      </c>
      <c r="AH48" s="52">
        <v>153.05000000000001</v>
      </c>
      <c r="AI48" s="52">
        <v>161.59</v>
      </c>
      <c r="AJ48" s="52">
        <v>109.28</v>
      </c>
      <c r="AK48" s="52">
        <v>189.64</v>
      </c>
      <c r="AL48" s="52">
        <v>182.92</v>
      </c>
      <c r="AM48" s="52">
        <v>143.38999999999999</v>
      </c>
      <c r="AN48" s="52">
        <v>47.34</v>
      </c>
      <c r="AO48" s="52">
        <v>118.14</v>
      </c>
      <c r="AP48" s="52">
        <v>77.66</v>
      </c>
      <c r="AQ48" s="52">
        <v>128.1</v>
      </c>
      <c r="AR48" s="52">
        <v>163.72</v>
      </c>
      <c r="AS48" s="52">
        <v>160.35</v>
      </c>
      <c r="AT48" s="52">
        <v>153.97</v>
      </c>
      <c r="AU48" s="52">
        <v>175.95</v>
      </c>
      <c r="AV48" s="52">
        <v>176.53</v>
      </c>
      <c r="AW48" s="52">
        <v>186.83</v>
      </c>
      <c r="AX48" s="52">
        <v>167.05</v>
      </c>
      <c r="AY48" s="52">
        <v>149.13999999999999</v>
      </c>
      <c r="AZ48" s="52">
        <v>189.93</v>
      </c>
      <c r="BA48" s="52">
        <v>190.49</v>
      </c>
      <c r="BB48" s="52">
        <v>134.46</v>
      </c>
      <c r="BC48" s="52">
        <v>195.54</v>
      </c>
      <c r="BD48" s="52">
        <v>183.73</v>
      </c>
      <c r="BE48" s="52">
        <v>161.68</v>
      </c>
      <c r="BF48" s="52">
        <v>161.4</v>
      </c>
      <c r="BG48" s="52">
        <v>186.92</v>
      </c>
      <c r="BH48" s="52">
        <v>186.06</v>
      </c>
      <c r="BI48" s="52">
        <v>140.55000000000001</v>
      </c>
      <c r="BJ48" s="52">
        <v>144.97</v>
      </c>
      <c r="BK48" s="52">
        <v>146.35</v>
      </c>
      <c r="BL48" s="52">
        <v>187.51</v>
      </c>
      <c r="BM48" s="52">
        <v>143.02000000000001</v>
      </c>
      <c r="BN48" s="52">
        <v>125.52</v>
      </c>
      <c r="BO48" s="52">
        <v>142.33000000000001</v>
      </c>
      <c r="BP48" s="52">
        <v>156.66999999999999</v>
      </c>
      <c r="BQ48" s="52">
        <v>167.89</v>
      </c>
      <c r="BR48" s="52">
        <v>134.46</v>
      </c>
      <c r="BS48" s="52">
        <v>209.83</v>
      </c>
      <c r="BT48" s="52">
        <v>179.71</v>
      </c>
      <c r="BU48" s="52">
        <v>178.46</v>
      </c>
      <c r="BV48" s="52">
        <v>192.16</v>
      </c>
      <c r="BW48" s="52">
        <v>117.25</v>
      </c>
      <c r="BX48" s="52">
        <v>121.43</v>
      </c>
      <c r="BY48" s="52">
        <v>171.08</v>
      </c>
      <c r="BZ48" s="52">
        <v>126.94</v>
      </c>
      <c r="CA48" s="52">
        <v>176.97</v>
      </c>
      <c r="CB48" s="53">
        <v>234</v>
      </c>
      <c r="CC48" s="52">
        <v>141.93</v>
      </c>
      <c r="CD48" s="52">
        <v>150.83000000000001</v>
      </c>
      <c r="CE48" s="52">
        <v>144.63999999999999</v>
      </c>
      <c r="CF48" s="52">
        <v>203.05</v>
      </c>
      <c r="CG48" s="52">
        <v>171.15</v>
      </c>
      <c r="CH48" s="52">
        <v>161.56</v>
      </c>
      <c r="CI48" s="52">
        <v>125.16</v>
      </c>
      <c r="CJ48" s="52">
        <v>117.6</v>
      </c>
      <c r="CK48" s="52">
        <v>111.01</v>
      </c>
      <c r="CL48" s="52">
        <v>118.49</v>
      </c>
      <c r="CM48" s="52">
        <v>190.36</v>
      </c>
      <c r="CN48" s="52">
        <v>145.51</v>
      </c>
      <c r="CO48" s="52">
        <v>150.22999999999999</v>
      </c>
      <c r="CP48" s="52">
        <v>126.95</v>
      </c>
      <c r="CQ48" s="52">
        <v>209.4</v>
      </c>
      <c r="CR48" s="52">
        <v>83.91</v>
      </c>
      <c r="CS48" s="52">
        <v>130</v>
      </c>
      <c r="CT48" s="52">
        <v>111.94</v>
      </c>
      <c r="CU48" s="52">
        <v>190.87</v>
      </c>
      <c r="CV48" s="52">
        <v>145.5</v>
      </c>
      <c r="CW48" s="52">
        <v>95.19</v>
      </c>
      <c r="CX48" s="52">
        <v>161.59</v>
      </c>
      <c r="CY48" s="52">
        <v>109.49</v>
      </c>
      <c r="CZ48" s="52">
        <v>97.83</v>
      </c>
      <c r="DA48" s="52">
        <v>107.27</v>
      </c>
      <c r="DB48" s="52">
        <v>152.12</v>
      </c>
      <c r="DC48" s="52">
        <v>193.39</v>
      </c>
      <c r="DD48" s="52">
        <v>186.4</v>
      </c>
      <c r="DE48" s="52">
        <v>162.97999999999999</v>
      </c>
      <c r="DF48" s="52">
        <v>164.38</v>
      </c>
      <c r="DG48" s="52">
        <v>186.03</v>
      </c>
      <c r="DH48" s="52">
        <v>112.33</v>
      </c>
      <c r="DI48" s="52">
        <v>141.6</v>
      </c>
      <c r="DJ48" s="52">
        <v>215.37</v>
      </c>
      <c r="DK48" s="52">
        <v>143.38999999999999</v>
      </c>
      <c r="DL48" s="52">
        <v>47.34</v>
      </c>
      <c r="DM48" s="52">
        <v>118.14</v>
      </c>
      <c r="DN48" s="52">
        <v>67.63</v>
      </c>
      <c r="DO48" s="52">
        <v>81.09</v>
      </c>
      <c r="DP48" s="52">
        <v>140.61000000000001</v>
      </c>
      <c r="DQ48" s="52">
        <v>128.1</v>
      </c>
      <c r="DR48" s="52">
        <v>177.97</v>
      </c>
      <c r="DS48" s="52">
        <v>127.83</v>
      </c>
      <c r="DT48" s="52"/>
      <c r="DU48" s="52">
        <v>159.49</v>
      </c>
      <c r="DV48" s="52">
        <v>187.43</v>
      </c>
      <c r="DW48" s="52">
        <v>137.51</v>
      </c>
      <c r="DX48" s="52">
        <v>162.15</v>
      </c>
      <c r="DY48" s="52">
        <v>194.97</v>
      </c>
      <c r="DZ48" s="52">
        <v>127.59</v>
      </c>
      <c r="EA48" s="52">
        <v>132.59</v>
      </c>
      <c r="EB48" s="52">
        <v>175.95</v>
      </c>
      <c r="EC48" s="52">
        <v>176.53</v>
      </c>
      <c r="ED48" s="52">
        <v>186.83</v>
      </c>
      <c r="EE48" s="52">
        <v>167.05</v>
      </c>
      <c r="EF48" s="52">
        <v>149.13999999999999</v>
      </c>
      <c r="EG48" s="52">
        <v>189.93</v>
      </c>
      <c r="EH48" s="52">
        <v>190.49</v>
      </c>
      <c r="EI48" s="52">
        <v>189.3</v>
      </c>
      <c r="EJ48" s="52">
        <v>108.42</v>
      </c>
      <c r="EK48" s="52">
        <v>118.8</v>
      </c>
      <c r="EL48" s="52">
        <v>208.93</v>
      </c>
      <c r="EM48" s="52">
        <v>154.21</v>
      </c>
      <c r="EN48" s="52">
        <v>183.73</v>
      </c>
      <c r="EO48" s="52">
        <v>207.27</v>
      </c>
      <c r="EP48" s="52">
        <v>122.6</v>
      </c>
      <c r="EQ48" s="52">
        <v>154.21</v>
      </c>
      <c r="ER48" s="52">
        <v>161.4</v>
      </c>
      <c r="ES48" s="52">
        <v>186.92</v>
      </c>
      <c r="ET48" s="52">
        <v>232.27</v>
      </c>
      <c r="EU48" s="52">
        <v>167.43</v>
      </c>
      <c r="EV48" s="52">
        <v>191.47</v>
      </c>
      <c r="EW48" s="52">
        <v>163.5</v>
      </c>
      <c r="EX48" s="52">
        <v>195.45</v>
      </c>
      <c r="EY48" s="52">
        <v>118.6</v>
      </c>
      <c r="EZ48" s="52">
        <v>146.43</v>
      </c>
      <c r="FA48" s="52">
        <v>136.02000000000001</v>
      </c>
      <c r="FB48" s="52">
        <v>139.9</v>
      </c>
      <c r="FC48" s="52">
        <v>139.24</v>
      </c>
      <c r="FD48" s="52">
        <v>136.28</v>
      </c>
      <c r="FE48" s="52">
        <v>144.97</v>
      </c>
      <c r="FF48" s="52"/>
      <c r="FG48" s="52">
        <v>126.83</v>
      </c>
      <c r="FH48" s="52">
        <v>147.06</v>
      </c>
      <c r="FI48" s="52">
        <v>159.22</v>
      </c>
      <c r="FJ48" s="52">
        <v>141.99</v>
      </c>
      <c r="FK48" s="52">
        <v>166.58</v>
      </c>
      <c r="FL48" s="52">
        <v>138.72</v>
      </c>
      <c r="FM48" s="52">
        <v>201.47</v>
      </c>
      <c r="FN48" s="52">
        <v>133.88</v>
      </c>
      <c r="FO48" s="52">
        <v>189.73</v>
      </c>
      <c r="FP48" s="52">
        <v>97.54</v>
      </c>
      <c r="FQ48" s="52">
        <v>162.09</v>
      </c>
      <c r="FR48" s="52">
        <v>271.08999999999997</v>
      </c>
      <c r="FS48" s="52">
        <v>172.24</v>
      </c>
      <c r="FT48" s="52">
        <v>130.54</v>
      </c>
      <c r="FU48" s="52">
        <v>194.73</v>
      </c>
      <c r="FV48" s="52">
        <v>147.05000000000001</v>
      </c>
      <c r="FW48" s="52">
        <v>106.36</v>
      </c>
      <c r="FX48" s="52">
        <v>156.66999999999999</v>
      </c>
      <c r="FY48" s="52">
        <v>148.12</v>
      </c>
      <c r="FZ48" s="52">
        <v>171</v>
      </c>
      <c r="GA48" s="52">
        <v>127.8</v>
      </c>
      <c r="GB48" s="52">
        <v>143.26</v>
      </c>
      <c r="GC48" s="52">
        <v>132.02000000000001</v>
      </c>
      <c r="GD48" s="52">
        <v>124.99</v>
      </c>
      <c r="GE48" s="52">
        <v>209.83</v>
      </c>
      <c r="GF48" s="52">
        <v>179.71</v>
      </c>
      <c r="GG48" s="52">
        <v>178.46</v>
      </c>
      <c r="GH48" s="52">
        <v>191.84</v>
      </c>
      <c r="GI48" s="52">
        <v>117.62</v>
      </c>
      <c r="GJ48" s="52">
        <v>118.02</v>
      </c>
      <c r="GK48" s="52">
        <v>113.03</v>
      </c>
      <c r="GL48" s="52">
        <v>129.81</v>
      </c>
      <c r="GM48" s="52">
        <v>121.43</v>
      </c>
      <c r="GN48" s="52">
        <v>171.08</v>
      </c>
      <c r="GO48" s="52">
        <v>127.04</v>
      </c>
      <c r="GP48" s="52">
        <v>129.15</v>
      </c>
      <c r="GQ48" s="52">
        <v>122.49</v>
      </c>
      <c r="GR48" s="52">
        <v>176.97</v>
      </c>
      <c r="GS48" s="52">
        <v>234</v>
      </c>
      <c r="GT48" s="52">
        <v>141.93</v>
      </c>
      <c r="GU48" s="52">
        <v>150.83000000000001</v>
      </c>
      <c r="GV48" s="52">
        <v>144.63999999999999</v>
      </c>
      <c r="GW48" s="52">
        <v>192.19</v>
      </c>
      <c r="GX48" s="52">
        <v>207.32</v>
      </c>
      <c r="GY48" s="52">
        <v>171.15</v>
      </c>
      <c r="GZ48" s="52">
        <v>165.16</v>
      </c>
      <c r="HA48" s="52">
        <v>160.36000000000001</v>
      </c>
      <c r="HB48" s="52">
        <v>162.25</v>
      </c>
      <c r="HC48" s="52">
        <v>125.16</v>
      </c>
      <c r="HD48" s="52">
        <v>117.6</v>
      </c>
      <c r="HE48" s="52">
        <v>103.57</v>
      </c>
      <c r="HF48" s="52">
        <v>105.13</v>
      </c>
      <c r="HG48" s="52">
        <v>103.89</v>
      </c>
      <c r="HH48" s="52">
        <v>138.30000000000001</v>
      </c>
      <c r="HI48" s="52">
        <v>79.55</v>
      </c>
      <c r="HJ48" s="52">
        <v>118.49</v>
      </c>
      <c r="HK48" s="52">
        <v>190.36</v>
      </c>
      <c r="HL48" s="52">
        <v>128.76</v>
      </c>
      <c r="HM48" s="52">
        <v>162.51</v>
      </c>
      <c r="HN48" s="52">
        <v>157.21</v>
      </c>
      <c r="HO48" s="52">
        <v>127.03</v>
      </c>
      <c r="HP48" s="52">
        <v>173.91</v>
      </c>
      <c r="HQ48" s="52">
        <v>125.5</v>
      </c>
      <c r="HR48" s="52">
        <v>140.28</v>
      </c>
      <c r="HS48" s="52">
        <v>210.06</v>
      </c>
      <c r="HT48" s="52">
        <v>176.27</v>
      </c>
      <c r="HU48" s="52">
        <v>83.91</v>
      </c>
      <c r="HV48" s="52">
        <v>130</v>
      </c>
      <c r="HW48" s="52">
        <v>121.16</v>
      </c>
      <c r="HX48" s="52">
        <v>93.8</v>
      </c>
      <c r="HY48" s="52">
        <v>190.87</v>
      </c>
      <c r="HZ48" s="52">
        <v>145.5</v>
      </c>
      <c r="IA48" s="52">
        <v>86.95</v>
      </c>
      <c r="IB48" s="52">
        <v>161.59</v>
      </c>
      <c r="IC48" s="52">
        <v>98.79</v>
      </c>
      <c r="ID48" s="52">
        <v>111.73</v>
      </c>
      <c r="IE48" s="52">
        <v>97.83</v>
      </c>
      <c r="IF48" s="52">
        <v>107.27</v>
      </c>
      <c r="IG48" s="52">
        <v>152.12</v>
      </c>
      <c r="IH48" s="52">
        <v>193.39</v>
      </c>
      <c r="II48" s="52">
        <v>186.4</v>
      </c>
      <c r="IJ48" s="52">
        <v>162.97999999999999</v>
      </c>
      <c r="IK48" s="52">
        <v>169.9</v>
      </c>
      <c r="IL48" s="52">
        <v>150.22</v>
      </c>
      <c r="IM48" s="52">
        <v>190.41</v>
      </c>
      <c r="IN48" s="52">
        <v>182.3</v>
      </c>
      <c r="IO48" s="52">
        <v>169.63</v>
      </c>
      <c r="IP48" s="52">
        <v>112.33</v>
      </c>
      <c r="IQ48" s="52">
        <v>141.6</v>
      </c>
      <c r="IR48" s="52">
        <v>215.37</v>
      </c>
      <c r="IS48" s="52">
        <v>143.38999999999999</v>
      </c>
      <c r="IT48" s="52">
        <v>47.34</v>
      </c>
      <c r="IU48" s="52">
        <v>118.14</v>
      </c>
      <c r="IV48" s="52">
        <v>68.31</v>
      </c>
      <c r="IW48" s="52">
        <v>81.09</v>
      </c>
      <c r="IX48" s="52">
        <v>140.61000000000001</v>
      </c>
      <c r="IY48" s="52">
        <v>128.1</v>
      </c>
      <c r="IZ48" s="52">
        <v>177.97</v>
      </c>
      <c r="JA48" s="52">
        <v>127.83</v>
      </c>
      <c r="JB48" s="52"/>
      <c r="JC48" s="52">
        <v>159.49</v>
      </c>
      <c r="JD48" s="52">
        <v>187.43</v>
      </c>
      <c r="JE48" s="52">
        <v>145.69999999999999</v>
      </c>
      <c r="JF48" s="52">
        <v>134.51</v>
      </c>
      <c r="JG48" s="52">
        <v>162.15</v>
      </c>
      <c r="JH48" s="52">
        <v>194.97</v>
      </c>
      <c r="JI48" s="52">
        <v>127.59</v>
      </c>
      <c r="JJ48" s="52">
        <v>132.59</v>
      </c>
      <c r="JK48" s="52">
        <v>175.95</v>
      </c>
      <c r="JL48" s="52">
        <v>176.53</v>
      </c>
      <c r="JM48" s="52">
        <v>186.83</v>
      </c>
      <c r="JN48" s="52">
        <v>167.05</v>
      </c>
      <c r="JO48" s="52">
        <v>149.13999999999999</v>
      </c>
      <c r="JP48" s="52">
        <v>197.45</v>
      </c>
      <c r="JQ48" s="52">
        <v>172.35</v>
      </c>
      <c r="JR48" s="52">
        <v>177.62</v>
      </c>
      <c r="JS48" s="52">
        <v>207.21</v>
      </c>
      <c r="JT48" s="52">
        <v>203.22</v>
      </c>
      <c r="JU48" s="52">
        <v>175.89</v>
      </c>
      <c r="JV48" s="52">
        <v>108.42</v>
      </c>
      <c r="JW48" s="52">
        <v>118.8</v>
      </c>
      <c r="JX48" s="52">
        <v>208.93</v>
      </c>
      <c r="JY48" s="52">
        <v>160.08000000000001</v>
      </c>
      <c r="JZ48" s="52">
        <v>143.13999999999999</v>
      </c>
      <c r="KA48" s="52">
        <v>183.73</v>
      </c>
      <c r="KB48" s="52">
        <v>207.27</v>
      </c>
      <c r="KC48" s="52">
        <v>122.6</v>
      </c>
      <c r="KD48" s="52">
        <v>154.21</v>
      </c>
      <c r="KE48" s="52">
        <v>161.4</v>
      </c>
      <c r="KF48" s="52">
        <v>186.92</v>
      </c>
    </row>
    <row r="49" spans="1:292" s="41" customFormat="1" ht="12">
      <c r="A49" s="41">
        <v>2008</v>
      </c>
      <c r="B49" s="54" t="s">
        <v>991</v>
      </c>
      <c r="C49" s="55" t="s">
        <v>992</v>
      </c>
      <c r="D49" s="52">
        <v>155.02000000000001</v>
      </c>
      <c r="E49" s="52">
        <v>153.47999999999999</v>
      </c>
      <c r="F49" s="52">
        <v>192.62</v>
      </c>
      <c r="G49" s="52">
        <v>113.19</v>
      </c>
      <c r="H49" s="52">
        <v>185.55</v>
      </c>
      <c r="I49" s="52">
        <v>140.07</v>
      </c>
      <c r="J49" s="52">
        <v>124.31</v>
      </c>
      <c r="K49" s="52">
        <v>157.84</v>
      </c>
      <c r="L49" s="52">
        <v>109.23</v>
      </c>
      <c r="M49" s="52">
        <v>130.69999999999999</v>
      </c>
      <c r="N49" s="52">
        <v>169.07</v>
      </c>
      <c r="O49" s="52">
        <v>195.12</v>
      </c>
      <c r="P49" s="52">
        <v>156.38999999999999</v>
      </c>
      <c r="Q49" s="52">
        <v>153.56</v>
      </c>
      <c r="R49" s="52">
        <v>151.44999999999999</v>
      </c>
      <c r="S49" s="52">
        <v>196.62</v>
      </c>
      <c r="T49" s="52">
        <v>192.16</v>
      </c>
      <c r="U49" s="52">
        <v>110.59</v>
      </c>
      <c r="V49" s="52">
        <v>120.43</v>
      </c>
      <c r="W49" s="52">
        <v>236.52</v>
      </c>
      <c r="X49" s="52">
        <v>143.49</v>
      </c>
      <c r="Y49" s="52">
        <v>154.62</v>
      </c>
      <c r="Z49" s="52">
        <v>180.24</v>
      </c>
      <c r="AA49" s="52">
        <v>152.97999999999999</v>
      </c>
      <c r="AB49" s="52">
        <v>118.22</v>
      </c>
      <c r="AC49" s="52">
        <v>117.34</v>
      </c>
      <c r="AD49" s="52">
        <v>146.16</v>
      </c>
      <c r="AE49" s="52">
        <v>152.13</v>
      </c>
      <c r="AF49" s="52">
        <v>148.41</v>
      </c>
      <c r="AG49" s="52">
        <v>91.84</v>
      </c>
      <c r="AH49" s="52">
        <v>153.09</v>
      </c>
      <c r="AI49" s="52">
        <v>161.72</v>
      </c>
      <c r="AJ49" s="52">
        <v>108.93</v>
      </c>
      <c r="AK49" s="52">
        <v>180.66</v>
      </c>
      <c r="AL49" s="52">
        <v>185.05</v>
      </c>
      <c r="AM49" s="52">
        <v>143.38999999999999</v>
      </c>
      <c r="AN49" s="52">
        <v>45.8</v>
      </c>
      <c r="AO49" s="52">
        <v>119.01</v>
      </c>
      <c r="AP49" s="52">
        <v>77.260000000000005</v>
      </c>
      <c r="AQ49" s="52">
        <v>128.82</v>
      </c>
      <c r="AR49" s="52">
        <v>163.65</v>
      </c>
      <c r="AS49" s="52">
        <v>163.44</v>
      </c>
      <c r="AT49" s="52">
        <v>153.68</v>
      </c>
      <c r="AU49" s="52">
        <v>175.84</v>
      </c>
      <c r="AV49" s="52">
        <v>178.02</v>
      </c>
      <c r="AW49" s="52">
        <v>187.61</v>
      </c>
      <c r="AX49" s="52">
        <v>168.41</v>
      </c>
      <c r="AY49" s="52">
        <v>149.08000000000001</v>
      </c>
      <c r="AZ49" s="52">
        <v>191.48</v>
      </c>
      <c r="BA49" s="52">
        <v>191.33</v>
      </c>
      <c r="BB49" s="52">
        <v>135.83000000000001</v>
      </c>
      <c r="BC49" s="52">
        <v>178.99</v>
      </c>
      <c r="BD49" s="52">
        <v>185.41</v>
      </c>
      <c r="BE49" s="52">
        <v>157.88999999999999</v>
      </c>
      <c r="BF49" s="52">
        <v>164.08</v>
      </c>
      <c r="BG49" s="52">
        <v>186.93</v>
      </c>
      <c r="BH49" s="52">
        <v>187.12</v>
      </c>
      <c r="BI49" s="52">
        <v>142.9</v>
      </c>
      <c r="BJ49" s="52">
        <v>144.88</v>
      </c>
      <c r="BK49" s="52">
        <v>154.55000000000001</v>
      </c>
      <c r="BL49" s="52">
        <v>185.38</v>
      </c>
      <c r="BM49" s="52">
        <v>127.08</v>
      </c>
      <c r="BN49" s="52">
        <v>124.27</v>
      </c>
      <c r="BO49" s="52">
        <v>144.46</v>
      </c>
      <c r="BP49" s="52">
        <v>157.86000000000001</v>
      </c>
      <c r="BQ49" s="52">
        <v>169.47</v>
      </c>
      <c r="BR49" s="52">
        <v>134.96</v>
      </c>
      <c r="BS49" s="52">
        <v>209.84</v>
      </c>
      <c r="BT49" s="52">
        <v>182.77</v>
      </c>
      <c r="BU49" s="52">
        <v>178.76</v>
      </c>
      <c r="BV49" s="52">
        <v>192.16</v>
      </c>
      <c r="BW49" s="52">
        <v>109.43</v>
      </c>
      <c r="BX49" s="52">
        <v>119.06</v>
      </c>
      <c r="BY49" s="52">
        <v>172.26</v>
      </c>
      <c r="BZ49" s="52">
        <v>120.08</v>
      </c>
      <c r="CA49" s="52">
        <v>178.06</v>
      </c>
      <c r="CB49" s="53">
        <v>236.52</v>
      </c>
      <c r="CC49" s="52">
        <v>143.49</v>
      </c>
      <c r="CD49" s="52">
        <v>154.09</v>
      </c>
      <c r="CE49" s="52">
        <v>142.97</v>
      </c>
      <c r="CF49" s="52">
        <v>214.17</v>
      </c>
      <c r="CG49" s="52">
        <v>180.37</v>
      </c>
      <c r="CH49" s="52">
        <v>160.19</v>
      </c>
      <c r="CI49" s="52">
        <v>125.9</v>
      </c>
      <c r="CJ49" s="52">
        <v>118.22</v>
      </c>
      <c r="CK49" s="52">
        <v>109.35</v>
      </c>
      <c r="CL49" s="52">
        <v>119.99</v>
      </c>
      <c r="CM49" s="52">
        <v>199.49</v>
      </c>
      <c r="CN49" s="52">
        <v>146.16</v>
      </c>
      <c r="CO49" s="52">
        <v>152.13</v>
      </c>
      <c r="CP49" s="52">
        <v>128.61000000000001</v>
      </c>
      <c r="CQ49" s="52">
        <v>209.95</v>
      </c>
      <c r="CR49" s="52">
        <v>87.8</v>
      </c>
      <c r="CS49" s="52">
        <v>130.16999999999999</v>
      </c>
      <c r="CT49" s="52">
        <v>114.04</v>
      </c>
      <c r="CU49" s="52">
        <v>190.94</v>
      </c>
      <c r="CV49" s="52">
        <v>145.53</v>
      </c>
      <c r="CW49" s="52">
        <v>95.21</v>
      </c>
      <c r="CX49" s="52">
        <v>161.72</v>
      </c>
      <c r="CY49" s="52">
        <v>109.14</v>
      </c>
      <c r="CZ49" s="52">
        <v>97.34</v>
      </c>
      <c r="DA49" s="52">
        <v>106.74</v>
      </c>
      <c r="DB49" s="52">
        <v>152.91999999999999</v>
      </c>
      <c r="DC49" s="52">
        <v>182.13</v>
      </c>
      <c r="DD49" s="52">
        <v>187.79</v>
      </c>
      <c r="DE49" s="52">
        <v>164.43</v>
      </c>
      <c r="DF49" s="52">
        <v>169.82</v>
      </c>
      <c r="DG49" s="52">
        <v>188.22</v>
      </c>
      <c r="DH49" s="52">
        <v>112.26</v>
      </c>
      <c r="DI49" s="52">
        <v>142.85</v>
      </c>
      <c r="DJ49" s="52">
        <v>218.23</v>
      </c>
      <c r="DK49" s="52">
        <v>143.38999999999999</v>
      </c>
      <c r="DL49" s="52">
        <v>45.8</v>
      </c>
      <c r="DM49" s="52">
        <v>119.01</v>
      </c>
      <c r="DN49" s="52">
        <v>67.510000000000005</v>
      </c>
      <c r="DO49" s="52">
        <v>79.92</v>
      </c>
      <c r="DP49" s="52">
        <v>141.97</v>
      </c>
      <c r="DQ49" s="52">
        <v>128.82</v>
      </c>
      <c r="DR49" s="52">
        <v>177.96</v>
      </c>
      <c r="DS49" s="52">
        <v>127.25</v>
      </c>
      <c r="DT49" s="52"/>
      <c r="DU49" s="52">
        <v>161.56</v>
      </c>
      <c r="DV49" s="52">
        <v>191.68</v>
      </c>
      <c r="DW49" s="52">
        <v>140.34</v>
      </c>
      <c r="DX49" s="52">
        <v>162.15</v>
      </c>
      <c r="DY49" s="52">
        <v>192.91</v>
      </c>
      <c r="DZ49" s="52">
        <v>127.59</v>
      </c>
      <c r="EA49" s="52">
        <v>133.58000000000001</v>
      </c>
      <c r="EB49" s="52">
        <v>175.84</v>
      </c>
      <c r="EC49" s="52">
        <v>178.02</v>
      </c>
      <c r="ED49" s="52">
        <v>187.61</v>
      </c>
      <c r="EE49" s="52">
        <v>168.41</v>
      </c>
      <c r="EF49" s="52">
        <v>149.08000000000001</v>
      </c>
      <c r="EG49" s="52">
        <v>191.48</v>
      </c>
      <c r="EH49" s="52">
        <v>191.33</v>
      </c>
      <c r="EI49" s="52">
        <v>192.1</v>
      </c>
      <c r="EJ49" s="52">
        <v>110.71</v>
      </c>
      <c r="EK49" s="52">
        <v>119.74</v>
      </c>
      <c r="EL49" s="52">
        <v>185.85</v>
      </c>
      <c r="EM49" s="52">
        <v>156.16999999999999</v>
      </c>
      <c r="EN49" s="52">
        <v>185.41</v>
      </c>
      <c r="EO49" s="52">
        <v>207.27</v>
      </c>
      <c r="EP49" s="52">
        <v>120.96</v>
      </c>
      <c r="EQ49" s="52">
        <v>150.12</v>
      </c>
      <c r="ER49" s="52">
        <v>164.08</v>
      </c>
      <c r="ES49" s="52">
        <v>186.93</v>
      </c>
      <c r="ET49" s="52">
        <v>230.85</v>
      </c>
      <c r="EU49" s="52">
        <v>168.82</v>
      </c>
      <c r="EV49" s="52">
        <v>191.38</v>
      </c>
      <c r="EW49" s="52">
        <v>166.82</v>
      </c>
      <c r="EX49" s="52">
        <v>206.05</v>
      </c>
      <c r="EY49" s="52">
        <v>119.06</v>
      </c>
      <c r="EZ49" s="52">
        <v>148.69999999999999</v>
      </c>
      <c r="FA49" s="52">
        <v>134.29</v>
      </c>
      <c r="FB49" s="52">
        <v>147.46</v>
      </c>
      <c r="FC49" s="52">
        <v>138.77000000000001</v>
      </c>
      <c r="FD49" s="52">
        <v>137.53</v>
      </c>
      <c r="FE49" s="52">
        <v>144.88</v>
      </c>
      <c r="FF49" s="52"/>
      <c r="FG49" s="52">
        <v>133.21</v>
      </c>
      <c r="FH49" s="52">
        <v>148.07</v>
      </c>
      <c r="FI49" s="52">
        <v>162.33000000000001</v>
      </c>
      <c r="FJ49" s="52">
        <v>174.36</v>
      </c>
      <c r="FK49" s="52">
        <v>172.43</v>
      </c>
      <c r="FL49" s="52">
        <v>141.04</v>
      </c>
      <c r="FM49" s="52">
        <v>197.43</v>
      </c>
      <c r="FN49" s="52">
        <v>115.26</v>
      </c>
      <c r="FO49" s="52">
        <v>189.45</v>
      </c>
      <c r="FP49" s="52">
        <v>95.04</v>
      </c>
      <c r="FQ49" s="52">
        <v>159.01</v>
      </c>
      <c r="FR49" s="52">
        <v>282.14999999999998</v>
      </c>
      <c r="FS49" s="52">
        <v>173.82</v>
      </c>
      <c r="FT49" s="52">
        <v>133.36000000000001</v>
      </c>
      <c r="FU49" s="52">
        <v>195.84</v>
      </c>
      <c r="FV49" s="52">
        <v>148.96</v>
      </c>
      <c r="FW49" s="52">
        <v>106.47</v>
      </c>
      <c r="FX49" s="52">
        <v>157.86000000000001</v>
      </c>
      <c r="FY49" s="52">
        <v>150.03</v>
      </c>
      <c r="FZ49" s="52">
        <v>172.56</v>
      </c>
      <c r="GA49" s="52">
        <v>128.47999999999999</v>
      </c>
      <c r="GB49" s="52">
        <v>144.13</v>
      </c>
      <c r="GC49" s="52">
        <v>132.49</v>
      </c>
      <c r="GD49" s="52">
        <v>124.94</v>
      </c>
      <c r="GE49" s="52">
        <v>209.84</v>
      </c>
      <c r="GF49" s="52">
        <v>182.77</v>
      </c>
      <c r="GG49" s="52">
        <v>178.76</v>
      </c>
      <c r="GH49" s="52">
        <v>191.84</v>
      </c>
      <c r="GI49" s="52">
        <v>111.29</v>
      </c>
      <c r="GJ49" s="52">
        <v>108.07</v>
      </c>
      <c r="GK49" s="52">
        <v>107.05</v>
      </c>
      <c r="GL49" s="52">
        <v>127.57</v>
      </c>
      <c r="GM49" s="52">
        <v>119.06</v>
      </c>
      <c r="GN49" s="52">
        <v>172.26</v>
      </c>
      <c r="GO49" s="52">
        <v>121.2</v>
      </c>
      <c r="GP49" s="52">
        <v>119.18</v>
      </c>
      <c r="GQ49" s="52">
        <v>118.88</v>
      </c>
      <c r="GR49" s="52">
        <v>178.06</v>
      </c>
      <c r="GS49" s="52">
        <v>236.52</v>
      </c>
      <c r="GT49" s="52">
        <v>143.49</v>
      </c>
      <c r="GU49" s="52">
        <v>154.09</v>
      </c>
      <c r="GV49" s="52">
        <v>142.97</v>
      </c>
      <c r="GW49" s="52">
        <v>223.7</v>
      </c>
      <c r="GX49" s="52">
        <v>208.01</v>
      </c>
      <c r="GY49" s="52">
        <v>180.37</v>
      </c>
      <c r="GZ49" s="52">
        <v>168.04</v>
      </c>
      <c r="HA49" s="52">
        <v>158.97999999999999</v>
      </c>
      <c r="HB49" s="52">
        <v>160.33000000000001</v>
      </c>
      <c r="HC49" s="52">
        <v>125.9</v>
      </c>
      <c r="HD49" s="52">
        <v>118.22</v>
      </c>
      <c r="HE49" s="52">
        <v>99.5</v>
      </c>
      <c r="HF49" s="52">
        <v>102.64</v>
      </c>
      <c r="HG49" s="52">
        <v>104.49</v>
      </c>
      <c r="HH49" s="52">
        <v>140.13</v>
      </c>
      <c r="HI49" s="52">
        <v>79.55</v>
      </c>
      <c r="HJ49" s="52">
        <v>119.99</v>
      </c>
      <c r="HK49" s="52">
        <v>199.49</v>
      </c>
      <c r="HL49" s="52">
        <v>128.85</v>
      </c>
      <c r="HM49" s="52">
        <v>162.5</v>
      </c>
      <c r="HN49" s="52">
        <v>158.52000000000001</v>
      </c>
      <c r="HO49" s="52">
        <v>127.14</v>
      </c>
      <c r="HP49" s="52">
        <v>177.81</v>
      </c>
      <c r="HQ49" s="52">
        <v>126.96</v>
      </c>
      <c r="HR49" s="52">
        <v>143.77000000000001</v>
      </c>
      <c r="HS49" s="52">
        <v>210.6</v>
      </c>
      <c r="HT49" s="52">
        <v>176.97</v>
      </c>
      <c r="HU49" s="52">
        <v>87.8</v>
      </c>
      <c r="HV49" s="52">
        <v>130.16999999999999</v>
      </c>
      <c r="HW49" s="52">
        <v>125.53</v>
      </c>
      <c r="HX49" s="52">
        <v>93.7</v>
      </c>
      <c r="HY49" s="52">
        <v>190.94</v>
      </c>
      <c r="HZ49" s="52">
        <v>145.53</v>
      </c>
      <c r="IA49" s="52">
        <v>86.97</v>
      </c>
      <c r="IB49" s="52">
        <v>161.72</v>
      </c>
      <c r="IC49" s="52">
        <v>98.65</v>
      </c>
      <c r="ID49" s="52">
        <v>111.28</v>
      </c>
      <c r="IE49" s="52">
        <v>97.34</v>
      </c>
      <c r="IF49" s="52">
        <v>106.74</v>
      </c>
      <c r="IG49" s="52">
        <v>152.91999999999999</v>
      </c>
      <c r="IH49" s="52">
        <v>182.13</v>
      </c>
      <c r="II49" s="52">
        <v>187.79</v>
      </c>
      <c r="IJ49" s="52">
        <v>164.43</v>
      </c>
      <c r="IK49" s="52">
        <v>178.33</v>
      </c>
      <c r="IL49" s="52">
        <v>150.22</v>
      </c>
      <c r="IM49" s="52">
        <v>192.77</v>
      </c>
      <c r="IN49" s="52">
        <v>183.42</v>
      </c>
      <c r="IO49" s="52">
        <v>171.49</v>
      </c>
      <c r="IP49" s="52">
        <v>112.26</v>
      </c>
      <c r="IQ49" s="52">
        <v>142.85</v>
      </c>
      <c r="IR49" s="52">
        <v>218.23</v>
      </c>
      <c r="IS49" s="52">
        <v>143.38999999999999</v>
      </c>
      <c r="IT49" s="52">
        <v>45.8</v>
      </c>
      <c r="IU49" s="52">
        <v>119.01</v>
      </c>
      <c r="IV49" s="52">
        <v>68.33</v>
      </c>
      <c r="IW49" s="52">
        <v>79.92</v>
      </c>
      <c r="IX49" s="52">
        <v>141.97</v>
      </c>
      <c r="IY49" s="52">
        <v>128.82</v>
      </c>
      <c r="IZ49" s="52">
        <v>177.96</v>
      </c>
      <c r="JA49" s="52">
        <v>127.25</v>
      </c>
      <c r="JB49" s="52"/>
      <c r="JC49" s="52">
        <v>161.56</v>
      </c>
      <c r="JD49" s="52">
        <v>191.68</v>
      </c>
      <c r="JE49" s="52">
        <v>146.22999999999999</v>
      </c>
      <c r="JF49" s="52">
        <v>138.16</v>
      </c>
      <c r="JG49" s="52">
        <v>162.15</v>
      </c>
      <c r="JH49" s="52">
        <v>192.91</v>
      </c>
      <c r="JI49" s="52">
        <v>127.59</v>
      </c>
      <c r="JJ49" s="52">
        <v>133.58000000000001</v>
      </c>
      <c r="JK49" s="52">
        <v>175.84</v>
      </c>
      <c r="JL49" s="52">
        <v>178.02</v>
      </c>
      <c r="JM49" s="52">
        <v>187.61</v>
      </c>
      <c r="JN49" s="52">
        <v>168.41</v>
      </c>
      <c r="JO49" s="52">
        <v>149.08000000000001</v>
      </c>
      <c r="JP49" s="52">
        <v>199.17</v>
      </c>
      <c r="JQ49" s="52">
        <v>173.5</v>
      </c>
      <c r="JR49" s="52">
        <v>177.79</v>
      </c>
      <c r="JS49" s="52">
        <v>208.84</v>
      </c>
      <c r="JT49" s="52">
        <v>206.4</v>
      </c>
      <c r="JU49" s="52">
        <v>178.32</v>
      </c>
      <c r="JV49" s="52">
        <v>110.71</v>
      </c>
      <c r="JW49" s="52">
        <v>119.74</v>
      </c>
      <c r="JX49" s="52">
        <v>185.85</v>
      </c>
      <c r="JY49" s="52">
        <v>163.38</v>
      </c>
      <c r="JZ49" s="52">
        <v>143.08000000000001</v>
      </c>
      <c r="KA49" s="52">
        <v>185.41</v>
      </c>
      <c r="KB49" s="52">
        <v>207.27</v>
      </c>
      <c r="KC49" s="52">
        <v>120.96</v>
      </c>
      <c r="KD49" s="52">
        <v>150.12</v>
      </c>
      <c r="KE49" s="52">
        <v>164.08</v>
      </c>
      <c r="KF49" s="52">
        <v>186.93</v>
      </c>
    </row>
    <row r="50" spans="1:292" s="41" customFormat="1" ht="12">
      <c r="A50" s="41">
        <v>2008</v>
      </c>
      <c r="B50" s="54" t="s">
        <v>993</v>
      </c>
      <c r="C50" s="55" t="s">
        <v>994</v>
      </c>
      <c r="D50" s="52">
        <v>155.72</v>
      </c>
      <c r="E50" s="52">
        <v>153.87</v>
      </c>
      <c r="F50" s="52">
        <v>192.64</v>
      </c>
      <c r="G50" s="52">
        <v>113.77</v>
      </c>
      <c r="H50" s="52">
        <v>186.84</v>
      </c>
      <c r="I50" s="52">
        <v>140.55000000000001</v>
      </c>
      <c r="J50" s="52">
        <v>124.35</v>
      </c>
      <c r="K50" s="52">
        <v>158.11000000000001</v>
      </c>
      <c r="L50" s="52">
        <v>110.73</v>
      </c>
      <c r="M50" s="52">
        <v>130.72</v>
      </c>
      <c r="N50" s="52">
        <v>172.52</v>
      </c>
      <c r="O50" s="52">
        <v>197.13</v>
      </c>
      <c r="P50" s="52">
        <v>156.68</v>
      </c>
      <c r="Q50" s="52">
        <v>153.88999999999999</v>
      </c>
      <c r="R50" s="52">
        <v>152.66999999999999</v>
      </c>
      <c r="S50" s="52">
        <v>196.93</v>
      </c>
      <c r="T50" s="52">
        <v>192.16</v>
      </c>
      <c r="U50" s="52">
        <v>109.4</v>
      </c>
      <c r="V50" s="52">
        <v>127.12</v>
      </c>
      <c r="W50" s="52">
        <v>239.75</v>
      </c>
      <c r="X50" s="52">
        <v>144.25</v>
      </c>
      <c r="Y50" s="52">
        <v>146.85</v>
      </c>
      <c r="Z50" s="52">
        <v>184.01</v>
      </c>
      <c r="AA50" s="52">
        <v>152.03</v>
      </c>
      <c r="AB50" s="52">
        <v>118.73</v>
      </c>
      <c r="AC50" s="52">
        <v>118.72</v>
      </c>
      <c r="AD50" s="52">
        <v>146.72999999999999</v>
      </c>
      <c r="AE50" s="52">
        <v>154.41999999999999</v>
      </c>
      <c r="AF50" s="52">
        <v>149.13999999999999</v>
      </c>
      <c r="AG50" s="52">
        <v>91.84</v>
      </c>
      <c r="AH50" s="52">
        <v>153.18</v>
      </c>
      <c r="AI50" s="52">
        <v>161.77000000000001</v>
      </c>
      <c r="AJ50" s="52">
        <v>108.66</v>
      </c>
      <c r="AK50" s="52">
        <v>179.48</v>
      </c>
      <c r="AL50" s="52">
        <v>188.03</v>
      </c>
      <c r="AM50" s="52">
        <v>143.38999999999999</v>
      </c>
      <c r="AN50" s="52">
        <v>44.78</v>
      </c>
      <c r="AO50" s="52">
        <v>120.94</v>
      </c>
      <c r="AP50" s="52">
        <v>77.2</v>
      </c>
      <c r="AQ50" s="52">
        <v>131.16</v>
      </c>
      <c r="AR50" s="52">
        <v>164.1</v>
      </c>
      <c r="AS50" s="52">
        <v>161.56</v>
      </c>
      <c r="AT50" s="52">
        <v>156.94999999999999</v>
      </c>
      <c r="AU50" s="52">
        <v>171.93</v>
      </c>
      <c r="AV50" s="52">
        <v>189.49</v>
      </c>
      <c r="AW50" s="52">
        <v>187.62</v>
      </c>
      <c r="AX50" s="52">
        <v>175.53</v>
      </c>
      <c r="AY50" s="52">
        <v>150.06</v>
      </c>
      <c r="AZ50" s="52">
        <v>193.36</v>
      </c>
      <c r="BA50" s="52">
        <v>194.22</v>
      </c>
      <c r="BB50" s="52">
        <v>135.94999999999999</v>
      </c>
      <c r="BC50" s="52">
        <v>179.37</v>
      </c>
      <c r="BD50" s="52">
        <v>195.57</v>
      </c>
      <c r="BE50" s="52">
        <v>157.71</v>
      </c>
      <c r="BF50" s="52">
        <v>164.08</v>
      </c>
      <c r="BG50" s="52">
        <v>187.12</v>
      </c>
      <c r="BH50" s="52">
        <v>187.24</v>
      </c>
      <c r="BI50" s="52">
        <v>147.58000000000001</v>
      </c>
      <c r="BJ50" s="52">
        <v>136.6</v>
      </c>
      <c r="BK50" s="52">
        <v>154.51</v>
      </c>
      <c r="BL50" s="52">
        <v>174.97</v>
      </c>
      <c r="BM50" s="52">
        <v>127.46</v>
      </c>
      <c r="BN50" s="52">
        <v>125.09</v>
      </c>
      <c r="BO50" s="52">
        <v>145.52000000000001</v>
      </c>
      <c r="BP50" s="52">
        <v>157.36000000000001</v>
      </c>
      <c r="BQ50" s="52">
        <v>170.08</v>
      </c>
      <c r="BR50" s="52">
        <v>136.6</v>
      </c>
      <c r="BS50" s="52">
        <v>209.81</v>
      </c>
      <c r="BT50" s="52">
        <v>185.91</v>
      </c>
      <c r="BU50" s="52">
        <v>178.85</v>
      </c>
      <c r="BV50" s="52">
        <v>192.16</v>
      </c>
      <c r="BW50" s="52">
        <v>108.03</v>
      </c>
      <c r="BX50" s="52">
        <v>121.42</v>
      </c>
      <c r="BY50" s="52">
        <v>173.6</v>
      </c>
      <c r="BZ50" s="52">
        <v>126.79</v>
      </c>
      <c r="CA50" s="52">
        <v>179.4</v>
      </c>
      <c r="CB50" s="53">
        <v>239.75</v>
      </c>
      <c r="CC50" s="52">
        <v>144.25</v>
      </c>
      <c r="CD50" s="52">
        <v>146.25</v>
      </c>
      <c r="CE50" s="52">
        <v>142.97</v>
      </c>
      <c r="CF50" s="52">
        <v>214.35</v>
      </c>
      <c r="CG50" s="52">
        <v>195.62</v>
      </c>
      <c r="CH50" s="52">
        <v>159.16999999999999</v>
      </c>
      <c r="CI50" s="52">
        <v>125.21</v>
      </c>
      <c r="CJ50" s="52">
        <v>118.73</v>
      </c>
      <c r="CK50" s="52">
        <v>110.67</v>
      </c>
      <c r="CL50" s="52">
        <v>121.63</v>
      </c>
      <c r="CM50" s="52">
        <v>200.67</v>
      </c>
      <c r="CN50" s="52">
        <v>146.72999999999999</v>
      </c>
      <c r="CO50" s="52">
        <v>154.41999999999999</v>
      </c>
      <c r="CP50" s="52">
        <v>128.97999999999999</v>
      </c>
      <c r="CQ50" s="52">
        <v>212.76</v>
      </c>
      <c r="CR50" s="52">
        <v>87.8</v>
      </c>
      <c r="CS50" s="52">
        <v>130.36000000000001</v>
      </c>
      <c r="CT50" s="52">
        <v>114</v>
      </c>
      <c r="CU50" s="52">
        <v>191.15</v>
      </c>
      <c r="CV50" s="52">
        <v>145.54</v>
      </c>
      <c r="CW50" s="52">
        <v>95.22</v>
      </c>
      <c r="CX50" s="52">
        <v>161.77000000000001</v>
      </c>
      <c r="CY50" s="52">
        <v>108.87</v>
      </c>
      <c r="CZ50" s="52">
        <v>97.25</v>
      </c>
      <c r="DA50" s="52">
        <v>106.38</v>
      </c>
      <c r="DB50" s="52">
        <v>153.51</v>
      </c>
      <c r="DC50" s="52">
        <v>180.54</v>
      </c>
      <c r="DD50" s="52">
        <v>188.45</v>
      </c>
      <c r="DE50" s="52">
        <v>165.39</v>
      </c>
      <c r="DF50" s="52">
        <v>170.05</v>
      </c>
      <c r="DG50" s="52">
        <v>191.57</v>
      </c>
      <c r="DH50" s="52">
        <v>111</v>
      </c>
      <c r="DI50" s="52">
        <v>142.85</v>
      </c>
      <c r="DJ50" s="52">
        <v>219.41</v>
      </c>
      <c r="DK50" s="52">
        <v>143.38999999999999</v>
      </c>
      <c r="DL50" s="52">
        <v>44.78</v>
      </c>
      <c r="DM50" s="52">
        <v>120.94</v>
      </c>
      <c r="DN50" s="52">
        <v>67.31</v>
      </c>
      <c r="DO50" s="52">
        <v>80.41</v>
      </c>
      <c r="DP50" s="52">
        <v>143.52000000000001</v>
      </c>
      <c r="DQ50" s="52">
        <v>131.16</v>
      </c>
      <c r="DR50" s="52">
        <v>178.14</v>
      </c>
      <c r="DS50" s="52">
        <v>128.44999999999999</v>
      </c>
      <c r="DT50" s="52"/>
      <c r="DU50" s="52">
        <v>162.71</v>
      </c>
      <c r="DV50" s="52">
        <v>186.44</v>
      </c>
      <c r="DW50" s="52">
        <v>140.87</v>
      </c>
      <c r="DX50" s="52">
        <v>162.15</v>
      </c>
      <c r="DY50" s="52">
        <v>199.79</v>
      </c>
      <c r="DZ50" s="52">
        <v>127.59</v>
      </c>
      <c r="EA50" s="52">
        <v>136.43</v>
      </c>
      <c r="EB50" s="52">
        <v>171.93</v>
      </c>
      <c r="EC50" s="52">
        <v>189.49</v>
      </c>
      <c r="ED50" s="52">
        <v>187.62</v>
      </c>
      <c r="EE50" s="52">
        <v>175.53</v>
      </c>
      <c r="EF50" s="52">
        <v>150.06</v>
      </c>
      <c r="EG50" s="52">
        <v>193.36</v>
      </c>
      <c r="EH50" s="52">
        <v>194.22</v>
      </c>
      <c r="EI50" s="52">
        <v>193.86</v>
      </c>
      <c r="EJ50" s="52">
        <v>111.34</v>
      </c>
      <c r="EK50" s="52">
        <v>119.41</v>
      </c>
      <c r="EL50" s="52">
        <v>185.31</v>
      </c>
      <c r="EM50" s="52">
        <v>159.07</v>
      </c>
      <c r="EN50" s="52">
        <v>195.57</v>
      </c>
      <c r="EO50" s="52">
        <v>207.23</v>
      </c>
      <c r="EP50" s="52">
        <v>120.96</v>
      </c>
      <c r="EQ50" s="52">
        <v>149.91</v>
      </c>
      <c r="ER50" s="52">
        <v>164.08</v>
      </c>
      <c r="ES50" s="52">
        <v>187.12</v>
      </c>
      <c r="ET50" s="52">
        <v>221.28</v>
      </c>
      <c r="EU50" s="52">
        <v>166.92</v>
      </c>
      <c r="EV50" s="52">
        <v>193.15</v>
      </c>
      <c r="EW50" s="52">
        <v>169.68</v>
      </c>
      <c r="EX50" s="52">
        <v>203.03</v>
      </c>
      <c r="EY50" s="52">
        <v>119.4</v>
      </c>
      <c r="EZ50" s="52">
        <v>151.49</v>
      </c>
      <c r="FA50" s="52">
        <v>135.88</v>
      </c>
      <c r="FB50" s="52">
        <v>160.87</v>
      </c>
      <c r="FC50" s="52">
        <v>138.69999999999999</v>
      </c>
      <c r="FD50" s="52">
        <v>138.69</v>
      </c>
      <c r="FE50" s="52">
        <v>136.6</v>
      </c>
      <c r="FF50" s="52"/>
      <c r="FG50" s="52">
        <v>137.41999999999999</v>
      </c>
      <c r="FH50" s="52">
        <v>148.44</v>
      </c>
      <c r="FI50" s="52">
        <v>162.85</v>
      </c>
      <c r="FJ50" s="52">
        <v>165.94</v>
      </c>
      <c r="FK50" s="52">
        <v>175.4</v>
      </c>
      <c r="FL50" s="52">
        <v>143.81</v>
      </c>
      <c r="FM50" s="52">
        <v>182.54</v>
      </c>
      <c r="FN50" s="52">
        <v>115.93</v>
      </c>
      <c r="FO50" s="52">
        <v>188.2</v>
      </c>
      <c r="FP50" s="52">
        <v>97.63</v>
      </c>
      <c r="FQ50" s="52">
        <v>152.88999999999999</v>
      </c>
      <c r="FR50" s="52">
        <v>276.12</v>
      </c>
      <c r="FS50" s="52">
        <v>172.25</v>
      </c>
      <c r="FT50" s="52">
        <v>134.43</v>
      </c>
      <c r="FU50" s="52">
        <v>194.47</v>
      </c>
      <c r="FV50" s="52">
        <v>149.88</v>
      </c>
      <c r="FW50" s="52">
        <v>113.99</v>
      </c>
      <c r="FX50" s="52">
        <v>157.36000000000001</v>
      </c>
      <c r="FY50" s="52">
        <v>150.96</v>
      </c>
      <c r="FZ50" s="52">
        <v>173.13</v>
      </c>
      <c r="GA50" s="52">
        <v>128.6</v>
      </c>
      <c r="GB50" s="52">
        <v>145.08000000000001</v>
      </c>
      <c r="GC50" s="52">
        <v>135.05000000000001</v>
      </c>
      <c r="GD50" s="52">
        <v>124.35</v>
      </c>
      <c r="GE50" s="52">
        <v>209.81</v>
      </c>
      <c r="GF50" s="52">
        <v>185.91</v>
      </c>
      <c r="GG50" s="52">
        <v>178.85</v>
      </c>
      <c r="GH50" s="52">
        <v>191.84</v>
      </c>
      <c r="GI50" s="52">
        <v>110.47</v>
      </c>
      <c r="GJ50" s="52">
        <v>105.94</v>
      </c>
      <c r="GK50" s="52">
        <v>106.11</v>
      </c>
      <c r="GL50" s="52">
        <v>128.13999999999999</v>
      </c>
      <c r="GM50" s="52">
        <v>121.42</v>
      </c>
      <c r="GN50" s="52">
        <v>173.6</v>
      </c>
      <c r="GO50" s="52">
        <v>127.04</v>
      </c>
      <c r="GP50" s="52">
        <v>127.24</v>
      </c>
      <c r="GQ50" s="52">
        <v>125.15</v>
      </c>
      <c r="GR50" s="52">
        <v>179.4</v>
      </c>
      <c r="GS50" s="52">
        <v>239.75</v>
      </c>
      <c r="GT50" s="52">
        <v>144.25</v>
      </c>
      <c r="GU50" s="52">
        <v>146.25</v>
      </c>
      <c r="GV50" s="52">
        <v>142.97</v>
      </c>
      <c r="GW50" s="52">
        <v>224.11</v>
      </c>
      <c r="GX50" s="52">
        <v>208.08</v>
      </c>
      <c r="GY50" s="52">
        <v>195.62</v>
      </c>
      <c r="GZ50" s="52">
        <v>169.7</v>
      </c>
      <c r="HA50" s="52">
        <v>158.55000000000001</v>
      </c>
      <c r="HB50" s="52">
        <v>158.69</v>
      </c>
      <c r="HC50" s="52">
        <v>125.21</v>
      </c>
      <c r="HD50" s="52">
        <v>118.73</v>
      </c>
      <c r="HE50" s="52">
        <v>102.46</v>
      </c>
      <c r="HF50" s="52">
        <v>103.97</v>
      </c>
      <c r="HG50" s="52">
        <v>105.89</v>
      </c>
      <c r="HH50" s="52">
        <v>139.97</v>
      </c>
      <c r="HI50" s="52">
        <v>76.92</v>
      </c>
      <c r="HJ50" s="52">
        <v>121.63</v>
      </c>
      <c r="HK50" s="52">
        <v>200.67</v>
      </c>
      <c r="HL50" s="52">
        <v>129.38999999999999</v>
      </c>
      <c r="HM50" s="52">
        <v>162.85</v>
      </c>
      <c r="HN50" s="52">
        <v>159.15</v>
      </c>
      <c r="HO50" s="52">
        <v>127.3</v>
      </c>
      <c r="HP50" s="52">
        <v>182.47</v>
      </c>
      <c r="HQ50" s="52">
        <v>127.18</v>
      </c>
      <c r="HR50" s="52">
        <v>145.47999999999999</v>
      </c>
      <c r="HS50" s="52">
        <v>213.46</v>
      </c>
      <c r="HT50" s="52">
        <v>177.97</v>
      </c>
      <c r="HU50" s="52">
        <v>87.8</v>
      </c>
      <c r="HV50" s="52">
        <v>130.36000000000001</v>
      </c>
      <c r="HW50" s="52">
        <v>125.64</v>
      </c>
      <c r="HX50" s="52">
        <v>93.52</v>
      </c>
      <c r="HY50" s="52">
        <v>191.15</v>
      </c>
      <c r="HZ50" s="52">
        <v>145.54</v>
      </c>
      <c r="IA50" s="52">
        <v>86.98</v>
      </c>
      <c r="IB50" s="52">
        <v>161.77000000000001</v>
      </c>
      <c r="IC50" s="52">
        <v>96.88</v>
      </c>
      <c r="ID50" s="52">
        <v>111.84</v>
      </c>
      <c r="IE50" s="52">
        <v>97.25</v>
      </c>
      <c r="IF50" s="52">
        <v>106.38</v>
      </c>
      <c r="IG50" s="52">
        <v>153.51</v>
      </c>
      <c r="IH50" s="52">
        <v>180.54</v>
      </c>
      <c r="II50" s="52">
        <v>188.45</v>
      </c>
      <c r="IJ50" s="52">
        <v>165.39</v>
      </c>
      <c r="IK50" s="52">
        <v>178.69</v>
      </c>
      <c r="IL50" s="52">
        <v>150.22</v>
      </c>
      <c r="IM50" s="52">
        <v>198.01</v>
      </c>
      <c r="IN50" s="52">
        <v>184.73</v>
      </c>
      <c r="IO50" s="52">
        <v>169.1</v>
      </c>
      <c r="IP50" s="52">
        <v>111</v>
      </c>
      <c r="IQ50" s="52">
        <v>142.85</v>
      </c>
      <c r="IR50" s="52">
        <v>219.41</v>
      </c>
      <c r="IS50" s="52">
        <v>143.38999999999999</v>
      </c>
      <c r="IT50" s="52">
        <v>44.78</v>
      </c>
      <c r="IU50" s="52">
        <v>120.94</v>
      </c>
      <c r="IV50" s="52">
        <v>68.319999999999993</v>
      </c>
      <c r="IW50" s="52">
        <v>80.41</v>
      </c>
      <c r="IX50" s="52">
        <v>143.52000000000001</v>
      </c>
      <c r="IY50" s="52">
        <v>131.16</v>
      </c>
      <c r="IZ50" s="52">
        <v>178.14</v>
      </c>
      <c r="JA50" s="52">
        <v>128.44999999999999</v>
      </c>
      <c r="JB50" s="52"/>
      <c r="JC50" s="52">
        <v>162.71</v>
      </c>
      <c r="JD50" s="52">
        <v>186.44</v>
      </c>
      <c r="JE50" s="52">
        <v>146.61000000000001</v>
      </c>
      <c r="JF50" s="52">
        <v>138.74</v>
      </c>
      <c r="JG50" s="52">
        <v>162.15</v>
      </c>
      <c r="JH50" s="52">
        <v>199.79</v>
      </c>
      <c r="JI50" s="52">
        <v>127.59</v>
      </c>
      <c r="JJ50" s="52">
        <v>136.43</v>
      </c>
      <c r="JK50" s="52">
        <v>171.93</v>
      </c>
      <c r="JL50" s="52">
        <v>189.49</v>
      </c>
      <c r="JM50" s="52">
        <v>187.62</v>
      </c>
      <c r="JN50" s="52">
        <v>175.53</v>
      </c>
      <c r="JO50" s="52">
        <v>150.06</v>
      </c>
      <c r="JP50" s="52">
        <v>201.11</v>
      </c>
      <c r="JQ50" s="52">
        <v>175.22</v>
      </c>
      <c r="JR50" s="52">
        <v>178.22</v>
      </c>
      <c r="JS50" s="52">
        <v>214.65</v>
      </c>
      <c r="JT50" s="52">
        <v>207.31</v>
      </c>
      <c r="JU50" s="52">
        <v>180.92</v>
      </c>
      <c r="JV50" s="52">
        <v>111.34</v>
      </c>
      <c r="JW50" s="52">
        <v>119.41</v>
      </c>
      <c r="JX50" s="52">
        <v>185.31</v>
      </c>
      <c r="JY50" s="52">
        <v>167.73</v>
      </c>
      <c r="JZ50" s="52">
        <v>143.79</v>
      </c>
      <c r="KA50" s="52">
        <v>195.57</v>
      </c>
      <c r="KB50" s="52">
        <v>207.23</v>
      </c>
      <c r="KC50" s="52">
        <v>120.96</v>
      </c>
      <c r="KD50" s="52">
        <v>149.91</v>
      </c>
      <c r="KE50" s="52">
        <v>164.08</v>
      </c>
      <c r="KF50" s="52">
        <v>187.12</v>
      </c>
    </row>
    <row r="51" spans="1:292" s="41" customFormat="1" ht="12">
      <c r="A51" s="41">
        <v>2008</v>
      </c>
      <c r="B51" s="54" t="s">
        <v>995</v>
      </c>
      <c r="C51" s="55" t="s">
        <v>996</v>
      </c>
      <c r="D51" s="56">
        <v>159.77000000000001</v>
      </c>
      <c r="E51" s="56">
        <v>159.88</v>
      </c>
      <c r="F51" s="56">
        <v>192.66</v>
      </c>
      <c r="G51" s="56">
        <v>123.4</v>
      </c>
      <c r="H51" s="56">
        <v>193.93</v>
      </c>
      <c r="I51" s="56">
        <v>141.1</v>
      </c>
      <c r="J51" s="56">
        <v>124.4</v>
      </c>
      <c r="K51" s="56">
        <v>157.16999999999999</v>
      </c>
      <c r="L51" s="56">
        <v>110.69</v>
      </c>
      <c r="M51" s="56">
        <v>132.44</v>
      </c>
      <c r="N51" s="56">
        <v>172.14</v>
      </c>
      <c r="O51" s="56">
        <v>199.31</v>
      </c>
      <c r="P51" s="56">
        <v>162.83000000000001</v>
      </c>
      <c r="Q51" s="56">
        <v>160.24</v>
      </c>
      <c r="R51" s="56">
        <v>153.53</v>
      </c>
      <c r="S51" s="56">
        <v>197.25</v>
      </c>
      <c r="T51" s="56">
        <v>192.16</v>
      </c>
      <c r="U51" s="56">
        <v>118.68</v>
      </c>
      <c r="V51" s="56">
        <v>137.80000000000001</v>
      </c>
      <c r="W51" s="56">
        <v>242.66</v>
      </c>
      <c r="X51" s="56">
        <v>145.08000000000001</v>
      </c>
      <c r="Y51" s="56">
        <v>148.19999999999999</v>
      </c>
      <c r="Z51" s="56">
        <v>195.91</v>
      </c>
      <c r="AA51" s="56">
        <v>151.91999999999999</v>
      </c>
      <c r="AB51" s="56">
        <v>119.68</v>
      </c>
      <c r="AC51" s="56">
        <v>119.66</v>
      </c>
      <c r="AD51" s="56">
        <v>147.87</v>
      </c>
      <c r="AE51" s="56">
        <v>158.01</v>
      </c>
      <c r="AF51" s="56">
        <v>149.22999999999999</v>
      </c>
      <c r="AG51" s="56">
        <v>91.88</v>
      </c>
      <c r="AH51" s="56">
        <v>153.25</v>
      </c>
      <c r="AI51" s="56">
        <v>161.72</v>
      </c>
      <c r="AJ51" s="56">
        <v>108.04</v>
      </c>
      <c r="AK51" s="56">
        <v>176.22</v>
      </c>
      <c r="AL51" s="56">
        <v>189.56</v>
      </c>
      <c r="AM51" s="56">
        <v>143.38999999999999</v>
      </c>
      <c r="AN51" s="56">
        <v>44.56</v>
      </c>
      <c r="AO51" s="56">
        <v>120.94</v>
      </c>
      <c r="AP51" s="56">
        <v>80.819999999999993</v>
      </c>
      <c r="AQ51" s="56">
        <v>131.59</v>
      </c>
      <c r="AR51" s="56">
        <v>164.89</v>
      </c>
      <c r="AS51" s="56">
        <v>161.68</v>
      </c>
      <c r="AT51" s="56">
        <v>155.86000000000001</v>
      </c>
      <c r="AU51" s="56">
        <v>169.95</v>
      </c>
      <c r="AV51" s="56">
        <v>189.52</v>
      </c>
      <c r="AW51" s="56">
        <v>186.09</v>
      </c>
      <c r="AX51" s="56">
        <v>178.91</v>
      </c>
      <c r="AY51" s="56">
        <v>152.44</v>
      </c>
      <c r="AZ51" s="56">
        <v>195.48</v>
      </c>
      <c r="BA51" s="56">
        <v>196.48</v>
      </c>
      <c r="BB51" s="56">
        <v>136.65</v>
      </c>
      <c r="BC51" s="56">
        <v>205.25</v>
      </c>
      <c r="BD51" s="56">
        <v>196.08</v>
      </c>
      <c r="BE51" s="56">
        <v>155.08000000000001</v>
      </c>
      <c r="BF51" s="56">
        <v>164.08</v>
      </c>
      <c r="BG51" s="56">
        <v>187.24</v>
      </c>
      <c r="BH51" s="52">
        <v>185.79</v>
      </c>
      <c r="BI51" s="52">
        <v>147.19999999999999</v>
      </c>
      <c r="BJ51" s="52">
        <v>146.37</v>
      </c>
      <c r="BK51" s="52">
        <v>155.99</v>
      </c>
      <c r="BL51" s="52">
        <v>171.95</v>
      </c>
      <c r="BM51" s="52">
        <v>142.44999999999999</v>
      </c>
      <c r="BN51" s="52">
        <v>154.4</v>
      </c>
      <c r="BO51" s="52">
        <v>145.99</v>
      </c>
      <c r="BP51" s="52">
        <v>159.1</v>
      </c>
      <c r="BQ51" s="52">
        <v>170.88</v>
      </c>
      <c r="BR51" s="52">
        <v>137.5</v>
      </c>
      <c r="BS51" s="52">
        <v>209.84</v>
      </c>
      <c r="BT51" s="52">
        <v>186.52</v>
      </c>
      <c r="BU51" s="52">
        <v>179.46</v>
      </c>
      <c r="BV51" s="52">
        <v>192.16</v>
      </c>
      <c r="BW51" s="52">
        <v>117.74</v>
      </c>
      <c r="BX51" s="52">
        <v>125.7</v>
      </c>
      <c r="BY51" s="52">
        <v>174.91</v>
      </c>
      <c r="BZ51" s="52">
        <v>137.53</v>
      </c>
      <c r="CA51" s="52">
        <v>180.41</v>
      </c>
      <c r="CB51" s="53">
        <v>242.66</v>
      </c>
      <c r="CC51" s="52">
        <v>145.08000000000001</v>
      </c>
      <c r="CD51" s="52">
        <v>147.62</v>
      </c>
      <c r="CE51" s="52">
        <v>156.04</v>
      </c>
      <c r="CF51" s="52">
        <v>219.54</v>
      </c>
      <c r="CG51" s="52">
        <v>212.24</v>
      </c>
      <c r="CH51" s="52">
        <v>159.13</v>
      </c>
      <c r="CI51" s="52">
        <v>124.82</v>
      </c>
      <c r="CJ51" s="52">
        <v>119.68</v>
      </c>
      <c r="CK51" s="52">
        <v>111.62</v>
      </c>
      <c r="CL51" s="52">
        <v>122.52</v>
      </c>
      <c r="CM51" s="52">
        <v>200.95</v>
      </c>
      <c r="CN51" s="52">
        <v>147.87</v>
      </c>
      <c r="CO51" s="52">
        <v>158.01</v>
      </c>
      <c r="CP51" s="52">
        <v>128.69999999999999</v>
      </c>
      <c r="CQ51" s="52">
        <v>215.36</v>
      </c>
      <c r="CR51" s="52">
        <v>87.81</v>
      </c>
      <c r="CS51" s="52">
        <v>130.75</v>
      </c>
      <c r="CT51" s="52">
        <v>114.3</v>
      </c>
      <c r="CU51" s="52">
        <v>191.32</v>
      </c>
      <c r="CV51" s="52">
        <v>145.52000000000001</v>
      </c>
      <c r="CW51" s="52">
        <v>95.24</v>
      </c>
      <c r="CX51" s="52">
        <v>161.72</v>
      </c>
      <c r="CY51" s="52">
        <v>108.23</v>
      </c>
      <c r="CZ51" s="52">
        <v>97.44</v>
      </c>
      <c r="DA51" s="52">
        <v>106.45</v>
      </c>
      <c r="DB51" s="52">
        <v>154.36000000000001</v>
      </c>
      <c r="DC51" s="52">
        <v>176.29</v>
      </c>
      <c r="DD51" s="52">
        <v>190.36</v>
      </c>
      <c r="DE51" s="52">
        <v>164.13</v>
      </c>
      <c r="DF51" s="52">
        <v>172.62</v>
      </c>
      <c r="DG51" s="52">
        <v>193.05</v>
      </c>
      <c r="DH51" s="52">
        <v>113.05</v>
      </c>
      <c r="DI51" s="52">
        <v>142.85</v>
      </c>
      <c r="DJ51" s="52">
        <v>220.95</v>
      </c>
      <c r="DK51" s="52">
        <v>143.38999999999999</v>
      </c>
      <c r="DL51" s="52">
        <v>44.56</v>
      </c>
      <c r="DM51" s="52">
        <v>120.94</v>
      </c>
      <c r="DN51" s="52">
        <v>69.239999999999995</v>
      </c>
      <c r="DO51" s="52">
        <v>88.54</v>
      </c>
      <c r="DP51" s="52">
        <v>149.51</v>
      </c>
      <c r="DQ51" s="52">
        <v>131.59</v>
      </c>
      <c r="DR51" s="52">
        <v>179.1</v>
      </c>
      <c r="DS51" s="52">
        <v>128.71</v>
      </c>
      <c r="DT51" s="52"/>
      <c r="DU51" s="52">
        <v>163.69999999999999</v>
      </c>
      <c r="DV51" s="52">
        <v>183.29</v>
      </c>
      <c r="DW51" s="52">
        <v>143.79</v>
      </c>
      <c r="DX51" s="52">
        <v>162.15</v>
      </c>
      <c r="DY51" s="52">
        <v>195.6</v>
      </c>
      <c r="DZ51" s="52">
        <v>127.59</v>
      </c>
      <c r="EA51" s="52">
        <v>137.13</v>
      </c>
      <c r="EB51" s="52">
        <v>169.95</v>
      </c>
      <c r="EC51" s="52">
        <v>189.52</v>
      </c>
      <c r="ED51" s="52">
        <v>186.09</v>
      </c>
      <c r="EE51" s="52">
        <v>178.91</v>
      </c>
      <c r="EF51" s="52">
        <v>152.44</v>
      </c>
      <c r="EG51" s="52">
        <v>195.48</v>
      </c>
      <c r="EH51" s="52">
        <v>196.48</v>
      </c>
      <c r="EI51" s="52">
        <v>194.52</v>
      </c>
      <c r="EJ51" s="52">
        <v>111.72</v>
      </c>
      <c r="EK51" s="52">
        <v>120.12</v>
      </c>
      <c r="EL51" s="52">
        <v>218.52</v>
      </c>
      <c r="EM51" s="52">
        <v>164.06</v>
      </c>
      <c r="EN51" s="52">
        <v>196.08</v>
      </c>
      <c r="EO51" s="52">
        <v>207.23</v>
      </c>
      <c r="EP51" s="52">
        <v>120.96</v>
      </c>
      <c r="EQ51" s="52">
        <v>146.87</v>
      </c>
      <c r="ER51" s="52">
        <v>164.08</v>
      </c>
      <c r="ES51" s="52">
        <v>187.24</v>
      </c>
      <c r="ET51" s="52">
        <v>207.76</v>
      </c>
      <c r="EU51" s="52">
        <v>165.89</v>
      </c>
      <c r="EV51" s="52">
        <v>192.23</v>
      </c>
      <c r="EW51" s="52">
        <v>171.1</v>
      </c>
      <c r="EX51" s="52">
        <v>207.18</v>
      </c>
      <c r="EY51" s="52">
        <v>119.95</v>
      </c>
      <c r="EZ51" s="52">
        <v>152.47999999999999</v>
      </c>
      <c r="FA51" s="52">
        <v>140.03</v>
      </c>
      <c r="FB51" s="52">
        <v>152.28</v>
      </c>
      <c r="FC51" s="52">
        <v>139.28</v>
      </c>
      <c r="FD51" s="52">
        <v>139.77000000000001</v>
      </c>
      <c r="FE51" s="52">
        <v>146.37</v>
      </c>
      <c r="FF51" s="52"/>
      <c r="FG51" s="52">
        <v>138.79</v>
      </c>
      <c r="FH51" s="52">
        <v>150.77000000000001</v>
      </c>
      <c r="FI51" s="52">
        <v>164.47</v>
      </c>
      <c r="FJ51" s="52">
        <v>166.1</v>
      </c>
      <c r="FK51" s="52">
        <v>176.8</v>
      </c>
      <c r="FL51" s="52">
        <v>143.94999999999999</v>
      </c>
      <c r="FM51" s="52">
        <v>178.31</v>
      </c>
      <c r="FN51" s="52">
        <v>133.38</v>
      </c>
      <c r="FO51" s="52">
        <v>188.72</v>
      </c>
      <c r="FP51" s="52">
        <v>138.65</v>
      </c>
      <c r="FQ51" s="52">
        <v>151.30000000000001</v>
      </c>
      <c r="FR51" s="52">
        <v>266.91000000000003</v>
      </c>
      <c r="FS51" s="52">
        <v>172.96</v>
      </c>
      <c r="FT51" s="52">
        <v>134.81</v>
      </c>
      <c r="FU51" s="52">
        <v>195.49</v>
      </c>
      <c r="FV51" s="52">
        <v>149.88999999999999</v>
      </c>
      <c r="FW51" s="52">
        <v>115.35</v>
      </c>
      <c r="FX51" s="52">
        <v>159.1</v>
      </c>
      <c r="FY51" s="52">
        <v>151.72999999999999</v>
      </c>
      <c r="FZ51" s="52">
        <v>173.95</v>
      </c>
      <c r="GA51" s="52">
        <v>128.94</v>
      </c>
      <c r="GB51" s="52">
        <v>146.30000000000001</v>
      </c>
      <c r="GC51" s="52">
        <v>136.1</v>
      </c>
      <c r="GD51" s="52">
        <v>124.11</v>
      </c>
      <c r="GE51" s="52">
        <v>209.84</v>
      </c>
      <c r="GF51" s="52">
        <v>186.52</v>
      </c>
      <c r="GG51" s="52">
        <v>179.46</v>
      </c>
      <c r="GH51" s="52">
        <v>191.84</v>
      </c>
      <c r="GI51" s="52">
        <v>119.98</v>
      </c>
      <c r="GJ51" s="52">
        <v>118.11</v>
      </c>
      <c r="GK51" s="52">
        <v>110.2</v>
      </c>
      <c r="GL51" s="52">
        <v>132.06</v>
      </c>
      <c r="GM51" s="52">
        <v>125.7</v>
      </c>
      <c r="GN51" s="52">
        <v>174.91</v>
      </c>
      <c r="GO51" s="52">
        <v>136.26</v>
      </c>
      <c r="GP51" s="52">
        <v>141.38</v>
      </c>
      <c r="GQ51" s="52">
        <v>133.22</v>
      </c>
      <c r="GR51" s="52">
        <v>180.41</v>
      </c>
      <c r="GS51" s="52">
        <v>242.66</v>
      </c>
      <c r="GT51" s="52">
        <v>145.08000000000001</v>
      </c>
      <c r="GU51" s="52">
        <v>147.62</v>
      </c>
      <c r="GV51" s="52">
        <v>156.04</v>
      </c>
      <c r="GW51" s="52">
        <v>234.38</v>
      </c>
      <c r="GX51" s="52">
        <v>210.66</v>
      </c>
      <c r="GY51" s="52">
        <v>212.24</v>
      </c>
      <c r="GZ51" s="52">
        <v>170.91</v>
      </c>
      <c r="HA51" s="52">
        <v>158.62</v>
      </c>
      <c r="HB51" s="52">
        <v>158.43</v>
      </c>
      <c r="HC51" s="52">
        <v>124.82</v>
      </c>
      <c r="HD51" s="52">
        <v>119.68</v>
      </c>
      <c r="HE51" s="52">
        <v>102.7</v>
      </c>
      <c r="HF51" s="52">
        <v>104.01</v>
      </c>
      <c r="HG51" s="52">
        <v>106.47</v>
      </c>
      <c r="HH51" s="52">
        <v>143.85</v>
      </c>
      <c r="HI51" s="52">
        <v>76.92</v>
      </c>
      <c r="HJ51" s="52">
        <v>122.52</v>
      </c>
      <c r="HK51" s="52">
        <v>200.95</v>
      </c>
      <c r="HL51" s="52">
        <v>130.6</v>
      </c>
      <c r="HM51" s="52">
        <v>162.97</v>
      </c>
      <c r="HN51" s="52">
        <v>160.38999999999999</v>
      </c>
      <c r="HO51" s="52">
        <v>128.15</v>
      </c>
      <c r="HP51" s="52">
        <v>189.08</v>
      </c>
      <c r="HQ51" s="52">
        <v>126.91</v>
      </c>
      <c r="HR51" s="52">
        <v>145.1</v>
      </c>
      <c r="HS51" s="52">
        <v>216.09</v>
      </c>
      <c r="HT51" s="52">
        <v>179.38</v>
      </c>
      <c r="HU51" s="52">
        <v>87.81</v>
      </c>
      <c r="HV51" s="52">
        <v>130.75</v>
      </c>
      <c r="HW51" s="52">
        <v>125.6</v>
      </c>
      <c r="HX51" s="52">
        <v>94.1</v>
      </c>
      <c r="HY51" s="52">
        <v>191.32</v>
      </c>
      <c r="HZ51" s="52">
        <v>145.52000000000001</v>
      </c>
      <c r="IA51" s="52">
        <v>87</v>
      </c>
      <c r="IB51" s="52">
        <v>161.72</v>
      </c>
      <c r="IC51" s="52">
        <v>95.65</v>
      </c>
      <c r="ID51" s="52">
        <v>111.55</v>
      </c>
      <c r="IE51" s="52">
        <v>97.44</v>
      </c>
      <c r="IF51" s="52">
        <v>106.45</v>
      </c>
      <c r="IG51" s="52">
        <v>154.36000000000001</v>
      </c>
      <c r="IH51" s="52">
        <v>176.29</v>
      </c>
      <c r="II51" s="52">
        <v>190.36</v>
      </c>
      <c r="IJ51" s="52">
        <v>164.13</v>
      </c>
      <c r="IK51" s="52">
        <v>182.67</v>
      </c>
      <c r="IL51" s="52">
        <v>150.22</v>
      </c>
      <c r="IM51" s="52">
        <v>200.53</v>
      </c>
      <c r="IN51" s="52">
        <v>185.35</v>
      </c>
      <c r="IO51" s="52">
        <v>167.36</v>
      </c>
      <c r="IP51" s="52">
        <v>113.05</v>
      </c>
      <c r="IQ51" s="52">
        <v>142.85</v>
      </c>
      <c r="IR51" s="52">
        <v>220.95</v>
      </c>
      <c r="IS51" s="52">
        <v>143.38999999999999</v>
      </c>
      <c r="IT51" s="52">
        <v>44.56</v>
      </c>
      <c r="IU51" s="52">
        <v>120.94</v>
      </c>
      <c r="IV51" s="52">
        <v>70.47</v>
      </c>
      <c r="IW51" s="52">
        <v>88.54</v>
      </c>
      <c r="IX51" s="52">
        <v>149.51</v>
      </c>
      <c r="IY51" s="52">
        <v>131.59</v>
      </c>
      <c r="IZ51" s="52">
        <v>179.1</v>
      </c>
      <c r="JA51" s="52">
        <v>128.71</v>
      </c>
      <c r="JB51" s="52"/>
      <c r="JC51" s="52">
        <v>163.69999999999999</v>
      </c>
      <c r="JD51" s="52">
        <v>183.29</v>
      </c>
      <c r="JE51" s="52">
        <v>147.05000000000001</v>
      </c>
      <c r="JF51" s="52">
        <v>142.55000000000001</v>
      </c>
      <c r="JG51" s="52">
        <v>162.15</v>
      </c>
      <c r="JH51" s="52">
        <v>195.6</v>
      </c>
      <c r="JI51" s="52">
        <v>127.59</v>
      </c>
      <c r="JJ51" s="52">
        <v>137.13</v>
      </c>
      <c r="JK51" s="52">
        <v>169.95</v>
      </c>
      <c r="JL51" s="52">
        <v>189.52</v>
      </c>
      <c r="JM51" s="52">
        <v>186.09</v>
      </c>
      <c r="JN51" s="52">
        <v>178.91</v>
      </c>
      <c r="JO51" s="52">
        <v>152.44</v>
      </c>
      <c r="JP51" s="52">
        <v>203.22</v>
      </c>
      <c r="JQ51" s="52">
        <v>177.38</v>
      </c>
      <c r="JR51" s="52">
        <v>182.06</v>
      </c>
      <c r="JS51" s="52">
        <v>215.07</v>
      </c>
      <c r="JT51" s="52">
        <v>207.91</v>
      </c>
      <c r="JU51" s="52">
        <v>181.64</v>
      </c>
      <c r="JV51" s="52">
        <v>111.72</v>
      </c>
      <c r="JW51" s="52">
        <v>120.12</v>
      </c>
      <c r="JX51" s="52">
        <v>218.52</v>
      </c>
      <c r="JY51" s="52">
        <v>169.65</v>
      </c>
      <c r="JZ51" s="52">
        <v>153.27000000000001</v>
      </c>
      <c r="KA51" s="52">
        <v>196.08</v>
      </c>
      <c r="KB51" s="52">
        <v>207.23</v>
      </c>
      <c r="KC51" s="52">
        <v>120.96</v>
      </c>
      <c r="KD51" s="52">
        <v>146.87</v>
      </c>
      <c r="KE51" s="52">
        <v>164.08</v>
      </c>
      <c r="KF51" s="52">
        <v>187.24</v>
      </c>
    </row>
    <row r="52" spans="1:292" s="41" customFormat="1" ht="12">
      <c r="A52" s="41">
        <v>2008</v>
      </c>
      <c r="B52" s="54" t="s">
        <v>997</v>
      </c>
      <c r="C52" s="55" t="s">
        <v>998</v>
      </c>
      <c r="D52" s="52">
        <v>161.1</v>
      </c>
      <c r="E52" s="52">
        <v>161.01</v>
      </c>
      <c r="F52" s="52">
        <v>192.61</v>
      </c>
      <c r="G52" s="52">
        <v>126.65</v>
      </c>
      <c r="H52" s="52">
        <v>197.97</v>
      </c>
      <c r="I52" s="52">
        <v>143.03</v>
      </c>
      <c r="J52" s="52">
        <v>124.47</v>
      </c>
      <c r="K52" s="52">
        <v>155.04</v>
      </c>
      <c r="L52" s="52">
        <v>110.88</v>
      </c>
      <c r="M52" s="52">
        <v>134.84</v>
      </c>
      <c r="N52" s="52">
        <v>172.5</v>
      </c>
      <c r="O52" s="52">
        <v>201.29</v>
      </c>
      <c r="P52" s="52">
        <v>162.86000000000001</v>
      </c>
      <c r="Q52" s="52">
        <v>161.4</v>
      </c>
      <c r="R52" s="52">
        <v>154.16999999999999</v>
      </c>
      <c r="S52" s="52">
        <v>196.46</v>
      </c>
      <c r="T52" s="52">
        <v>192.16</v>
      </c>
      <c r="U52" s="52">
        <v>121.98</v>
      </c>
      <c r="V52" s="52">
        <v>140.81</v>
      </c>
      <c r="W52" s="52">
        <v>244.18</v>
      </c>
      <c r="X52" s="52">
        <v>146.19999999999999</v>
      </c>
      <c r="Y52" s="52">
        <v>149.05000000000001</v>
      </c>
      <c r="Z52" s="52">
        <v>202.59</v>
      </c>
      <c r="AA52" s="52">
        <v>151.61000000000001</v>
      </c>
      <c r="AB52" s="52">
        <v>123.07</v>
      </c>
      <c r="AC52" s="52">
        <v>124.13</v>
      </c>
      <c r="AD52" s="52">
        <v>149.24</v>
      </c>
      <c r="AE52" s="52">
        <v>161.55000000000001</v>
      </c>
      <c r="AF52" s="52">
        <v>149.66999999999999</v>
      </c>
      <c r="AG52" s="52">
        <v>91.96</v>
      </c>
      <c r="AH52" s="52">
        <v>153.35</v>
      </c>
      <c r="AI52" s="52">
        <v>161.66</v>
      </c>
      <c r="AJ52" s="52">
        <v>107.53</v>
      </c>
      <c r="AK52" s="52">
        <v>170.02</v>
      </c>
      <c r="AL52" s="52">
        <v>189.98</v>
      </c>
      <c r="AM52" s="52">
        <v>143.38999999999999</v>
      </c>
      <c r="AN52" s="52">
        <v>44.73</v>
      </c>
      <c r="AO52" s="52">
        <v>121.13</v>
      </c>
      <c r="AP52" s="52">
        <v>82.93</v>
      </c>
      <c r="AQ52" s="52">
        <v>133.22</v>
      </c>
      <c r="AR52" s="52">
        <v>166.94</v>
      </c>
      <c r="AS52" s="52">
        <v>163.44</v>
      </c>
      <c r="AT52" s="52">
        <v>158.91999999999999</v>
      </c>
      <c r="AU52" s="52">
        <v>171.71</v>
      </c>
      <c r="AV52" s="52">
        <v>189.69</v>
      </c>
      <c r="AW52" s="52">
        <v>186.11</v>
      </c>
      <c r="AX52" s="52">
        <v>178.91</v>
      </c>
      <c r="AY52" s="52">
        <v>153.02000000000001</v>
      </c>
      <c r="AZ52" s="52">
        <v>197.51</v>
      </c>
      <c r="BA52" s="52">
        <v>197.66</v>
      </c>
      <c r="BB52" s="52">
        <v>137.12</v>
      </c>
      <c r="BC52" s="52">
        <v>204.4</v>
      </c>
      <c r="BD52" s="52">
        <v>196.25</v>
      </c>
      <c r="BE52" s="52">
        <v>153.79</v>
      </c>
      <c r="BF52" s="52">
        <v>166.99</v>
      </c>
      <c r="BG52" s="52">
        <v>187.61</v>
      </c>
      <c r="BH52" s="52">
        <v>186</v>
      </c>
      <c r="BI52" s="52">
        <v>144.53</v>
      </c>
      <c r="BJ52" s="52">
        <v>134.56</v>
      </c>
      <c r="BK52" s="52">
        <v>159.11000000000001</v>
      </c>
      <c r="BL52" s="52">
        <v>169.29</v>
      </c>
      <c r="BM52" s="52">
        <v>143.65</v>
      </c>
      <c r="BN52" s="52">
        <v>162.55000000000001</v>
      </c>
      <c r="BO52" s="52">
        <v>146.07</v>
      </c>
      <c r="BP52" s="52">
        <v>161</v>
      </c>
      <c r="BQ52" s="52">
        <v>171.43</v>
      </c>
      <c r="BR52" s="52">
        <v>138.19999999999999</v>
      </c>
      <c r="BS52" s="52">
        <v>209.89</v>
      </c>
      <c r="BT52" s="52">
        <v>182.86</v>
      </c>
      <c r="BU52" s="52">
        <v>178.3</v>
      </c>
      <c r="BV52" s="52">
        <v>192.16</v>
      </c>
      <c r="BW52" s="52">
        <v>121.07</v>
      </c>
      <c r="BX52" s="52">
        <v>129.03</v>
      </c>
      <c r="BY52" s="52">
        <v>175.92</v>
      </c>
      <c r="BZ52" s="52">
        <v>140.55000000000001</v>
      </c>
      <c r="CA52" s="52">
        <v>182.25</v>
      </c>
      <c r="CB52" s="53">
        <v>244.18</v>
      </c>
      <c r="CC52" s="52">
        <v>146.19999999999999</v>
      </c>
      <c r="CD52" s="52">
        <v>148.47999999999999</v>
      </c>
      <c r="CE52" s="52">
        <v>156.04</v>
      </c>
      <c r="CF52" s="52">
        <v>231.44</v>
      </c>
      <c r="CG52" s="52">
        <v>224.03</v>
      </c>
      <c r="CH52" s="52">
        <v>158.18</v>
      </c>
      <c r="CI52" s="52">
        <v>126.85</v>
      </c>
      <c r="CJ52" s="52">
        <v>123.07</v>
      </c>
      <c r="CK52" s="52">
        <v>116.37</v>
      </c>
      <c r="CL52" s="52">
        <v>124.02</v>
      </c>
      <c r="CM52" s="52">
        <v>202.5</v>
      </c>
      <c r="CN52" s="52">
        <v>149.24</v>
      </c>
      <c r="CO52" s="52">
        <v>161.55000000000001</v>
      </c>
      <c r="CP52" s="52">
        <v>129.06</v>
      </c>
      <c r="CQ52" s="52">
        <v>216.1</v>
      </c>
      <c r="CR52" s="52">
        <v>87.81</v>
      </c>
      <c r="CS52" s="52">
        <v>131.75</v>
      </c>
      <c r="CT52" s="52">
        <v>114.72</v>
      </c>
      <c r="CU52" s="52">
        <v>191.5</v>
      </c>
      <c r="CV52" s="52">
        <v>145.62</v>
      </c>
      <c r="CW52" s="52">
        <v>95.24</v>
      </c>
      <c r="CX52" s="52">
        <v>161.66</v>
      </c>
      <c r="CY52" s="52">
        <v>107.66</v>
      </c>
      <c r="CZ52" s="52">
        <v>98.82</v>
      </c>
      <c r="DA52" s="52">
        <v>106.82</v>
      </c>
      <c r="DB52" s="52">
        <v>157.16999999999999</v>
      </c>
      <c r="DC52" s="52">
        <v>168.48</v>
      </c>
      <c r="DD52" s="52">
        <v>190.3</v>
      </c>
      <c r="DE52" s="52">
        <v>164.61</v>
      </c>
      <c r="DF52" s="52">
        <v>177.14</v>
      </c>
      <c r="DG52" s="52">
        <v>193.48</v>
      </c>
      <c r="DH52" s="52">
        <v>112.06</v>
      </c>
      <c r="DI52" s="52">
        <v>142.85</v>
      </c>
      <c r="DJ52" s="52">
        <v>220.88</v>
      </c>
      <c r="DK52" s="52">
        <v>143.38999999999999</v>
      </c>
      <c r="DL52" s="52">
        <v>44.73</v>
      </c>
      <c r="DM52" s="52">
        <v>121.13</v>
      </c>
      <c r="DN52" s="52">
        <v>69.52</v>
      </c>
      <c r="DO52" s="52">
        <v>95.53</v>
      </c>
      <c r="DP52" s="52">
        <v>154.24</v>
      </c>
      <c r="DQ52" s="52">
        <v>133.22</v>
      </c>
      <c r="DR52" s="52">
        <v>181.13</v>
      </c>
      <c r="DS52" s="52">
        <v>131.1</v>
      </c>
      <c r="DT52" s="52"/>
      <c r="DU52" s="52">
        <v>164.63</v>
      </c>
      <c r="DV52" s="52">
        <v>185.44</v>
      </c>
      <c r="DW52" s="52">
        <v>145.63</v>
      </c>
      <c r="DX52" s="52">
        <v>162.15</v>
      </c>
      <c r="DY52" s="52">
        <v>197.89</v>
      </c>
      <c r="DZ52" s="52">
        <v>131.02000000000001</v>
      </c>
      <c r="EA52" s="52">
        <v>140.34</v>
      </c>
      <c r="EB52" s="52">
        <v>171.71</v>
      </c>
      <c r="EC52" s="52">
        <v>189.69</v>
      </c>
      <c r="ED52" s="52">
        <v>186.11</v>
      </c>
      <c r="EE52" s="52">
        <v>178.91</v>
      </c>
      <c r="EF52" s="52">
        <v>153.02000000000001</v>
      </c>
      <c r="EG52" s="52">
        <v>197.51</v>
      </c>
      <c r="EH52" s="52">
        <v>197.66</v>
      </c>
      <c r="EI52" s="52">
        <v>193.97</v>
      </c>
      <c r="EJ52" s="52">
        <v>111.98</v>
      </c>
      <c r="EK52" s="52">
        <v>120.84</v>
      </c>
      <c r="EL52" s="52">
        <v>216.36</v>
      </c>
      <c r="EM52" s="52">
        <v>166.86</v>
      </c>
      <c r="EN52" s="52">
        <v>196.25</v>
      </c>
      <c r="EO52" s="52">
        <v>207.23</v>
      </c>
      <c r="EP52" s="52">
        <v>120.96</v>
      </c>
      <c r="EQ52" s="52">
        <v>145.37</v>
      </c>
      <c r="ER52" s="52">
        <v>166.99</v>
      </c>
      <c r="ES52" s="52">
        <v>187.61</v>
      </c>
      <c r="ET52" s="52">
        <v>212.34</v>
      </c>
      <c r="EU52" s="52">
        <v>165.24</v>
      </c>
      <c r="EV52" s="52">
        <v>191.76</v>
      </c>
      <c r="EW52" s="52">
        <v>171.44</v>
      </c>
      <c r="EX52" s="52">
        <v>209.72</v>
      </c>
      <c r="EY52" s="52">
        <v>120.23</v>
      </c>
      <c r="EZ52" s="52">
        <v>153.22999999999999</v>
      </c>
      <c r="FA52" s="52">
        <v>144.27000000000001</v>
      </c>
      <c r="FB52" s="52">
        <v>134.57</v>
      </c>
      <c r="FC52" s="52">
        <v>141.16</v>
      </c>
      <c r="FD52" s="52">
        <v>138.81</v>
      </c>
      <c r="FE52" s="52">
        <v>134.56</v>
      </c>
      <c r="FF52" s="52"/>
      <c r="FG52" s="52">
        <v>141.5</v>
      </c>
      <c r="FH52" s="52">
        <v>149.05000000000001</v>
      </c>
      <c r="FI52" s="52">
        <v>162.54</v>
      </c>
      <c r="FJ52" s="52">
        <v>188.25</v>
      </c>
      <c r="FK52" s="52">
        <v>178.73</v>
      </c>
      <c r="FL52" s="52">
        <v>144.81</v>
      </c>
      <c r="FM52" s="52">
        <v>174.33</v>
      </c>
      <c r="FN52" s="52">
        <v>134.38</v>
      </c>
      <c r="FO52" s="52">
        <v>191.09</v>
      </c>
      <c r="FP52" s="52">
        <v>150.04</v>
      </c>
      <c r="FQ52" s="52">
        <v>147.63</v>
      </c>
      <c r="FR52" s="52">
        <v>267.70999999999998</v>
      </c>
      <c r="FS52" s="52">
        <v>173.74</v>
      </c>
      <c r="FT52" s="52">
        <v>134.88</v>
      </c>
      <c r="FU52" s="52">
        <v>195.3</v>
      </c>
      <c r="FV52" s="52">
        <v>150.16</v>
      </c>
      <c r="FW52" s="52">
        <v>115.65</v>
      </c>
      <c r="FX52" s="52">
        <v>161</v>
      </c>
      <c r="FY52" s="52">
        <v>154.72999999999999</v>
      </c>
      <c r="FZ52" s="52">
        <v>174.18</v>
      </c>
      <c r="GA52" s="52">
        <v>129.72999999999999</v>
      </c>
      <c r="GB52" s="52">
        <v>147.19999999999999</v>
      </c>
      <c r="GC52" s="52">
        <v>137.04</v>
      </c>
      <c r="GD52" s="52">
        <v>123.49</v>
      </c>
      <c r="GE52" s="52">
        <v>209.89</v>
      </c>
      <c r="GF52" s="52">
        <v>182.86</v>
      </c>
      <c r="GG52" s="52">
        <v>178.3</v>
      </c>
      <c r="GH52" s="52">
        <v>191.84</v>
      </c>
      <c r="GI52" s="52">
        <v>124.38</v>
      </c>
      <c r="GJ52" s="52">
        <v>120.95</v>
      </c>
      <c r="GK52" s="52">
        <v>112.43</v>
      </c>
      <c r="GL52" s="52">
        <v>133.81</v>
      </c>
      <c r="GM52" s="52">
        <v>129.03</v>
      </c>
      <c r="GN52" s="52">
        <v>175.92</v>
      </c>
      <c r="GO52" s="52">
        <v>137.93</v>
      </c>
      <c r="GP52" s="52">
        <v>146.56</v>
      </c>
      <c r="GQ52" s="52">
        <v>135.38999999999999</v>
      </c>
      <c r="GR52" s="52">
        <v>182.25</v>
      </c>
      <c r="GS52" s="52">
        <v>244.18</v>
      </c>
      <c r="GT52" s="52">
        <v>146.19999999999999</v>
      </c>
      <c r="GU52" s="52">
        <v>148.47999999999999</v>
      </c>
      <c r="GV52" s="52">
        <v>156.04</v>
      </c>
      <c r="GW52" s="52">
        <v>284.49</v>
      </c>
      <c r="GX52" s="52">
        <v>203.08</v>
      </c>
      <c r="GY52" s="52">
        <v>224.03</v>
      </c>
      <c r="GZ52" s="52">
        <v>173.71</v>
      </c>
      <c r="HA52" s="52">
        <v>160.41</v>
      </c>
      <c r="HB52" s="52">
        <v>155.66999999999999</v>
      </c>
      <c r="HC52" s="52">
        <v>126.85</v>
      </c>
      <c r="HD52" s="52">
        <v>123.07</v>
      </c>
      <c r="HE52" s="52">
        <v>108.55</v>
      </c>
      <c r="HF52" s="52">
        <v>108.74</v>
      </c>
      <c r="HG52" s="52">
        <v>109.55</v>
      </c>
      <c r="HH52" s="52">
        <v>147.44999999999999</v>
      </c>
      <c r="HI52" s="52">
        <v>81.16</v>
      </c>
      <c r="HJ52" s="52">
        <v>124.02</v>
      </c>
      <c r="HK52" s="52">
        <v>202.5</v>
      </c>
      <c r="HL52" s="52">
        <v>131.41</v>
      </c>
      <c r="HM52" s="52">
        <v>164</v>
      </c>
      <c r="HN52" s="52">
        <v>162.35</v>
      </c>
      <c r="HO52" s="52">
        <v>130.63</v>
      </c>
      <c r="HP52" s="52">
        <v>193.75</v>
      </c>
      <c r="HQ52" s="52">
        <v>127.24</v>
      </c>
      <c r="HR52" s="52">
        <v>145.66</v>
      </c>
      <c r="HS52" s="52">
        <v>216.82</v>
      </c>
      <c r="HT52" s="52">
        <v>180.32</v>
      </c>
      <c r="HU52" s="52">
        <v>87.81</v>
      </c>
      <c r="HV52" s="52">
        <v>131.75</v>
      </c>
      <c r="HW52" s="52">
        <v>125.65</v>
      </c>
      <c r="HX52" s="52">
        <v>94.81</v>
      </c>
      <c r="HY52" s="52">
        <v>191.5</v>
      </c>
      <c r="HZ52" s="52">
        <v>145.62</v>
      </c>
      <c r="IA52" s="52">
        <v>87</v>
      </c>
      <c r="IB52" s="52">
        <v>161.66</v>
      </c>
      <c r="IC52" s="52">
        <v>94.77</v>
      </c>
      <c r="ID52" s="52">
        <v>111.17</v>
      </c>
      <c r="IE52" s="52">
        <v>98.82</v>
      </c>
      <c r="IF52" s="52">
        <v>106.82</v>
      </c>
      <c r="IG52" s="52">
        <v>157.16999999999999</v>
      </c>
      <c r="IH52" s="52">
        <v>168.48</v>
      </c>
      <c r="II52" s="52">
        <v>190.3</v>
      </c>
      <c r="IJ52" s="52">
        <v>164.61</v>
      </c>
      <c r="IK52" s="52">
        <v>186.64</v>
      </c>
      <c r="IL52" s="52">
        <v>155.58000000000001</v>
      </c>
      <c r="IM52" s="52">
        <v>201.86</v>
      </c>
      <c r="IN52" s="52">
        <v>185.72</v>
      </c>
      <c r="IO52" s="52">
        <v>164.83</v>
      </c>
      <c r="IP52" s="52">
        <v>112.06</v>
      </c>
      <c r="IQ52" s="52">
        <v>142.85</v>
      </c>
      <c r="IR52" s="52">
        <v>220.88</v>
      </c>
      <c r="IS52" s="52">
        <v>143.38999999999999</v>
      </c>
      <c r="IT52" s="52">
        <v>44.73</v>
      </c>
      <c r="IU52" s="52">
        <v>121.13</v>
      </c>
      <c r="IV52" s="52">
        <v>70.849999999999994</v>
      </c>
      <c r="IW52" s="52">
        <v>95.53</v>
      </c>
      <c r="IX52" s="52">
        <v>154.24</v>
      </c>
      <c r="IY52" s="52">
        <v>133.22</v>
      </c>
      <c r="IZ52" s="52">
        <v>181.13</v>
      </c>
      <c r="JA52" s="52">
        <v>131.1</v>
      </c>
      <c r="JB52" s="52"/>
      <c r="JC52" s="52">
        <v>164.63</v>
      </c>
      <c r="JD52" s="52">
        <v>185.44</v>
      </c>
      <c r="JE52" s="52">
        <v>148.53</v>
      </c>
      <c r="JF52" s="52">
        <v>144.52000000000001</v>
      </c>
      <c r="JG52" s="52">
        <v>162.15</v>
      </c>
      <c r="JH52" s="52">
        <v>197.89</v>
      </c>
      <c r="JI52" s="52">
        <v>131.02000000000001</v>
      </c>
      <c r="JJ52" s="52">
        <v>140.34</v>
      </c>
      <c r="JK52" s="52">
        <v>171.71</v>
      </c>
      <c r="JL52" s="52">
        <v>189.69</v>
      </c>
      <c r="JM52" s="52">
        <v>186.11</v>
      </c>
      <c r="JN52" s="52">
        <v>178.91</v>
      </c>
      <c r="JO52" s="52">
        <v>153.02000000000001</v>
      </c>
      <c r="JP52" s="52">
        <v>205.38</v>
      </c>
      <c r="JQ52" s="52">
        <v>179.11</v>
      </c>
      <c r="JR52" s="52">
        <v>184.25</v>
      </c>
      <c r="JS52" s="52">
        <v>215.08</v>
      </c>
      <c r="JT52" s="52">
        <v>209.28</v>
      </c>
      <c r="JU52" s="52">
        <v>179.18</v>
      </c>
      <c r="JV52" s="52">
        <v>111.98</v>
      </c>
      <c r="JW52" s="52">
        <v>120.84</v>
      </c>
      <c r="JX52" s="52">
        <v>216.36</v>
      </c>
      <c r="JY52" s="52">
        <v>171.17</v>
      </c>
      <c r="JZ52" s="52">
        <v>157.9</v>
      </c>
      <c r="KA52" s="52">
        <v>196.25</v>
      </c>
      <c r="KB52" s="52">
        <v>207.23</v>
      </c>
      <c r="KC52" s="52">
        <v>120.96</v>
      </c>
      <c r="KD52" s="52">
        <v>145.37</v>
      </c>
      <c r="KE52" s="52">
        <v>166.99</v>
      </c>
      <c r="KF52" s="52">
        <v>187.61</v>
      </c>
    </row>
    <row r="53" spans="1:292" s="41" customFormat="1" ht="12">
      <c r="A53" s="41">
        <v>2008</v>
      </c>
      <c r="B53" s="54" t="s">
        <v>999</v>
      </c>
      <c r="C53" s="55" t="s">
        <v>1000</v>
      </c>
      <c r="D53" s="52">
        <v>160.44</v>
      </c>
      <c r="E53" s="52">
        <v>161.78</v>
      </c>
      <c r="F53" s="52">
        <v>192.61</v>
      </c>
      <c r="G53" s="52">
        <v>121.69</v>
      </c>
      <c r="H53" s="52">
        <v>196.92</v>
      </c>
      <c r="I53" s="52">
        <v>143.87</v>
      </c>
      <c r="J53" s="52">
        <v>124.08</v>
      </c>
      <c r="K53" s="52">
        <v>151.15</v>
      </c>
      <c r="L53" s="52">
        <v>111.44</v>
      </c>
      <c r="M53" s="52">
        <v>135.63999999999999</v>
      </c>
      <c r="N53" s="52">
        <v>172.36</v>
      </c>
      <c r="O53" s="52">
        <v>201.75</v>
      </c>
      <c r="P53" s="52">
        <v>165.28</v>
      </c>
      <c r="Q53" s="52">
        <v>162.16</v>
      </c>
      <c r="R53" s="52">
        <v>155.13999999999999</v>
      </c>
      <c r="S53" s="52">
        <v>196.38</v>
      </c>
      <c r="T53" s="52">
        <v>192.16</v>
      </c>
      <c r="U53" s="52">
        <v>116.98</v>
      </c>
      <c r="V53" s="52">
        <v>136.09</v>
      </c>
      <c r="W53" s="52">
        <v>245.14</v>
      </c>
      <c r="X53" s="52">
        <v>147.36000000000001</v>
      </c>
      <c r="Y53" s="52">
        <v>149.16</v>
      </c>
      <c r="Z53" s="52">
        <v>199.89</v>
      </c>
      <c r="AA53" s="52">
        <v>151.18</v>
      </c>
      <c r="AB53" s="52">
        <v>125.1</v>
      </c>
      <c r="AC53" s="52">
        <v>125.68</v>
      </c>
      <c r="AD53" s="52">
        <v>150.04</v>
      </c>
      <c r="AE53" s="52">
        <v>163.22</v>
      </c>
      <c r="AF53" s="52">
        <v>150.33000000000001</v>
      </c>
      <c r="AG53" s="52">
        <v>92.04</v>
      </c>
      <c r="AH53" s="52">
        <v>153.37</v>
      </c>
      <c r="AI53" s="52">
        <v>156.41999999999999</v>
      </c>
      <c r="AJ53" s="52">
        <v>106.19</v>
      </c>
      <c r="AK53" s="52">
        <v>159.11000000000001</v>
      </c>
      <c r="AL53" s="52">
        <v>190.92</v>
      </c>
      <c r="AM53" s="52">
        <v>143.38999999999999</v>
      </c>
      <c r="AN53" s="52">
        <v>43.89</v>
      </c>
      <c r="AO53" s="52">
        <v>121.94</v>
      </c>
      <c r="AP53" s="52">
        <v>82.76</v>
      </c>
      <c r="AQ53" s="52">
        <v>134.44</v>
      </c>
      <c r="AR53" s="52">
        <v>168.35</v>
      </c>
      <c r="AS53" s="52">
        <v>163.74</v>
      </c>
      <c r="AT53" s="52">
        <v>161.16</v>
      </c>
      <c r="AU53" s="52">
        <v>175.47</v>
      </c>
      <c r="AV53" s="52">
        <v>189.7</v>
      </c>
      <c r="AW53" s="52">
        <v>186</v>
      </c>
      <c r="AX53" s="52">
        <v>178.91</v>
      </c>
      <c r="AY53" s="52">
        <v>153.28</v>
      </c>
      <c r="AZ53" s="52">
        <v>198</v>
      </c>
      <c r="BA53" s="52">
        <v>197.75</v>
      </c>
      <c r="BB53" s="52">
        <v>137.96</v>
      </c>
      <c r="BC53" s="52">
        <v>213.14</v>
      </c>
      <c r="BD53" s="52">
        <v>195.97</v>
      </c>
      <c r="BE53" s="52">
        <v>152.52000000000001</v>
      </c>
      <c r="BF53" s="52">
        <v>170.17</v>
      </c>
      <c r="BG53" s="52">
        <v>187.72</v>
      </c>
      <c r="BH53" s="52">
        <v>185.69</v>
      </c>
      <c r="BI53" s="52">
        <v>144.37</v>
      </c>
      <c r="BJ53" s="52">
        <v>125.01</v>
      </c>
      <c r="BK53" s="52">
        <v>162.27000000000001</v>
      </c>
      <c r="BL53" s="52">
        <v>170.04</v>
      </c>
      <c r="BM53" s="52">
        <v>139.94</v>
      </c>
      <c r="BN53" s="52">
        <v>168.38</v>
      </c>
      <c r="BO53" s="52">
        <v>145.52000000000001</v>
      </c>
      <c r="BP53" s="52">
        <v>161.57</v>
      </c>
      <c r="BQ53" s="52">
        <v>171.85</v>
      </c>
      <c r="BR53" s="52">
        <v>139.55000000000001</v>
      </c>
      <c r="BS53" s="52">
        <v>209.9</v>
      </c>
      <c r="BT53" s="52">
        <v>181.82</v>
      </c>
      <c r="BU53" s="52">
        <v>178.33</v>
      </c>
      <c r="BV53" s="52">
        <v>192.16</v>
      </c>
      <c r="BW53" s="52">
        <v>115.72</v>
      </c>
      <c r="BX53" s="52">
        <v>128.16</v>
      </c>
      <c r="BY53" s="52">
        <v>176.32</v>
      </c>
      <c r="BZ53" s="52">
        <v>135.79</v>
      </c>
      <c r="CA53" s="52">
        <v>184.7</v>
      </c>
      <c r="CB53" s="53">
        <v>245.14</v>
      </c>
      <c r="CC53" s="52">
        <v>147.36000000000001</v>
      </c>
      <c r="CD53" s="52">
        <v>148.59</v>
      </c>
      <c r="CE53" s="52">
        <v>156.04</v>
      </c>
      <c r="CF53" s="52">
        <v>224.3</v>
      </c>
      <c r="CG53" s="52">
        <v>222.36</v>
      </c>
      <c r="CH53" s="52">
        <v>157.09</v>
      </c>
      <c r="CI53" s="52">
        <v>128.78</v>
      </c>
      <c r="CJ53" s="52">
        <v>125.1</v>
      </c>
      <c r="CK53" s="52">
        <v>117.97</v>
      </c>
      <c r="CL53" s="52">
        <v>123.79</v>
      </c>
      <c r="CM53" s="52">
        <v>205.34</v>
      </c>
      <c r="CN53" s="52">
        <v>150.04</v>
      </c>
      <c r="CO53" s="52">
        <v>163.22</v>
      </c>
      <c r="CP53" s="52">
        <v>129.72999999999999</v>
      </c>
      <c r="CQ53" s="52">
        <v>216.42</v>
      </c>
      <c r="CR53" s="52">
        <v>87.81</v>
      </c>
      <c r="CS53" s="52">
        <v>132.47999999999999</v>
      </c>
      <c r="CT53" s="52">
        <v>115.24</v>
      </c>
      <c r="CU53" s="52">
        <v>191.47</v>
      </c>
      <c r="CV53" s="52">
        <v>145.69999999999999</v>
      </c>
      <c r="CW53" s="52">
        <v>95.26</v>
      </c>
      <c r="CX53" s="52">
        <v>156.41999999999999</v>
      </c>
      <c r="CY53" s="52">
        <v>106.26</v>
      </c>
      <c r="CZ53" s="52">
        <v>99.39</v>
      </c>
      <c r="DA53" s="52">
        <v>106.96</v>
      </c>
      <c r="DB53" s="52">
        <v>157.96</v>
      </c>
      <c r="DC53" s="52">
        <v>154.74</v>
      </c>
      <c r="DD53" s="52">
        <v>193.02</v>
      </c>
      <c r="DE53" s="52">
        <v>164.74</v>
      </c>
      <c r="DF53" s="52">
        <v>179.09</v>
      </c>
      <c r="DG53" s="52">
        <v>194.16</v>
      </c>
      <c r="DH53" s="52">
        <v>116.64</v>
      </c>
      <c r="DI53" s="52">
        <v>142.85</v>
      </c>
      <c r="DJ53" s="52">
        <v>222.53</v>
      </c>
      <c r="DK53" s="52">
        <v>143.38999999999999</v>
      </c>
      <c r="DL53" s="52">
        <v>43.89</v>
      </c>
      <c r="DM53" s="52">
        <v>121.94</v>
      </c>
      <c r="DN53" s="52">
        <v>69.900000000000006</v>
      </c>
      <c r="DO53" s="52">
        <v>93.96</v>
      </c>
      <c r="DP53" s="52">
        <v>152.69</v>
      </c>
      <c r="DQ53" s="52">
        <v>134.44</v>
      </c>
      <c r="DR53" s="52">
        <v>182.91</v>
      </c>
      <c r="DS53" s="52">
        <v>131.51</v>
      </c>
      <c r="DT53" s="52"/>
      <c r="DU53" s="52">
        <v>165.37</v>
      </c>
      <c r="DV53" s="52">
        <v>184.74</v>
      </c>
      <c r="DW53" s="52">
        <v>146.84</v>
      </c>
      <c r="DX53" s="52">
        <v>162.15</v>
      </c>
      <c r="DY53" s="52">
        <v>195.68</v>
      </c>
      <c r="DZ53" s="52">
        <v>138.63</v>
      </c>
      <c r="EA53" s="52">
        <v>141.53</v>
      </c>
      <c r="EB53" s="52">
        <v>175.47</v>
      </c>
      <c r="EC53" s="52">
        <v>189.7</v>
      </c>
      <c r="ED53" s="52">
        <v>186</v>
      </c>
      <c r="EE53" s="52">
        <v>178.91</v>
      </c>
      <c r="EF53" s="52">
        <v>153.28</v>
      </c>
      <c r="EG53" s="52">
        <v>198</v>
      </c>
      <c r="EH53" s="52">
        <v>197.75</v>
      </c>
      <c r="EI53" s="52">
        <v>194.45</v>
      </c>
      <c r="EJ53" s="52">
        <v>111.8</v>
      </c>
      <c r="EK53" s="52">
        <v>121.81</v>
      </c>
      <c r="EL53" s="52">
        <v>227.83</v>
      </c>
      <c r="EM53" s="52">
        <v>167.83</v>
      </c>
      <c r="EN53" s="52">
        <v>195.97</v>
      </c>
      <c r="EO53" s="52">
        <v>207.23</v>
      </c>
      <c r="EP53" s="52">
        <v>120.96</v>
      </c>
      <c r="EQ53" s="52">
        <v>143.91</v>
      </c>
      <c r="ER53" s="52">
        <v>170.17</v>
      </c>
      <c r="ES53" s="52">
        <v>187.72</v>
      </c>
      <c r="ET53" s="52">
        <v>211.87</v>
      </c>
      <c r="EU53" s="52">
        <v>164.85</v>
      </c>
      <c r="EV53" s="52">
        <v>191.57</v>
      </c>
      <c r="EW53" s="52">
        <v>171.94</v>
      </c>
      <c r="EX53" s="52">
        <v>205.52</v>
      </c>
      <c r="EY53" s="52">
        <v>120.59</v>
      </c>
      <c r="EZ53" s="52">
        <v>153.34</v>
      </c>
      <c r="FA53" s="52">
        <v>145.75</v>
      </c>
      <c r="FB53" s="52">
        <v>132.24</v>
      </c>
      <c r="FC53" s="52">
        <v>142.43</v>
      </c>
      <c r="FD53" s="52">
        <v>138.16999999999999</v>
      </c>
      <c r="FE53" s="52">
        <v>125.01</v>
      </c>
      <c r="FF53" s="52"/>
      <c r="FG53" s="52">
        <v>142.04</v>
      </c>
      <c r="FH53" s="52">
        <v>149.69999999999999</v>
      </c>
      <c r="FI53" s="52">
        <v>162.81</v>
      </c>
      <c r="FJ53" s="52">
        <v>205.58</v>
      </c>
      <c r="FK53" s="52">
        <v>179.82</v>
      </c>
      <c r="FL53" s="52">
        <v>144.4</v>
      </c>
      <c r="FM53" s="52">
        <v>175.32</v>
      </c>
      <c r="FN53" s="52">
        <v>129.82</v>
      </c>
      <c r="FO53" s="52">
        <v>192.27</v>
      </c>
      <c r="FP53" s="52">
        <v>158.37</v>
      </c>
      <c r="FQ53" s="52">
        <v>147.84</v>
      </c>
      <c r="FR53" s="52">
        <v>262.61</v>
      </c>
      <c r="FS53" s="52">
        <v>173.92</v>
      </c>
      <c r="FT53" s="52">
        <v>134.03</v>
      </c>
      <c r="FU53" s="52">
        <v>195.93</v>
      </c>
      <c r="FV53" s="52">
        <v>149.06</v>
      </c>
      <c r="FW53" s="52">
        <v>116.18</v>
      </c>
      <c r="FX53" s="52">
        <v>161.57</v>
      </c>
      <c r="FY53" s="52">
        <v>157.69</v>
      </c>
      <c r="FZ53" s="52">
        <v>174.28</v>
      </c>
      <c r="GA53" s="52">
        <v>129.94</v>
      </c>
      <c r="GB53" s="52">
        <v>148.16</v>
      </c>
      <c r="GC53" s="52">
        <v>139.16</v>
      </c>
      <c r="GD53" s="52">
        <v>122.65</v>
      </c>
      <c r="GE53" s="52">
        <v>209.9</v>
      </c>
      <c r="GF53" s="52">
        <v>181.82</v>
      </c>
      <c r="GG53" s="52">
        <v>178.33</v>
      </c>
      <c r="GH53" s="52">
        <v>191.84</v>
      </c>
      <c r="GI53" s="52">
        <v>119.2</v>
      </c>
      <c r="GJ53" s="52">
        <v>114.38</v>
      </c>
      <c r="GK53" s="52">
        <v>109.62</v>
      </c>
      <c r="GL53" s="52">
        <v>133.36000000000001</v>
      </c>
      <c r="GM53" s="52">
        <v>128.16</v>
      </c>
      <c r="GN53" s="52">
        <v>176.32</v>
      </c>
      <c r="GO53" s="52">
        <v>132.94999999999999</v>
      </c>
      <c r="GP53" s="52">
        <v>141.24</v>
      </c>
      <c r="GQ53" s="52">
        <v>132.19</v>
      </c>
      <c r="GR53" s="52">
        <v>184.7</v>
      </c>
      <c r="GS53" s="52">
        <v>245.14</v>
      </c>
      <c r="GT53" s="52">
        <v>147.36000000000001</v>
      </c>
      <c r="GU53" s="52">
        <v>148.59</v>
      </c>
      <c r="GV53" s="52">
        <v>156.04</v>
      </c>
      <c r="GW53" s="52">
        <v>285.43</v>
      </c>
      <c r="GX53" s="52">
        <v>191.88</v>
      </c>
      <c r="GY53" s="52">
        <v>222.36</v>
      </c>
      <c r="GZ53" s="52">
        <v>175.91</v>
      </c>
      <c r="HA53" s="52">
        <v>157.13</v>
      </c>
      <c r="HB53" s="52">
        <v>155.22</v>
      </c>
      <c r="HC53" s="52">
        <v>128.78</v>
      </c>
      <c r="HD53" s="52">
        <v>125.1</v>
      </c>
      <c r="HE53" s="52">
        <v>111.27</v>
      </c>
      <c r="HF53" s="52">
        <v>110.09</v>
      </c>
      <c r="HG53" s="52">
        <v>110.27</v>
      </c>
      <c r="HH53" s="52">
        <v>148.30000000000001</v>
      </c>
      <c r="HI53" s="52">
        <v>81.430000000000007</v>
      </c>
      <c r="HJ53" s="52">
        <v>123.79</v>
      </c>
      <c r="HK53" s="52">
        <v>205.34</v>
      </c>
      <c r="HL53" s="52">
        <v>132</v>
      </c>
      <c r="HM53" s="52">
        <v>165.42</v>
      </c>
      <c r="HN53" s="52">
        <v>163.24</v>
      </c>
      <c r="HO53" s="52">
        <v>133.47</v>
      </c>
      <c r="HP53" s="52">
        <v>194.07</v>
      </c>
      <c r="HQ53" s="52">
        <v>127.57</v>
      </c>
      <c r="HR53" s="52">
        <v>149.25</v>
      </c>
      <c r="HS53" s="52">
        <v>217.13</v>
      </c>
      <c r="HT53" s="52">
        <v>180.89</v>
      </c>
      <c r="HU53" s="52">
        <v>87.81</v>
      </c>
      <c r="HV53" s="52">
        <v>132.47999999999999</v>
      </c>
      <c r="HW53" s="52">
        <v>126.44</v>
      </c>
      <c r="HX53" s="52">
        <v>95.06</v>
      </c>
      <c r="HY53" s="52">
        <v>191.47</v>
      </c>
      <c r="HZ53" s="52">
        <v>145.69999999999999</v>
      </c>
      <c r="IA53" s="52">
        <v>87.02</v>
      </c>
      <c r="IB53" s="52">
        <v>156.41999999999999</v>
      </c>
      <c r="IC53" s="52">
        <v>94.21</v>
      </c>
      <c r="ID53" s="52">
        <v>109.35</v>
      </c>
      <c r="IE53" s="52">
        <v>99.39</v>
      </c>
      <c r="IF53" s="52">
        <v>106.96</v>
      </c>
      <c r="IG53" s="52">
        <v>157.96</v>
      </c>
      <c r="IH53" s="52">
        <v>154.74</v>
      </c>
      <c r="II53" s="52">
        <v>193.02</v>
      </c>
      <c r="IJ53" s="52">
        <v>164.74</v>
      </c>
      <c r="IK53" s="52">
        <v>186.64</v>
      </c>
      <c r="IL53" s="52">
        <v>160.94</v>
      </c>
      <c r="IM53" s="52">
        <v>202.11</v>
      </c>
      <c r="IN53" s="52">
        <v>185.89</v>
      </c>
      <c r="IO53" s="52">
        <v>167.04</v>
      </c>
      <c r="IP53" s="52">
        <v>116.64</v>
      </c>
      <c r="IQ53" s="52">
        <v>142.85</v>
      </c>
      <c r="IR53" s="52">
        <v>222.53</v>
      </c>
      <c r="IS53" s="52">
        <v>143.38999999999999</v>
      </c>
      <c r="IT53" s="52">
        <v>43.89</v>
      </c>
      <c r="IU53" s="52">
        <v>121.94</v>
      </c>
      <c r="IV53" s="52">
        <v>71.28</v>
      </c>
      <c r="IW53" s="52">
        <v>93.96</v>
      </c>
      <c r="IX53" s="52">
        <v>152.69</v>
      </c>
      <c r="IY53" s="52">
        <v>134.44</v>
      </c>
      <c r="IZ53" s="52">
        <v>182.91</v>
      </c>
      <c r="JA53" s="52">
        <v>131.51</v>
      </c>
      <c r="JB53" s="52"/>
      <c r="JC53" s="52">
        <v>165.37</v>
      </c>
      <c r="JD53" s="52">
        <v>184.74</v>
      </c>
      <c r="JE53" s="52">
        <v>149.94999999999999</v>
      </c>
      <c r="JF53" s="52">
        <v>145.66</v>
      </c>
      <c r="JG53" s="52">
        <v>162.15</v>
      </c>
      <c r="JH53" s="52">
        <v>195.68</v>
      </c>
      <c r="JI53" s="52">
        <v>138.63</v>
      </c>
      <c r="JJ53" s="52">
        <v>141.53</v>
      </c>
      <c r="JK53" s="52">
        <v>175.47</v>
      </c>
      <c r="JL53" s="52">
        <v>189.7</v>
      </c>
      <c r="JM53" s="52">
        <v>186</v>
      </c>
      <c r="JN53" s="52">
        <v>178.91</v>
      </c>
      <c r="JO53" s="52">
        <v>153.28</v>
      </c>
      <c r="JP53" s="52">
        <v>205.73</v>
      </c>
      <c r="JQ53" s="52">
        <v>179.93</v>
      </c>
      <c r="JR53" s="52">
        <v>184.36</v>
      </c>
      <c r="JS53" s="52">
        <v>215.14</v>
      </c>
      <c r="JT53" s="52">
        <v>210.69</v>
      </c>
      <c r="JU53" s="52">
        <v>178.73</v>
      </c>
      <c r="JV53" s="52">
        <v>111.8</v>
      </c>
      <c r="JW53" s="52">
        <v>121.81</v>
      </c>
      <c r="JX53" s="52">
        <v>227.83</v>
      </c>
      <c r="JY53" s="52">
        <v>170.79</v>
      </c>
      <c r="JZ53" s="52">
        <v>160.87</v>
      </c>
      <c r="KA53" s="52">
        <v>195.97</v>
      </c>
      <c r="KB53" s="52">
        <v>207.23</v>
      </c>
      <c r="KC53" s="52">
        <v>120.96</v>
      </c>
      <c r="KD53" s="52">
        <v>143.91</v>
      </c>
      <c r="KE53" s="52">
        <v>170.17</v>
      </c>
      <c r="KF53" s="52">
        <v>187.72</v>
      </c>
    </row>
    <row r="54" spans="1:292" s="41" customFormat="1" ht="12">
      <c r="A54" s="41">
        <v>2009</v>
      </c>
      <c r="B54" s="49" t="s">
        <v>977</v>
      </c>
      <c r="C54" s="50" t="s">
        <v>978</v>
      </c>
      <c r="D54" s="52">
        <v>160.9</v>
      </c>
      <c r="E54" s="52">
        <v>164.15</v>
      </c>
      <c r="F54" s="52">
        <v>192.63</v>
      </c>
      <c r="G54" s="52">
        <v>111.67</v>
      </c>
      <c r="H54" s="52">
        <v>198.29</v>
      </c>
      <c r="I54" s="52">
        <v>143.44999999999999</v>
      </c>
      <c r="J54" s="52">
        <v>124.26</v>
      </c>
      <c r="K54" s="52">
        <v>152.46</v>
      </c>
      <c r="L54" s="52">
        <v>112.33</v>
      </c>
      <c r="M54" s="52">
        <v>138.13</v>
      </c>
      <c r="N54" s="52">
        <v>172.35</v>
      </c>
      <c r="O54" s="52">
        <v>203.32</v>
      </c>
      <c r="P54" s="52">
        <v>170.62</v>
      </c>
      <c r="Q54" s="52">
        <v>164.64</v>
      </c>
      <c r="R54" s="52">
        <v>155.96</v>
      </c>
      <c r="S54" s="52">
        <v>196.72</v>
      </c>
      <c r="T54" s="52">
        <v>192.16</v>
      </c>
      <c r="U54" s="52">
        <v>107.1</v>
      </c>
      <c r="V54" s="52">
        <v>125.79</v>
      </c>
      <c r="W54" s="52">
        <v>246.98</v>
      </c>
      <c r="X54" s="52">
        <v>147.72999999999999</v>
      </c>
      <c r="Y54" s="52">
        <v>159.16</v>
      </c>
      <c r="Z54" s="52">
        <v>198.42</v>
      </c>
      <c r="AA54" s="52">
        <v>149.06</v>
      </c>
      <c r="AB54" s="52">
        <v>123.6</v>
      </c>
      <c r="AC54" s="52">
        <v>125.8</v>
      </c>
      <c r="AD54" s="52">
        <v>150.6</v>
      </c>
      <c r="AE54" s="52">
        <v>164.73</v>
      </c>
      <c r="AF54" s="52">
        <v>151.33000000000001</v>
      </c>
      <c r="AG54" s="52">
        <v>92.12</v>
      </c>
      <c r="AH54" s="52">
        <v>153.66999999999999</v>
      </c>
      <c r="AI54" s="52">
        <v>156.63</v>
      </c>
      <c r="AJ54" s="52">
        <v>109.32</v>
      </c>
      <c r="AK54" s="52">
        <v>159.58000000000001</v>
      </c>
      <c r="AL54" s="52">
        <v>189.46</v>
      </c>
      <c r="AM54" s="52">
        <v>143.38999999999999</v>
      </c>
      <c r="AN54" s="52">
        <v>44.01</v>
      </c>
      <c r="AO54" s="52">
        <v>122.97</v>
      </c>
      <c r="AP54" s="52">
        <v>85.18</v>
      </c>
      <c r="AQ54" s="52">
        <v>135.86000000000001</v>
      </c>
      <c r="AR54" s="52">
        <v>169.22</v>
      </c>
      <c r="AS54" s="52">
        <v>165.78</v>
      </c>
      <c r="AT54" s="52">
        <v>164.53</v>
      </c>
      <c r="AU54" s="52">
        <v>174.3</v>
      </c>
      <c r="AV54" s="52">
        <v>189.69</v>
      </c>
      <c r="AW54" s="52">
        <v>186</v>
      </c>
      <c r="AX54" s="52">
        <v>178.91</v>
      </c>
      <c r="AY54" s="52">
        <v>153.27000000000001</v>
      </c>
      <c r="AZ54" s="52">
        <v>199.1</v>
      </c>
      <c r="BA54" s="52">
        <v>204.17</v>
      </c>
      <c r="BB54" s="52">
        <v>139.87</v>
      </c>
      <c r="BC54" s="52">
        <v>224.35</v>
      </c>
      <c r="BD54" s="52">
        <v>196.12</v>
      </c>
      <c r="BE54" s="52">
        <v>154.69</v>
      </c>
      <c r="BF54" s="52">
        <v>179.76</v>
      </c>
      <c r="BG54" s="52">
        <v>202.63</v>
      </c>
      <c r="BH54" s="52">
        <v>185.14</v>
      </c>
      <c r="BI54" s="52">
        <v>147.57</v>
      </c>
      <c r="BJ54" s="52">
        <v>137.01</v>
      </c>
      <c r="BK54" s="52">
        <v>160.38999999999999</v>
      </c>
      <c r="BL54" s="52">
        <v>168.5</v>
      </c>
      <c r="BM54" s="52">
        <v>138.69999999999999</v>
      </c>
      <c r="BN54" s="52">
        <v>181.89</v>
      </c>
      <c r="BO54" s="52">
        <v>146.12</v>
      </c>
      <c r="BP54" s="52">
        <v>163.13</v>
      </c>
      <c r="BQ54" s="52">
        <v>172.33</v>
      </c>
      <c r="BR54" s="52">
        <v>140.6</v>
      </c>
      <c r="BS54" s="52">
        <v>209.93</v>
      </c>
      <c r="BT54" s="52">
        <v>182.53</v>
      </c>
      <c r="BU54" s="52">
        <v>178.94</v>
      </c>
      <c r="BV54" s="52">
        <v>192.16</v>
      </c>
      <c r="BW54" s="52">
        <v>105.32</v>
      </c>
      <c r="BX54" s="52">
        <v>124.46</v>
      </c>
      <c r="BY54" s="52">
        <v>176.55</v>
      </c>
      <c r="BZ54" s="52">
        <v>125.43</v>
      </c>
      <c r="CA54" s="52">
        <v>185.8</v>
      </c>
      <c r="CB54" s="53">
        <v>246.98</v>
      </c>
      <c r="CC54" s="52">
        <v>147.72999999999999</v>
      </c>
      <c r="CD54" s="52">
        <v>158.55000000000001</v>
      </c>
      <c r="CE54" s="52">
        <v>157.52000000000001</v>
      </c>
      <c r="CF54" s="52">
        <v>221.89</v>
      </c>
      <c r="CG54" s="52">
        <v>216.12</v>
      </c>
      <c r="CH54" s="52">
        <v>154.44</v>
      </c>
      <c r="CI54" s="52">
        <v>128.81</v>
      </c>
      <c r="CJ54" s="52">
        <v>123.6</v>
      </c>
      <c r="CK54" s="52">
        <v>117.96</v>
      </c>
      <c r="CL54" s="52">
        <v>124.15</v>
      </c>
      <c r="CM54" s="52">
        <v>207.65</v>
      </c>
      <c r="CN54" s="52">
        <v>150.6</v>
      </c>
      <c r="CO54" s="52">
        <v>164.73</v>
      </c>
      <c r="CP54" s="52">
        <v>130.36000000000001</v>
      </c>
      <c r="CQ54" s="52">
        <v>219.68</v>
      </c>
      <c r="CR54" s="52">
        <v>87.81</v>
      </c>
      <c r="CS54" s="52">
        <v>132.96</v>
      </c>
      <c r="CT54" s="52">
        <v>115.76</v>
      </c>
      <c r="CU54" s="52">
        <v>191.93</v>
      </c>
      <c r="CV54" s="52">
        <v>145.83000000000001</v>
      </c>
      <c r="CW54" s="52">
        <v>95.48</v>
      </c>
      <c r="CX54" s="52">
        <v>156.63</v>
      </c>
      <c r="CY54" s="52">
        <v>109.47</v>
      </c>
      <c r="CZ54" s="52">
        <v>99.49</v>
      </c>
      <c r="DA54" s="52">
        <v>108.88</v>
      </c>
      <c r="DB54" s="52">
        <v>158.68</v>
      </c>
      <c r="DC54" s="52">
        <v>154.78</v>
      </c>
      <c r="DD54" s="52">
        <v>197.12</v>
      </c>
      <c r="DE54" s="52">
        <v>165.11</v>
      </c>
      <c r="DF54" s="52">
        <v>179.09</v>
      </c>
      <c r="DG54" s="52">
        <v>192.64</v>
      </c>
      <c r="DH54" s="52">
        <v>115.45</v>
      </c>
      <c r="DI54" s="52">
        <v>142.85</v>
      </c>
      <c r="DJ54" s="52">
        <v>221.94</v>
      </c>
      <c r="DK54" s="52">
        <v>143.38999999999999</v>
      </c>
      <c r="DL54" s="52">
        <v>44.01</v>
      </c>
      <c r="DM54" s="52">
        <v>122.97</v>
      </c>
      <c r="DN54" s="52">
        <v>69.37</v>
      </c>
      <c r="DO54" s="52">
        <v>103.72</v>
      </c>
      <c r="DP54" s="52">
        <v>154.81</v>
      </c>
      <c r="DQ54" s="52">
        <v>135.86000000000001</v>
      </c>
      <c r="DR54" s="52">
        <v>184.36</v>
      </c>
      <c r="DS54" s="52">
        <v>130.94</v>
      </c>
      <c r="DT54" s="52"/>
      <c r="DU54" s="52">
        <v>165.41</v>
      </c>
      <c r="DV54" s="52">
        <v>187.52</v>
      </c>
      <c r="DW54" s="52">
        <v>147.83000000000001</v>
      </c>
      <c r="DX54" s="52">
        <v>165.64</v>
      </c>
      <c r="DY54" s="52">
        <v>200.98</v>
      </c>
      <c r="DZ54" s="52">
        <v>143.11000000000001</v>
      </c>
      <c r="EA54" s="52">
        <v>142.13999999999999</v>
      </c>
      <c r="EB54" s="52">
        <v>174.3</v>
      </c>
      <c r="EC54" s="52">
        <v>189.69</v>
      </c>
      <c r="ED54" s="52">
        <v>186</v>
      </c>
      <c r="EE54" s="52">
        <v>178.91</v>
      </c>
      <c r="EF54" s="52">
        <v>153.27000000000001</v>
      </c>
      <c r="EG54" s="52">
        <v>199.1</v>
      </c>
      <c r="EH54" s="52">
        <v>204.17</v>
      </c>
      <c r="EI54" s="52">
        <v>195.18</v>
      </c>
      <c r="EJ54" s="52">
        <v>111.91</v>
      </c>
      <c r="EK54" s="52">
        <v>124.05</v>
      </c>
      <c r="EL54" s="52">
        <v>243.22</v>
      </c>
      <c r="EM54" s="52">
        <v>167.87</v>
      </c>
      <c r="EN54" s="52">
        <v>196.12</v>
      </c>
      <c r="EO54" s="52">
        <v>220.74</v>
      </c>
      <c r="EP54" s="52">
        <v>120.96</v>
      </c>
      <c r="EQ54" s="52">
        <v>145.65</v>
      </c>
      <c r="ER54" s="52">
        <v>179.76</v>
      </c>
      <c r="ES54" s="52">
        <v>202.63</v>
      </c>
      <c r="ET54" s="52">
        <v>210.03</v>
      </c>
      <c r="EU54" s="52">
        <v>164.98</v>
      </c>
      <c r="EV54" s="52">
        <v>190.55</v>
      </c>
      <c r="EW54" s="52">
        <v>173.04</v>
      </c>
      <c r="EX54" s="52">
        <v>203.88</v>
      </c>
      <c r="EY54" s="52">
        <v>120.53</v>
      </c>
      <c r="EZ54" s="52">
        <v>152.69999999999999</v>
      </c>
      <c r="FA54" s="52">
        <v>148.72999999999999</v>
      </c>
      <c r="FB54" s="52">
        <v>147.11000000000001</v>
      </c>
      <c r="FC54" s="52">
        <v>143.37</v>
      </c>
      <c r="FD54" s="52">
        <v>137.19</v>
      </c>
      <c r="FE54" s="52">
        <v>137.01</v>
      </c>
      <c r="FF54" s="52"/>
      <c r="FG54" s="52">
        <v>141.57</v>
      </c>
      <c r="FH54" s="52">
        <v>149.30000000000001</v>
      </c>
      <c r="FI54" s="52">
        <v>160.96</v>
      </c>
      <c r="FJ54" s="52">
        <v>199.09</v>
      </c>
      <c r="FK54" s="52">
        <v>180.38</v>
      </c>
      <c r="FL54" s="52">
        <v>144.80000000000001</v>
      </c>
      <c r="FM54" s="52">
        <v>173.14</v>
      </c>
      <c r="FN54" s="52">
        <v>128.19</v>
      </c>
      <c r="FO54" s="52">
        <v>193.03</v>
      </c>
      <c r="FP54" s="52">
        <v>177.71</v>
      </c>
      <c r="FQ54" s="52">
        <v>147.44999999999999</v>
      </c>
      <c r="FR54" s="52">
        <v>249.33</v>
      </c>
      <c r="FS54" s="52">
        <v>174.78</v>
      </c>
      <c r="FT54" s="52">
        <v>134.11000000000001</v>
      </c>
      <c r="FU54" s="52">
        <v>197.36</v>
      </c>
      <c r="FV54" s="52">
        <v>150.05000000000001</v>
      </c>
      <c r="FW54" s="52">
        <v>117.3</v>
      </c>
      <c r="FX54" s="52">
        <v>163.13</v>
      </c>
      <c r="FY54" s="52">
        <v>162.29</v>
      </c>
      <c r="FZ54" s="52">
        <v>174.26</v>
      </c>
      <c r="GA54" s="52">
        <v>129.76</v>
      </c>
      <c r="GB54" s="52">
        <v>149.13</v>
      </c>
      <c r="GC54" s="52">
        <v>140.41</v>
      </c>
      <c r="GD54" s="52">
        <v>123.19</v>
      </c>
      <c r="GE54" s="52">
        <v>209.93</v>
      </c>
      <c r="GF54" s="52">
        <v>182.53</v>
      </c>
      <c r="GG54" s="52">
        <v>178.94</v>
      </c>
      <c r="GH54" s="52">
        <v>191.84</v>
      </c>
      <c r="GI54" s="52">
        <v>109.2</v>
      </c>
      <c r="GJ54" s="52">
        <v>102.91</v>
      </c>
      <c r="GK54" s="52">
        <v>100.72</v>
      </c>
      <c r="GL54" s="52">
        <v>130.34</v>
      </c>
      <c r="GM54" s="52">
        <v>124.46</v>
      </c>
      <c r="GN54" s="52">
        <v>176.55</v>
      </c>
      <c r="GO54" s="52">
        <v>123.28</v>
      </c>
      <c r="GP54" s="52">
        <v>129.02000000000001</v>
      </c>
      <c r="GQ54" s="52">
        <v>123.67</v>
      </c>
      <c r="GR54" s="52">
        <v>185.8</v>
      </c>
      <c r="GS54" s="52">
        <v>246.98</v>
      </c>
      <c r="GT54" s="52">
        <v>147.72999999999999</v>
      </c>
      <c r="GU54" s="52">
        <v>158.55000000000001</v>
      </c>
      <c r="GV54" s="52">
        <v>157.52000000000001</v>
      </c>
      <c r="GW54" s="52">
        <v>284.61</v>
      </c>
      <c r="GX54" s="52">
        <v>188.62</v>
      </c>
      <c r="GY54" s="52">
        <v>216.12</v>
      </c>
      <c r="GZ54" s="52">
        <v>176.5</v>
      </c>
      <c r="HA54" s="52">
        <v>154.38</v>
      </c>
      <c r="HB54" s="52">
        <v>152.19999999999999</v>
      </c>
      <c r="HC54" s="52">
        <v>128.81</v>
      </c>
      <c r="HD54" s="52">
        <v>123.6</v>
      </c>
      <c r="HE54" s="52">
        <v>108.58</v>
      </c>
      <c r="HF54" s="52">
        <v>113.47</v>
      </c>
      <c r="HG54" s="52">
        <v>111.17</v>
      </c>
      <c r="HH54" s="52">
        <v>148.58000000000001</v>
      </c>
      <c r="HI54" s="52">
        <v>80.97</v>
      </c>
      <c r="HJ54" s="52">
        <v>124.15</v>
      </c>
      <c r="HK54" s="52">
        <v>207.65</v>
      </c>
      <c r="HL54" s="52">
        <v>132.47999999999999</v>
      </c>
      <c r="HM54" s="52">
        <v>166.18</v>
      </c>
      <c r="HN54" s="52">
        <v>163.83000000000001</v>
      </c>
      <c r="HO54" s="52">
        <v>136.44</v>
      </c>
      <c r="HP54" s="52">
        <v>193.73</v>
      </c>
      <c r="HQ54" s="52">
        <v>128.08000000000001</v>
      </c>
      <c r="HR54" s="52">
        <v>150.85</v>
      </c>
      <c r="HS54" s="52">
        <v>220.47</v>
      </c>
      <c r="HT54" s="52">
        <v>182.08</v>
      </c>
      <c r="HU54" s="52">
        <v>87.81</v>
      </c>
      <c r="HV54" s="52">
        <v>132.96</v>
      </c>
      <c r="HW54" s="52">
        <v>127.19</v>
      </c>
      <c r="HX54" s="52">
        <v>95.33</v>
      </c>
      <c r="HY54" s="52">
        <v>191.93</v>
      </c>
      <c r="HZ54" s="52">
        <v>145.83000000000001</v>
      </c>
      <c r="IA54" s="52">
        <v>87.22</v>
      </c>
      <c r="IB54" s="52">
        <v>156.63</v>
      </c>
      <c r="IC54" s="52">
        <v>97.23</v>
      </c>
      <c r="ID54" s="52">
        <v>112.55</v>
      </c>
      <c r="IE54" s="52">
        <v>99.49</v>
      </c>
      <c r="IF54" s="52">
        <v>108.88</v>
      </c>
      <c r="IG54" s="52">
        <v>158.68</v>
      </c>
      <c r="IH54" s="52">
        <v>154.78</v>
      </c>
      <c r="II54" s="52">
        <v>197.12</v>
      </c>
      <c r="IJ54" s="52">
        <v>165.11</v>
      </c>
      <c r="IK54" s="52">
        <v>186.64</v>
      </c>
      <c r="IL54" s="52">
        <v>160.94</v>
      </c>
      <c r="IM54" s="52">
        <v>202.47</v>
      </c>
      <c r="IN54" s="52">
        <v>185.9</v>
      </c>
      <c r="IO54" s="52">
        <v>159.24</v>
      </c>
      <c r="IP54" s="52">
        <v>115.45</v>
      </c>
      <c r="IQ54" s="52">
        <v>142.85</v>
      </c>
      <c r="IR54" s="52">
        <v>221.94</v>
      </c>
      <c r="IS54" s="52">
        <v>143.38999999999999</v>
      </c>
      <c r="IT54" s="52">
        <v>44.01</v>
      </c>
      <c r="IU54" s="52">
        <v>122.97</v>
      </c>
      <c r="IV54" s="52">
        <v>70.709999999999994</v>
      </c>
      <c r="IW54" s="52">
        <v>103.72</v>
      </c>
      <c r="IX54" s="52">
        <v>154.81</v>
      </c>
      <c r="IY54" s="52">
        <v>135.86000000000001</v>
      </c>
      <c r="IZ54" s="52">
        <v>184.36</v>
      </c>
      <c r="JA54" s="52">
        <v>130.94</v>
      </c>
      <c r="JB54" s="52"/>
      <c r="JC54" s="52">
        <v>165.41</v>
      </c>
      <c r="JD54" s="52">
        <v>187.52</v>
      </c>
      <c r="JE54" s="52">
        <v>150.93</v>
      </c>
      <c r="JF54" s="52">
        <v>146.65</v>
      </c>
      <c r="JG54" s="52">
        <v>165.64</v>
      </c>
      <c r="JH54" s="52">
        <v>200.98</v>
      </c>
      <c r="JI54" s="52">
        <v>143.11000000000001</v>
      </c>
      <c r="JJ54" s="52">
        <v>142.13999999999999</v>
      </c>
      <c r="JK54" s="52">
        <v>174.3</v>
      </c>
      <c r="JL54" s="52">
        <v>189.69</v>
      </c>
      <c r="JM54" s="52">
        <v>186</v>
      </c>
      <c r="JN54" s="52">
        <v>178.91</v>
      </c>
      <c r="JO54" s="52">
        <v>153.27000000000001</v>
      </c>
      <c r="JP54" s="52">
        <v>206.2</v>
      </c>
      <c r="JQ54" s="52">
        <v>182.45</v>
      </c>
      <c r="JR54" s="52">
        <v>187.57</v>
      </c>
      <c r="JS54" s="52">
        <v>227.04</v>
      </c>
      <c r="JT54" s="52">
        <v>211.7</v>
      </c>
      <c r="JU54" s="52">
        <v>179.19</v>
      </c>
      <c r="JV54" s="52">
        <v>111.91</v>
      </c>
      <c r="JW54" s="52">
        <v>124.05</v>
      </c>
      <c r="JX54" s="52">
        <v>243.22</v>
      </c>
      <c r="JY54" s="52">
        <v>169.64</v>
      </c>
      <c r="JZ54" s="52">
        <v>162.58000000000001</v>
      </c>
      <c r="KA54" s="52">
        <v>196.12</v>
      </c>
      <c r="KB54" s="52">
        <v>220.74</v>
      </c>
      <c r="KC54" s="52">
        <v>120.96</v>
      </c>
      <c r="KD54" s="52">
        <v>145.65</v>
      </c>
      <c r="KE54" s="52">
        <v>179.76</v>
      </c>
      <c r="KF54" s="52">
        <v>202.63</v>
      </c>
    </row>
    <row r="55" spans="1:292" s="41" customFormat="1" ht="12">
      <c r="A55" s="41">
        <v>2009</v>
      </c>
      <c r="B55" s="54" t="s">
        <v>979</v>
      </c>
      <c r="C55" s="55" t="s">
        <v>980</v>
      </c>
      <c r="D55" s="56">
        <v>160.35</v>
      </c>
      <c r="E55" s="56">
        <v>164.18</v>
      </c>
      <c r="F55" s="56">
        <v>192.82</v>
      </c>
      <c r="G55" s="56">
        <v>105.44</v>
      </c>
      <c r="H55" s="56">
        <v>196.32</v>
      </c>
      <c r="I55" s="56">
        <v>142.02000000000001</v>
      </c>
      <c r="J55" s="56">
        <v>124.39</v>
      </c>
      <c r="K55" s="56">
        <v>154.59</v>
      </c>
      <c r="L55" s="56">
        <v>111</v>
      </c>
      <c r="M55" s="56">
        <v>137.88999999999999</v>
      </c>
      <c r="N55" s="56">
        <v>171.76</v>
      </c>
      <c r="O55" s="56">
        <v>204.52</v>
      </c>
      <c r="P55" s="56">
        <v>176.48</v>
      </c>
      <c r="Q55" s="56">
        <v>164.59</v>
      </c>
      <c r="R55" s="56">
        <v>157.01</v>
      </c>
      <c r="S55" s="56">
        <v>199.82</v>
      </c>
      <c r="T55" s="56">
        <v>192.16</v>
      </c>
      <c r="U55" s="56">
        <v>101.11</v>
      </c>
      <c r="V55" s="56">
        <v>118.84</v>
      </c>
      <c r="W55" s="56">
        <v>248.05</v>
      </c>
      <c r="X55" s="56">
        <v>148.24</v>
      </c>
      <c r="Y55" s="56">
        <v>159.01</v>
      </c>
      <c r="Z55" s="56">
        <v>194.13</v>
      </c>
      <c r="AA55" s="56">
        <v>149.02000000000001</v>
      </c>
      <c r="AB55" s="56">
        <v>123.2</v>
      </c>
      <c r="AC55" s="56">
        <v>121.73</v>
      </c>
      <c r="AD55" s="56">
        <v>150.97999999999999</v>
      </c>
      <c r="AE55" s="56">
        <v>164.75</v>
      </c>
      <c r="AF55" s="56">
        <v>150.83000000000001</v>
      </c>
      <c r="AG55" s="56">
        <v>92.16</v>
      </c>
      <c r="AH55" s="56">
        <v>153.86000000000001</v>
      </c>
      <c r="AI55" s="56">
        <v>156.93</v>
      </c>
      <c r="AJ55" s="56">
        <v>111.74</v>
      </c>
      <c r="AK55" s="56">
        <v>162.87</v>
      </c>
      <c r="AL55" s="56">
        <v>189.05</v>
      </c>
      <c r="AM55" s="56">
        <v>143.38999999999999</v>
      </c>
      <c r="AN55" s="56">
        <v>43.79</v>
      </c>
      <c r="AO55" s="56">
        <v>121.44</v>
      </c>
      <c r="AP55" s="56">
        <v>84.42</v>
      </c>
      <c r="AQ55" s="56">
        <v>137.63999999999999</v>
      </c>
      <c r="AR55" s="56">
        <v>169.52</v>
      </c>
      <c r="AS55" s="56">
        <v>163.41</v>
      </c>
      <c r="AT55" s="56">
        <v>167.82</v>
      </c>
      <c r="AU55" s="56">
        <v>174.32</v>
      </c>
      <c r="AV55" s="56">
        <v>189.71</v>
      </c>
      <c r="AW55" s="56">
        <v>185.07</v>
      </c>
      <c r="AX55" s="56">
        <v>178.91</v>
      </c>
      <c r="AY55" s="56">
        <v>152.88</v>
      </c>
      <c r="AZ55" s="56">
        <v>200.37</v>
      </c>
      <c r="BA55" s="56">
        <v>204.33</v>
      </c>
      <c r="BB55" s="56">
        <v>140.55000000000001</v>
      </c>
      <c r="BC55" s="56">
        <v>250.18</v>
      </c>
      <c r="BD55" s="56">
        <v>196.73</v>
      </c>
      <c r="BE55" s="56">
        <v>153.41999999999999</v>
      </c>
      <c r="BF55" s="56">
        <v>183.03</v>
      </c>
      <c r="BG55" s="56">
        <v>202.68</v>
      </c>
      <c r="BH55" s="52">
        <v>183.43</v>
      </c>
      <c r="BI55" s="52">
        <v>151.96</v>
      </c>
      <c r="BJ55" s="52">
        <v>148.18</v>
      </c>
      <c r="BK55" s="52">
        <v>159.03</v>
      </c>
      <c r="BL55" s="52">
        <v>162.59</v>
      </c>
      <c r="BM55" s="52">
        <v>140.91999999999999</v>
      </c>
      <c r="BN55" s="52">
        <v>179.19</v>
      </c>
      <c r="BO55" s="52">
        <v>146.47999999999999</v>
      </c>
      <c r="BP55" s="52">
        <v>165.34</v>
      </c>
      <c r="BQ55" s="52">
        <v>173.43</v>
      </c>
      <c r="BR55" s="52">
        <v>141.59</v>
      </c>
      <c r="BS55" s="52">
        <v>209.93</v>
      </c>
      <c r="BT55" s="52">
        <v>181.1</v>
      </c>
      <c r="BU55" s="52">
        <v>186.49</v>
      </c>
      <c r="BV55" s="52">
        <v>192.16</v>
      </c>
      <c r="BW55" s="52">
        <v>99.05</v>
      </c>
      <c r="BX55" s="52">
        <v>121.38</v>
      </c>
      <c r="BY55" s="52">
        <v>176.08</v>
      </c>
      <c r="BZ55" s="52">
        <v>118.45</v>
      </c>
      <c r="CA55" s="52">
        <v>185.99</v>
      </c>
      <c r="CB55" s="53">
        <v>248.05</v>
      </c>
      <c r="CC55" s="52">
        <v>148.24</v>
      </c>
      <c r="CD55" s="52">
        <v>158.4</v>
      </c>
      <c r="CE55" s="52">
        <v>157.52000000000001</v>
      </c>
      <c r="CF55" s="52">
        <v>212.56</v>
      </c>
      <c r="CG55" s="52">
        <v>210.85</v>
      </c>
      <c r="CH55" s="52">
        <v>154.58000000000001</v>
      </c>
      <c r="CI55" s="52">
        <v>128.05000000000001</v>
      </c>
      <c r="CJ55" s="52">
        <v>123.2</v>
      </c>
      <c r="CK55" s="52">
        <v>113.44</v>
      </c>
      <c r="CL55" s="52">
        <v>124.2</v>
      </c>
      <c r="CM55" s="52">
        <v>208.23</v>
      </c>
      <c r="CN55" s="52">
        <v>150.97999999999999</v>
      </c>
      <c r="CO55" s="52">
        <v>164.75</v>
      </c>
      <c r="CP55" s="52">
        <v>129.34</v>
      </c>
      <c r="CQ55" s="52">
        <v>223.39</v>
      </c>
      <c r="CR55" s="52">
        <v>87.81</v>
      </c>
      <c r="CS55" s="52">
        <v>133.47</v>
      </c>
      <c r="CT55" s="52">
        <v>115.97</v>
      </c>
      <c r="CU55" s="52">
        <v>192.22</v>
      </c>
      <c r="CV55" s="52">
        <v>146.01</v>
      </c>
      <c r="CW55" s="52">
        <v>95.55</v>
      </c>
      <c r="CX55" s="52">
        <v>156.93</v>
      </c>
      <c r="CY55" s="52">
        <v>111.94</v>
      </c>
      <c r="CZ55" s="52">
        <v>99.39</v>
      </c>
      <c r="DA55" s="52">
        <v>111.08</v>
      </c>
      <c r="DB55" s="52">
        <v>157.80000000000001</v>
      </c>
      <c r="DC55" s="52">
        <v>158.62</v>
      </c>
      <c r="DD55" s="52">
        <v>199.05</v>
      </c>
      <c r="DE55" s="52">
        <v>165.63</v>
      </c>
      <c r="DF55" s="52">
        <v>179.09</v>
      </c>
      <c r="DG55" s="52">
        <v>192.23</v>
      </c>
      <c r="DH55" s="52">
        <v>114.91</v>
      </c>
      <c r="DI55" s="52">
        <v>142.85</v>
      </c>
      <c r="DJ55" s="52">
        <v>221.79</v>
      </c>
      <c r="DK55" s="52">
        <v>143.38999999999999</v>
      </c>
      <c r="DL55" s="52">
        <v>43.79</v>
      </c>
      <c r="DM55" s="52">
        <v>121.44</v>
      </c>
      <c r="DN55" s="52">
        <v>68.97</v>
      </c>
      <c r="DO55" s="52">
        <v>102.48</v>
      </c>
      <c r="DP55" s="52">
        <v>148.47999999999999</v>
      </c>
      <c r="DQ55" s="52">
        <v>137.63999999999999</v>
      </c>
      <c r="DR55" s="52">
        <v>185.11</v>
      </c>
      <c r="DS55" s="52">
        <v>129.91999999999999</v>
      </c>
      <c r="DT55" s="52"/>
      <c r="DU55" s="52">
        <v>167.48</v>
      </c>
      <c r="DV55" s="52">
        <v>181.63</v>
      </c>
      <c r="DW55" s="52">
        <v>148.21</v>
      </c>
      <c r="DX55" s="52">
        <v>165.64</v>
      </c>
      <c r="DY55" s="52">
        <v>204.42</v>
      </c>
      <c r="DZ55" s="52">
        <v>148.49</v>
      </c>
      <c r="EA55" s="52">
        <v>143.37</v>
      </c>
      <c r="EB55" s="52">
        <v>174.32</v>
      </c>
      <c r="EC55" s="52">
        <v>189.71</v>
      </c>
      <c r="ED55" s="52">
        <v>185.07</v>
      </c>
      <c r="EE55" s="52">
        <v>178.91</v>
      </c>
      <c r="EF55" s="52">
        <v>152.88</v>
      </c>
      <c r="EG55" s="52">
        <v>200.37</v>
      </c>
      <c r="EH55" s="52">
        <v>204.33</v>
      </c>
      <c r="EI55" s="52">
        <v>196.2</v>
      </c>
      <c r="EJ55" s="52">
        <v>111.55</v>
      </c>
      <c r="EK55" s="52">
        <v>124.68</v>
      </c>
      <c r="EL55" s="52">
        <v>278.91000000000003</v>
      </c>
      <c r="EM55" s="52">
        <v>167.47</v>
      </c>
      <c r="EN55" s="52">
        <v>196.73</v>
      </c>
      <c r="EO55" s="52">
        <v>221.75</v>
      </c>
      <c r="EP55" s="52">
        <v>121.56</v>
      </c>
      <c r="EQ55" s="52">
        <v>144.07</v>
      </c>
      <c r="ER55" s="52">
        <v>183.03</v>
      </c>
      <c r="ES55" s="52">
        <v>202.68</v>
      </c>
      <c r="ET55" s="52">
        <v>209.5</v>
      </c>
      <c r="EU55" s="52">
        <v>165.04</v>
      </c>
      <c r="EV55" s="52">
        <v>187.72</v>
      </c>
      <c r="EW55" s="52">
        <v>172.99</v>
      </c>
      <c r="EX55" s="52">
        <v>198.6</v>
      </c>
      <c r="EY55" s="52">
        <v>120.7</v>
      </c>
      <c r="EZ55" s="52">
        <v>151.88999999999999</v>
      </c>
      <c r="FA55" s="52">
        <v>157.33000000000001</v>
      </c>
      <c r="FB55" s="52">
        <v>159.69</v>
      </c>
      <c r="FC55" s="52">
        <v>146.46</v>
      </c>
      <c r="FD55" s="52">
        <v>139.44999999999999</v>
      </c>
      <c r="FE55" s="52">
        <v>148.18</v>
      </c>
      <c r="FF55" s="52"/>
      <c r="FG55" s="52">
        <v>139.38999999999999</v>
      </c>
      <c r="FH55" s="52">
        <v>149.06</v>
      </c>
      <c r="FI55" s="52">
        <v>159.44</v>
      </c>
      <c r="FJ55" s="52">
        <v>197.95</v>
      </c>
      <c r="FK55" s="52">
        <v>180.48</v>
      </c>
      <c r="FL55" s="52">
        <v>143.93</v>
      </c>
      <c r="FM55" s="52">
        <v>165.51</v>
      </c>
      <c r="FN55" s="52">
        <v>130.82</v>
      </c>
      <c r="FO55" s="52">
        <v>193.16</v>
      </c>
      <c r="FP55" s="52">
        <v>174.5</v>
      </c>
      <c r="FQ55" s="52">
        <v>145.49</v>
      </c>
      <c r="FR55" s="52">
        <v>245.38</v>
      </c>
      <c r="FS55" s="52">
        <v>174.91</v>
      </c>
      <c r="FT55" s="52">
        <v>134.16</v>
      </c>
      <c r="FU55" s="52">
        <v>195.66</v>
      </c>
      <c r="FV55" s="52">
        <v>152.63999999999999</v>
      </c>
      <c r="FW55" s="52">
        <v>117.45</v>
      </c>
      <c r="FX55" s="52">
        <v>165.34</v>
      </c>
      <c r="FY55" s="52">
        <v>163.95</v>
      </c>
      <c r="FZ55" s="52">
        <v>175.3</v>
      </c>
      <c r="GA55" s="52">
        <v>130.18</v>
      </c>
      <c r="GB55" s="52">
        <v>150.15</v>
      </c>
      <c r="GC55" s="52">
        <v>141.07</v>
      </c>
      <c r="GD55" s="52">
        <v>125.19</v>
      </c>
      <c r="GE55" s="52">
        <v>209.93</v>
      </c>
      <c r="GF55" s="52">
        <v>181.1</v>
      </c>
      <c r="GG55" s="52">
        <v>186.49</v>
      </c>
      <c r="GH55" s="52">
        <v>191.84</v>
      </c>
      <c r="GI55" s="52">
        <v>103.48</v>
      </c>
      <c r="GJ55" s="52">
        <v>95.76</v>
      </c>
      <c r="GK55" s="52">
        <v>95.22</v>
      </c>
      <c r="GL55" s="52">
        <v>128.76</v>
      </c>
      <c r="GM55" s="52">
        <v>121.38</v>
      </c>
      <c r="GN55" s="52">
        <v>176.08</v>
      </c>
      <c r="GO55" s="52">
        <v>117.06</v>
      </c>
      <c r="GP55" s="52">
        <v>120.62</v>
      </c>
      <c r="GQ55" s="52">
        <v>117.54</v>
      </c>
      <c r="GR55" s="52">
        <v>185.99</v>
      </c>
      <c r="GS55" s="52">
        <v>248.05</v>
      </c>
      <c r="GT55" s="52">
        <v>148.24</v>
      </c>
      <c r="GU55" s="52">
        <v>158.4</v>
      </c>
      <c r="GV55" s="52">
        <v>157.52000000000001</v>
      </c>
      <c r="GW55" s="52">
        <v>242.37</v>
      </c>
      <c r="GX55" s="52">
        <v>196.82</v>
      </c>
      <c r="GY55" s="52">
        <v>210.85</v>
      </c>
      <c r="GZ55" s="52">
        <v>176.95</v>
      </c>
      <c r="HA55" s="52">
        <v>155.05000000000001</v>
      </c>
      <c r="HB55" s="52">
        <v>152.05000000000001</v>
      </c>
      <c r="HC55" s="52">
        <v>128.05000000000001</v>
      </c>
      <c r="HD55" s="52">
        <v>123.2</v>
      </c>
      <c r="HE55" s="52">
        <v>100.74</v>
      </c>
      <c r="HF55" s="52">
        <v>107.52</v>
      </c>
      <c r="HG55" s="52">
        <v>110.08</v>
      </c>
      <c r="HH55" s="52">
        <v>147.65</v>
      </c>
      <c r="HI55" s="52">
        <v>80.77</v>
      </c>
      <c r="HJ55" s="52">
        <v>124.2</v>
      </c>
      <c r="HK55" s="52">
        <v>208.23</v>
      </c>
      <c r="HL55" s="52">
        <v>132.68</v>
      </c>
      <c r="HM55" s="52">
        <v>167.23</v>
      </c>
      <c r="HN55" s="52">
        <v>164.26</v>
      </c>
      <c r="HO55" s="52">
        <v>137.5</v>
      </c>
      <c r="HP55" s="52">
        <v>192.44</v>
      </c>
      <c r="HQ55" s="52">
        <v>126.8</v>
      </c>
      <c r="HR55" s="52">
        <v>151.93</v>
      </c>
      <c r="HS55" s="52">
        <v>224.3</v>
      </c>
      <c r="HT55" s="52">
        <v>183.17</v>
      </c>
      <c r="HU55" s="52">
        <v>87.81</v>
      </c>
      <c r="HV55" s="52">
        <v>133.47</v>
      </c>
      <c r="HW55" s="52">
        <v>127.35</v>
      </c>
      <c r="HX55" s="52">
        <v>95.57</v>
      </c>
      <c r="HY55" s="52">
        <v>192.22</v>
      </c>
      <c r="HZ55" s="52">
        <v>146.01</v>
      </c>
      <c r="IA55" s="52">
        <v>87.28</v>
      </c>
      <c r="IB55" s="52">
        <v>156.93</v>
      </c>
      <c r="IC55" s="52">
        <v>99.03</v>
      </c>
      <c r="ID55" s="52">
        <v>115.32</v>
      </c>
      <c r="IE55" s="52">
        <v>99.39</v>
      </c>
      <c r="IF55" s="52">
        <v>111.08</v>
      </c>
      <c r="IG55" s="52">
        <v>157.80000000000001</v>
      </c>
      <c r="IH55" s="52">
        <v>158.62</v>
      </c>
      <c r="II55" s="52">
        <v>199.05</v>
      </c>
      <c r="IJ55" s="52">
        <v>165.63</v>
      </c>
      <c r="IK55" s="52">
        <v>186.64</v>
      </c>
      <c r="IL55" s="52">
        <v>160.94</v>
      </c>
      <c r="IM55" s="52">
        <v>202.59</v>
      </c>
      <c r="IN55" s="52">
        <v>186.3</v>
      </c>
      <c r="IO55" s="52">
        <v>156.97</v>
      </c>
      <c r="IP55" s="52">
        <v>114.91</v>
      </c>
      <c r="IQ55" s="52">
        <v>142.85</v>
      </c>
      <c r="IR55" s="52">
        <v>221.79</v>
      </c>
      <c r="IS55" s="52">
        <v>143.38999999999999</v>
      </c>
      <c r="IT55" s="52">
        <v>43.79</v>
      </c>
      <c r="IU55" s="52">
        <v>121.44</v>
      </c>
      <c r="IV55" s="52">
        <v>70.25</v>
      </c>
      <c r="IW55" s="52">
        <v>102.48</v>
      </c>
      <c r="IX55" s="52">
        <v>148.47999999999999</v>
      </c>
      <c r="IY55" s="52">
        <v>137.63999999999999</v>
      </c>
      <c r="IZ55" s="52">
        <v>185.11</v>
      </c>
      <c r="JA55" s="52">
        <v>129.91999999999999</v>
      </c>
      <c r="JB55" s="52"/>
      <c r="JC55" s="52">
        <v>167.48</v>
      </c>
      <c r="JD55" s="52">
        <v>181.63</v>
      </c>
      <c r="JE55" s="52">
        <v>151.9</v>
      </c>
      <c r="JF55" s="52">
        <v>146.83000000000001</v>
      </c>
      <c r="JG55" s="52">
        <v>165.64</v>
      </c>
      <c r="JH55" s="52">
        <v>204.42</v>
      </c>
      <c r="JI55" s="52">
        <v>148.49</v>
      </c>
      <c r="JJ55" s="52">
        <v>143.37</v>
      </c>
      <c r="JK55" s="52">
        <v>174.32</v>
      </c>
      <c r="JL55" s="52">
        <v>189.71</v>
      </c>
      <c r="JM55" s="52">
        <v>185.07</v>
      </c>
      <c r="JN55" s="52">
        <v>178.91</v>
      </c>
      <c r="JO55" s="52">
        <v>152.88</v>
      </c>
      <c r="JP55" s="52">
        <v>206.91</v>
      </c>
      <c r="JQ55" s="52">
        <v>185.01</v>
      </c>
      <c r="JR55" s="52">
        <v>187.84</v>
      </c>
      <c r="JS55" s="52">
        <v>226.97</v>
      </c>
      <c r="JT55" s="52">
        <v>213.7</v>
      </c>
      <c r="JU55" s="52">
        <v>179.24</v>
      </c>
      <c r="JV55" s="52">
        <v>111.55</v>
      </c>
      <c r="JW55" s="52">
        <v>124.68</v>
      </c>
      <c r="JX55" s="52">
        <v>278.91000000000003</v>
      </c>
      <c r="JY55" s="52">
        <v>169.44</v>
      </c>
      <c r="JZ55" s="52">
        <v>161.91</v>
      </c>
      <c r="KA55" s="52">
        <v>196.73</v>
      </c>
      <c r="KB55" s="52">
        <v>221.75</v>
      </c>
      <c r="KC55" s="52">
        <v>121.56</v>
      </c>
      <c r="KD55" s="52">
        <v>144.07</v>
      </c>
      <c r="KE55" s="52">
        <v>183.03</v>
      </c>
      <c r="KF55" s="52">
        <v>202.68</v>
      </c>
    </row>
    <row r="56" spans="1:292" s="41" customFormat="1" ht="12">
      <c r="A56" s="41">
        <v>2009</v>
      </c>
      <c r="B56" s="54" t="s">
        <v>981</v>
      </c>
      <c r="C56" s="55" t="s">
        <v>982</v>
      </c>
      <c r="D56" s="52">
        <v>162.12</v>
      </c>
      <c r="E56" s="52">
        <v>170.6</v>
      </c>
      <c r="F56" s="52">
        <v>206.12</v>
      </c>
      <c r="G56" s="52">
        <v>105.51</v>
      </c>
      <c r="H56" s="52">
        <v>196.08</v>
      </c>
      <c r="I56" s="52">
        <v>139.97</v>
      </c>
      <c r="J56" s="52">
        <v>124.41</v>
      </c>
      <c r="K56" s="52">
        <v>151.52000000000001</v>
      </c>
      <c r="L56" s="52">
        <v>110.38</v>
      </c>
      <c r="M56" s="52">
        <v>137.66</v>
      </c>
      <c r="N56" s="52">
        <v>171.94</v>
      </c>
      <c r="O56" s="52">
        <v>205.55</v>
      </c>
      <c r="P56" s="52">
        <v>178.82</v>
      </c>
      <c r="Q56" s="52">
        <v>171.44</v>
      </c>
      <c r="R56" s="52">
        <v>157.59</v>
      </c>
      <c r="S56" s="52">
        <v>200.36</v>
      </c>
      <c r="T56" s="52">
        <v>206.27</v>
      </c>
      <c r="U56" s="52">
        <v>100.87</v>
      </c>
      <c r="V56" s="52">
        <v>120.03</v>
      </c>
      <c r="W56" s="52">
        <v>248.84</v>
      </c>
      <c r="X56" s="52">
        <v>148.69999999999999</v>
      </c>
      <c r="Y56" s="52">
        <v>159.19999999999999</v>
      </c>
      <c r="Z56" s="52">
        <v>193.18</v>
      </c>
      <c r="AA56" s="52">
        <v>147.07</v>
      </c>
      <c r="AB56" s="52">
        <v>123.79</v>
      </c>
      <c r="AC56" s="52">
        <v>116.52</v>
      </c>
      <c r="AD56" s="52">
        <v>151.5</v>
      </c>
      <c r="AE56" s="52">
        <v>165.25</v>
      </c>
      <c r="AF56" s="52">
        <v>150.91999999999999</v>
      </c>
      <c r="AG56" s="52">
        <v>92.16</v>
      </c>
      <c r="AH56" s="52">
        <v>153.91999999999999</v>
      </c>
      <c r="AI56" s="52">
        <v>156.97</v>
      </c>
      <c r="AJ56" s="52">
        <v>104.82</v>
      </c>
      <c r="AK56" s="52">
        <v>164.29</v>
      </c>
      <c r="AL56" s="52">
        <v>188.45</v>
      </c>
      <c r="AM56" s="52">
        <v>143.38999999999999</v>
      </c>
      <c r="AN56" s="52">
        <v>44.63</v>
      </c>
      <c r="AO56" s="52">
        <v>120.51</v>
      </c>
      <c r="AP56" s="52">
        <v>84.52</v>
      </c>
      <c r="AQ56" s="52">
        <v>138.69999999999999</v>
      </c>
      <c r="AR56" s="52">
        <v>171.66</v>
      </c>
      <c r="AS56" s="52">
        <v>158.47</v>
      </c>
      <c r="AT56" s="52">
        <v>170.94</v>
      </c>
      <c r="AU56" s="52">
        <v>172.74</v>
      </c>
      <c r="AV56" s="52">
        <v>189.73</v>
      </c>
      <c r="AW56" s="52">
        <v>184.71</v>
      </c>
      <c r="AX56" s="52">
        <v>178.91</v>
      </c>
      <c r="AY56" s="52">
        <v>154.1</v>
      </c>
      <c r="AZ56" s="52">
        <v>201.36</v>
      </c>
      <c r="BA56" s="52">
        <v>205.57</v>
      </c>
      <c r="BB56" s="52">
        <v>141.21</v>
      </c>
      <c r="BC56" s="52">
        <v>256.52999999999997</v>
      </c>
      <c r="BD56" s="52">
        <v>197.33</v>
      </c>
      <c r="BE56" s="52">
        <v>153.28</v>
      </c>
      <c r="BF56" s="52">
        <v>196.56</v>
      </c>
      <c r="BG56" s="52">
        <v>207.95</v>
      </c>
      <c r="BH56" s="52">
        <v>183.61</v>
      </c>
      <c r="BI56" s="52">
        <v>157.13999999999999</v>
      </c>
      <c r="BJ56" s="52">
        <v>159.24</v>
      </c>
      <c r="BK56" s="52">
        <v>158.91</v>
      </c>
      <c r="BL56" s="52">
        <v>161.93</v>
      </c>
      <c r="BM56" s="52">
        <v>149.69999999999999</v>
      </c>
      <c r="BN56" s="52">
        <v>208.03</v>
      </c>
      <c r="BO56" s="52">
        <v>146.91999999999999</v>
      </c>
      <c r="BP56" s="52">
        <v>166.74</v>
      </c>
      <c r="BQ56" s="52">
        <v>173.6</v>
      </c>
      <c r="BR56" s="52">
        <v>142.44999999999999</v>
      </c>
      <c r="BS56" s="52">
        <v>209.91</v>
      </c>
      <c r="BT56" s="52">
        <v>182.32</v>
      </c>
      <c r="BU56" s="52">
        <v>187.51</v>
      </c>
      <c r="BV56" s="52">
        <v>206.27</v>
      </c>
      <c r="BW56" s="52">
        <v>98.71</v>
      </c>
      <c r="BX56" s="52">
        <v>123.07</v>
      </c>
      <c r="BY56" s="52">
        <v>176.52</v>
      </c>
      <c r="BZ56" s="52">
        <v>119.64</v>
      </c>
      <c r="CA56" s="52">
        <v>186.79</v>
      </c>
      <c r="CB56" s="53">
        <v>248.84</v>
      </c>
      <c r="CC56" s="52">
        <v>148.69999999999999</v>
      </c>
      <c r="CD56" s="52">
        <v>158.59</v>
      </c>
      <c r="CE56" s="52">
        <v>157.52000000000001</v>
      </c>
      <c r="CF56" s="52">
        <v>213.64</v>
      </c>
      <c r="CG56" s="52">
        <v>204.95</v>
      </c>
      <c r="CH56" s="52">
        <v>152.11000000000001</v>
      </c>
      <c r="CI56" s="52">
        <v>128.22999999999999</v>
      </c>
      <c r="CJ56" s="52">
        <v>123.79</v>
      </c>
      <c r="CK56" s="52">
        <v>107.84</v>
      </c>
      <c r="CL56" s="52">
        <v>122.49</v>
      </c>
      <c r="CM56" s="52">
        <v>208.2</v>
      </c>
      <c r="CN56" s="52">
        <v>151.5</v>
      </c>
      <c r="CO56" s="52">
        <v>165.25</v>
      </c>
      <c r="CP56" s="52">
        <v>129.34</v>
      </c>
      <c r="CQ56" s="52">
        <v>224.11</v>
      </c>
      <c r="CR56" s="52">
        <v>87.81</v>
      </c>
      <c r="CS56" s="52">
        <v>134.21</v>
      </c>
      <c r="CT56" s="52">
        <v>115.79</v>
      </c>
      <c r="CU56" s="52">
        <v>192.33</v>
      </c>
      <c r="CV56" s="52">
        <v>146.05000000000001</v>
      </c>
      <c r="CW56" s="52">
        <v>95.56</v>
      </c>
      <c r="CX56" s="52">
        <v>156.97</v>
      </c>
      <c r="CY56" s="52">
        <v>104.81</v>
      </c>
      <c r="CZ56" s="52">
        <v>98.68</v>
      </c>
      <c r="DA56" s="52">
        <v>114.11</v>
      </c>
      <c r="DB56" s="52">
        <v>157.46</v>
      </c>
      <c r="DC56" s="52">
        <v>160.32</v>
      </c>
      <c r="DD56" s="52">
        <v>199.17</v>
      </c>
      <c r="DE56" s="52">
        <v>166.92</v>
      </c>
      <c r="DF56" s="52">
        <v>179.09</v>
      </c>
      <c r="DG56" s="52">
        <v>191.58</v>
      </c>
      <c r="DH56" s="52">
        <v>115.22</v>
      </c>
      <c r="DI56" s="52">
        <v>142.85</v>
      </c>
      <c r="DJ56" s="52">
        <v>219.92</v>
      </c>
      <c r="DK56" s="52">
        <v>143.38999999999999</v>
      </c>
      <c r="DL56" s="52">
        <v>44.63</v>
      </c>
      <c r="DM56" s="52">
        <v>120.51</v>
      </c>
      <c r="DN56" s="52">
        <v>68.349999999999994</v>
      </c>
      <c r="DO56" s="52">
        <v>104.01</v>
      </c>
      <c r="DP56" s="52">
        <v>148.86000000000001</v>
      </c>
      <c r="DQ56" s="52">
        <v>138.69999999999999</v>
      </c>
      <c r="DR56" s="52">
        <v>186.57</v>
      </c>
      <c r="DS56" s="52">
        <v>133.88999999999999</v>
      </c>
      <c r="DT56" s="52"/>
      <c r="DU56" s="52">
        <v>169.23</v>
      </c>
      <c r="DV56" s="52">
        <v>170.04</v>
      </c>
      <c r="DW56" s="52">
        <v>148.37</v>
      </c>
      <c r="DX56" s="52">
        <v>165.64</v>
      </c>
      <c r="DY56" s="52">
        <v>206.44</v>
      </c>
      <c r="DZ56" s="52">
        <v>155.5</v>
      </c>
      <c r="EA56" s="52">
        <v>143.93</v>
      </c>
      <c r="EB56" s="52">
        <v>172.74</v>
      </c>
      <c r="EC56" s="52">
        <v>189.73</v>
      </c>
      <c r="ED56" s="52">
        <v>184.71</v>
      </c>
      <c r="EE56" s="52">
        <v>178.91</v>
      </c>
      <c r="EF56" s="52">
        <v>154.1</v>
      </c>
      <c r="EG56" s="52">
        <v>201.36</v>
      </c>
      <c r="EH56" s="52">
        <v>205.57</v>
      </c>
      <c r="EI56" s="52">
        <v>196.58</v>
      </c>
      <c r="EJ56" s="52">
        <v>110.26</v>
      </c>
      <c r="EK56" s="52">
        <v>125.48</v>
      </c>
      <c r="EL56" s="52">
        <v>287.63</v>
      </c>
      <c r="EM56" s="52">
        <v>167.5</v>
      </c>
      <c r="EN56" s="52">
        <v>197.33</v>
      </c>
      <c r="EO56" s="52">
        <v>221.19</v>
      </c>
      <c r="EP56" s="52">
        <v>122.16</v>
      </c>
      <c r="EQ56" s="52">
        <v>143.86000000000001</v>
      </c>
      <c r="ER56" s="52">
        <v>196.56</v>
      </c>
      <c r="ES56" s="52">
        <v>207.95</v>
      </c>
      <c r="ET56" s="52">
        <v>214.81</v>
      </c>
      <c r="EU56" s="52">
        <v>166.29</v>
      </c>
      <c r="EV56" s="52">
        <v>186.43</v>
      </c>
      <c r="EW56" s="52">
        <v>173.44</v>
      </c>
      <c r="EX56" s="52">
        <v>199.51</v>
      </c>
      <c r="EY56" s="52">
        <v>123.2</v>
      </c>
      <c r="EZ56" s="52">
        <v>152.72999999999999</v>
      </c>
      <c r="FA56" s="52">
        <v>167.68</v>
      </c>
      <c r="FB56" s="52">
        <v>172.63</v>
      </c>
      <c r="FC56" s="52">
        <v>150.85</v>
      </c>
      <c r="FD56" s="52">
        <v>137.65</v>
      </c>
      <c r="FE56" s="52">
        <v>159.24</v>
      </c>
      <c r="FF56" s="52"/>
      <c r="FG56" s="52">
        <v>136.97</v>
      </c>
      <c r="FH56" s="52">
        <v>149.76</v>
      </c>
      <c r="FI56" s="52">
        <v>158.72999999999999</v>
      </c>
      <c r="FJ56" s="52">
        <v>202.17</v>
      </c>
      <c r="FK56" s="52">
        <v>180.33</v>
      </c>
      <c r="FL56" s="52">
        <v>145.54</v>
      </c>
      <c r="FM56" s="52">
        <v>164.34</v>
      </c>
      <c r="FN56" s="52">
        <v>141.13</v>
      </c>
      <c r="FO56" s="52">
        <v>194.11</v>
      </c>
      <c r="FP56" s="52">
        <v>213.23</v>
      </c>
      <c r="FQ56" s="52">
        <v>150.88999999999999</v>
      </c>
      <c r="FR56" s="52">
        <v>248.66</v>
      </c>
      <c r="FS56" s="52">
        <v>174.29</v>
      </c>
      <c r="FT56" s="52">
        <v>134.44</v>
      </c>
      <c r="FU56" s="52">
        <v>194.93</v>
      </c>
      <c r="FV56" s="52">
        <v>154.32</v>
      </c>
      <c r="FW56" s="52">
        <v>117.69</v>
      </c>
      <c r="FX56" s="52">
        <v>166.74</v>
      </c>
      <c r="FY56" s="52">
        <v>165.02</v>
      </c>
      <c r="FZ56" s="52">
        <v>175.33</v>
      </c>
      <c r="GA56" s="52">
        <v>131.78</v>
      </c>
      <c r="GB56" s="52">
        <v>151.86000000000001</v>
      </c>
      <c r="GC56" s="52">
        <v>141.63</v>
      </c>
      <c r="GD56" s="52">
        <v>125.45</v>
      </c>
      <c r="GE56" s="52">
        <v>209.91</v>
      </c>
      <c r="GF56" s="52">
        <v>182.32</v>
      </c>
      <c r="GG56" s="52">
        <v>187.51</v>
      </c>
      <c r="GH56" s="52">
        <v>205.92</v>
      </c>
      <c r="GI56" s="52">
        <v>103.72</v>
      </c>
      <c r="GJ56" s="52">
        <v>95.3</v>
      </c>
      <c r="GK56" s="52">
        <v>93.86</v>
      </c>
      <c r="GL56" s="52">
        <v>128.74</v>
      </c>
      <c r="GM56" s="52">
        <v>123.07</v>
      </c>
      <c r="GN56" s="52">
        <v>176.52</v>
      </c>
      <c r="GO56" s="52">
        <v>118.01</v>
      </c>
      <c r="GP56" s="52">
        <v>121.12</v>
      </c>
      <c r="GQ56" s="52">
        <v>120.51</v>
      </c>
      <c r="GR56" s="52">
        <v>186.79</v>
      </c>
      <c r="GS56" s="52">
        <v>248.84</v>
      </c>
      <c r="GT56" s="52">
        <v>148.69999999999999</v>
      </c>
      <c r="GU56" s="52">
        <v>158.59</v>
      </c>
      <c r="GV56" s="52">
        <v>157.52000000000001</v>
      </c>
      <c r="GW56" s="52">
        <v>244.4</v>
      </c>
      <c r="GX56" s="52">
        <v>197.39</v>
      </c>
      <c r="GY56" s="52">
        <v>204.95</v>
      </c>
      <c r="GZ56" s="52">
        <v>177.01</v>
      </c>
      <c r="HA56" s="52">
        <v>154.51</v>
      </c>
      <c r="HB56" s="52">
        <v>148.31</v>
      </c>
      <c r="HC56" s="52">
        <v>128.22999999999999</v>
      </c>
      <c r="HD56" s="52">
        <v>123.79</v>
      </c>
      <c r="HE56" s="52">
        <v>92.13</v>
      </c>
      <c r="HF56" s="52">
        <v>100.26</v>
      </c>
      <c r="HG56" s="52">
        <v>107.9</v>
      </c>
      <c r="HH56" s="52">
        <v>145.93</v>
      </c>
      <c r="HI56" s="52">
        <v>78.8</v>
      </c>
      <c r="HJ56" s="52">
        <v>122.49</v>
      </c>
      <c r="HK56" s="52">
        <v>208.2</v>
      </c>
      <c r="HL56" s="52">
        <v>133.16999999999999</v>
      </c>
      <c r="HM56" s="52">
        <v>167.56</v>
      </c>
      <c r="HN56" s="52">
        <v>164.85</v>
      </c>
      <c r="HO56" s="52">
        <v>138.29</v>
      </c>
      <c r="HP56" s="52">
        <v>192.58</v>
      </c>
      <c r="HQ56" s="52">
        <v>126.71</v>
      </c>
      <c r="HR56" s="52">
        <v>152.66</v>
      </c>
      <c r="HS56" s="52">
        <v>225.02</v>
      </c>
      <c r="HT56" s="52">
        <v>183.72</v>
      </c>
      <c r="HU56" s="52">
        <v>87.81</v>
      </c>
      <c r="HV56" s="52">
        <v>134.21</v>
      </c>
      <c r="HW56" s="52">
        <v>127.37</v>
      </c>
      <c r="HX56" s="52">
        <v>95.26</v>
      </c>
      <c r="HY56" s="52">
        <v>192.33</v>
      </c>
      <c r="HZ56" s="52">
        <v>146.05000000000001</v>
      </c>
      <c r="IA56" s="52">
        <v>87.29</v>
      </c>
      <c r="IB56" s="52">
        <v>156.97</v>
      </c>
      <c r="IC56" s="52">
        <v>92.87</v>
      </c>
      <c r="ID56" s="52">
        <v>107.88</v>
      </c>
      <c r="IE56" s="52">
        <v>98.68</v>
      </c>
      <c r="IF56" s="52">
        <v>114.11</v>
      </c>
      <c r="IG56" s="52">
        <v>157.46</v>
      </c>
      <c r="IH56" s="52">
        <v>160.32</v>
      </c>
      <c r="II56" s="52">
        <v>199.17</v>
      </c>
      <c r="IJ56" s="52">
        <v>166.92</v>
      </c>
      <c r="IK56" s="52">
        <v>186.64</v>
      </c>
      <c r="IL56" s="52">
        <v>160.94</v>
      </c>
      <c r="IM56" s="52">
        <v>202.55</v>
      </c>
      <c r="IN56" s="52">
        <v>186.31</v>
      </c>
      <c r="IO56" s="52">
        <v>154.22</v>
      </c>
      <c r="IP56" s="52">
        <v>115.22</v>
      </c>
      <c r="IQ56" s="52">
        <v>142.85</v>
      </c>
      <c r="IR56" s="52">
        <v>219.92</v>
      </c>
      <c r="IS56" s="52">
        <v>143.38999999999999</v>
      </c>
      <c r="IT56" s="52">
        <v>44.63</v>
      </c>
      <c r="IU56" s="52">
        <v>120.51</v>
      </c>
      <c r="IV56" s="52">
        <v>69.63</v>
      </c>
      <c r="IW56" s="52">
        <v>104.01</v>
      </c>
      <c r="IX56" s="52">
        <v>148.86000000000001</v>
      </c>
      <c r="IY56" s="52">
        <v>138.69999999999999</v>
      </c>
      <c r="IZ56" s="52">
        <v>186.57</v>
      </c>
      <c r="JA56" s="52">
        <v>133.88999999999999</v>
      </c>
      <c r="JB56" s="52"/>
      <c r="JC56" s="52">
        <v>169.23</v>
      </c>
      <c r="JD56" s="52">
        <v>170.04</v>
      </c>
      <c r="JE56" s="52">
        <v>152.07</v>
      </c>
      <c r="JF56" s="52">
        <v>146.97999999999999</v>
      </c>
      <c r="JG56" s="52">
        <v>165.64</v>
      </c>
      <c r="JH56" s="52">
        <v>206.44</v>
      </c>
      <c r="JI56" s="52">
        <v>155.5</v>
      </c>
      <c r="JJ56" s="52">
        <v>143.93</v>
      </c>
      <c r="JK56" s="52">
        <v>172.74</v>
      </c>
      <c r="JL56" s="52">
        <v>189.73</v>
      </c>
      <c r="JM56" s="52">
        <v>184.71</v>
      </c>
      <c r="JN56" s="52">
        <v>178.91</v>
      </c>
      <c r="JO56" s="52">
        <v>154.1</v>
      </c>
      <c r="JP56" s="52">
        <v>208.12</v>
      </c>
      <c r="JQ56" s="52">
        <v>185.51</v>
      </c>
      <c r="JR56" s="52">
        <v>189.99</v>
      </c>
      <c r="JS56" s="52">
        <v>226.58</v>
      </c>
      <c r="JT56" s="52">
        <v>214.97</v>
      </c>
      <c r="JU56" s="52">
        <v>178.74</v>
      </c>
      <c r="JV56" s="52">
        <v>110.26</v>
      </c>
      <c r="JW56" s="52">
        <v>125.48</v>
      </c>
      <c r="JX56" s="52">
        <v>287.63</v>
      </c>
      <c r="JY56" s="52">
        <v>169.72</v>
      </c>
      <c r="JZ56" s="52">
        <v>161.6</v>
      </c>
      <c r="KA56" s="52">
        <v>197.33</v>
      </c>
      <c r="KB56" s="52">
        <v>221.19</v>
      </c>
      <c r="KC56" s="52">
        <v>122.16</v>
      </c>
      <c r="KD56" s="52">
        <v>143.86000000000001</v>
      </c>
      <c r="KE56" s="52">
        <v>196.56</v>
      </c>
      <c r="KF56" s="52">
        <v>207.95</v>
      </c>
    </row>
    <row r="57" spans="1:292" s="41" customFormat="1" ht="12">
      <c r="A57" s="41">
        <v>2009</v>
      </c>
      <c r="B57" s="54" t="s">
        <v>983</v>
      </c>
      <c r="C57" s="55" t="s">
        <v>984</v>
      </c>
      <c r="D57" s="52">
        <v>162.15</v>
      </c>
      <c r="E57" s="52">
        <v>170</v>
      </c>
      <c r="F57" s="52">
        <v>206.16</v>
      </c>
      <c r="G57" s="52">
        <v>117.06</v>
      </c>
      <c r="H57" s="52">
        <v>194.05</v>
      </c>
      <c r="I57" s="52">
        <v>136.72999999999999</v>
      </c>
      <c r="J57" s="52">
        <v>127.15</v>
      </c>
      <c r="K57" s="52">
        <v>148.94</v>
      </c>
      <c r="L57" s="52">
        <v>110.69</v>
      </c>
      <c r="M57" s="52">
        <v>139.16999999999999</v>
      </c>
      <c r="N57" s="52">
        <v>172.11</v>
      </c>
      <c r="O57" s="52">
        <v>206.39</v>
      </c>
      <c r="P57" s="52">
        <v>174.26</v>
      </c>
      <c r="Q57" s="52">
        <v>170.75</v>
      </c>
      <c r="R57" s="52">
        <v>158.19999999999999</v>
      </c>
      <c r="S57" s="52">
        <v>201</v>
      </c>
      <c r="T57" s="52">
        <v>206.27</v>
      </c>
      <c r="U57" s="52">
        <v>111.61</v>
      </c>
      <c r="V57" s="52">
        <v>134.26</v>
      </c>
      <c r="W57" s="52">
        <v>249.68</v>
      </c>
      <c r="X57" s="52">
        <v>149.06</v>
      </c>
      <c r="Y57" s="52">
        <v>159.33000000000001</v>
      </c>
      <c r="Z57" s="52">
        <v>188.83</v>
      </c>
      <c r="AA57" s="52">
        <v>137.22999999999999</v>
      </c>
      <c r="AB57" s="52">
        <v>125.4</v>
      </c>
      <c r="AC57" s="52">
        <v>114.05</v>
      </c>
      <c r="AD57" s="52">
        <v>152.25</v>
      </c>
      <c r="AE57" s="52">
        <v>165.99</v>
      </c>
      <c r="AF57" s="52">
        <v>151.05000000000001</v>
      </c>
      <c r="AG57" s="52">
        <v>97.41</v>
      </c>
      <c r="AH57" s="52">
        <v>154.01</v>
      </c>
      <c r="AI57" s="52">
        <v>157.16999999999999</v>
      </c>
      <c r="AJ57" s="52">
        <v>99.75</v>
      </c>
      <c r="AK57" s="52">
        <v>164.1</v>
      </c>
      <c r="AL57" s="52">
        <v>188.27</v>
      </c>
      <c r="AM57" s="52">
        <v>143.38999999999999</v>
      </c>
      <c r="AN57" s="52">
        <v>45.1</v>
      </c>
      <c r="AO57" s="52">
        <v>120.77</v>
      </c>
      <c r="AP57" s="52">
        <v>81.62</v>
      </c>
      <c r="AQ57" s="52">
        <v>138.91</v>
      </c>
      <c r="AR57" s="52">
        <v>173.14</v>
      </c>
      <c r="AS57" s="52">
        <v>161.88999999999999</v>
      </c>
      <c r="AT57" s="52">
        <v>183.89</v>
      </c>
      <c r="AU57" s="52">
        <v>170.82</v>
      </c>
      <c r="AV57" s="52">
        <v>189.9</v>
      </c>
      <c r="AW57" s="52">
        <v>184.51</v>
      </c>
      <c r="AX57" s="52">
        <v>179.23</v>
      </c>
      <c r="AY57" s="52">
        <v>153.55000000000001</v>
      </c>
      <c r="AZ57" s="52">
        <v>202.32</v>
      </c>
      <c r="BA57" s="52">
        <v>204.81</v>
      </c>
      <c r="BB57" s="52">
        <v>141.32</v>
      </c>
      <c r="BC57" s="52">
        <v>234.28</v>
      </c>
      <c r="BD57" s="52">
        <v>198.18</v>
      </c>
      <c r="BE57" s="52">
        <v>154.55000000000001</v>
      </c>
      <c r="BF57" s="52">
        <v>196.56</v>
      </c>
      <c r="BG57" s="52">
        <v>207.97</v>
      </c>
      <c r="BH57" s="52">
        <v>184.37</v>
      </c>
      <c r="BI57" s="52">
        <v>158.97</v>
      </c>
      <c r="BJ57" s="52">
        <v>159.80000000000001</v>
      </c>
      <c r="BK57" s="52">
        <v>157.54</v>
      </c>
      <c r="BL57" s="52">
        <v>162.55000000000001</v>
      </c>
      <c r="BM57" s="52">
        <v>157.74</v>
      </c>
      <c r="BN57" s="52">
        <v>195.46</v>
      </c>
      <c r="BO57" s="52">
        <v>147.6</v>
      </c>
      <c r="BP57" s="52">
        <v>168.67</v>
      </c>
      <c r="BQ57" s="52">
        <v>173.83</v>
      </c>
      <c r="BR57" s="52">
        <v>143.34</v>
      </c>
      <c r="BS57" s="52">
        <v>209.93</v>
      </c>
      <c r="BT57" s="52">
        <v>184.38</v>
      </c>
      <c r="BU57" s="52">
        <v>188.58</v>
      </c>
      <c r="BV57" s="52">
        <v>206.27</v>
      </c>
      <c r="BW57" s="52">
        <v>110.01</v>
      </c>
      <c r="BX57" s="52">
        <v>126.89</v>
      </c>
      <c r="BY57" s="52">
        <v>176.54</v>
      </c>
      <c r="BZ57" s="52">
        <v>133.94</v>
      </c>
      <c r="CA57" s="52">
        <v>186.62</v>
      </c>
      <c r="CB57" s="53">
        <v>249.68</v>
      </c>
      <c r="CC57" s="52">
        <v>149.06</v>
      </c>
      <c r="CD57" s="52">
        <v>158.72</v>
      </c>
      <c r="CE57" s="52">
        <v>155.01</v>
      </c>
      <c r="CF57" s="52">
        <v>207.58</v>
      </c>
      <c r="CG57" s="52">
        <v>199.94</v>
      </c>
      <c r="CH57" s="52">
        <v>140.49</v>
      </c>
      <c r="CI57" s="52">
        <v>125.53</v>
      </c>
      <c r="CJ57" s="52">
        <v>125.4</v>
      </c>
      <c r="CK57" s="52">
        <v>105.25</v>
      </c>
      <c r="CL57" s="52">
        <v>119.4</v>
      </c>
      <c r="CM57" s="52">
        <v>211.27</v>
      </c>
      <c r="CN57" s="52">
        <v>152.25</v>
      </c>
      <c r="CO57" s="52">
        <v>165.99</v>
      </c>
      <c r="CP57" s="52">
        <v>129.36000000000001</v>
      </c>
      <c r="CQ57" s="52">
        <v>224.97</v>
      </c>
      <c r="CR57" s="52">
        <v>94.06</v>
      </c>
      <c r="CS57" s="52">
        <v>134.44</v>
      </c>
      <c r="CT57" s="52">
        <v>115.7</v>
      </c>
      <c r="CU57" s="52">
        <v>192.47</v>
      </c>
      <c r="CV57" s="52">
        <v>146.15</v>
      </c>
      <c r="CW57" s="52">
        <v>95.58</v>
      </c>
      <c r="CX57" s="52">
        <v>157.16999999999999</v>
      </c>
      <c r="CY57" s="52">
        <v>99.57</v>
      </c>
      <c r="CZ57" s="52">
        <v>97.14</v>
      </c>
      <c r="DA57" s="52">
        <v>120.2</v>
      </c>
      <c r="DB57" s="52">
        <v>158.76</v>
      </c>
      <c r="DC57" s="52">
        <v>159.9</v>
      </c>
      <c r="DD57" s="52">
        <v>200.15</v>
      </c>
      <c r="DE57" s="52">
        <v>166.34</v>
      </c>
      <c r="DF57" s="52">
        <v>179.09</v>
      </c>
      <c r="DG57" s="52">
        <v>191.47</v>
      </c>
      <c r="DH57" s="52">
        <v>114.22</v>
      </c>
      <c r="DI57" s="52">
        <v>142.85</v>
      </c>
      <c r="DJ57" s="52">
        <v>218.7</v>
      </c>
      <c r="DK57" s="52">
        <v>143.38999999999999</v>
      </c>
      <c r="DL57" s="52">
        <v>45.1</v>
      </c>
      <c r="DM57" s="52">
        <v>120.77</v>
      </c>
      <c r="DN57" s="52">
        <v>66.63</v>
      </c>
      <c r="DO57" s="52">
        <v>98.04</v>
      </c>
      <c r="DP57" s="52">
        <v>148.27000000000001</v>
      </c>
      <c r="DQ57" s="52">
        <v>138.91</v>
      </c>
      <c r="DR57" s="52">
        <v>187.88</v>
      </c>
      <c r="DS57" s="52">
        <v>135.85</v>
      </c>
      <c r="DT57" s="52"/>
      <c r="DU57" s="52">
        <v>169.99</v>
      </c>
      <c r="DV57" s="52">
        <v>178.16</v>
      </c>
      <c r="DW57" s="52">
        <v>148.16999999999999</v>
      </c>
      <c r="DX57" s="52">
        <v>165.64</v>
      </c>
      <c r="DY57" s="52">
        <v>213.92</v>
      </c>
      <c r="DZ57" s="52">
        <v>187.53</v>
      </c>
      <c r="EA57" s="52">
        <v>144.68</v>
      </c>
      <c r="EB57" s="52">
        <v>170.82</v>
      </c>
      <c r="EC57" s="52">
        <v>189.9</v>
      </c>
      <c r="ED57" s="52">
        <v>184.51</v>
      </c>
      <c r="EE57" s="52">
        <v>179.23</v>
      </c>
      <c r="EF57" s="52">
        <v>153.55000000000001</v>
      </c>
      <c r="EG57" s="52">
        <v>202.32</v>
      </c>
      <c r="EH57" s="52">
        <v>204.81</v>
      </c>
      <c r="EI57" s="52">
        <v>196.91</v>
      </c>
      <c r="EJ57" s="52">
        <v>107.98</v>
      </c>
      <c r="EK57" s="52">
        <v>125.63</v>
      </c>
      <c r="EL57" s="52">
        <v>256.39999999999998</v>
      </c>
      <c r="EM57" s="52">
        <v>169.12</v>
      </c>
      <c r="EN57" s="52">
        <v>198.18</v>
      </c>
      <c r="EO57" s="52">
        <v>220.63</v>
      </c>
      <c r="EP57" s="52">
        <v>119.83</v>
      </c>
      <c r="EQ57" s="52">
        <v>145.66</v>
      </c>
      <c r="ER57" s="52">
        <v>196.56</v>
      </c>
      <c r="ES57" s="52">
        <v>207.97</v>
      </c>
      <c r="ET57" s="52">
        <v>219.07</v>
      </c>
      <c r="EU57" s="52">
        <v>167.16</v>
      </c>
      <c r="EV57" s="52">
        <v>186.51</v>
      </c>
      <c r="EW57" s="52">
        <v>173.92</v>
      </c>
      <c r="EX57" s="52">
        <v>201.44</v>
      </c>
      <c r="EY57" s="52">
        <v>125.08</v>
      </c>
      <c r="EZ57" s="52">
        <v>152.86000000000001</v>
      </c>
      <c r="FA57" s="52">
        <v>167.56</v>
      </c>
      <c r="FB57" s="52">
        <v>180.79</v>
      </c>
      <c r="FC57" s="52">
        <v>151.76</v>
      </c>
      <c r="FD57" s="52">
        <v>139.72999999999999</v>
      </c>
      <c r="FE57" s="52">
        <v>159.80000000000001</v>
      </c>
      <c r="FF57" s="52"/>
      <c r="FG57" s="52">
        <v>135.41999999999999</v>
      </c>
      <c r="FH57" s="52">
        <v>149.03</v>
      </c>
      <c r="FI57" s="52">
        <v>157.49</v>
      </c>
      <c r="FJ57" s="52">
        <v>199.82</v>
      </c>
      <c r="FK57" s="52">
        <v>179.66</v>
      </c>
      <c r="FL57" s="52">
        <v>144.37</v>
      </c>
      <c r="FM57" s="52">
        <v>165.47</v>
      </c>
      <c r="FN57" s="52">
        <v>149.88999999999999</v>
      </c>
      <c r="FO57" s="52">
        <v>198.45</v>
      </c>
      <c r="FP57" s="52">
        <v>194.48</v>
      </c>
      <c r="FQ57" s="52">
        <v>168.23</v>
      </c>
      <c r="FR57" s="52">
        <v>247.13</v>
      </c>
      <c r="FS57" s="52">
        <v>173.58</v>
      </c>
      <c r="FT57" s="52">
        <v>135.53</v>
      </c>
      <c r="FU57" s="52">
        <v>195.07</v>
      </c>
      <c r="FV57" s="52">
        <v>154.96</v>
      </c>
      <c r="FW57" s="52">
        <v>116.99</v>
      </c>
      <c r="FX57" s="52">
        <v>168.67</v>
      </c>
      <c r="FY57" s="52">
        <v>169.53</v>
      </c>
      <c r="FZ57" s="52">
        <v>174.96</v>
      </c>
      <c r="GA57" s="52">
        <v>133.71</v>
      </c>
      <c r="GB57" s="52">
        <v>152.49</v>
      </c>
      <c r="GC57" s="52">
        <v>143.47</v>
      </c>
      <c r="GD57" s="52">
        <v>123.74</v>
      </c>
      <c r="GE57" s="52">
        <v>209.93</v>
      </c>
      <c r="GF57" s="52">
        <v>184.38</v>
      </c>
      <c r="GG57" s="52">
        <v>188.58</v>
      </c>
      <c r="GH57" s="52">
        <v>205.92</v>
      </c>
      <c r="GI57" s="52">
        <v>116.65</v>
      </c>
      <c r="GJ57" s="52">
        <v>105.46</v>
      </c>
      <c r="GK57" s="52">
        <v>104.86</v>
      </c>
      <c r="GL57" s="52">
        <v>131.16999999999999</v>
      </c>
      <c r="GM57" s="52">
        <v>126.89</v>
      </c>
      <c r="GN57" s="52">
        <v>176.54</v>
      </c>
      <c r="GO57" s="52">
        <v>132.13</v>
      </c>
      <c r="GP57" s="52">
        <v>138.37</v>
      </c>
      <c r="GQ57" s="52">
        <v>129.85</v>
      </c>
      <c r="GR57" s="52">
        <v>186.62</v>
      </c>
      <c r="GS57" s="52">
        <v>249.68</v>
      </c>
      <c r="GT57" s="52">
        <v>149.06</v>
      </c>
      <c r="GU57" s="52">
        <v>158.72</v>
      </c>
      <c r="GV57" s="52">
        <v>155.01</v>
      </c>
      <c r="GW57" s="52">
        <v>244.44</v>
      </c>
      <c r="GX57" s="52">
        <v>188.08</v>
      </c>
      <c r="GY57" s="52">
        <v>199.94</v>
      </c>
      <c r="GZ57" s="52">
        <v>175.62</v>
      </c>
      <c r="HA57" s="52">
        <v>141.9</v>
      </c>
      <c r="HB57" s="52">
        <v>135.86000000000001</v>
      </c>
      <c r="HC57" s="52">
        <v>125.53</v>
      </c>
      <c r="HD57" s="52">
        <v>125.4</v>
      </c>
      <c r="HE57" s="52">
        <v>88.58</v>
      </c>
      <c r="HF57" s="52">
        <v>98.45</v>
      </c>
      <c r="HG57" s="52">
        <v>106.14</v>
      </c>
      <c r="HH57" s="52">
        <v>143.88</v>
      </c>
      <c r="HI57" s="52">
        <v>76.349999999999994</v>
      </c>
      <c r="HJ57" s="52">
        <v>119.4</v>
      </c>
      <c r="HK57" s="52">
        <v>211.27</v>
      </c>
      <c r="HL57" s="52">
        <v>134.35</v>
      </c>
      <c r="HM57" s="52">
        <v>167.46</v>
      </c>
      <c r="HN57" s="52">
        <v>165.29</v>
      </c>
      <c r="HO57" s="52">
        <v>139.49</v>
      </c>
      <c r="HP57" s="52">
        <v>192.71</v>
      </c>
      <c r="HQ57" s="52">
        <v>126.56</v>
      </c>
      <c r="HR57" s="52">
        <v>154.06</v>
      </c>
      <c r="HS57" s="52">
        <v>225.89</v>
      </c>
      <c r="HT57" s="52">
        <v>184.38</v>
      </c>
      <c r="HU57" s="52">
        <v>94.06</v>
      </c>
      <c r="HV57" s="52">
        <v>134.44</v>
      </c>
      <c r="HW57" s="52">
        <v>127.43</v>
      </c>
      <c r="HX57" s="52">
        <v>95.04</v>
      </c>
      <c r="HY57" s="52">
        <v>192.47</v>
      </c>
      <c r="HZ57" s="52">
        <v>146.15</v>
      </c>
      <c r="IA57" s="52">
        <v>87.31</v>
      </c>
      <c r="IB57" s="52">
        <v>157.16999999999999</v>
      </c>
      <c r="IC57" s="52">
        <v>87.76</v>
      </c>
      <c r="ID57" s="52">
        <v>102.77</v>
      </c>
      <c r="IE57" s="52">
        <v>97.14</v>
      </c>
      <c r="IF57" s="52">
        <v>120.2</v>
      </c>
      <c r="IG57" s="52">
        <v>158.76</v>
      </c>
      <c r="IH57" s="52">
        <v>159.9</v>
      </c>
      <c r="II57" s="52">
        <v>200.15</v>
      </c>
      <c r="IJ57" s="52">
        <v>166.34</v>
      </c>
      <c r="IK57" s="52">
        <v>186.64</v>
      </c>
      <c r="IL57" s="52">
        <v>160.94</v>
      </c>
      <c r="IM57" s="52">
        <v>202.65</v>
      </c>
      <c r="IN57" s="52">
        <v>186.37</v>
      </c>
      <c r="IO57" s="52">
        <v>153.38999999999999</v>
      </c>
      <c r="IP57" s="52">
        <v>114.22</v>
      </c>
      <c r="IQ57" s="52">
        <v>142.85</v>
      </c>
      <c r="IR57" s="52">
        <v>218.7</v>
      </c>
      <c r="IS57" s="52">
        <v>143.38999999999999</v>
      </c>
      <c r="IT57" s="52">
        <v>45.1</v>
      </c>
      <c r="IU57" s="52">
        <v>120.77</v>
      </c>
      <c r="IV57" s="52">
        <v>67.77</v>
      </c>
      <c r="IW57" s="52">
        <v>98.04</v>
      </c>
      <c r="IX57" s="52">
        <v>148.27000000000001</v>
      </c>
      <c r="IY57" s="52">
        <v>138.91</v>
      </c>
      <c r="IZ57" s="52">
        <v>187.88</v>
      </c>
      <c r="JA57" s="52">
        <v>135.85</v>
      </c>
      <c r="JB57" s="52"/>
      <c r="JC57" s="52">
        <v>169.99</v>
      </c>
      <c r="JD57" s="52">
        <v>178.16</v>
      </c>
      <c r="JE57" s="52">
        <v>152.31</v>
      </c>
      <c r="JF57" s="52">
        <v>146.63999999999999</v>
      </c>
      <c r="JG57" s="52">
        <v>165.64</v>
      </c>
      <c r="JH57" s="52">
        <v>213.92</v>
      </c>
      <c r="JI57" s="52">
        <v>187.53</v>
      </c>
      <c r="JJ57" s="52">
        <v>144.68</v>
      </c>
      <c r="JK57" s="52">
        <v>170.82</v>
      </c>
      <c r="JL57" s="52">
        <v>189.9</v>
      </c>
      <c r="JM57" s="52">
        <v>184.51</v>
      </c>
      <c r="JN57" s="52">
        <v>179.23</v>
      </c>
      <c r="JO57" s="52">
        <v>153.55000000000001</v>
      </c>
      <c r="JP57" s="52">
        <v>209.19</v>
      </c>
      <c r="JQ57" s="52">
        <v>186.23</v>
      </c>
      <c r="JR57" s="52">
        <v>188.88</v>
      </c>
      <c r="JS57" s="52">
        <v>226.46</v>
      </c>
      <c r="JT57" s="52">
        <v>216.34</v>
      </c>
      <c r="JU57" s="52">
        <v>178.03</v>
      </c>
      <c r="JV57" s="52">
        <v>107.98</v>
      </c>
      <c r="JW57" s="52">
        <v>125.63</v>
      </c>
      <c r="JX57" s="52">
        <v>256.39999999999998</v>
      </c>
      <c r="JY57" s="52">
        <v>172.13</v>
      </c>
      <c r="JZ57" s="52">
        <v>162.06</v>
      </c>
      <c r="KA57" s="52">
        <v>198.18</v>
      </c>
      <c r="KB57" s="52">
        <v>220.63</v>
      </c>
      <c r="KC57" s="52">
        <v>119.83</v>
      </c>
      <c r="KD57" s="52">
        <v>145.66</v>
      </c>
      <c r="KE57" s="52">
        <v>196.56</v>
      </c>
      <c r="KF57" s="52">
        <v>207.97</v>
      </c>
    </row>
    <row r="58" spans="1:292" s="41" customFormat="1" ht="12">
      <c r="A58" s="41">
        <v>2009</v>
      </c>
      <c r="B58" s="54" t="s">
        <v>985</v>
      </c>
      <c r="C58" s="55" t="s">
        <v>986</v>
      </c>
      <c r="D58" s="52">
        <v>163.19</v>
      </c>
      <c r="E58" s="52">
        <v>170.32</v>
      </c>
      <c r="F58" s="52">
        <v>206.24</v>
      </c>
      <c r="G58" s="52">
        <v>130.47999999999999</v>
      </c>
      <c r="H58" s="52">
        <v>190.34</v>
      </c>
      <c r="I58" s="52">
        <v>136.47</v>
      </c>
      <c r="J58" s="52">
        <v>127.37</v>
      </c>
      <c r="K58" s="52">
        <v>150.12</v>
      </c>
      <c r="L58" s="52">
        <v>110.88</v>
      </c>
      <c r="M58" s="52">
        <v>138.78</v>
      </c>
      <c r="N58" s="52">
        <v>173.31</v>
      </c>
      <c r="O58" s="52">
        <v>207.22</v>
      </c>
      <c r="P58" s="52">
        <v>174.87</v>
      </c>
      <c r="Q58" s="52">
        <v>170.99</v>
      </c>
      <c r="R58" s="52">
        <v>159.44</v>
      </c>
      <c r="S58" s="52">
        <v>202.37</v>
      </c>
      <c r="T58" s="52">
        <v>206.27</v>
      </c>
      <c r="U58" s="52">
        <v>126.64</v>
      </c>
      <c r="V58" s="52">
        <v>141.53</v>
      </c>
      <c r="W58" s="52">
        <v>250.68</v>
      </c>
      <c r="X58" s="52">
        <v>149.12</v>
      </c>
      <c r="Y58" s="52">
        <v>159.99</v>
      </c>
      <c r="Z58" s="52">
        <v>181.05</v>
      </c>
      <c r="AA58" s="52">
        <v>136.13999999999999</v>
      </c>
      <c r="AB58" s="52">
        <v>125.27</v>
      </c>
      <c r="AC58" s="52">
        <v>114.62</v>
      </c>
      <c r="AD58" s="52">
        <v>152.63</v>
      </c>
      <c r="AE58" s="52">
        <v>166.45</v>
      </c>
      <c r="AF58" s="52">
        <v>150.37</v>
      </c>
      <c r="AG58" s="52">
        <v>97.82</v>
      </c>
      <c r="AH58" s="52">
        <v>154</v>
      </c>
      <c r="AI58" s="52">
        <v>157.25</v>
      </c>
      <c r="AJ58" s="52">
        <v>100.9</v>
      </c>
      <c r="AK58" s="52">
        <v>165.71</v>
      </c>
      <c r="AL58" s="52">
        <v>188.7</v>
      </c>
      <c r="AM58" s="52">
        <v>143.38999999999999</v>
      </c>
      <c r="AN58" s="52">
        <v>44.77</v>
      </c>
      <c r="AO58" s="52">
        <v>121.07</v>
      </c>
      <c r="AP58" s="52">
        <v>80.05</v>
      </c>
      <c r="AQ58" s="52">
        <v>139.24</v>
      </c>
      <c r="AR58" s="52">
        <v>174.48</v>
      </c>
      <c r="AS58" s="52">
        <v>159.71</v>
      </c>
      <c r="AT58" s="52">
        <v>187.97</v>
      </c>
      <c r="AU58" s="52">
        <v>171.67</v>
      </c>
      <c r="AV58" s="52">
        <v>191.12</v>
      </c>
      <c r="AW58" s="52">
        <v>186.81</v>
      </c>
      <c r="AX58" s="52">
        <v>179.23</v>
      </c>
      <c r="AY58" s="52">
        <v>153.38</v>
      </c>
      <c r="AZ58" s="52">
        <v>203.2</v>
      </c>
      <c r="BA58" s="52">
        <v>205</v>
      </c>
      <c r="BB58" s="52">
        <v>141.59</v>
      </c>
      <c r="BC58" s="52">
        <v>236.42</v>
      </c>
      <c r="BD58" s="52">
        <v>198.45</v>
      </c>
      <c r="BE58" s="52">
        <v>154.18</v>
      </c>
      <c r="BF58" s="52">
        <v>196.56</v>
      </c>
      <c r="BG58" s="52">
        <v>208.09</v>
      </c>
      <c r="BH58" s="52">
        <v>184.85</v>
      </c>
      <c r="BI58" s="52">
        <v>160.76</v>
      </c>
      <c r="BJ58" s="52">
        <v>175.36</v>
      </c>
      <c r="BK58" s="52">
        <v>154.38999999999999</v>
      </c>
      <c r="BL58" s="52">
        <v>161.6</v>
      </c>
      <c r="BM58" s="52">
        <v>188.07</v>
      </c>
      <c r="BN58" s="52">
        <v>175.07</v>
      </c>
      <c r="BO58" s="52">
        <v>147.94999999999999</v>
      </c>
      <c r="BP58" s="52">
        <v>169.24</v>
      </c>
      <c r="BQ58" s="52">
        <v>176.1</v>
      </c>
      <c r="BR58" s="52">
        <v>143.79</v>
      </c>
      <c r="BS58" s="52">
        <v>209.96</v>
      </c>
      <c r="BT58" s="52">
        <v>190.97</v>
      </c>
      <c r="BU58" s="52">
        <v>190.39</v>
      </c>
      <c r="BV58" s="52">
        <v>206.27</v>
      </c>
      <c r="BW58" s="52">
        <v>126.01</v>
      </c>
      <c r="BX58" s="52">
        <v>128.46</v>
      </c>
      <c r="BY58" s="52">
        <v>176.62</v>
      </c>
      <c r="BZ58" s="52">
        <v>141.25</v>
      </c>
      <c r="CA58" s="52">
        <v>187.23</v>
      </c>
      <c r="CB58" s="53">
        <v>250.68</v>
      </c>
      <c r="CC58" s="52">
        <v>149.12</v>
      </c>
      <c r="CD58" s="52">
        <v>159.38</v>
      </c>
      <c r="CE58" s="52">
        <v>155.07</v>
      </c>
      <c r="CF58" s="52">
        <v>187.61</v>
      </c>
      <c r="CG58" s="52">
        <v>194.83</v>
      </c>
      <c r="CH58" s="52">
        <v>139.33000000000001</v>
      </c>
      <c r="CI58" s="52">
        <v>124.74</v>
      </c>
      <c r="CJ58" s="52">
        <v>125.27</v>
      </c>
      <c r="CK58" s="52">
        <v>106.03</v>
      </c>
      <c r="CL58" s="52">
        <v>117.73</v>
      </c>
      <c r="CM58" s="52">
        <v>211.13</v>
      </c>
      <c r="CN58" s="52">
        <v>152.63</v>
      </c>
      <c r="CO58" s="52">
        <v>166.45</v>
      </c>
      <c r="CP58" s="52">
        <v>128.41999999999999</v>
      </c>
      <c r="CQ58" s="52">
        <v>226.76</v>
      </c>
      <c r="CR58" s="52">
        <v>94.53</v>
      </c>
      <c r="CS58" s="52">
        <v>135.38999999999999</v>
      </c>
      <c r="CT58" s="52">
        <v>115.66</v>
      </c>
      <c r="CU58" s="52">
        <v>192.46</v>
      </c>
      <c r="CV58" s="52">
        <v>146.13</v>
      </c>
      <c r="CW58" s="52">
        <v>95.57</v>
      </c>
      <c r="CX58" s="52">
        <v>157.25</v>
      </c>
      <c r="CY58" s="52">
        <v>100.7</v>
      </c>
      <c r="CZ58" s="52">
        <v>97.54</v>
      </c>
      <c r="DA58" s="52">
        <v>125.18</v>
      </c>
      <c r="DB58" s="52">
        <v>157.88999999999999</v>
      </c>
      <c r="DC58" s="52">
        <v>162.16999999999999</v>
      </c>
      <c r="DD58" s="52">
        <v>198.07</v>
      </c>
      <c r="DE58" s="52">
        <v>166.01</v>
      </c>
      <c r="DF58" s="52">
        <v>179.09</v>
      </c>
      <c r="DG58" s="52">
        <v>191.62</v>
      </c>
      <c r="DH58" s="52">
        <v>118.78</v>
      </c>
      <c r="DI58" s="52">
        <v>142.85</v>
      </c>
      <c r="DJ58" s="52">
        <v>218.66</v>
      </c>
      <c r="DK58" s="52">
        <v>143.38999999999999</v>
      </c>
      <c r="DL58" s="52">
        <v>44.77</v>
      </c>
      <c r="DM58" s="52">
        <v>121.07</v>
      </c>
      <c r="DN58" s="52">
        <v>65.540000000000006</v>
      </c>
      <c r="DO58" s="52">
        <v>94.85</v>
      </c>
      <c r="DP58" s="52">
        <v>147.94999999999999</v>
      </c>
      <c r="DQ58" s="52">
        <v>139.24</v>
      </c>
      <c r="DR58" s="52">
        <v>188.85</v>
      </c>
      <c r="DS58" s="52">
        <v>138.18</v>
      </c>
      <c r="DT58" s="52"/>
      <c r="DU58" s="52">
        <v>171.02</v>
      </c>
      <c r="DV58" s="52">
        <v>173.95</v>
      </c>
      <c r="DW58" s="52">
        <v>147.34</v>
      </c>
      <c r="DX58" s="52">
        <v>165.64</v>
      </c>
      <c r="DY58" s="52">
        <v>222.8</v>
      </c>
      <c r="DZ58" s="52">
        <v>190.86</v>
      </c>
      <c r="EA58" s="52">
        <v>145.1</v>
      </c>
      <c r="EB58" s="52">
        <v>171.67</v>
      </c>
      <c r="EC58" s="52">
        <v>191.12</v>
      </c>
      <c r="ED58" s="52">
        <v>186.81</v>
      </c>
      <c r="EE58" s="52">
        <v>179.23</v>
      </c>
      <c r="EF58" s="52">
        <v>153.38</v>
      </c>
      <c r="EG58" s="52">
        <v>203.2</v>
      </c>
      <c r="EH58" s="52">
        <v>205</v>
      </c>
      <c r="EI58" s="52">
        <v>197.26</v>
      </c>
      <c r="EJ58" s="52">
        <v>107.25</v>
      </c>
      <c r="EK58" s="52">
        <v>125.91</v>
      </c>
      <c r="EL58" s="52">
        <v>258.64</v>
      </c>
      <c r="EM58" s="52">
        <v>170.92</v>
      </c>
      <c r="EN58" s="52">
        <v>198.45</v>
      </c>
      <c r="EO58" s="52">
        <v>220.41</v>
      </c>
      <c r="EP58" s="52">
        <v>117.49</v>
      </c>
      <c r="EQ58" s="52">
        <v>145.58000000000001</v>
      </c>
      <c r="ER58" s="52">
        <v>196.56</v>
      </c>
      <c r="ES58" s="52">
        <v>208.09</v>
      </c>
      <c r="ET58" s="52">
        <v>222.56</v>
      </c>
      <c r="EU58" s="52">
        <v>167.04</v>
      </c>
      <c r="EV58" s="52">
        <v>186.99</v>
      </c>
      <c r="EW58" s="52">
        <v>174.05</v>
      </c>
      <c r="EX58" s="52">
        <v>199.14</v>
      </c>
      <c r="EY58" s="52">
        <v>125.38</v>
      </c>
      <c r="EZ58" s="52">
        <v>153.47999999999999</v>
      </c>
      <c r="FA58" s="52">
        <v>168.96</v>
      </c>
      <c r="FB58" s="52">
        <v>186.86</v>
      </c>
      <c r="FC58" s="52">
        <v>152.27000000000001</v>
      </c>
      <c r="FD58" s="52">
        <v>139.77000000000001</v>
      </c>
      <c r="FE58" s="52">
        <v>175.36</v>
      </c>
      <c r="FF58" s="52"/>
      <c r="FG58" s="52">
        <v>131.44999999999999</v>
      </c>
      <c r="FH58" s="52">
        <v>146.29</v>
      </c>
      <c r="FI58" s="52">
        <v>158.22999999999999</v>
      </c>
      <c r="FJ58" s="52">
        <v>186.53</v>
      </c>
      <c r="FK58" s="52">
        <v>179.44</v>
      </c>
      <c r="FL58" s="52">
        <v>143.01</v>
      </c>
      <c r="FM58" s="52">
        <v>164.51</v>
      </c>
      <c r="FN58" s="52">
        <v>185.6</v>
      </c>
      <c r="FO58" s="52">
        <v>201.29</v>
      </c>
      <c r="FP58" s="52">
        <v>161.79</v>
      </c>
      <c r="FQ58" s="52">
        <v>214.58</v>
      </c>
      <c r="FR58" s="52">
        <v>245.63</v>
      </c>
      <c r="FS58" s="52">
        <v>173.81</v>
      </c>
      <c r="FT58" s="52">
        <v>136.33000000000001</v>
      </c>
      <c r="FU58" s="52">
        <v>196.96</v>
      </c>
      <c r="FV58" s="52">
        <v>155.97</v>
      </c>
      <c r="FW58" s="52">
        <v>109.26</v>
      </c>
      <c r="FX58" s="52">
        <v>169.24</v>
      </c>
      <c r="FY58" s="52">
        <v>175.51</v>
      </c>
      <c r="FZ58" s="52">
        <v>176.8</v>
      </c>
      <c r="GA58" s="52">
        <v>134.35</v>
      </c>
      <c r="GB58" s="52">
        <v>152.88</v>
      </c>
      <c r="GC58" s="52">
        <v>144.57</v>
      </c>
      <c r="GD58" s="52">
        <v>122.25</v>
      </c>
      <c r="GE58" s="52">
        <v>209.96</v>
      </c>
      <c r="GF58" s="52">
        <v>190.97</v>
      </c>
      <c r="GG58" s="52">
        <v>190.39</v>
      </c>
      <c r="GH58" s="52">
        <v>205.92</v>
      </c>
      <c r="GI58" s="52">
        <v>130.94</v>
      </c>
      <c r="GJ58" s="52">
        <v>124.44</v>
      </c>
      <c r="GK58" s="52">
        <v>117.76</v>
      </c>
      <c r="GL58" s="52">
        <v>132.88999999999999</v>
      </c>
      <c r="GM58" s="52">
        <v>128.46</v>
      </c>
      <c r="GN58" s="52">
        <v>176.62</v>
      </c>
      <c r="GO58" s="52">
        <v>139.97</v>
      </c>
      <c r="GP58" s="52">
        <v>147.24</v>
      </c>
      <c r="GQ58" s="52">
        <v>133.02000000000001</v>
      </c>
      <c r="GR58" s="52">
        <v>187.23</v>
      </c>
      <c r="GS58" s="52">
        <v>250.68</v>
      </c>
      <c r="GT58" s="52">
        <v>149.12</v>
      </c>
      <c r="GU58" s="52">
        <v>159.38</v>
      </c>
      <c r="GV58" s="52">
        <v>155.07</v>
      </c>
      <c r="GW58" s="52">
        <v>192.81</v>
      </c>
      <c r="GX58" s="52">
        <v>184.96</v>
      </c>
      <c r="GY58" s="52">
        <v>194.83</v>
      </c>
      <c r="GZ58" s="52">
        <v>175.1</v>
      </c>
      <c r="HA58" s="52">
        <v>142.63</v>
      </c>
      <c r="HB58" s="52">
        <v>133.69</v>
      </c>
      <c r="HC58" s="52">
        <v>124.74</v>
      </c>
      <c r="HD58" s="52">
        <v>125.27</v>
      </c>
      <c r="HE58" s="52">
        <v>89.98</v>
      </c>
      <c r="HF58" s="52">
        <v>99.68</v>
      </c>
      <c r="HG58" s="52">
        <v>108.1</v>
      </c>
      <c r="HH58" s="52">
        <v>143.47999999999999</v>
      </c>
      <c r="HI58" s="52">
        <v>75.290000000000006</v>
      </c>
      <c r="HJ58" s="52">
        <v>117.73</v>
      </c>
      <c r="HK58" s="52">
        <v>211.13</v>
      </c>
      <c r="HL58" s="52">
        <v>134.78</v>
      </c>
      <c r="HM58" s="52">
        <v>168.34</v>
      </c>
      <c r="HN58" s="52">
        <v>165.51</v>
      </c>
      <c r="HO58" s="52">
        <v>140.27000000000001</v>
      </c>
      <c r="HP58" s="52">
        <v>192.74</v>
      </c>
      <c r="HQ58" s="52">
        <v>125.62</v>
      </c>
      <c r="HR58" s="52">
        <v>153.01</v>
      </c>
      <c r="HS58" s="52">
        <v>227.81</v>
      </c>
      <c r="HT58" s="52">
        <v>183.17</v>
      </c>
      <c r="HU58" s="52">
        <v>94.53</v>
      </c>
      <c r="HV58" s="52">
        <v>135.38999999999999</v>
      </c>
      <c r="HW58" s="52">
        <v>127.43</v>
      </c>
      <c r="HX58" s="52">
        <v>94.97</v>
      </c>
      <c r="HY58" s="52">
        <v>192.46</v>
      </c>
      <c r="HZ58" s="52">
        <v>146.13</v>
      </c>
      <c r="IA58" s="52">
        <v>87.31</v>
      </c>
      <c r="IB58" s="52">
        <v>157.25</v>
      </c>
      <c r="IC58" s="52">
        <v>89.32</v>
      </c>
      <c r="ID58" s="52">
        <v>103.61</v>
      </c>
      <c r="IE58" s="52">
        <v>97.54</v>
      </c>
      <c r="IF58" s="52">
        <v>125.18</v>
      </c>
      <c r="IG58" s="52">
        <v>157.88999999999999</v>
      </c>
      <c r="IH58" s="52">
        <v>162.16999999999999</v>
      </c>
      <c r="II58" s="52">
        <v>198.07</v>
      </c>
      <c r="IJ58" s="52">
        <v>166.01</v>
      </c>
      <c r="IK58" s="52">
        <v>186.64</v>
      </c>
      <c r="IL58" s="52">
        <v>160.94</v>
      </c>
      <c r="IM58" s="52">
        <v>202.66</v>
      </c>
      <c r="IN58" s="52">
        <v>186.47</v>
      </c>
      <c r="IO58" s="52">
        <v>154.04</v>
      </c>
      <c r="IP58" s="52">
        <v>118.78</v>
      </c>
      <c r="IQ58" s="52">
        <v>142.85</v>
      </c>
      <c r="IR58" s="52">
        <v>218.66</v>
      </c>
      <c r="IS58" s="52">
        <v>143.38999999999999</v>
      </c>
      <c r="IT58" s="52">
        <v>44.77</v>
      </c>
      <c r="IU58" s="52">
        <v>121.07</v>
      </c>
      <c r="IV58" s="52">
        <v>66.53</v>
      </c>
      <c r="IW58" s="52">
        <v>94.85</v>
      </c>
      <c r="IX58" s="52">
        <v>147.94999999999999</v>
      </c>
      <c r="IY58" s="52">
        <v>139.24</v>
      </c>
      <c r="IZ58" s="52">
        <v>188.85</v>
      </c>
      <c r="JA58" s="52">
        <v>138.18</v>
      </c>
      <c r="JB58" s="52"/>
      <c r="JC58" s="52">
        <v>171.02</v>
      </c>
      <c r="JD58" s="52">
        <v>173.95</v>
      </c>
      <c r="JE58" s="52">
        <v>152.80000000000001</v>
      </c>
      <c r="JF58" s="52">
        <v>145.36000000000001</v>
      </c>
      <c r="JG58" s="52">
        <v>165.64</v>
      </c>
      <c r="JH58" s="52">
        <v>222.8</v>
      </c>
      <c r="JI58" s="52">
        <v>190.86</v>
      </c>
      <c r="JJ58" s="52">
        <v>145.1</v>
      </c>
      <c r="JK58" s="52">
        <v>171.67</v>
      </c>
      <c r="JL58" s="52">
        <v>191.12</v>
      </c>
      <c r="JM58" s="52">
        <v>186.81</v>
      </c>
      <c r="JN58" s="52">
        <v>179.23</v>
      </c>
      <c r="JO58" s="52">
        <v>153.38</v>
      </c>
      <c r="JP58" s="52">
        <v>210.07</v>
      </c>
      <c r="JQ58" s="52">
        <v>187.09</v>
      </c>
      <c r="JR58" s="52">
        <v>189.18</v>
      </c>
      <c r="JS58" s="52">
        <v>226.45</v>
      </c>
      <c r="JT58" s="52">
        <v>216.53</v>
      </c>
      <c r="JU58" s="52">
        <v>178.55</v>
      </c>
      <c r="JV58" s="52">
        <v>107.25</v>
      </c>
      <c r="JW58" s="52">
        <v>125.91</v>
      </c>
      <c r="JX58" s="52">
        <v>258.64</v>
      </c>
      <c r="JY58" s="52">
        <v>174.73</v>
      </c>
      <c r="JZ58" s="52">
        <v>162.72</v>
      </c>
      <c r="KA58" s="52">
        <v>198.45</v>
      </c>
      <c r="KB58" s="52">
        <v>220.41</v>
      </c>
      <c r="KC58" s="52">
        <v>117.49</v>
      </c>
      <c r="KD58" s="52">
        <v>145.58000000000001</v>
      </c>
      <c r="KE58" s="52">
        <v>196.56</v>
      </c>
      <c r="KF58" s="52">
        <v>208.09</v>
      </c>
    </row>
    <row r="59" spans="1:292" s="41" customFormat="1" ht="12">
      <c r="A59" s="41">
        <v>2009</v>
      </c>
      <c r="B59" s="54" t="s">
        <v>987</v>
      </c>
      <c r="C59" s="55" t="s">
        <v>988</v>
      </c>
      <c r="D59" s="52">
        <v>163.37</v>
      </c>
      <c r="E59" s="52">
        <v>167.66</v>
      </c>
      <c r="F59" s="52">
        <v>206.27</v>
      </c>
      <c r="G59" s="52">
        <v>129.44999999999999</v>
      </c>
      <c r="H59" s="52">
        <v>191.67</v>
      </c>
      <c r="I59" s="52">
        <v>136.38999999999999</v>
      </c>
      <c r="J59" s="52">
        <v>127.37</v>
      </c>
      <c r="K59" s="52">
        <v>154.35</v>
      </c>
      <c r="L59" s="52">
        <v>112.18</v>
      </c>
      <c r="M59" s="52">
        <v>140.13</v>
      </c>
      <c r="N59" s="52">
        <v>174.92</v>
      </c>
      <c r="O59" s="52">
        <v>208</v>
      </c>
      <c r="P59" s="52">
        <v>176.58</v>
      </c>
      <c r="Q59" s="52">
        <v>168.06</v>
      </c>
      <c r="R59" s="52">
        <v>160.68</v>
      </c>
      <c r="S59" s="52">
        <v>202.78</v>
      </c>
      <c r="T59" s="52">
        <v>206.27</v>
      </c>
      <c r="U59" s="52">
        <v>126.24</v>
      </c>
      <c r="V59" s="52">
        <v>138.21</v>
      </c>
      <c r="W59" s="52">
        <v>251.68</v>
      </c>
      <c r="X59" s="52">
        <v>149.38999999999999</v>
      </c>
      <c r="Y59" s="52">
        <v>162.91</v>
      </c>
      <c r="Z59" s="52">
        <v>182.19</v>
      </c>
      <c r="AA59" s="52">
        <v>137.58000000000001</v>
      </c>
      <c r="AB59" s="52">
        <v>125.64</v>
      </c>
      <c r="AC59" s="52">
        <v>113.9</v>
      </c>
      <c r="AD59" s="52">
        <v>153.18</v>
      </c>
      <c r="AE59" s="52">
        <v>166.36</v>
      </c>
      <c r="AF59" s="52">
        <v>148.9</v>
      </c>
      <c r="AG59" s="52">
        <v>97.82</v>
      </c>
      <c r="AH59" s="52">
        <v>153.97999999999999</v>
      </c>
      <c r="AI59" s="52">
        <v>157.37</v>
      </c>
      <c r="AJ59" s="52">
        <v>104.82</v>
      </c>
      <c r="AK59" s="52">
        <v>170.97</v>
      </c>
      <c r="AL59" s="52">
        <v>191.15</v>
      </c>
      <c r="AM59" s="52">
        <v>143.38999999999999</v>
      </c>
      <c r="AN59" s="52">
        <v>44.95</v>
      </c>
      <c r="AO59" s="52">
        <v>122.56</v>
      </c>
      <c r="AP59" s="52">
        <v>80.400000000000006</v>
      </c>
      <c r="AQ59" s="52">
        <v>139.28</v>
      </c>
      <c r="AR59" s="52">
        <v>174.24</v>
      </c>
      <c r="AS59" s="52">
        <v>159.16</v>
      </c>
      <c r="AT59" s="52">
        <v>186.06</v>
      </c>
      <c r="AU59" s="52">
        <v>199.67</v>
      </c>
      <c r="AV59" s="52">
        <v>196.37</v>
      </c>
      <c r="AW59" s="52">
        <v>189.47</v>
      </c>
      <c r="AX59" s="52">
        <v>179.23</v>
      </c>
      <c r="AY59" s="52">
        <v>149.75</v>
      </c>
      <c r="AZ59" s="52">
        <v>203.94</v>
      </c>
      <c r="BA59" s="52">
        <v>206.03</v>
      </c>
      <c r="BB59" s="52">
        <v>142.28</v>
      </c>
      <c r="BC59" s="52">
        <v>241.67</v>
      </c>
      <c r="BD59" s="52">
        <v>198.34</v>
      </c>
      <c r="BE59" s="52">
        <v>156.09</v>
      </c>
      <c r="BF59" s="52">
        <v>208.21</v>
      </c>
      <c r="BG59" s="52">
        <v>208.1</v>
      </c>
      <c r="BH59" s="52">
        <v>184.88</v>
      </c>
      <c r="BI59" s="52">
        <v>159.68</v>
      </c>
      <c r="BJ59" s="52">
        <v>169.87</v>
      </c>
      <c r="BK59" s="52">
        <v>149.12</v>
      </c>
      <c r="BL59" s="52">
        <v>160.35</v>
      </c>
      <c r="BM59" s="52">
        <v>205.5</v>
      </c>
      <c r="BN59" s="52">
        <v>152.02000000000001</v>
      </c>
      <c r="BO59" s="52">
        <v>147.74</v>
      </c>
      <c r="BP59" s="52">
        <v>169.94</v>
      </c>
      <c r="BQ59" s="52">
        <v>177.34</v>
      </c>
      <c r="BR59" s="52">
        <v>145.01</v>
      </c>
      <c r="BS59" s="52">
        <v>210.04</v>
      </c>
      <c r="BT59" s="52">
        <v>193.96</v>
      </c>
      <c r="BU59" s="52">
        <v>190.64</v>
      </c>
      <c r="BV59" s="52">
        <v>206.27</v>
      </c>
      <c r="BW59" s="52">
        <v>125.56</v>
      </c>
      <c r="BX59" s="52">
        <v>128.53</v>
      </c>
      <c r="BY59" s="52">
        <v>177.3</v>
      </c>
      <c r="BZ59" s="52">
        <v>137.9</v>
      </c>
      <c r="CA59" s="52">
        <v>187.38</v>
      </c>
      <c r="CB59" s="53">
        <v>251.68</v>
      </c>
      <c r="CC59" s="52">
        <v>149.38999999999999</v>
      </c>
      <c r="CD59" s="52">
        <v>162.29</v>
      </c>
      <c r="CE59" s="52">
        <v>155.07</v>
      </c>
      <c r="CF59" s="52">
        <v>190.97</v>
      </c>
      <c r="CG59" s="52">
        <v>194.89</v>
      </c>
      <c r="CH59" s="52">
        <v>140.53</v>
      </c>
      <c r="CI59" s="52">
        <v>127.17</v>
      </c>
      <c r="CJ59" s="52">
        <v>125.64</v>
      </c>
      <c r="CK59" s="52">
        <v>105.89</v>
      </c>
      <c r="CL59" s="52">
        <v>117.86</v>
      </c>
      <c r="CM59" s="52">
        <v>197</v>
      </c>
      <c r="CN59" s="52">
        <v>153.18</v>
      </c>
      <c r="CO59" s="52">
        <v>166.36</v>
      </c>
      <c r="CP59" s="52">
        <v>126.77</v>
      </c>
      <c r="CQ59" s="52">
        <v>227.5</v>
      </c>
      <c r="CR59" s="52">
        <v>94.53</v>
      </c>
      <c r="CS59" s="52">
        <v>136.34</v>
      </c>
      <c r="CT59" s="52">
        <v>115.49</v>
      </c>
      <c r="CU59" s="52">
        <v>192.38</v>
      </c>
      <c r="CV59" s="52">
        <v>146.16</v>
      </c>
      <c r="CW59" s="52">
        <v>95.59</v>
      </c>
      <c r="CX59" s="52">
        <v>157.37</v>
      </c>
      <c r="CY59" s="52">
        <v>104.7</v>
      </c>
      <c r="CZ59" s="52">
        <v>98.27</v>
      </c>
      <c r="DA59" s="52">
        <v>127.38</v>
      </c>
      <c r="DB59" s="52">
        <v>157.54</v>
      </c>
      <c r="DC59" s="52">
        <v>168.65</v>
      </c>
      <c r="DD59" s="52">
        <v>199.18</v>
      </c>
      <c r="DE59" s="52">
        <v>161.47999999999999</v>
      </c>
      <c r="DF59" s="52">
        <v>184.75</v>
      </c>
      <c r="DG59" s="52">
        <v>194.1</v>
      </c>
      <c r="DH59" s="52">
        <v>119.31</v>
      </c>
      <c r="DI59" s="52">
        <v>149.74</v>
      </c>
      <c r="DJ59" s="52">
        <v>219.94</v>
      </c>
      <c r="DK59" s="52">
        <v>143.38999999999999</v>
      </c>
      <c r="DL59" s="52">
        <v>44.95</v>
      </c>
      <c r="DM59" s="52">
        <v>122.56</v>
      </c>
      <c r="DN59" s="52">
        <v>66.53</v>
      </c>
      <c r="DO59" s="52">
        <v>93.74</v>
      </c>
      <c r="DP59" s="52">
        <v>147.99</v>
      </c>
      <c r="DQ59" s="52">
        <v>139.28</v>
      </c>
      <c r="DR59" s="52">
        <v>188.5</v>
      </c>
      <c r="DS59" s="52">
        <v>138.16999999999999</v>
      </c>
      <c r="DT59" s="52"/>
      <c r="DU59" s="52">
        <v>171.44</v>
      </c>
      <c r="DV59" s="52">
        <v>173.2</v>
      </c>
      <c r="DW59" s="52">
        <v>146.84</v>
      </c>
      <c r="DX59" s="52">
        <v>165.64</v>
      </c>
      <c r="DY59" s="52">
        <v>216.57</v>
      </c>
      <c r="DZ59" s="52">
        <v>190.86</v>
      </c>
      <c r="EA59" s="52">
        <v>145.33000000000001</v>
      </c>
      <c r="EB59" s="52">
        <v>199.67</v>
      </c>
      <c r="EC59" s="52">
        <v>196.37</v>
      </c>
      <c r="ED59" s="52">
        <v>189.47</v>
      </c>
      <c r="EE59" s="52">
        <v>179.23</v>
      </c>
      <c r="EF59" s="52">
        <v>149.75</v>
      </c>
      <c r="EG59" s="52">
        <v>203.94</v>
      </c>
      <c r="EH59" s="52">
        <v>206.03</v>
      </c>
      <c r="EI59" s="52">
        <v>198.6</v>
      </c>
      <c r="EJ59" s="52">
        <v>107.54</v>
      </c>
      <c r="EK59" s="52">
        <v>126.44</v>
      </c>
      <c r="EL59" s="52">
        <v>265.77</v>
      </c>
      <c r="EM59" s="52">
        <v>171.15</v>
      </c>
      <c r="EN59" s="52">
        <v>198.34</v>
      </c>
      <c r="EO59" s="52">
        <v>220.33</v>
      </c>
      <c r="EP59" s="52">
        <v>117.49</v>
      </c>
      <c r="EQ59" s="52">
        <v>147.74</v>
      </c>
      <c r="ER59" s="52">
        <v>208.21</v>
      </c>
      <c r="ES59" s="52">
        <v>208.1</v>
      </c>
      <c r="ET59" s="52">
        <v>226.07</v>
      </c>
      <c r="EU59" s="52">
        <v>166.27</v>
      </c>
      <c r="EV59" s="52">
        <v>186.53</v>
      </c>
      <c r="EW59" s="52">
        <v>174.37</v>
      </c>
      <c r="EX59" s="52">
        <v>199.18</v>
      </c>
      <c r="EY59" s="52">
        <v>126</v>
      </c>
      <c r="EZ59" s="52">
        <v>155.41999999999999</v>
      </c>
      <c r="FA59" s="52">
        <v>168.04</v>
      </c>
      <c r="FB59" s="52">
        <v>177.85</v>
      </c>
      <c r="FC59" s="52">
        <v>151.19999999999999</v>
      </c>
      <c r="FD59" s="52">
        <v>140</v>
      </c>
      <c r="FE59" s="52">
        <v>169.87</v>
      </c>
      <c r="FF59" s="52"/>
      <c r="FG59" s="52">
        <v>128.41999999999999</v>
      </c>
      <c r="FH59" s="52">
        <v>144.24</v>
      </c>
      <c r="FI59" s="52">
        <v>156.54</v>
      </c>
      <c r="FJ59" s="52">
        <v>162.63</v>
      </c>
      <c r="FK59" s="52">
        <v>179.05</v>
      </c>
      <c r="FL59" s="52">
        <v>139.82</v>
      </c>
      <c r="FM59" s="52">
        <v>163.53</v>
      </c>
      <c r="FN59" s="52">
        <v>206.22</v>
      </c>
      <c r="FO59" s="52">
        <v>202.38</v>
      </c>
      <c r="FP59" s="52">
        <v>129.47999999999999</v>
      </c>
      <c r="FQ59" s="52">
        <v>216.9</v>
      </c>
      <c r="FR59" s="52">
        <v>248.75</v>
      </c>
      <c r="FS59" s="52">
        <v>175.41</v>
      </c>
      <c r="FT59" s="52">
        <v>136.43</v>
      </c>
      <c r="FU59" s="52">
        <v>196.46</v>
      </c>
      <c r="FV59" s="52">
        <v>155.82</v>
      </c>
      <c r="FW59" s="52">
        <v>107.45</v>
      </c>
      <c r="FX59" s="52">
        <v>169.94</v>
      </c>
      <c r="FY59" s="52">
        <v>179.38</v>
      </c>
      <c r="FZ59" s="52">
        <v>177.72</v>
      </c>
      <c r="GA59" s="52">
        <v>135.13</v>
      </c>
      <c r="GB59" s="52">
        <v>153.31</v>
      </c>
      <c r="GC59" s="52">
        <v>146.02000000000001</v>
      </c>
      <c r="GD59" s="52">
        <v>124.1</v>
      </c>
      <c r="GE59" s="52">
        <v>210.04</v>
      </c>
      <c r="GF59" s="52">
        <v>193.96</v>
      </c>
      <c r="GG59" s="52">
        <v>190.64</v>
      </c>
      <c r="GH59" s="52">
        <v>205.92</v>
      </c>
      <c r="GI59" s="52">
        <v>130.35</v>
      </c>
      <c r="GJ59" s="52">
        <v>122.84</v>
      </c>
      <c r="GK59" s="52">
        <v>120.62</v>
      </c>
      <c r="GL59" s="52">
        <v>134.13</v>
      </c>
      <c r="GM59" s="52">
        <v>128.53</v>
      </c>
      <c r="GN59" s="52">
        <v>177.3</v>
      </c>
      <c r="GO59" s="52">
        <v>136.80000000000001</v>
      </c>
      <c r="GP59" s="52">
        <v>142.15</v>
      </c>
      <c r="GQ59" s="52">
        <v>132.47999999999999</v>
      </c>
      <c r="GR59" s="52">
        <v>187.38</v>
      </c>
      <c r="GS59" s="52">
        <v>251.68</v>
      </c>
      <c r="GT59" s="52">
        <v>149.38999999999999</v>
      </c>
      <c r="GU59" s="52">
        <v>162.29</v>
      </c>
      <c r="GV59" s="52">
        <v>155.07</v>
      </c>
      <c r="GW59" s="52">
        <v>192.8</v>
      </c>
      <c r="GX59" s="52">
        <v>190.12</v>
      </c>
      <c r="GY59" s="52">
        <v>194.89</v>
      </c>
      <c r="GZ59" s="52">
        <v>175.67</v>
      </c>
      <c r="HA59" s="52">
        <v>143.86000000000001</v>
      </c>
      <c r="HB59" s="52">
        <v>134.96</v>
      </c>
      <c r="HC59" s="52">
        <v>127.17</v>
      </c>
      <c r="HD59" s="52">
        <v>125.64</v>
      </c>
      <c r="HE59" s="52">
        <v>90.37</v>
      </c>
      <c r="HF59" s="52">
        <v>98.65</v>
      </c>
      <c r="HG59" s="52">
        <v>108.13</v>
      </c>
      <c r="HH59" s="52">
        <v>143.31</v>
      </c>
      <c r="HI59" s="52">
        <v>75.36</v>
      </c>
      <c r="HJ59" s="52">
        <v>117.86</v>
      </c>
      <c r="HK59" s="52">
        <v>197</v>
      </c>
      <c r="HL59" s="52">
        <v>135.56</v>
      </c>
      <c r="HM59" s="52">
        <v>169.03</v>
      </c>
      <c r="HN59" s="52">
        <v>165.8</v>
      </c>
      <c r="HO59" s="52">
        <v>140.51</v>
      </c>
      <c r="HP59" s="52">
        <v>192.26</v>
      </c>
      <c r="HQ59" s="52">
        <v>123.73</v>
      </c>
      <c r="HR59" s="52">
        <v>153.41</v>
      </c>
      <c r="HS59" s="52">
        <v>228.6</v>
      </c>
      <c r="HT59" s="52">
        <v>182.89</v>
      </c>
      <c r="HU59" s="52">
        <v>94.53</v>
      </c>
      <c r="HV59" s="52">
        <v>136.34</v>
      </c>
      <c r="HW59" s="52">
        <v>127.47</v>
      </c>
      <c r="HX59" s="52">
        <v>94.65</v>
      </c>
      <c r="HY59" s="52">
        <v>192.38</v>
      </c>
      <c r="HZ59" s="52">
        <v>146.16</v>
      </c>
      <c r="IA59" s="52">
        <v>87.32</v>
      </c>
      <c r="IB59" s="52">
        <v>157.37</v>
      </c>
      <c r="IC59" s="52">
        <v>92.83</v>
      </c>
      <c r="ID59" s="52">
        <v>107.74</v>
      </c>
      <c r="IE59" s="52">
        <v>98.27</v>
      </c>
      <c r="IF59" s="52">
        <v>127.38</v>
      </c>
      <c r="IG59" s="52">
        <v>157.54</v>
      </c>
      <c r="IH59" s="52">
        <v>168.65</v>
      </c>
      <c r="II59" s="52">
        <v>199.18</v>
      </c>
      <c r="IJ59" s="52">
        <v>161.47999999999999</v>
      </c>
      <c r="IK59" s="52">
        <v>195.52</v>
      </c>
      <c r="IL59" s="52">
        <v>160.94</v>
      </c>
      <c r="IM59" s="52">
        <v>204.03</v>
      </c>
      <c r="IN59" s="52">
        <v>186.65</v>
      </c>
      <c r="IO59" s="52">
        <v>160.57</v>
      </c>
      <c r="IP59" s="52">
        <v>119.31</v>
      </c>
      <c r="IQ59" s="52">
        <v>149.74</v>
      </c>
      <c r="IR59" s="52">
        <v>219.94</v>
      </c>
      <c r="IS59" s="52">
        <v>143.38999999999999</v>
      </c>
      <c r="IT59" s="52">
        <v>44.95</v>
      </c>
      <c r="IU59" s="52">
        <v>122.56</v>
      </c>
      <c r="IV59" s="52">
        <v>67.8</v>
      </c>
      <c r="IW59" s="52">
        <v>93.74</v>
      </c>
      <c r="IX59" s="52">
        <v>147.99</v>
      </c>
      <c r="IY59" s="52">
        <v>139.28</v>
      </c>
      <c r="IZ59" s="52">
        <v>188.5</v>
      </c>
      <c r="JA59" s="52">
        <v>138.16999999999999</v>
      </c>
      <c r="JB59" s="52"/>
      <c r="JC59" s="52">
        <v>171.44</v>
      </c>
      <c r="JD59" s="52">
        <v>173.2</v>
      </c>
      <c r="JE59" s="52">
        <v>154.94999999999999</v>
      </c>
      <c r="JF59" s="52">
        <v>143.96</v>
      </c>
      <c r="JG59" s="52">
        <v>165.64</v>
      </c>
      <c r="JH59" s="52">
        <v>216.57</v>
      </c>
      <c r="JI59" s="52">
        <v>190.86</v>
      </c>
      <c r="JJ59" s="52">
        <v>145.33000000000001</v>
      </c>
      <c r="JK59" s="52">
        <v>199.67</v>
      </c>
      <c r="JL59" s="52">
        <v>196.37</v>
      </c>
      <c r="JM59" s="52">
        <v>189.47</v>
      </c>
      <c r="JN59" s="52">
        <v>179.23</v>
      </c>
      <c r="JO59" s="52">
        <v>149.75</v>
      </c>
      <c r="JP59" s="52">
        <v>210.89</v>
      </c>
      <c r="JQ59" s="52">
        <v>187.64</v>
      </c>
      <c r="JR59" s="52">
        <v>190.75</v>
      </c>
      <c r="JS59" s="52">
        <v>226.49</v>
      </c>
      <c r="JT59" s="52">
        <v>217.24</v>
      </c>
      <c r="JU59" s="52">
        <v>180.51</v>
      </c>
      <c r="JV59" s="52">
        <v>107.54</v>
      </c>
      <c r="JW59" s="52">
        <v>126.44</v>
      </c>
      <c r="JX59" s="52">
        <v>265.77</v>
      </c>
      <c r="JY59" s="52">
        <v>174.81</v>
      </c>
      <c r="JZ59" s="52">
        <v>163.15</v>
      </c>
      <c r="KA59" s="52">
        <v>198.34</v>
      </c>
      <c r="KB59" s="52">
        <v>220.33</v>
      </c>
      <c r="KC59" s="52">
        <v>117.49</v>
      </c>
      <c r="KD59" s="52">
        <v>147.74</v>
      </c>
      <c r="KE59" s="52">
        <v>208.21</v>
      </c>
      <c r="KF59" s="52">
        <v>208.1</v>
      </c>
    </row>
    <row r="60" spans="1:292" s="41" customFormat="1" ht="12">
      <c r="A60" s="41">
        <v>2009</v>
      </c>
      <c r="B60" s="54" t="s">
        <v>989</v>
      </c>
      <c r="C60" s="55" t="s">
        <v>990</v>
      </c>
      <c r="D60" s="52">
        <v>163.78</v>
      </c>
      <c r="E60" s="52">
        <v>166.59</v>
      </c>
      <c r="F60" s="52">
        <v>228.73</v>
      </c>
      <c r="G60" s="52">
        <v>121.74</v>
      </c>
      <c r="H60" s="52">
        <v>192.3</v>
      </c>
      <c r="I60" s="52">
        <v>137.61000000000001</v>
      </c>
      <c r="J60" s="52">
        <v>127.44</v>
      </c>
      <c r="K60" s="52">
        <v>155.25</v>
      </c>
      <c r="L60" s="52">
        <v>112.37</v>
      </c>
      <c r="M60" s="52">
        <v>143.72</v>
      </c>
      <c r="N60" s="52">
        <v>176.54</v>
      </c>
      <c r="O60" s="52">
        <v>208.87</v>
      </c>
      <c r="P60" s="52">
        <v>178.15</v>
      </c>
      <c r="Q60" s="52">
        <v>166.87</v>
      </c>
      <c r="R60" s="52">
        <v>161.28</v>
      </c>
      <c r="S60" s="52">
        <v>203.08</v>
      </c>
      <c r="T60" s="52">
        <v>230.14</v>
      </c>
      <c r="U60" s="52">
        <v>119.23</v>
      </c>
      <c r="V60" s="52">
        <v>128.16999999999999</v>
      </c>
      <c r="W60" s="52">
        <v>252.86</v>
      </c>
      <c r="X60" s="52">
        <v>149.6</v>
      </c>
      <c r="Y60" s="52">
        <v>163.07</v>
      </c>
      <c r="Z60" s="52">
        <v>182.84</v>
      </c>
      <c r="AA60" s="52">
        <v>138.66</v>
      </c>
      <c r="AB60" s="52">
        <v>126.41</v>
      </c>
      <c r="AC60" s="52">
        <v>117.73</v>
      </c>
      <c r="AD60" s="52">
        <v>153.30000000000001</v>
      </c>
      <c r="AE60" s="52">
        <v>166.69</v>
      </c>
      <c r="AF60" s="52">
        <v>147.18</v>
      </c>
      <c r="AG60" s="52">
        <v>97.9</v>
      </c>
      <c r="AH60" s="52">
        <v>154.03</v>
      </c>
      <c r="AI60" s="52">
        <v>157.44999999999999</v>
      </c>
      <c r="AJ60" s="52">
        <v>107.37</v>
      </c>
      <c r="AK60" s="52">
        <v>168.86</v>
      </c>
      <c r="AL60" s="52">
        <v>192.48</v>
      </c>
      <c r="AM60" s="52">
        <v>159.68</v>
      </c>
      <c r="AN60" s="52">
        <v>45.88</v>
      </c>
      <c r="AO60" s="52">
        <v>122.56</v>
      </c>
      <c r="AP60" s="52">
        <v>80.38</v>
      </c>
      <c r="AQ60" s="52">
        <v>139.38</v>
      </c>
      <c r="AR60" s="52">
        <v>175.17</v>
      </c>
      <c r="AS60" s="52">
        <v>159.34</v>
      </c>
      <c r="AT60" s="52">
        <v>203.82</v>
      </c>
      <c r="AU60" s="52">
        <v>199.87</v>
      </c>
      <c r="AV60" s="52">
        <v>198.68</v>
      </c>
      <c r="AW60" s="52">
        <v>192.25</v>
      </c>
      <c r="AX60" s="52">
        <v>179.23</v>
      </c>
      <c r="AY60" s="52">
        <v>150.19999999999999</v>
      </c>
      <c r="AZ60" s="52">
        <v>204.89</v>
      </c>
      <c r="BA60" s="52">
        <v>205.79</v>
      </c>
      <c r="BB60" s="52">
        <v>143.24</v>
      </c>
      <c r="BC60" s="52">
        <v>236.77</v>
      </c>
      <c r="BD60" s="52">
        <v>198.04</v>
      </c>
      <c r="BE60" s="52">
        <v>161.32</v>
      </c>
      <c r="BF60" s="52">
        <v>208.21</v>
      </c>
      <c r="BG60" s="52">
        <v>223.52</v>
      </c>
      <c r="BH60" s="52">
        <v>184.53</v>
      </c>
      <c r="BI60" s="52">
        <v>161.75</v>
      </c>
      <c r="BJ60" s="52">
        <v>170.52</v>
      </c>
      <c r="BK60" s="52">
        <v>150.78</v>
      </c>
      <c r="BL60" s="52">
        <v>159.07</v>
      </c>
      <c r="BM60" s="52">
        <v>179.64</v>
      </c>
      <c r="BN60" s="52">
        <v>157.96</v>
      </c>
      <c r="BO60" s="52">
        <v>149.47999999999999</v>
      </c>
      <c r="BP60" s="52">
        <v>170.19</v>
      </c>
      <c r="BQ60" s="52">
        <v>178.17</v>
      </c>
      <c r="BR60" s="52">
        <v>145.43</v>
      </c>
      <c r="BS60" s="52">
        <v>210.03</v>
      </c>
      <c r="BT60" s="52">
        <v>194.87</v>
      </c>
      <c r="BU60" s="52">
        <v>191.18</v>
      </c>
      <c r="BV60" s="52">
        <v>230.14</v>
      </c>
      <c r="BW60" s="52">
        <v>118.12</v>
      </c>
      <c r="BX60" s="52">
        <v>126.85</v>
      </c>
      <c r="BY60" s="52">
        <v>178.54</v>
      </c>
      <c r="BZ60" s="52">
        <v>127.82</v>
      </c>
      <c r="CA60" s="52">
        <v>187.33</v>
      </c>
      <c r="CB60" s="53">
        <v>252.86</v>
      </c>
      <c r="CC60" s="52">
        <v>149.6</v>
      </c>
      <c r="CD60" s="52">
        <v>162.44999999999999</v>
      </c>
      <c r="CE60" s="52">
        <v>155.07</v>
      </c>
      <c r="CF60" s="52">
        <v>192.9</v>
      </c>
      <c r="CG60" s="52">
        <v>194.95</v>
      </c>
      <c r="CH60" s="52">
        <v>141.57</v>
      </c>
      <c r="CI60" s="52">
        <v>128.47999999999999</v>
      </c>
      <c r="CJ60" s="52">
        <v>126.41</v>
      </c>
      <c r="CK60" s="52">
        <v>110.16</v>
      </c>
      <c r="CL60" s="52">
        <v>117.32</v>
      </c>
      <c r="CM60" s="52">
        <v>197.08</v>
      </c>
      <c r="CN60" s="52">
        <v>153.30000000000001</v>
      </c>
      <c r="CO60" s="52">
        <v>166.69</v>
      </c>
      <c r="CP60" s="52">
        <v>124.84</v>
      </c>
      <c r="CQ60" s="52">
        <v>228.48</v>
      </c>
      <c r="CR60" s="52">
        <v>94.53</v>
      </c>
      <c r="CS60" s="52">
        <v>136.87</v>
      </c>
      <c r="CT60" s="52">
        <v>115.97</v>
      </c>
      <c r="CU60" s="52">
        <v>192.52</v>
      </c>
      <c r="CV60" s="52">
        <v>146.11000000000001</v>
      </c>
      <c r="CW60" s="52">
        <v>95.6</v>
      </c>
      <c r="CX60" s="52">
        <v>157.44999999999999</v>
      </c>
      <c r="CY60" s="52">
        <v>107.33</v>
      </c>
      <c r="CZ60" s="52">
        <v>98.22</v>
      </c>
      <c r="DA60" s="52">
        <v>127.8</v>
      </c>
      <c r="DB60" s="52">
        <v>158.13999999999999</v>
      </c>
      <c r="DC60" s="52">
        <v>165.62</v>
      </c>
      <c r="DD60" s="52">
        <v>202.83</v>
      </c>
      <c r="DE60" s="52">
        <v>161.38999999999999</v>
      </c>
      <c r="DF60" s="52">
        <v>185.32</v>
      </c>
      <c r="DG60" s="52">
        <v>195.48</v>
      </c>
      <c r="DH60" s="52">
        <v>119.9</v>
      </c>
      <c r="DI60" s="52">
        <v>149.74</v>
      </c>
      <c r="DJ60" s="52">
        <v>222.14</v>
      </c>
      <c r="DK60" s="52">
        <v>159.68</v>
      </c>
      <c r="DL60" s="52">
        <v>45.88</v>
      </c>
      <c r="DM60" s="52">
        <v>122.56</v>
      </c>
      <c r="DN60" s="52">
        <v>67.47</v>
      </c>
      <c r="DO60" s="52">
        <v>91.61</v>
      </c>
      <c r="DP60" s="52">
        <v>147.87</v>
      </c>
      <c r="DQ60" s="52">
        <v>139.38</v>
      </c>
      <c r="DR60" s="52">
        <v>190.45</v>
      </c>
      <c r="DS60" s="52">
        <v>136.47999999999999</v>
      </c>
      <c r="DT60" s="52"/>
      <c r="DU60" s="52">
        <v>172.17</v>
      </c>
      <c r="DV60" s="52">
        <v>173.44</v>
      </c>
      <c r="DW60" s="52">
        <v>147</v>
      </c>
      <c r="DX60" s="52">
        <v>165.64</v>
      </c>
      <c r="DY60" s="52">
        <v>271.43</v>
      </c>
      <c r="DZ60" s="52">
        <v>191.22</v>
      </c>
      <c r="EA60" s="52">
        <v>145.51</v>
      </c>
      <c r="EB60" s="52">
        <v>199.87</v>
      </c>
      <c r="EC60" s="52">
        <v>198.68</v>
      </c>
      <c r="ED60" s="52">
        <v>192.25</v>
      </c>
      <c r="EE60" s="52">
        <v>179.23</v>
      </c>
      <c r="EF60" s="52">
        <v>150.19999999999999</v>
      </c>
      <c r="EG60" s="52">
        <v>204.89</v>
      </c>
      <c r="EH60" s="52">
        <v>205.79</v>
      </c>
      <c r="EI60" s="52">
        <v>199.66</v>
      </c>
      <c r="EJ60" s="52">
        <v>106.89</v>
      </c>
      <c r="EK60" s="52">
        <v>127.42</v>
      </c>
      <c r="EL60" s="52">
        <v>259.08999999999997</v>
      </c>
      <c r="EM60" s="52">
        <v>171</v>
      </c>
      <c r="EN60" s="52">
        <v>198.04</v>
      </c>
      <c r="EO60" s="52">
        <v>219.84</v>
      </c>
      <c r="EP60" s="52">
        <v>119.79</v>
      </c>
      <c r="EQ60" s="52">
        <v>153.34</v>
      </c>
      <c r="ER60" s="52">
        <v>208.21</v>
      </c>
      <c r="ES60" s="52">
        <v>223.52</v>
      </c>
      <c r="ET60" s="52">
        <v>228.66</v>
      </c>
      <c r="EU60" s="52">
        <v>164.98</v>
      </c>
      <c r="EV60" s="52">
        <v>185.96</v>
      </c>
      <c r="EW60" s="52">
        <v>175.11</v>
      </c>
      <c r="EX60" s="52">
        <v>193.71</v>
      </c>
      <c r="EY60" s="52">
        <v>126.73</v>
      </c>
      <c r="EZ60" s="52">
        <v>156.75</v>
      </c>
      <c r="FA60" s="52">
        <v>171.22</v>
      </c>
      <c r="FB60" s="52">
        <v>181.15</v>
      </c>
      <c r="FC60" s="52">
        <v>151.77000000000001</v>
      </c>
      <c r="FD60" s="52">
        <v>140.66999999999999</v>
      </c>
      <c r="FE60" s="52">
        <v>170.52</v>
      </c>
      <c r="FF60" s="52"/>
      <c r="FG60" s="52">
        <v>131.82</v>
      </c>
      <c r="FH60" s="52">
        <v>145.37</v>
      </c>
      <c r="FI60" s="52">
        <v>161.13</v>
      </c>
      <c r="FJ60" s="52">
        <v>153.69999999999999</v>
      </c>
      <c r="FK60" s="52">
        <v>179.87</v>
      </c>
      <c r="FL60" s="52">
        <v>140.03</v>
      </c>
      <c r="FM60" s="52">
        <v>161.71</v>
      </c>
      <c r="FN60" s="52">
        <v>175.1</v>
      </c>
      <c r="FO60" s="52">
        <v>203.44</v>
      </c>
      <c r="FP60" s="52">
        <v>131.56</v>
      </c>
      <c r="FQ60" s="52">
        <v>270.98</v>
      </c>
      <c r="FR60" s="52">
        <v>251.09</v>
      </c>
      <c r="FS60" s="52">
        <v>176.16</v>
      </c>
      <c r="FT60" s="52">
        <v>138.69999999999999</v>
      </c>
      <c r="FU60" s="52">
        <v>195.58</v>
      </c>
      <c r="FV60" s="52">
        <v>157.19</v>
      </c>
      <c r="FW60" s="52">
        <v>112.33</v>
      </c>
      <c r="FX60" s="52">
        <v>170.19</v>
      </c>
      <c r="FY60" s="52">
        <v>180.06</v>
      </c>
      <c r="FZ60" s="52">
        <v>178.59</v>
      </c>
      <c r="GA60" s="52">
        <v>135.32</v>
      </c>
      <c r="GB60" s="52">
        <v>153.32</v>
      </c>
      <c r="GC60" s="52">
        <v>146.54</v>
      </c>
      <c r="GD60" s="52">
        <v>124.93</v>
      </c>
      <c r="GE60" s="52">
        <v>210.03</v>
      </c>
      <c r="GF60" s="52">
        <v>194.87</v>
      </c>
      <c r="GG60" s="52">
        <v>191.18</v>
      </c>
      <c r="GH60" s="52">
        <v>229.75</v>
      </c>
      <c r="GI60" s="52">
        <v>122.51</v>
      </c>
      <c r="GJ60" s="52">
        <v>114.7</v>
      </c>
      <c r="GK60" s="52">
        <v>115.6</v>
      </c>
      <c r="GL60" s="52">
        <v>132.78</v>
      </c>
      <c r="GM60" s="52">
        <v>126.85</v>
      </c>
      <c r="GN60" s="52">
        <v>178.54</v>
      </c>
      <c r="GO60" s="52">
        <v>126.61</v>
      </c>
      <c r="GP60" s="52">
        <v>131.41</v>
      </c>
      <c r="GQ60" s="52">
        <v>123.85</v>
      </c>
      <c r="GR60" s="52">
        <v>187.33</v>
      </c>
      <c r="GS60" s="52">
        <v>252.86</v>
      </c>
      <c r="GT60" s="52">
        <v>149.6</v>
      </c>
      <c r="GU60" s="52">
        <v>162.44999999999999</v>
      </c>
      <c r="GV60" s="52">
        <v>155.07</v>
      </c>
      <c r="GW60" s="52">
        <v>192.46</v>
      </c>
      <c r="GX60" s="52">
        <v>193.26</v>
      </c>
      <c r="GY60" s="52">
        <v>194.95</v>
      </c>
      <c r="GZ60" s="52">
        <v>176.05</v>
      </c>
      <c r="HA60" s="52">
        <v>144.5</v>
      </c>
      <c r="HB60" s="52">
        <v>136.27000000000001</v>
      </c>
      <c r="HC60" s="52">
        <v>128.47999999999999</v>
      </c>
      <c r="HD60" s="52">
        <v>126.41</v>
      </c>
      <c r="HE60" s="52">
        <v>94.8</v>
      </c>
      <c r="HF60" s="52">
        <v>104.75</v>
      </c>
      <c r="HG60" s="52">
        <v>115.06</v>
      </c>
      <c r="HH60" s="52">
        <v>145.09</v>
      </c>
      <c r="HI60" s="52">
        <v>76.430000000000007</v>
      </c>
      <c r="HJ60" s="52">
        <v>117.32</v>
      </c>
      <c r="HK60" s="52">
        <v>197.08</v>
      </c>
      <c r="HL60" s="52">
        <v>135.97999999999999</v>
      </c>
      <c r="HM60" s="52">
        <v>169.04</v>
      </c>
      <c r="HN60" s="52">
        <v>165.63</v>
      </c>
      <c r="HO60" s="52">
        <v>140.88999999999999</v>
      </c>
      <c r="HP60" s="52">
        <v>192.5</v>
      </c>
      <c r="HQ60" s="52">
        <v>121.5</v>
      </c>
      <c r="HR60" s="52">
        <v>153.76</v>
      </c>
      <c r="HS60" s="52">
        <v>229.67</v>
      </c>
      <c r="HT60" s="52">
        <v>181.87</v>
      </c>
      <c r="HU60" s="52">
        <v>94.53</v>
      </c>
      <c r="HV60" s="52">
        <v>136.87</v>
      </c>
      <c r="HW60" s="52">
        <v>127.5</v>
      </c>
      <c r="HX60" s="52">
        <v>95.45</v>
      </c>
      <c r="HY60" s="52">
        <v>192.52</v>
      </c>
      <c r="HZ60" s="52">
        <v>146.11000000000001</v>
      </c>
      <c r="IA60" s="52">
        <v>87.33</v>
      </c>
      <c r="IB60" s="52">
        <v>157.44999999999999</v>
      </c>
      <c r="IC60" s="52">
        <v>96.03</v>
      </c>
      <c r="ID60" s="52">
        <v>109.94</v>
      </c>
      <c r="IE60" s="52">
        <v>98.22</v>
      </c>
      <c r="IF60" s="52">
        <v>127.8</v>
      </c>
      <c r="IG60" s="52">
        <v>158.13999999999999</v>
      </c>
      <c r="IH60" s="52">
        <v>165.62</v>
      </c>
      <c r="II60" s="52">
        <v>202.83</v>
      </c>
      <c r="IJ60" s="52">
        <v>161.38999999999999</v>
      </c>
      <c r="IK60" s="52">
        <v>196.41</v>
      </c>
      <c r="IL60" s="52">
        <v>160.94</v>
      </c>
      <c r="IM60" s="52">
        <v>204.83</v>
      </c>
      <c r="IN60" s="52">
        <v>186.85</v>
      </c>
      <c r="IO60" s="52">
        <v>164.05</v>
      </c>
      <c r="IP60" s="52">
        <v>119.9</v>
      </c>
      <c r="IQ60" s="52">
        <v>149.74</v>
      </c>
      <c r="IR60" s="52">
        <v>222.14</v>
      </c>
      <c r="IS60" s="52">
        <v>159.68</v>
      </c>
      <c r="IT60" s="52">
        <v>45.88</v>
      </c>
      <c r="IU60" s="52">
        <v>122.56</v>
      </c>
      <c r="IV60" s="52">
        <v>68.92</v>
      </c>
      <c r="IW60" s="52">
        <v>91.61</v>
      </c>
      <c r="IX60" s="52">
        <v>147.87</v>
      </c>
      <c r="IY60" s="52">
        <v>139.38</v>
      </c>
      <c r="IZ60" s="52">
        <v>190.45</v>
      </c>
      <c r="JA60" s="52">
        <v>136.47999999999999</v>
      </c>
      <c r="JB60" s="52"/>
      <c r="JC60" s="52">
        <v>172.17</v>
      </c>
      <c r="JD60" s="52">
        <v>173.44</v>
      </c>
      <c r="JE60" s="52">
        <v>155.76</v>
      </c>
      <c r="JF60" s="52">
        <v>143.9</v>
      </c>
      <c r="JG60" s="52">
        <v>165.64</v>
      </c>
      <c r="JH60" s="52">
        <v>271.43</v>
      </c>
      <c r="JI60" s="52">
        <v>191.22</v>
      </c>
      <c r="JJ60" s="52">
        <v>145.51</v>
      </c>
      <c r="JK60" s="52">
        <v>199.87</v>
      </c>
      <c r="JL60" s="52">
        <v>198.68</v>
      </c>
      <c r="JM60" s="52">
        <v>192.25</v>
      </c>
      <c r="JN60" s="52">
        <v>179.23</v>
      </c>
      <c r="JO60" s="52">
        <v>150.19999999999999</v>
      </c>
      <c r="JP60" s="52">
        <v>212.19</v>
      </c>
      <c r="JQ60" s="52">
        <v>187.79</v>
      </c>
      <c r="JR60" s="52">
        <v>190.34</v>
      </c>
      <c r="JS60" s="52">
        <v>226.55</v>
      </c>
      <c r="JT60" s="52">
        <v>218.14</v>
      </c>
      <c r="JU60" s="52">
        <v>181.73</v>
      </c>
      <c r="JV60" s="52">
        <v>106.89</v>
      </c>
      <c r="JW60" s="52">
        <v>127.42</v>
      </c>
      <c r="JX60" s="52">
        <v>259.08999999999997</v>
      </c>
      <c r="JY60" s="52">
        <v>174.58</v>
      </c>
      <c r="JZ60" s="52">
        <v>163.12</v>
      </c>
      <c r="KA60" s="52">
        <v>198.04</v>
      </c>
      <c r="KB60" s="52">
        <v>219.84</v>
      </c>
      <c r="KC60" s="52">
        <v>119.79</v>
      </c>
      <c r="KD60" s="52">
        <v>153.34</v>
      </c>
      <c r="KE60" s="52">
        <v>208.21</v>
      </c>
      <c r="KF60" s="52">
        <v>223.52</v>
      </c>
    </row>
    <row r="61" spans="1:292" s="41" customFormat="1" ht="12">
      <c r="A61" s="41">
        <v>2009</v>
      </c>
      <c r="B61" s="54" t="s">
        <v>991</v>
      </c>
      <c r="C61" s="55" t="s">
        <v>992</v>
      </c>
      <c r="D61" s="52">
        <v>163.29</v>
      </c>
      <c r="E61" s="52">
        <v>163.97</v>
      </c>
      <c r="F61" s="52">
        <v>232.69</v>
      </c>
      <c r="G61" s="52">
        <v>115.38</v>
      </c>
      <c r="H61" s="52">
        <v>193.73</v>
      </c>
      <c r="I61" s="52">
        <v>137.85</v>
      </c>
      <c r="J61" s="52">
        <v>127.48</v>
      </c>
      <c r="K61" s="52">
        <v>157.84</v>
      </c>
      <c r="L61" s="52">
        <v>112.59</v>
      </c>
      <c r="M61" s="52">
        <v>144.12</v>
      </c>
      <c r="N61" s="52">
        <v>176.91</v>
      </c>
      <c r="O61" s="52">
        <v>209.79</v>
      </c>
      <c r="P61" s="52">
        <v>179.23</v>
      </c>
      <c r="Q61" s="52">
        <v>164.06</v>
      </c>
      <c r="R61" s="52">
        <v>161.32</v>
      </c>
      <c r="S61" s="52">
        <v>203.08</v>
      </c>
      <c r="T61" s="52">
        <v>234.35</v>
      </c>
      <c r="U61" s="52">
        <v>112.57</v>
      </c>
      <c r="V61" s="52">
        <v>123.04</v>
      </c>
      <c r="W61" s="52">
        <v>254.16</v>
      </c>
      <c r="X61" s="52">
        <v>150.04</v>
      </c>
      <c r="Y61" s="52">
        <v>167.63</v>
      </c>
      <c r="Z61" s="52">
        <v>183.47</v>
      </c>
      <c r="AA61" s="52">
        <v>139.11000000000001</v>
      </c>
      <c r="AB61" s="52">
        <v>126.24</v>
      </c>
      <c r="AC61" s="52">
        <v>119.1</v>
      </c>
      <c r="AD61" s="52">
        <v>154.02000000000001</v>
      </c>
      <c r="AE61" s="52">
        <v>167.32</v>
      </c>
      <c r="AF61" s="52">
        <v>145.57</v>
      </c>
      <c r="AG61" s="52">
        <v>97.87</v>
      </c>
      <c r="AH61" s="52">
        <v>154.16999999999999</v>
      </c>
      <c r="AI61" s="52">
        <v>157.44999999999999</v>
      </c>
      <c r="AJ61" s="52">
        <v>107.99</v>
      </c>
      <c r="AK61" s="52">
        <v>175.7</v>
      </c>
      <c r="AL61" s="52">
        <v>192.87</v>
      </c>
      <c r="AM61" s="52">
        <v>159.68</v>
      </c>
      <c r="AN61" s="52">
        <v>46.96</v>
      </c>
      <c r="AO61" s="52">
        <v>122.56</v>
      </c>
      <c r="AP61" s="52">
        <v>78.86</v>
      </c>
      <c r="AQ61" s="52">
        <v>139.47999999999999</v>
      </c>
      <c r="AR61" s="52">
        <v>174.38</v>
      </c>
      <c r="AS61" s="52">
        <v>167.42</v>
      </c>
      <c r="AT61" s="52">
        <v>203.41</v>
      </c>
      <c r="AU61" s="52">
        <v>197.15</v>
      </c>
      <c r="AV61" s="52">
        <v>199.36</v>
      </c>
      <c r="AW61" s="52">
        <v>192.59</v>
      </c>
      <c r="AX61" s="52">
        <v>179.23</v>
      </c>
      <c r="AY61" s="52">
        <v>148.59</v>
      </c>
      <c r="AZ61" s="52">
        <v>205.88</v>
      </c>
      <c r="BA61" s="52">
        <v>205.68</v>
      </c>
      <c r="BB61" s="52">
        <v>143.09</v>
      </c>
      <c r="BC61" s="52">
        <v>234.87</v>
      </c>
      <c r="BD61" s="52">
        <v>198.29</v>
      </c>
      <c r="BE61" s="52">
        <v>160.44</v>
      </c>
      <c r="BF61" s="52">
        <v>208.21</v>
      </c>
      <c r="BG61" s="52">
        <v>238.9</v>
      </c>
      <c r="BH61" s="52">
        <v>184.56</v>
      </c>
      <c r="BI61" s="52">
        <v>172.05</v>
      </c>
      <c r="BJ61" s="52">
        <v>170.73</v>
      </c>
      <c r="BK61" s="52">
        <v>156.36000000000001</v>
      </c>
      <c r="BL61" s="52">
        <v>156.51</v>
      </c>
      <c r="BM61" s="52">
        <v>139.63999999999999</v>
      </c>
      <c r="BN61" s="52">
        <v>150.11000000000001</v>
      </c>
      <c r="BO61" s="52">
        <v>151.81</v>
      </c>
      <c r="BP61" s="52">
        <v>169.28</v>
      </c>
      <c r="BQ61" s="52">
        <v>178.8</v>
      </c>
      <c r="BR61" s="52">
        <v>145.04</v>
      </c>
      <c r="BS61" s="52">
        <v>210.05</v>
      </c>
      <c r="BT61" s="52">
        <v>189.66</v>
      </c>
      <c r="BU61" s="52">
        <v>192.23</v>
      </c>
      <c r="BV61" s="52">
        <v>234.35</v>
      </c>
      <c r="BW61" s="52">
        <v>111.11</v>
      </c>
      <c r="BX61" s="52">
        <v>124.48</v>
      </c>
      <c r="BY61" s="52">
        <v>179.03</v>
      </c>
      <c r="BZ61" s="52">
        <v>122.66</v>
      </c>
      <c r="CA61" s="52">
        <v>187.48</v>
      </c>
      <c r="CB61" s="53">
        <v>254.16</v>
      </c>
      <c r="CC61" s="52">
        <v>150.04</v>
      </c>
      <c r="CD61" s="52">
        <v>166.99</v>
      </c>
      <c r="CE61" s="52">
        <v>155.07</v>
      </c>
      <c r="CF61" s="52">
        <v>194.51</v>
      </c>
      <c r="CG61" s="52">
        <v>195.32</v>
      </c>
      <c r="CH61" s="52">
        <v>141.9</v>
      </c>
      <c r="CI61" s="52">
        <v>129.41</v>
      </c>
      <c r="CJ61" s="52">
        <v>126.24</v>
      </c>
      <c r="CK61" s="52">
        <v>111.69</v>
      </c>
      <c r="CL61" s="52">
        <v>116.95</v>
      </c>
      <c r="CM61" s="52">
        <v>197.38</v>
      </c>
      <c r="CN61" s="52">
        <v>154.02000000000001</v>
      </c>
      <c r="CO61" s="52">
        <v>167.32</v>
      </c>
      <c r="CP61" s="52">
        <v>122.98</v>
      </c>
      <c r="CQ61" s="52">
        <v>229.69</v>
      </c>
      <c r="CR61" s="52">
        <v>94.53</v>
      </c>
      <c r="CS61" s="52">
        <v>137.31</v>
      </c>
      <c r="CT61" s="52">
        <v>115.67</v>
      </c>
      <c r="CU61" s="52">
        <v>192.82</v>
      </c>
      <c r="CV61" s="52">
        <v>146.19999999999999</v>
      </c>
      <c r="CW61" s="52">
        <v>95.62</v>
      </c>
      <c r="CX61" s="52">
        <v>157.44999999999999</v>
      </c>
      <c r="CY61" s="52">
        <v>107.98</v>
      </c>
      <c r="CZ61" s="52">
        <v>97.98</v>
      </c>
      <c r="DA61" s="52">
        <v>127.08</v>
      </c>
      <c r="DB61" s="52">
        <v>158.33000000000001</v>
      </c>
      <c r="DC61" s="52">
        <v>173.93</v>
      </c>
      <c r="DD61" s="52">
        <v>202.74</v>
      </c>
      <c r="DE61" s="52">
        <v>162.19</v>
      </c>
      <c r="DF61" s="52">
        <v>185.25</v>
      </c>
      <c r="DG61" s="52">
        <v>195.86</v>
      </c>
      <c r="DH61" s="52">
        <v>120.12</v>
      </c>
      <c r="DI61" s="52">
        <v>149.74</v>
      </c>
      <c r="DJ61" s="52">
        <v>224.2</v>
      </c>
      <c r="DK61" s="52">
        <v>159.68</v>
      </c>
      <c r="DL61" s="52">
        <v>46.96</v>
      </c>
      <c r="DM61" s="52">
        <v>122.56</v>
      </c>
      <c r="DN61" s="52">
        <v>66.89</v>
      </c>
      <c r="DO61" s="52">
        <v>88.64</v>
      </c>
      <c r="DP61" s="52">
        <v>137.11000000000001</v>
      </c>
      <c r="DQ61" s="52">
        <v>139.47999999999999</v>
      </c>
      <c r="DR61" s="52">
        <v>189.49</v>
      </c>
      <c r="DS61" s="52">
        <v>136.07</v>
      </c>
      <c r="DT61" s="52"/>
      <c r="DU61" s="52">
        <v>172.22</v>
      </c>
      <c r="DV61" s="52">
        <v>192.59</v>
      </c>
      <c r="DW61" s="52">
        <v>146.58000000000001</v>
      </c>
      <c r="DX61" s="52">
        <v>165.64</v>
      </c>
      <c r="DY61" s="52">
        <v>269.79000000000002</v>
      </c>
      <c r="DZ61" s="52">
        <v>191.38</v>
      </c>
      <c r="EA61" s="52">
        <v>145.69999999999999</v>
      </c>
      <c r="EB61" s="52">
        <v>197.15</v>
      </c>
      <c r="EC61" s="52">
        <v>199.36</v>
      </c>
      <c r="ED61" s="52">
        <v>192.59</v>
      </c>
      <c r="EE61" s="52">
        <v>179.23</v>
      </c>
      <c r="EF61" s="52">
        <v>148.59</v>
      </c>
      <c r="EG61" s="52">
        <v>205.88</v>
      </c>
      <c r="EH61" s="52">
        <v>205.68</v>
      </c>
      <c r="EI61" s="52">
        <v>200.47</v>
      </c>
      <c r="EJ61" s="52">
        <v>106.81</v>
      </c>
      <c r="EK61" s="52">
        <v>127.02</v>
      </c>
      <c r="EL61" s="52">
        <v>256.25</v>
      </c>
      <c r="EM61" s="52">
        <v>171.61</v>
      </c>
      <c r="EN61" s="52">
        <v>198.29</v>
      </c>
      <c r="EO61" s="52">
        <v>218.58</v>
      </c>
      <c r="EP61" s="52">
        <v>119.79</v>
      </c>
      <c r="EQ61" s="52">
        <v>152.41</v>
      </c>
      <c r="ER61" s="52">
        <v>208.21</v>
      </c>
      <c r="ES61" s="52">
        <v>238.9</v>
      </c>
      <c r="ET61" s="52">
        <v>230.86</v>
      </c>
      <c r="EU61" s="52">
        <v>163.22999999999999</v>
      </c>
      <c r="EV61" s="52">
        <v>186.13</v>
      </c>
      <c r="EW61" s="52">
        <v>176.62</v>
      </c>
      <c r="EX61" s="52">
        <v>187.93</v>
      </c>
      <c r="EY61" s="52">
        <v>126.52</v>
      </c>
      <c r="EZ61" s="52">
        <v>166.92</v>
      </c>
      <c r="FA61" s="52">
        <v>186.66</v>
      </c>
      <c r="FB61" s="52">
        <v>192.06</v>
      </c>
      <c r="FC61" s="52">
        <v>154.80000000000001</v>
      </c>
      <c r="FD61" s="52">
        <v>140.44999999999999</v>
      </c>
      <c r="FE61" s="52">
        <v>170.73</v>
      </c>
      <c r="FF61" s="52"/>
      <c r="FG61" s="52">
        <v>135.88999999999999</v>
      </c>
      <c r="FH61" s="52">
        <v>146.76</v>
      </c>
      <c r="FI61" s="52">
        <v>165.29</v>
      </c>
      <c r="FJ61" s="52">
        <v>171.97</v>
      </c>
      <c r="FK61" s="52">
        <v>179.7</v>
      </c>
      <c r="FL61" s="52">
        <v>137.84</v>
      </c>
      <c r="FM61" s="52">
        <v>158.78</v>
      </c>
      <c r="FN61" s="52">
        <v>127.1</v>
      </c>
      <c r="FO61" s="52">
        <v>204.37</v>
      </c>
      <c r="FP61" s="52">
        <v>124.52</v>
      </c>
      <c r="FQ61" s="52">
        <v>236.7</v>
      </c>
      <c r="FR61" s="52">
        <v>247.49</v>
      </c>
      <c r="FS61" s="52">
        <v>177.13</v>
      </c>
      <c r="FT61" s="52">
        <v>141.86000000000001</v>
      </c>
      <c r="FU61" s="52">
        <v>196.47</v>
      </c>
      <c r="FV61" s="52">
        <v>158.85</v>
      </c>
      <c r="FW61" s="52">
        <v>114.32</v>
      </c>
      <c r="FX61" s="52">
        <v>169.28</v>
      </c>
      <c r="FY61" s="52">
        <v>182.34</v>
      </c>
      <c r="FZ61" s="52">
        <v>179.01</v>
      </c>
      <c r="GA61" s="52">
        <v>135.66999999999999</v>
      </c>
      <c r="GB61" s="52">
        <v>153.13</v>
      </c>
      <c r="GC61" s="52">
        <v>146.49</v>
      </c>
      <c r="GD61" s="52">
        <v>123.09</v>
      </c>
      <c r="GE61" s="52">
        <v>210.05</v>
      </c>
      <c r="GF61" s="52">
        <v>189.66</v>
      </c>
      <c r="GG61" s="52">
        <v>192.23</v>
      </c>
      <c r="GH61" s="52">
        <v>233.96</v>
      </c>
      <c r="GI61" s="52">
        <v>115.29</v>
      </c>
      <c r="GJ61" s="52">
        <v>107.26</v>
      </c>
      <c r="GK61" s="52">
        <v>109.86</v>
      </c>
      <c r="GL61" s="52">
        <v>131.63</v>
      </c>
      <c r="GM61" s="52">
        <v>124.48</v>
      </c>
      <c r="GN61" s="52">
        <v>179.03</v>
      </c>
      <c r="GO61" s="52">
        <v>122.5</v>
      </c>
      <c r="GP61" s="52">
        <v>124.44</v>
      </c>
      <c r="GQ61" s="52">
        <v>119.56</v>
      </c>
      <c r="GR61" s="52">
        <v>187.48</v>
      </c>
      <c r="GS61" s="52">
        <v>254.16</v>
      </c>
      <c r="GT61" s="52">
        <v>150.04</v>
      </c>
      <c r="GU61" s="52">
        <v>166.99</v>
      </c>
      <c r="GV61" s="52">
        <v>155.07</v>
      </c>
      <c r="GW61" s="52">
        <v>192.14</v>
      </c>
      <c r="GX61" s="52">
        <v>195.91</v>
      </c>
      <c r="GY61" s="52">
        <v>195.32</v>
      </c>
      <c r="GZ61" s="52">
        <v>175.9</v>
      </c>
      <c r="HA61" s="52">
        <v>144.96</v>
      </c>
      <c r="HB61" s="52">
        <v>136.6</v>
      </c>
      <c r="HC61" s="52">
        <v>129.41</v>
      </c>
      <c r="HD61" s="52">
        <v>126.24</v>
      </c>
      <c r="HE61" s="52">
        <v>96.39</v>
      </c>
      <c r="HF61" s="52">
        <v>107.7</v>
      </c>
      <c r="HG61" s="52">
        <v>115.05</v>
      </c>
      <c r="HH61" s="52">
        <v>146.35</v>
      </c>
      <c r="HI61" s="52">
        <v>76.39</v>
      </c>
      <c r="HJ61" s="52">
        <v>116.95</v>
      </c>
      <c r="HK61" s="52">
        <v>197.38</v>
      </c>
      <c r="HL61" s="52">
        <v>136.62</v>
      </c>
      <c r="HM61" s="52">
        <v>169.97</v>
      </c>
      <c r="HN61" s="52">
        <v>166.38</v>
      </c>
      <c r="HO61" s="52">
        <v>141.4</v>
      </c>
      <c r="HP61" s="52">
        <v>193.26</v>
      </c>
      <c r="HQ61" s="52">
        <v>119.46</v>
      </c>
      <c r="HR61" s="52">
        <v>153.37</v>
      </c>
      <c r="HS61" s="52">
        <v>230.95</v>
      </c>
      <c r="HT61" s="52">
        <v>181.67</v>
      </c>
      <c r="HU61" s="52">
        <v>94.53</v>
      </c>
      <c r="HV61" s="52">
        <v>137.31</v>
      </c>
      <c r="HW61" s="52">
        <v>127.47</v>
      </c>
      <c r="HX61" s="52">
        <v>94.95</v>
      </c>
      <c r="HY61" s="52">
        <v>192.82</v>
      </c>
      <c r="HZ61" s="52">
        <v>146.19999999999999</v>
      </c>
      <c r="IA61" s="52">
        <v>87.35</v>
      </c>
      <c r="IB61" s="52">
        <v>157.44999999999999</v>
      </c>
      <c r="IC61" s="52">
        <v>96.82</v>
      </c>
      <c r="ID61" s="52">
        <v>110.48</v>
      </c>
      <c r="IE61" s="52">
        <v>97.98</v>
      </c>
      <c r="IF61" s="52">
        <v>127.08</v>
      </c>
      <c r="IG61" s="52">
        <v>158.33000000000001</v>
      </c>
      <c r="IH61" s="52">
        <v>173.93</v>
      </c>
      <c r="II61" s="52">
        <v>202.74</v>
      </c>
      <c r="IJ61" s="52">
        <v>162.19</v>
      </c>
      <c r="IK61" s="52">
        <v>196.31</v>
      </c>
      <c r="IL61" s="52">
        <v>160.94</v>
      </c>
      <c r="IM61" s="52">
        <v>205.18</v>
      </c>
      <c r="IN61" s="52">
        <v>186.84</v>
      </c>
      <c r="IO61" s="52">
        <v>164.66</v>
      </c>
      <c r="IP61" s="52">
        <v>120.12</v>
      </c>
      <c r="IQ61" s="52">
        <v>149.74</v>
      </c>
      <c r="IR61" s="52">
        <v>224.2</v>
      </c>
      <c r="IS61" s="52">
        <v>159.68</v>
      </c>
      <c r="IT61" s="52">
        <v>46.96</v>
      </c>
      <c r="IU61" s="52">
        <v>122.56</v>
      </c>
      <c r="IV61" s="52">
        <v>68.38</v>
      </c>
      <c r="IW61" s="52">
        <v>88.64</v>
      </c>
      <c r="IX61" s="52">
        <v>137.11000000000001</v>
      </c>
      <c r="IY61" s="52">
        <v>139.47999999999999</v>
      </c>
      <c r="IZ61" s="52">
        <v>189.49</v>
      </c>
      <c r="JA61" s="52">
        <v>136.07</v>
      </c>
      <c r="JB61" s="52"/>
      <c r="JC61" s="52">
        <v>172.22</v>
      </c>
      <c r="JD61" s="52">
        <v>192.59</v>
      </c>
      <c r="JE61" s="52">
        <v>156.05000000000001</v>
      </c>
      <c r="JF61" s="52">
        <v>143.24</v>
      </c>
      <c r="JG61" s="52">
        <v>165.64</v>
      </c>
      <c r="JH61" s="52">
        <v>269.79000000000002</v>
      </c>
      <c r="JI61" s="52">
        <v>191.38</v>
      </c>
      <c r="JJ61" s="52">
        <v>145.69999999999999</v>
      </c>
      <c r="JK61" s="52">
        <v>197.15</v>
      </c>
      <c r="JL61" s="52">
        <v>199.36</v>
      </c>
      <c r="JM61" s="52">
        <v>192.59</v>
      </c>
      <c r="JN61" s="52">
        <v>179.23</v>
      </c>
      <c r="JO61" s="52">
        <v>148.59</v>
      </c>
      <c r="JP61" s="52">
        <v>213.45</v>
      </c>
      <c r="JQ61" s="52">
        <v>188.17</v>
      </c>
      <c r="JR61" s="52">
        <v>189.51</v>
      </c>
      <c r="JS61" s="52">
        <v>227.74</v>
      </c>
      <c r="JT61" s="52">
        <v>219.34</v>
      </c>
      <c r="JU61" s="52">
        <v>182.16</v>
      </c>
      <c r="JV61" s="52">
        <v>106.81</v>
      </c>
      <c r="JW61" s="52">
        <v>127.02</v>
      </c>
      <c r="JX61" s="52">
        <v>256.25</v>
      </c>
      <c r="JY61" s="52">
        <v>175.54</v>
      </c>
      <c r="JZ61" s="52">
        <v>163.24</v>
      </c>
      <c r="KA61" s="52">
        <v>198.29</v>
      </c>
      <c r="KB61" s="52">
        <v>218.58</v>
      </c>
      <c r="KC61" s="52">
        <v>119.79</v>
      </c>
      <c r="KD61" s="52">
        <v>152.41</v>
      </c>
      <c r="KE61" s="52">
        <v>208.21</v>
      </c>
      <c r="KF61" s="52">
        <v>238.9</v>
      </c>
    </row>
    <row r="62" spans="1:292" s="41" customFormat="1" ht="12">
      <c r="A62" s="41">
        <v>2009</v>
      </c>
      <c r="B62" s="54" t="s">
        <v>993</v>
      </c>
      <c r="C62" s="55" t="s">
        <v>994</v>
      </c>
      <c r="D62" s="52">
        <v>163.93</v>
      </c>
      <c r="E62" s="52">
        <v>164.32</v>
      </c>
      <c r="F62" s="52">
        <v>232.7</v>
      </c>
      <c r="G62" s="52">
        <v>114.21</v>
      </c>
      <c r="H62" s="52">
        <v>194.96</v>
      </c>
      <c r="I62" s="52">
        <v>138.11000000000001</v>
      </c>
      <c r="J62" s="52">
        <v>127.57</v>
      </c>
      <c r="K62" s="52">
        <v>158.15</v>
      </c>
      <c r="L62" s="52">
        <v>112.72</v>
      </c>
      <c r="M62" s="52">
        <v>147.5</v>
      </c>
      <c r="N62" s="52">
        <v>181.33</v>
      </c>
      <c r="O62" s="52">
        <v>211.59</v>
      </c>
      <c r="P62" s="52">
        <v>182.08</v>
      </c>
      <c r="Q62" s="52">
        <v>164.4</v>
      </c>
      <c r="R62" s="52">
        <v>161.87</v>
      </c>
      <c r="S62" s="52">
        <v>203.16</v>
      </c>
      <c r="T62" s="52">
        <v>234.35</v>
      </c>
      <c r="U62" s="52">
        <v>109.36</v>
      </c>
      <c r="V62" s="52">
        <v>129.29</v>
      </c>
      <c r="W62" s="52">
        <v>255.29</v>
      </c>
      <c r="X62" s="52">
        <v>150.37</v>
      </c>
      <c r="Y62" s="52">
        <v>170.58</v>
      </c>
      <c r="Z62" s="52">
        <v>184.34</v>
      </c>
      <c r="AA62" s="52">
        <v>139.44</v>
      </c>
      <c r="AB62" s="52">
        <v>126.09</v>
      </c>
      <c r="AC62" s="52">
        <v>119.52</v>
      </c>
      <c r="AD62" s="52">
        <v>154.5</v>
      </c>
      <c r="AE62" s="52">
        <v>167.65</v>
      </c>
      <c r="AF62" s="52">
        <v>145.66</v>
      </c>
      <c r="AG62" s="52">
        <v>97.9</v>
      </c>
      <c r="AH62" s="52">
        <v>154.32</v>
      </c>
      <c r="AI62" s="52">
        <v>157.54</v>
      </c>
      <c r="AJ62" s="52">
        <v>108.13</v>
      </c>
      <c r="AK62" s="52">
        <v>176.06</v>
      </c>
      <c r="AL62" s="52">
        <v>193.34</v>
      </c>
      <c r="AM62" s="52">
        <v>159.68</v>
      </c>
      <c r="AN62" s="52">
        <v>47.65</v>
      </c>
      <c r="AO62" s="52">
        <v>122.56</v>
      </c>
      <c r="AP62" s="52">
        <v>78.489999999999995</v>
      </c>
      <c r="AQ62" s="52">
        <v>141.16999999999999</v>
      </c>
      <c r="AR62" s="52">
        <v>175.84</v>
      </c>
      <c r="AS62" s="52">
        <v>185.15</v>
      </c>
      <c r="AT62" s="52">
        <v>203.4</v>
      </c>
      <c r="AU62" s="52">
        <v>197.06</v>
      </c>
      <c r="AV62" s="52">
        <v>205.62</v>
      </c>
      <c r="AW62" s="52">
        <v>193.33</v>
      </c>
      <c r="AX62" s="52">
        <v>190.83</v>
      </c>
      <c r="AY62" s="52">
        <v>152.47999999999999</v>
      </c>
      <c r="AZ62" s="52">
        <v>207.58</v>
      </c>
      <c r="BA62" s="52">
        <v>208.28</v>
      </c>
      <c r="BB62" s="52">
        <v>143.41999999999999</v>
      </c>
      <c r="BC62" s="52">
        <v>246</v>
      </c>
      <c r="BD62" s="52">
        <v>202.81</v>
      </c>
      <c r="BE62" s="52">
        <v>163.36000000000001</v>
      </c>
      <c r="BF62" s="52">
        <v>208.21</v>
      </c>
      <c r="BG62" s="52">
        <v>238.96</v>
      </c>
      <c r="BH62" s="52">
        <v>183.81</v>
      </c>
      <c r="BI62" s="52">
        <v>179.51</v>
      </c>
      <c r="BJ62" s="52">
        <v>159.29</v>
      </c>
      <c r="BK62" s="52">
        <v>159.56</v>
      </c>
      <c r="BL62" s="52">
        <v>156.06</v>
      </c>
      <c r="BM62" s="52">
        <v>137.84</v>
      </c>
      <c r="BN62" s="52">
        <v>144.94</v>
      </c>
      <c r="BO62" s="52">
        <v>150.84</v>
      </c>
      <c r="BP62" s="52">
        <v>168.12</v>
      </c>
      <c r="BQ62" s="52">
        <v>180.13</v>
      </c>
      <c r="BR62" s="52">
        <v>145</v>
      </c>
      <c r="BS62" s="52">
        <v>210.06</v>
      </c>
      <c r="BT62" s="52">
        <v>191.15</v>
      </c>
      <c r="BU62" s="52">
        <v>192.09</v>
      </c>
      <c r="BV62" s="52">
        <v>234.35</v>
      </c>
      <c r="BW62" s="52">
        <v>107.62</v>
      </c>
      <c r="BX62" s="52">
        <v>125.72</v>
      </c>
      <c r="BY62" s="52">
        <v>178.71</v>
      </c>
      <c r="BZ62" s="52">
        <v>128.94</v>
      </c>
      <c r="CA62" s="52">
        <v>188.13</v>
      </c>
      <c r="CB62" s="53">
        <v>255.29</v>
      </c>
      <c r="CC62" s="52">
        <v>150.37</v>
      </c>
      <c r="CD62" s="52">
        <v>169.93</v>
      </c>
      <c r="CE62" s="52">
        <v>155.07</v>
      </c>
      <c r="CF62" s="52">
        <v>196.7</v>
      </c>
      <c r="CG62" s="52">
        <v>195.98</v>
      </c>
      <c r="CH62" s="52">
        <v>141.99</v>
      </c>
      <c r="CI62" s="52">
        <v>130.69999999999999</v>
      </c>
      <c r="CJ62" s="52">
        <v>126.09</v>
      </c>
      <c r="CK62" s="52">
        <v>112.16</v>
      </c>
      <c r="CL62" s="52">
        <v>116.51</v>
      </c>
      <c r="CM62" s="52">
        <v>198</v>
      </c>
      <c r="CN62" s="52">
        <v>154.5</v>
      </c>
      <c r="CO62" s="52">
        <v>167.65</v>
      </c>
      <c r="CP62" s="52">
        <v>122.66</v>
      </c>
      <c r="CQ62" s="52">
        <v>232.86</v>
      </c>
      <c r="CR62" s="52">
        <v>94.53</v>
      </c>
      <c r="CS62" s="52">
        <v>137.76</v>
      </c>
      <c r="CT62" s="52">
        <v>115.82</v>
      </c>
      <c r="CU62" s="52">
        <v>193.05</v>
      </c>
      <c r="CV62" s="52">
        <v>146.4</v>
      </c>
      <c r="CW62" s="52">
        <v>95.62</v>
      </c>
      <c r="CX62" s="52">
        <v>157.54</v>
      </c>
      <c r="CY62" s="52">
        <v>108.12</v>
      </c>
      <c r="CZ62" s="52">
        <v>98.26</v>
      </c>
      <c r="DA62" s="52">
        <v>126.52</v>
      </c>
      <c r="DB62" s="52">
        <v>158.18</v>
      </c>
      <c r="DC62" s="52">
        <v>174.28</v>
      </c>
      <c r="DD62" s="52">
        <v>203.61</v>
      </c>
      <c r="DE62" s="52">
        <v>162.1</v>
      </c>
      <c r="DF62" s="52">
        <v>185.09</v>
      </c>
      <c r="DG62" s="52">
        <v>196.57</v>
      </c>
      <c r="DH62" s="52">
        <v>117.12</v>
      </c>
      <c r="DI62" s="52">
        <v>149.74</v>
      </c>
      <c r="DJ62" s="52">
        <v>225.05</v>
      </c>
      <c r="DK62" s="52">
        <v>159.68</v>
      </c>
      <c r="DL62" s="52">
        <v>47.65</v>
      </c>
      <c r="DM62" s="52">
        <v>122.56</v>
      </c>
      <c r="DN62" s="52">
        <v>66.86</v>
      </c>
      <c r="DO62" s="52">
        <v>87.58</v>
      </c>
      <c r="DP62" s="52">
        <v>137.1</v>
      </c>
      <c r="DQ62" s="52">
        <v>141.16999999999999</v>
      </c>
      <c r="DR62" s="52">
        <v>191.11</v>
      </c>
      <c r="DS62" s="52">
        <v>137.1</v>
      </c>
      <c r="DT62" s="52"/>
      <c r="DU62" s="52">
        <v>173.92</v>
      </c>
      <c r="DV62" s="52">
        <v>233.37</v>
      </c>
      <c r="DW62" s="52">
        <v>146.84</v>
      </c>
      <c r="DX62" s="52">
        <v>165.64</v>
      </c>
      <c r="DY62" s="52">
        <v>267.72000000000003</v>
      </c>
      <c r="DZ62" s="52">
        <v>191.54</v>
      </c>
      <c r="EA62" s="52">
        <v>147.26</v>
      </c>
      <c r="EB62" s="52">
        <v>197.06</v>
      </c>
      <c r="EC62" s="52">
        <v>205.62</v>
      </c>
      <c r="ED62" s="52">
        <v>193.33</v>
      </c>
      <c r="EE62" s="52">
        <v>190.83</v>
      </c>
      <c r="EF62" s="52">
        <v>152.47999999999999</v>
      </c>
      <c r="EG62" s="52">
        <v>207.58</v>
      </c>
      <c r="EH62" s="52">
        <v>208.28</v>
      </c>
      <c r="EI62" s="52">
        <v>201.2</v>
      </c>
      <c r="EJ62" s="52">
        <v>106.54</v>
      </c>
      <c r="EK62" s="52">
        <v>127.27</v>
      </c>
      <c r="EL62" s="52">
        <v>269.72000000000003</v>
      </c>
      <c r="EM62" s="52">
        <v>176.32</v>
      </c>
      <c r="EN62" s="52">
        <v>202.81</v>
      </c>
      <c r="EO62" s="52">
        <v>218.5</v>
      </c>
      <c r="EP62" s="52">
        <v>119.79</v>
      </c>
      <c r="EQ62" s="52">
        <v>155.71</v>
      </c>
      <c r="ER62" s="52">
        <v>208.21</v>
      </c>
      <c r="ES62" s="52">
        <v>238.96</v>
      </c>
      <c r="ET62" s="52">
        <v>230.93</v>
      </c>
      <c r="EU62" s="52">
        <v>161.28</v>
      </c>
      <c r="EV62" s="52">
        <v>185.68</v>
      </c>
      <c r="EW62" s="52">
        <v>176.54</v>
      </c>
      <c r="EX62" s="52">
        <v>183.4</v>
      </c>
      <c r="EY62" s="52">
        <v>126.8</v>
      </c>
      <c r="EZ62" s="52">
        <v>171.5</v>
      </c>
      <c r="FA62" s="52">
        <v>201.66</v>
      </c>
      <c r="FB62" s="52">
        <v>200.07</v>
      </c>
      <c r="FC62" s="52">
        <v>159.97</v>
      </c>
      <c r="FD62" s="52">
        <v>142.88999999999999</v>
      </c>
      <c r="FE62" s="52">
        <v>159.29</v>
      </c>
      <c r="FF62" s="52"/>
      <c r="FG62" s="52">
        <v>136.68</v>
      </c>
      <c r="FH62" s="52">
        <v>146.69</v>
      </c>
      <c r="FI62" s="52">
        <v>167.88</v>
      </c>
      <c r="FJ62" s="52">
        <v>185.74</v>
      </c>
      <c r="FK62" s="52">
        <v>182.8</v>
      </c>
      <c r="FL62" s="52">
        <v>136.94999999999999</v>
      </c>
      <c r="FM62" s="52">
        <v>158.02000000000001</v>
      </c>
      <c r="FN62" s="52">
        <v>124.96</v>
      </c>
      <c r="FO62" s="52">
        <v>204.3</v>
      </c>
      <c r="FP62" s="52">
        <v>121.88</v>
      </c>
      <c r="FQ62" s="52">
        <v>192.56</v>
      </c>
      <c r="FR62" s="52">
        <v>245.11</v>
      </c>
      <c r="FS62" s="52">
        <v>179.09</v>
      </c>
      <c r="FT62" s="52">
        <v>141.78</v>
      </c>
      <c r="FU62" s="52">
        <v>192.6</v>
      </c>
      <c r="FV62" s="52">
        <v>157.49</v>
      </c>
      <c r="FW62" s="52">
        <v>114.56</v>
      </c>
      <c r="FX62" s="52">
        <v>168.12</v>
      </c>
      <c r="FY62" s="52">
        <v>183.23</v>
      </c>
      <c r="FZ62" s="52">
        <v>180.41</v>
      </c>
      <c r="GA62" s="52">
        <v>136.44999999999999</v>
      </c>
      <c r="GB62" s="52">
        <v>153.04</v>
      </c>
      <c r="GC62" s="52">
        <v>146.44999999999999</v>
      </c>
      <c r="GD62" s="52">
        <v>123.13</v>
      </c>
      <c r="GE62" s="52">
        <v>210.06</v>
      </c>
      <c r="GF62" s="52">
        <v>191.15</v>
      </c>
      <c r="GG62" s="52">
        <v>192.09</v>
      </c>
      <c r="GH62" s="52">
        <v>233.96</v>
      </c>
      <c r="GI62" s="52">
        <v>110.84</v>
      </c>
      <c r="GJ62" s="52">
        <v>104.58</v>
      </c>
      <c r="GK62" s="52">
        <v>106.23</v>
      </c>
      <c r="GL62" s="52">
        <v>132.71</v>
      </c>
      <c r="GM62" s="52">
        <v>125.72</v>
      </c>
      <c r="GN62" s="52">
        <v>178.71</v>
      </c>
      <c r="GO62" s="52">
        <v>128.1</v>
      </c>
      <c r="GP62" s="52">
        <v>129.26</v>
      </c>
      <c r="GQ62" s="52">
        <v>130.1</v>
      </c>
      <c r="GR62" s="52">
        <v>188.13</v>
      </c>
      <c r="GS62" s="52">
        <v>255.29</v>
      </c>
      <c r="GT62" s="52">
        <v>150.37</v>
      </c>
      <c r="GU62" s="52">
        <v>169.93</v>
      </c>
      <c r="GV62" s="52">
        <v>155.07</v>
      </c>
      <c r="GW62" s="52">
        <v>191.83</v>
      </c>
      <c r="GX62" s="52">
        <v>199.42</v>
      </c>
      <c r="GY62" s="52">
        <v>195.98</v>
      </c>
      <c r="GZ62" s="52">
        <v>176.93</v>
      </c>
      <c r="HA62" s="52">
        <v>144.94999999999999</v>
      </c>
      <c r="HB62" s="52">
        <v>136.62</v>
      </c>
      <c r="HC62" s="52">
        <v>130.69999999999999</v>
      </c>
      <c r="HD62" s="52">
        <v>126.09</v>
      </c>
      <c r="HE62" s="52">
        <v>97.1</v>
      </c>
      <c r="HF62" s="52">
        <v>108.3</v>
      </c>
      <c r="HG62" s="52">
        <v>116.63</v>
      </c>
      <c r="HH62" s="52">
        <v>146.35</v>
      </c>
      <c r="HI62" s="52">
        <v>75.7</v>
      </c>
      <c r="HJ62" s="52">
        <v>116.51</v>
      </c>
      <c r="HK62" s="52">
        <v>198</v>
      </c>
      <c r="HL62" s="52">
        <v>137.33000000000001</v>
      </c>
      <c r="HM62" s="52">
        <v>170.32</v>
      </c>
      <c r="HN62" s="52">
        <v>166.63</v>
      </c>
      <c r="HO62" s="52">
        <v>142.24</v>
      </c>
      <c r="HP62" s="52">
        <v>192.96</v>
      </c>
      <c r="HQ62" s="52">
        <v>119.06</v>
      </c>
      <c r="HR62" s="52">
        <v>153.69999999999999</v>
      </c>
      <c r="HS62" s="52">
        <v>234.29</v>
      </c>
      <c r="HT62" s="52">
        <v>180.94</v>
      </c>
      <c r="HU62" s="52">
        <v>94.53</v>
      </c>
      <c r="HV62" s="52">
        <v>137.76</v>
      </c>
      <c r="HW62" s="52">
        <v>127.51</v>
      </c>
      <c r="HX62" s="52">
        <v>95.18</v>
      </c>
      <c r="HY62" s="52">
        <v>193.05</v>
      </c>
      <c r="HZ62" s="52">
        <v>146.4</v>
      </c>
      <c r="IA62" s="52">
        <v>87.35</v>
      </c>
      <c r="IB62" s="52">
        <v>157.54</v>
      </c>
      <c r="IC62" s="52">
        <v>96.59</v>
      </c>
      <c r="ID62" s="52">
        <v>110.83</v>
      </c>
      <c r="IE62" s="52">
        <v>98.26</v>
      </c>
      <c r="IF62" s="52">
        <v>126.52</v>
      </c>
      <c r="IG62" s="52">
        <v>158.18</v>
      </c>
      <c r="IH62" s="52">
        <v>174.28</v>
      </c>
      <c r="II62" s="52">
        <v>203.61</v>
      </c>
      <c r="IJ62" s="52">
        <v>162.1</v>
      </c>
      <c r="IK62" s="52">
        <v>196.06</v>
      </c>
      <c r="IL62" s="52">
        <v>160.94</v>
      </c>
      <c r="IM62" s="52">
        <v>205.58</v>
      </c>
      <c r="IN62" s="52">
        <v>193.88</v>
      </c>
      <c r="IO62" s="52">
        <v>164.51</v>
      </c>
      <c r="IP62" s="52">
        <v>117.12</v>
      </c>
      <c r="IQ62" s="52">
        <v>149.74</v>
      </c>
      <c r="IR62" s="52">
        <v>225.05</v>
      </c>
      <c r="IS62" s="52">
        <v>159.68</v>
      </c>
      <c r="IT62" s="52">
        <v>47.65</v>
      </c>
      <c r="IU62" s="52">
        <v>122.56</v>
      </c>
      <c r="IV62" s="52">
        <v>68.290000000000006</v>
      </c>
      <c r="IW62" s="52">
        <v>87.58</v>
      </c>
      <c r="IX62" s="52">
        <v>137.1</v>
      </c>
      <c r="IY62" s="52">
        <v>141.16999999999999</v>
      </c>
      <c r="IZ62" s="52">
        <v>191.11</v>
      </c>
      <c r="JA62" s="52">
        <v>137.1</v>
      </c>
      <c r="JB62" s="52"/>
      <c r="JC62" s="52">
        <v>173.92</v>
      </c>
      <c r="JD62" s="52">
        <v>233.37</v>
      </c>
      <c r="JE62" s="52">
        <v>156.02000000000001</v>
      </c>
      <c r="JF62" s="52">
        <v>143.6</v>
      </c>
      <c r="JG62" s="52">
        <v>165.64</v>
      </c>
      <c r="JH62" s="52">
        <v>267.72000000000003</v>
      </c>
      <c r="JI62" s="52">
        <v>191.54</v>
      </c>
      <c r="JJ62" s="52">
        <v>147.26</v>
      </c>
      <c r="JK62" s="52">
        <v>197.06</v>
      </c>
      <c r="JL62" s="52">
        <v>205.62</v>
      </c>
      <c r="JM62" s="52">
        <v>193.33</v>
      </c>
      <c r="JN62" s="52">
        <v>190.83</v>
      </c>
      <c r="JO62" s="52">
        <v>152.47999999999999</v>
      </c>
      <c r="JP62" s="52">
        <v>215.36</v>
      </c>
      <c r="JQ62" s="52">
        <v>189.37</v>
      </c>
      <c r="JR62" s="52">
        <v>190.76</v>
      </c>
      <c r="JS62" s="52">
        <v>232.62</v>
      </c>
      <c r="JT62" s="52">
        <v>220.59</v>
      </c>
      <c r="JU62" s="52">
        <v>182.38</v>
      </c>
      <c r="JV62" s="52">
        <v>106.54</v>
      </c>
      <c r="JW62" s="52">
        <v>127.27</v>
      </c>
      <c r="JX62" s="52">
        <v>269.72000000000003</v>
      </c>
      <c r="JY62" s="52">
        <v>182.58</v>
      </c>
      <c r="JZ62" s="52">
        <v>164.57</v>
      </c>
      <c r="KA62" s="52">
        <v>202.81</v>
      </c>
      <c r="KB62" s="52">
        <v>218.5</v>
      </c>
      <c r="KC62" s="52">
        <v>119.79</v>
      </c>
      <c r="KD62" s="52">
        <v>155.71</v>
      </c>
      <c r="KE62" s="52">
        <v>208.21</v>
      </c>
      <c r="KF62" s="52">
        <v>238.96</v>
      </c>
    </row>
    <row r="63" spans="1:292" s="41" customFormat="1" ht="12">
      <c r="A63" s="41">
        <v>2009</v>
      </c>
      <c r="B63" s="54" t="s">
        <v>995</v>
      </c>
      <c r="C63" s="55" t="s">
        <v>996</v>
      </c>
      <c r="D63" s="52">
        <v>167.88</v>
      </c>
      <c r="E63" s="52">
        <v>169.18</v>
      </c>
      <c r="F63" s="52">
        <v>233.02</v>
      </c>
      <c r="G63" s="52">
        <v>123.79</v>
      </c>
      <c r="H63" s="52">
        <v>199.1</v>
      </c>
      <c r="I63" s="52">
        <v>141.57</v>
      </c>
      <c r="J63" s="52">
        <v>127.65</v>
      </c>
      <c r="K63" s="52">
        <v>161.47999999999999</v>
      </c>
      <c r="L63" s="52">
        <v>114.08</v>
      </c>
      <c r="M63" s="52">
        <v>148.75</v>
      </c>
      <c r="N63" s="52">
        <v>181.64</v>
      </c>
      <c r="O63" s="52">
        <v>214.21</v>
      </c>
      <c r="P63" s="52">
        <v>183.77</v>
      </c>
      <c r="Q63" s="52">
        <v>169.54</v>
      </c>
      <c r="R63" s="52">
        <v>162.88</v>
      </c>
      <c r="S63" s="52">
        <v>208.51</v>
      </c>
      <c r="T63" s="52">
        <v>234.35</v>
      </c>
      <c r="U63" s="52">
        <v>118.82</v>
      </c>
      <c r="V63" s="52">
        <v>139.06</v>
      </c>
      <c r="W63" s="52">
        <v>256.48</v>
      </c>
      <c r="X63" s="52">
        <v>150.87</v>
      </c>
      <c r="Y63" s="52">
        <v>170.64</v>
      </c>
      <c r="Z63" s="52">
        <v>191.72</v>
      </c>
      <c r="AA63" s="52">
        <v>149.97</v>
      </c>
      <c r="AB63" s="52">
        <v>127.76</v>
      </c>
      <c r="AC63" s="52">
        <v>120.6</v>
      </c>
      <c r="AD63" s="52">
        <v>155.44999999999999</v>
      </c>
      <c r="AE63" s="52">
        <v>167.82</v>
      </c>
      <c r="AF63" s="52">
        <v>145.32</v>
      </c>
      <c r="AG63" s="52">
        <v>97.92</v>
      </c>
      <c r="AH63" s="52">
        <v>154.41999999999999</v>
      </c>
      <c r="AI63" s="52">
        <v>157.85</v>
      </c>
      <c r="AJ63" s="52">
        <v>113.7</v>
      </c>
      <c r="AK63" s="52">
        <v>177.09</v>
      </c>
      <c r="AL63" s="52">
        <v>194.48</v>
      </c>
      <c r="AM63" s="52">
        <v>159.68</v>
      </c>
      <c r="AN63" s="52">
        <v>47.34</v>
      </c>
      <c r="AO63" s="52">
        <v>124.25</v>
      </c>
      <c r="AP63" s="52">
        <v>79.099999999999994</v>
      </c>
      <c r="AQ63" s="52">
        <v>141.97</v>
      </c>
      <c r="AR63" s="52">
        <v>178.43</v>
      </c>
      <c r="AS63" s="52">
        <v>187.52</v>
      </c>
      <c r="AT63" s="52">
        <v>204.17</v>
      </c>
      <c r="AU63" s="52">
        <v>198.47</v>
      </c>
      <c r="AV63" s="52">
        <v>205.9</v>
      </c>
      <c r="AW63" s="52">
        <v>193.08</v>
      </c>
      <c r="AX63" s="52">
        <v>190.83</v>
      </c>
      <c r="AY63" s="52">
        <v>155.24</v>
      </c>
      <c r="AZ63" s="52">
        <v>210.34</v>
      </c>
      <c r="BA63" s="52">
        <v>208.7</v>
      </c>
      <c r="BB63" s="52">
        <v>143.80000000000001</v>
      </c>
      <c r="BC63" s="52">
        <v>252.58</v>
      </c>
      <c r="BD63" s="52">
        <v>203.46</v>
      </c>
      <c r="BE63" s="52">
        <v>164.07</v>
      </c>
      <c r="BF63" s="52">
        <v>208.2</v>
      </c>
      <c r="BG63" s="52">
        <v>238.99</v>
      </c>
      <c r="BH63" s="52">
        <v>183.01</v>
      </c>
      <c r="BI63" s="52">
        <v>189.32</v>
      </c>
      <c r="BJ63" s="52">
        <v>157.07</v>
      </c>
      <c r="BK63" s="52">
        <v>163.07</v>
      </c>
      <c r="BL63" s="52">
        <v>155.53</v>
      </c>
      <c r="BM63" s="52">
        <v>146.75</v>
      </c>
      <c r="BN63" s="52">
        <v>157.15</v>
      </c>
      <c r="BO63" s="52">
        <v>151.63</v>
      </c>
      <c r="BP63" s="52">
        <v>168.93</v>
      </c>
      <c r="BQ63" s="52">
        <v>181.45</v>
      </c>
      <c r="BR63" s="52">
        <v>145.77000000000001</v>
      </c>
      <c r="BS63" s="52">
        <v>219.48</v>
      </c>
      <c r="BT63" s="52">
        <v>195.02</v>
      </c>
      <c r="BU63" s="52">
        <v>192.87</v>
      </c>
      <c r="BV63" s="52">
        <v>234.35</v>
      </c>
      <c r="BW63" s="52">
        <v>117.56</v>
      </c>
      <c r="BX63" s="52">
        <v>129.08000000000001</v>
      </c>
      <c r="BY63" s="52">
        <v>180.64</v>
      </c>
      <c r="BZ63" s="52">
        <v>138.75</v>
      </c>
      <c r="CA63" s="52">
        <v>188.77</v>
      </c>
      <c r="CB63" s="53">
        <v>256.48</v>
      </c>
      <c r="CC63" s="52">
        <v>150.87</v>
      </c>
      <c r="CD63" s="52">
        <v>169.99</v>
      </c>
      <c r="CE63" s="52">
        <v>170.14</v>
      </c>
      <c r="CF63" s="52">
        <v>196.59</v>
      </c>
      <c r="CG63" s="52">
        <v>196.51</v>
      </c>
      <c r="CH63" s="52">
        <v>154.94</v>
      </c>
      <c r="CI63" s="52">
        <v>131.41</v>
      </c>
      <c r="CJ63" s="52">
        <v>127.76</v>
      </c>
      <c r="CK63" s="52">
        <v>113.24</v>
      </c>
      <c r="CL63" s="52">
        <v>116.79</v>
      </c>
      <c r="CM63" s="52">
        <v>199.91</v>
      </c>
      <c r="CN63" s="52">
        <v>155.44999999999999</v>
      </c>
      <c r="CO63" s="52">
        <v>167.82</v>
      </c>
      <c r="CP63" s="52">
        <v>121.87</v>
      </c>
      <c r="CQ63" s="52">
        <v>236.18</v>
      </c>
      <c r="CR63" s="52">
        <v>94.53</v>
      </c>
      <c r="CS63" s="52">
        <v>137.66</v>
      </c>
      <c r="CT63" s="52">
        <v>116.01</v>
      </c>
      <c r="CU63" s="52">
        <v>193.29</v>
      </c>
      <c r="CV63" s="52">
        <v>146.35</v>
      </c>
      <c r="CW63" s="52">
        <v>95.69</v>
      </c>
      <c r="CX63" s="52">
        <v>157.85</v>
      </c>
      <c r="CY63" s="52">
        <v>113.78</v>
      </c>
      <c r="CZ63" s="52">
        <v>101.53</v>
      </c>
      <c r="DA63" s="52">
        <v>126.33</v>
      </c>
      <c r="DB63" s="52">
        <v>157.63999999999999</v>
      </c>
      <c r="DC63" s="52">
        <v>175.55</v>
      </c>
      <c r="DD63" s="52">
        <v>204.05</v>
      </c>
      <c r="DE63" s="52">
        <v>161.5</v>
      </c>
      <c r="DF63" s="52">
        <v>185.09</v>
      </c>
      <c r="DG63" s="52">
        <v>197.8</v>
      </c>
      <c r="DH63" s="52">
        <v>117.72</v>
      </c>
      <c r="DI63" s="52">
        <v>149.74</v>
      </c>
      <c r="DJ63" s="52">
        <v>224.82</v>
      </c>
      <c r="DK63" s="52">
        <v>159.68</v>
      </c>
      <c r="DL63" s="52">
        <v>47.34</v>
      </c>
      <c r="DM63" s="52">
        <v>124.25</v>
      </c>
      <c r="DN63" s="52">
        <v>66.98</v>
      </c>
      <c r="DO63" s="52">
        <v>89.49</v>
      </c>
      <c r="DP63" s="52">
        <v>136.97</v>
      </c>
      <c r="DQ63" s="52">
        <v>141.97</v>
      </c>
      <c r="DR63" s="52">
        <v>193.42</v>
      </c>
      <c r="DS63" s="52">
        <v>140.62</v>
      </c>
      <c r="DT63" s="52"/>
      <c r="DU63" s="52">
        <v>174.04</v>
      </c>
      <c r="DV63" s="52">
        <v>236.56</v>
      </c>
      <c r="DW63" s="52">
        <v>149.07</v>
      </c>
      <c r="DX63" s="52">
        <v>165.64</v>
      </c>
      <c r="DY63" s="52">
        <v>268.73</v>
      </c>
      <c r="DZ63" s="52">
        <v>191.54</v>
      </c>
      <c r="EA63" s="52">
        <v>148.43</v>
      </c>
      <c r="EB63" s="52">
        <v>198.47</v>
      </c>
      <c r="EC63" s="52">
        <v>205.9</v>
      </c>
      <c r="ED63" s="52">
        <v>193.08</v>
      </c>
      <c r="EE63" s="52">
        <v>190.83</v>
      </c>
      <c r="EF63" s="52">
        <v>155.24</v>
      </c>
      <c r="EG63" s="52">
        <v>210.34</v>
      </c>
      <c r="EH63" s="52">
        <v>208.7</v>
      </c>
      <c r="EI63" s="52">
        <v>202.12</v>
      </c>
      <c r="EJ63" s="52">
        <v>106.18</v>
      </c>
      <c r="EK63" s="52">
        <v>127.53</v>
      </c>
      <c r="EL63" s="52">
        <v>277.70999999999998</v>
      </c>
      <c r="EM63" s="52">
        <v>179.04</v>
      </c>
      <c r="EN63" s="52">
        <v>203.46</v>
      </c>
      <c r="EO63" s="52">
        <v>220.19</v>
      </c>
      <c r="EP63" s="52">
        <v>119.79</v>
      </c>
      <c r="EQ63" s="52">
        <v>156.41999999999999</v>
      </c>
      <c r="ER63" s="52">
        <v>208.2</v>
      </c>
      <c r="ES63" s="52">
        <v>238.99</v>
      </c>
      <c r="ET63" s="52">
        <v>228.39</v>
      </c>
      <c r="EU63" s="52">
        <v>162.38</v>
      </c>
      <c r="EV63" s="52">
        <v>183.83</v>
      </c>
      <c r="EW63" s="52">
        <v>177.16</v>
      </c>
      <c r="EX63" s="52">
        <v>185.87</v>
      </c>
      <c r="EY63" s="52">
        <v>126.55</v>
      </c>
      <c r="EZ63" s="52">
        <v>183.07</v>
      </c>
      <c r="FA63" s="52">
        <v>215.8</v>
      </c>
      <c r="FB63" s="52">
        <v>203.95</v>
      </c>
      <c r="FC63" s="52">
        <v>168.04</v>
      </c>
      <c r="FD63" s="52">
        <v>147.44</v>
      </c>
      <c r="FE63" s="52">
        <v>157.07</v>
      </c>
      <c r="FF63" s="52"/>
      <c r="FG63" s="52">
        <v>140.88999999999999</v>
      </c>
      <c r="FH63" s="52">
        <v>148.63999999999999</v>
      </c>
      <c r="FI63" s="52">
        <v>172.54</v>
      </c>
      <c r="FJ63" s="52">
        <v>186.97</v>
      </c>
      <c r="FK63" s="52">
        <v>186.12</v>
      </c>
      <c r="FL63" s="52">
        <v>136.91</v>
      </c>
      <c r="FM63" s="52">
        <v>156.96</v>
      </c>
      <c r="FN63" s="52">
        <v>135.07</v>
      </c>
      <c r="FO63" s="52">
        <v>207.14</v>
      </c>
      <c r="FP63" s="52">
        <v>138.49</v>
      </c>
      <c r="FQ63" s="52">
        <v>186.12</v>
      </c>
      <c r="FR63" s="52">
        <v>248.76</v>
      </c>
      <c r="FS63" s="52">
        <v>181.33</v>
      </c>
      <c r="FT63" s="52">
        <v>142.78</v>
      </c>
      <c r="FU63" s="52">
        <v>194.21</v>
      </c>
      <c r="FV63" s="52">
        <v>158.94</v>
      </c>
      <c r="FW63" s="52">
        <v>110.51</v>
      </c>
      <c r="FX63" s="52">
        <v>168.93</v>
      </c>
      <c r="FY63" s="52">
        <v>184.08</v>
      </c>
      <c r="FZ63" s="52">
        <v>181.82</v>
      </c>
      <c r="GA63" s="52">
        <v>136.58000000000001</v>
      </c>
      <c r="GB63" s="52">
        <v>153.4</v>
      </c>
      <c r="GC63" s="52">
        <v>146.86000000000001</v>
      </c>
      <c r="GD63" s="52">
        <v>125.77</v>
      </c>
      <c r="GE63" s="52">
        <v>219.48</v>
      </c>
      <c r="GF63" s="52">
        <v>195.02</v>
      </c>
      <c r="GG63" s="52">
        <v>192.87</v>
      </c>
      <c r="GH63" s="52">
        <v>233.96</v>
      </c>
      <c r="GI63" s="52">
        <v>119.44</v>
      </c>
      <c r="GJ63" s="52">
        <v>118.59</v>
      </c>
      <c r="GK63" s="52">
        <v>108.91</v>
      </c>
      <c r="GL63" s="52">
        <v>134.9</v>
      </c>
      <c r="GM63" s="52">
        <v>129.08000000000001</v>
      </c>
      <c r="GN63" s="52">
        <v>180.64</v>
      </c>
      <c r="GO63" s="52">
        <v>137.75</v>
      </c>
      <c r="GP63" s="52">
        <v>141.27000000000001</v>
      </c>
      <c r="GQ63" s="52">
        <v>136.24</v>
      </c>
      <c r="GR63" s="52">
        <v>188.77</v>
      </c>
      <c r="GS63" s="52">
        <v>256.48</v>
      </c>
      <c r="GT63" s="52">
        <v>150.87</v>
      </c>
      <c r="GU63" s="52">
        <v>169.99</v>
      </c>
      <c r="GV63" s="52">
        <v>170.14</v>
      </c>
      <c r="GW63" s="52">
        <v>191.7</v>
      </c>
      <c r="GX63" s="52">
        <v>199.34</v>
      </c>
      <c r="GY63" s="52">
        <v>196.51</v>
      </c>
      <c r="GZ63" s="52">
        <v>177.56</v>
      </c>
      <c r="HA63" s="52">
        <v>160.47999999999999</v>
      </c>
      <c r="HB63" s="52">
        <v>149.91999999999999</v>
      </c>
      <c r="HC63" s="52">
        <v>131.41</v>
      </c>
      <c r="HD63" s="52">
        <v>127.76</v>
      </c>
      <c r="HE63" s="52">
        <v>99.04</v>
      </c>
      <c r="HF63" s="52">
        <v>109.71</v>
      </c>
      <c r="HG63" s="52">
        <v>116.31</v>
      </c>
      <c r="HH63" s="52">
        <v>146.55000000000001</v>
      </c>
      <c r="HI63" s="52">
        <v>76.099999999999994</v>
      </c>
      <c r="HJ63" s="52">
        <v>116.79</v>
      </c>
      <c r="HK63" s="52">
        <v>199.91</v>
      </c>
      <c r="HL63" s="52">
        <v>138.47999999999999</v>
      </c>
      <c r="HM63" s="52">
        <v>170.9</v>
      </c>
      <c r="HN63" s="52">
        <v>167.43</v>
      </c>
      <c r="HO63" s="52">
        <v>142.65</v>
      </c>
      <c r="HP63" s="52">
        <v>192.83</v>
      </c>
      <c r="HQ63" s="52">
        <v>118.12</v>
      </c>
      <c r="HR63" s="52">
        <v>154.11000000000001</v>
      </c>
      <c r="HS63" s="52">
        <v>237.77</v>
      </c>
      <c r="HT63" s="52">
        <v>180.52</v>
      </c>
      <c r="HU63" s="52">
        <v>94.53</v>
      </c>
      <c r="HV63" s="52">
        <v>137.66</v>
      </c>
      <c r="HW63" s="52">
        <v>127.54</v>
      </c>
      <c r="HX63" s="52">
        <v>95.48</v>
      </c>
      <c r="HY63" s="52">
        <v>193.29</v>
      </c>
      <c r="HZ63" s="52">
        <v>146.35</v>
      </c>
      <c r="IA63" s="52">
        <v>87.41</v>
      </c>
      <c r="IB63" s="52">
        <v>157.85</v>
      </c>
      <c r="IC63" s="52">
        <v>102.54</v>
      </c>
      <c r="ID63" s="52">
        <v>116.11</v>
      </c>
      <c r="IE63" s="52">
        <v>101.53</v>
      </c>
      <c r="IF63" s="52">
        <v>126.33</v>
      </c>
      <c r="IG63" s="52">
        <v>157.63999999999999</v>
      </c>
      <c r="IH63" s="52">
        <v>175.55</v>
      </c>
      <c r="II63" s="52">
        <v>204.05</v>
      </c>
      <c r="IJ63" s="52">
        <v>161.5</v>
      </c>
      <c r="IK63" s="52">
        <v>196.06</v>
      </c>
      <c r="IL63" s="52">
        <v>160.94</v>
      </c>
      <c r="IM63" s="52">
        <v>207.45</v>
      </c>
      <c r="IN63" s="52">
        <v>200.99</v>
      </c>
      <c r="IO63" s="52">
        <v>162.03</v>
      </c>
      <c r="IP63" s="52">
        <v>117.72</v>
      </c>
      <c r="IQ63" s="52">
        <v>149.74</v>
      </c>
      <c r="IR63" s="52">
        <v>224.82</v>
      </c>
      <c r="IS63" s="52">
        <v>159.68</v>
      </c>
      <c r="IT63" s="52">
        <v>47.34</v>
      </c>
      <c r="IU63" s="52">
        <v>124.25</v>
      </c>
      <c r="IV63" s="52">
        <v>68.52</v>
      </c>
      <c r="IW63" s="52">
        <v>89.49</v>
      </c>
      <c r="IX63" s="52">
        <v>136.97</v>
      </c>
      <c r="IY63" s="52">
        <v>141.97</v>
      </c>
      <c r="IZ63" s="52">
        <v>193.42</v>
      </c>
      <c r="JA63" s="52">
        <v>140.62</v>
      </c>
      <c r="JB63" s="52"/>
      <c r="JC63" s="52">
        <v>174.04</v>
      </c>
      <c r="JD63" s="52">
        <v>236.56</v>
      </c>
      <c r="JE63" s="52">
        <v>156.51</v>
      </c>
      <c r="JF63" s="52">
        <v>146.41999999999999</v>
      </c>
      <c r="JG63" s="52">
        <v>165.64</v>
      </c>
      <c r="JH63" s="52">
        <v>268.73</v>
      </c>
      <c r="JI63" s="52">
        <v>191.54</v>
      </c>
      <c r="JJ63" s="52">
        <v>148.43</v>
      </c>
      <c r="JK63" s="52">
        <v>198.47</v>
      </c>
      <c r="JL63" s="52">
        <v>205.9</v>
      </c>
      <c r="JM63" s="52">
        <v>193.08</v>
      </c>
      <c r="JN63" s="52">
        <v>190.83</v>
      </c>
      <c r="JO63" s="52">
        <v>155.24</v>
      </c>
      <c r="JP63" s="52">
        <v>218.77</v>
      </c>
      <c r="JQ63" s="52">
        <v>190.65</v>
      </c>
      <c r="JR63" s="52">
        <v>190.95</v>
      </c>
      <c r="JS63" s="52">
        <v>233.44</v>
      </c>
      <c r="JT63" s="52">
        <v>222.08</v>
      </c>
      <c r="JU63" s="52">
        <v>182.73</v>
      </c>
      <c r="JV63" s="52">
        <v>106.18</v>
      </c>
      <c r="JW63" s="52">
        <v>127.53</v>
      </c>
      <c r="JX63" s="52">
        <v>277.70999999999998</v>
      </c>
      <c r="JY63" s="52">
        <v>185.51</v>
      </c>
      <c r="JZ63" s="52">
        <v>166.95</v>
      </c>
      <c r="KA63" s="52">
        <v>203.46</v>
      </c>
      <c r="KB63" s="52">
        <v>220.19</v>
      </c>
      <c r="KC63" s="52">
        <v>119.79</v>
      </c>
      <c r="KD63" s="52">
        <v>156.41999999999999</v>
      </c>
      <c r="KE63" s="52">
        <v>208.2</v>
      </c>
      <c r="KF63" s="52">
        <v>238.99</v>
      </c>
    </row>
    <row r="64" spans="1:292" s="41" customFormat="1" ht="12">
      <c r="A64" s="41">
        <v>2009</v>
      </c>
      <c r="B64" s="54" t="s">
        <v>997</v>
      </c>
      <c r="C64" s="55" t="s">
        <v>998</v>
      </c>
      <c r="D64" s="52">
        <v>170.01</v>
      </c>
      <c r="E64" s="52">
        <v>172.92</v>
      </c>
      <c r="F64" s="52">
        <v>232.99</v>
      </c>
      <c r="G64" s="52">
        <v>129.41999999999999</v>
      </c>
      <c r="H64" s="52">
        <v>200.48</v>
      </c>
      <c r="I64" s="52">
        <v>140.53</v>
      </c>
      <c r="J64" s="52">
        <v>127.67</v>
      </c>
      <c r="K64" s="52">
        <v>163.5</v>
      </c>
      <c r="L64" s="52">
        <v>114.11</v>
      </c>
      <c r="M64" s="52">
        <v>148.31</v>
      </c>
      <c r="N64" s="52">
        <v>181.79</v>
      </c>
      <c r="O64" s="52">
        <v>215.15</v>
      </c>
      <c r="P64" s="52">
        <v>187.08</v>
      </c>
      <c r="Q64" s="52">
        <v>173.52</v>
      </c>
      <c r="R64" s="52">
        <v>163.15</v>
      </c>
      <c r="S64" s="52">
        <v>207.96</v>
      </c>
      <c r="T64" s="52">
        <v>234.35</v>
      </c>
      <c r="U64" s="52">
        <v>124.76</v>
      </c>
      <c r="V64" s="52">
        <v>143.49</v>
      </c>
      <c r="W64" s="52">
        <v>257.43</v>
      </c>
      <c r="X64" s="52">
        <v>151.25</v>
      </c>
      <c r="Y64" s="52">
        <v>170.79</v>
      </c>
      <c r="Z64" s="52">
        <v>193.88</v>
      </c>
      <c r="AA64" s="52">
        <v>150.09</v>
      </c>
      <c r="AB64" s="52">
        <v>127.72</v>
      </c>
      <c r="AC64" s="52">
        <v>117.03</v>
      </c>
      <c r="AD64" s="52">
        <v>156.31</v>
      </c>
      <c r="AE64" s="52">
        <v>167.59</v>
      </c>
      <c r="AF64" s="52">
        <v>145.37</v>
      </c>
      <c r="AG64" s="52">
        <v>97.95</v>
      </c>
      <c r="AH64" s="52">
        <v>154.44</v>
      </c>
      <c r="AI64" s="52">
        <v>157.88</v>
      </c>
      <c r="AJ64" s="52">
        <v>115.19</v>
      </c>
      <c r="AK64" s="52">
        <v>181.16</v>
      </c>
      <c r="AL64" s="52">
        <v>194.42</v>
      </c>
      <c r="AM64" s="52">
        <v>159.68</v>
      </c>
      <c r="AN64" s="52">
        <v>46.93</v>
      </c>
      <c r="AO64" s="52">
        <v>124.38</v>
      </c>
      <c r="AP64" s="52">
        <v>79.849999999999994</v>
      </c>
      <c r="AQ64" s="52">
        <v>141.65</v>
      </c>
      <c r="AR64" s="52">
        <v>179.82</v>
      </c>
      <c r="AS64" s="52">
        <v>181.71</v>
      </c>
      <c r="AT64" s="52">
        <v>205.85</v>
      </c>
      <c r="AU64" s="52">
        <v>195.61</v>
      </c>
      <c r="AV64" s="52">
        <v>206.04</v>
      </c>
      <c r="AW64" s="52">
        <v>193.12</v>
      </c>
      <c r="AX64" s="52">
        <v>190.83</v>
      </c>
      <c r="AY64" s="52">
        <v>156.44999999999999</v>
      </c>
      <c r="AZ64" s="52">
        <v>211.35</v>
      </c>
      <c r="BA64" s="52">
        <v>208.73</v>
      </c>
      <c r="BB64" s="52">
        <v>143.69</v>
      </c>
      <c r="BC64" s="52">
        <v>268.45999999999998</v>
      </c>
      <c r="BD64" s="52">
        <v>203.31</v>
      </c>
      <c r="BE64" s="52">
        <v>163.99</v>
      </c>
      <c r="BF64" s="52">
        <v>208.2</v>
      </c>
      <c r="BG64" s="52">
        <v>239.01</v>
      </c>
      <c r="BH64" s="52">
        <v>182.27</v>
      </c>
      <c r="BI64" s="52">
        <v>192.75</v>
      </c>
      <c r="BJ64" s="52">
        <v>139.84</v>
      </c>
      <c r="BK64" s="52">
        <v>166.45</v>
      </c>
      <c r="BL64" s="52">
        <v>154.47999999999999</v>
      </c>
      <c r="BM64" s="52">
        <v>156.80000000000001</v>
      </c>
      <c r="BN64" s="52">
        <v>171.61</v>
      </c>
      <c r="BO64" s="52">
        <v>151.29</v>
      </c>
      <c r="BP64" s="52">
        <v>169.29</v>
      </c>
      <c r="BQ64" s="52">
        <v>181.09</v>
      </c>
      <c r="BR64" s="52">
        <v>146.47999999999999</v>
      </c>
      <c r="BS64" s="52">
        <v>219.48</v>
      </c>
      <c r="BT64" s="52">
        <v>189.84</v>
      </c>
      <c r="BU64" s="52">
        <v>192.64</v>
      </c>
      <c r="BV64" s="52">
        <v>234.35</v>
      </c>
      <c r="BW64" s="52">
        <v>123.84</v>
      </c>
      <c r="BX64" s="52">
        <v>130.31</v>
      </c>
      <c r="BY64" s="52">
        <v>180.93</v>
      </c>
      <c r="BZ64" s="52">
        <v>143.19999999999999</v>
      </c>
      <c r="CA64" s="52">
        <v>189.11</v>
      </c>
      <c r="CB64" s="53">
        <v>257.43</v>
      </c>
      <c r="CC64" s="52">
        <v>151.25</v>
      </c>
      <c r="CD64" s="52">
        <v>170.14</v>
      </c>
      <c r="CE64" s="52">
        <v>170.14</v>
      </c>
      <c r="CF64" s="52">
        <v>202.1</v>
      </c>
      <c r="CG64" s="52">
        <v>197.94</v>
      </c>
      <c r="CH64" s="52">
        <v>155.31</v>
      </c>
      <c r="CI64" s="52">
        <v>130.54</v>
      </c>
      <c r="CJ64" s="52">
        <v>127.72</v>
      </c>
      <c r="CK64" s="52">
        <v>109.35</v>
      </c>
      <c r="CL64" s="52">
        <v>116.05</v>
      </c>
      <c r="CM64" s="52">
        <v>200.28</v>
      </c>
      <c r="CN64" s="52">
        <v>156.31</v>
      </c>
      <c r="CO64" s="52">
        <v>167.59</v>
      </c>
      <c r="CP64" s="52">
        <v>121.8</v>
      </c>
      <c r="CQ64" s="52">
        <v>237.12</v>
      </c>
      <c r="CR64" s="52">
        <v>94.53</v>
      </c>
      <c r="CS64" s="52">
        <v>138.1</v>
      </c>
      <c r="CT64" s="52">
        <v>116.13</v>
      </c>
      <c r="CU64" s="52">
        <v>193.33</v>
      </c>
      <c r="CV64" s="52">
        <v>146.38</v>
      </c>
      <c r="CW64" s="52">
        <v>95.68</v>
      </c>
      <c r="CX64" s="52">
        <v>157.88</v>
      </c>
      <c r="CY64" s="52">
        <v>115.3</v>
      </c>
      <c r="CZ64" s="52">
        <v>102.04</v>
      </c>
      <c r="DA64" s="52">
        <v>126.76</v>
      </c>
      <c r="DB64" s="52">
        <v>158.16</v>
      </c>
      <c r="DC64" s="52">
        <v>180.38</v>
      </c>
      <c r="DD64" s="52">
        <v>204.49</v>
      </c>
      <c r="DE64" s="52">
        <v>162.41</v>
      </c>
      <c r="DF64" s="52">
        <v>185.09</v>
      </c>
      <c r="DG64" s="52">
        <v>197.77</v>
      </c>
      <c r="DH64" s="52">
        <v>117.01</v>
      </c>
      <c r="DI64" s="52">
        <v>149.74</v>
      </c>
      <c r="DJ64" s="52">
        <v>225.46</v>
      </c>
      <c r="DK64" s="52">
        <v>159.68</v>
      </c>
      <c r="DL64" s="52">
        <v>46.93</v>
      </c>
      <c r="DM64" s="52">
        <v>124.38</v>
      </c>
      <c r="DN64" s="52">
        <v>67.28</v>
      </c>
      <c r="DO64" s="52">
        <v>91.71</v>
      </c>
      <c r="DP64" s="52">
        <v>137.07</v>
      </c>
      <c r="DQ64" s="52">
        <v>141.65</v>
      </c>
      <c r="DR64" s="52">
        <v>194.76</v>
      </c>
      <c r="DS64" s="52">
        <v>142.22999999999999</v>
      </c>
      <c r="DT64" s="52"/>
      <c r="DU64" s="52">
        <v>174.24</v>
      </c>
      <c r="DV64" s="52">
        <v>223.11</v>
      </c>
      <c r="DW64" s="52">
        <v>149.08000000000001</v>
      </c>
      <c r="DX64" s="52">
        <v>165.64</v>
      </c>
      <c r="DY64" s="52">
        <v>273.63</v>
      </c>
      <c r="DZ64" s="52">
        <v>191.54</v>
      </c>
      <c r="EA64" s="52">
        <v>148.72</v>
      </c>
      <c r="EB64" s="52">
        <v>195.61</v>
      </c>
      <c r="EC64" s="52">
        <v>206.04</v>
      </c>
      <c r="ED64" s="52">
        <v>193.12</v>
      </c>
      <c r="EE64" s="52">
        <v>190.83</v>
      </c>
      <c r="EF64" s="52">
        <v>156.44999999999999</v>
      </c>
      <c r="EG64" s="52">
        <v>211.35</v>
      </c>
      <c r="EH64" s="52">
        <v>208.73</v>
      </c>
      <c r="EI64" s="52">
        <v>202.48</v>
      </c>
      <c r="EJ64" s="52">
        <v>106.4</v>
      </c>
      <c r="EK64" s="52">
        <v>127.29</v>
      </c>
      <c r="EL64" s="52">
        <v>298.85000000000002</v>
      </c>
      <c r="EM64" s="52">
        <v>180.84</v>
      </c>
      <c r="EN64" s="52">
        <v>203.31</v>
      </c>
      <c r="EO64" s="52">
        <v>220.49</v>
      </c>
      <c r="EP64" s="52">
        <v>119.79</v>
      </c>
      <c r="EQ64" s="52">
        <v>156.31</v>
      </c>
      <c r="ER64" s="52">
        <v>208.2</v>
      </c>
      <c r="ES64" s="52">
        <v>239.01</v>
      </c>
      <c r="ET64" s="52">
        <v>227.2</v>
      </c>
      <c r="EU64" s="52">
        <v>162.27000000000001</v>
      </c>
      <c r="EV64" s="52">
        <v>182.78</v>
      </c>
      <c r="EW64" s="52">
        <v>177.44</v>
      </c>
      <c r="EX64" s="52">
        <v>182.8</v>
      </c>
      <c r="EY64" s="52">
        <v>126.18</v>
      </c>
      <c r="EZ64" s="52">
        <v>188.81</v>
      </c>
      <c r="FA64" s="52">
        <v>219.59</v>
      </c>
      <c r="FB64" s="52">
        <v>200.14</v>
      </c>
      <c r="FC64" s="52">
        <v>175.99</v>
      </c>
      <c r="FD64" s="52">
        <v>153.53</v>
      </c>
      <c r="FE64" s="52">
        <v>139.84</v>
      </c>
      <c r="FF64" s="52"/>
      <c r="FG64" s="52">
        <v>143.04</v>
      </c>
      <c r="FH64" s="52">
        <v>152.38</v>
      </c>
      <c r="FI64" s="52">
        <v>175.51</v>
      </c>
      <c r="FJ64" s="52">
        <v>192.84</v>
      </c>
      <c r="FK64" s="52">
        <v>189.25</v>
      </c>
      <c r="FL64" s="52">
        <v>135.80000000000001</v>
      </c>
      <c r="FM64" s="52">
        <v>155.43</v>
      </c>
      <c r="FN64" s="52">
        <v>146.84</v>
      </c>
      <c r="FO64" s="52">
        <v>208.34</v>
      </c>
      <c r="FP64" s="52">
        <v>159.16</v>
      </c>
      <c r="FQ64" s="52">
        <v>180.11</v>
      </c>
      <c r="FR64" s="52">
        <v>246.47</v>
      </c>
      <c r="FS64" s="52">
        <v>180.9</v>
      </c>
      <c r="FT64" s="52">
        <v>142.55000000000001</v>
      </c>
      <c r="FU64" s="52">
        <v>193.74</v>
      </c>
      <c r="FV64" s="52">
        <v>159.56</v>
      </c>
      <c r="FW64" s="52">
        <v>106.87</v>
      </c>
      <c r="FX64" s="52">
        <v>169.29</v>
      </c>
      <c r="FY64" s="52">
        <v>184.36</v>
      </c>
      <c r="FZ64" s="52">
        <v>181.36</v>
      </c>
      <c r="GA64" s="52">
        <v>136.88999999999999</v>
      </c>
      <c r="GB64" s="52">
        <v>153.26</v>
      </c>
      <c r="GC64" s="52">
        <v>147.75</v>
      </c>
      <c r="GD64" s="52">
        <v>127.42</v>
      </c>
      <c r="GE64" s="52">
        <v>219.48</v>
      </c>
      <c r="GF64" s="52">
        <v>189.84</v>
      </c>
      <c r="GG64" s="52">
        <v>192.64</v>
      </c>
      <c r="GH64" s="52">
        <v>233.96</v>
      </c>
      <c r="GI64" s="52">
        <v>126.63</v>
      </c>
      <c r="GJ64" s="52">
        <v>124.96</v>
      </c>
      <c r="GK64" s="52">
        <v>113.1</v>
      </c>
      <c r="GL64" s="52">
        <v>136.13999999999999</v>
      </c>
      <c r="GM64" s="52">
        <v>130.31</v>
      </c>
      <c r="GN64" s="52">
        <v>180.93</v>
      </c>
      <c r="GO64" s="52">
        <v>140.9</v>
      </c>
      <c r="GP64" s="52">
        <v>147.99</v>
      </c>
      <c r="GQ64" s="52">
        <v>139.55000000000001</v>
      </c>
      <c r="GR64" s="52">
        <v>189.11</v>
      </c>
      <c r="GS64" s="52">
        <v>257.43</v>
      </c>
      <c r="GT64" s="52">
        <v>151.25</v>
      </c>
      <c r="GU64" s="52">
        <v>170.14</v>
      </c>
      <c r="GV64" s="52">
        <v>170.14</v>
      </c>
      <c r="GW64" s="52">
        <v>191.93</v>
      </c>
      <c r="GX64" s="52">
        <v>207.65</v>
      </c>
      <c r="GY64" s="52">
        <v>197.94</v>
      </c>
      <c r="GZ64" s="52">
        <v>178.32</v>
      </c>
      <c r="HA64" s="52">
        <v>160.82</v>
      </c>
      <c r="HB64" s="52">
        <v>150.25</v>
      </c>
      <c r="HC64" s="52">
        <v>130.54</v>
      </c>
      <c r="HD64" s="52">
        <v>127.72</v>
      </c>
      <c r="HE64" s="52">
        <v>94.15</v>
      </c>
      <c r="HF64" s="52">
        <v>102.66</v>
      </c>
      <c r="HG64" s="52">
        <v>111.59</v>
      </c>
      <c r="HH64" s="52">
        <v>146.31</v>
      </c>
      <c r="HI64" s="52">
        <v>76.790000000000006</v>
      </c>
      <c r="HJ64" s="52">
        <v>116.05</v>
      </c>
      <c r="HK64" s="52">
        <v>200.28</v>
      </c>
      <c r="HL64" s="52">
        <v>139.33000000000001</v>
      </c>
      <c r="HM64" s="52">
        <v>172.65</v>
      </c>
      <c r="HN64" s="52">
        <v>168.13</v>
      </c>
      <c r="HO64" s="52">
        <v>142.79</v>
      </c>
      <c r="HP64" s="52">
        <v>192.15</v>
      </c>
      <c r="HQ64" s="52">
        <v>118.07</v>
      </c>
      <c r="HR64" s="52">
        <v>153.86000000000001</v>
      </c>
      <c r="HS64" s="52">
        <v>238.67</v>
      </c>
      <c r="HT64" s="52">
        <v>182.36</v>
      </c>
      <c r="HU64" s="52">
        <v>94.53</v>
      </c>
      <c r="HV64" s="52">
        <v>138.1</v>
      </c>
      <c r="HW64" s="52">
        <v>127.55</v>
      </c>
      <c r="HX64" s="52">
        <v>95.69</v>
      </c>
      <c r="HY64" s="52">
        <v>193.33</v>
      </c>
      <c r="HZ64" s="52">
        <v>146.38</v>
      </c>
      <c r="IA64" s="52">
        <v>87.4</v>
      </c>
      <c r="IB64" s="52">
        <v>157.88</v>
      </c>
      <c r="IC64" s="52">
        <v>103.92</v>
      </c>
      <c r="ID64" s="52">
        <v>117.65</v>
      </c>
      <c r="IE64" s="52">
        <v>102.04</v>
      </c>
      <c r="IF64" s="52">
        <v>126.76</v>
      </c>
      <c r="IG64" s="52">
        <v>158.16</v>
      </c>
      <c r="IH64" s="52">
        <v>180.38</v>
      </c>
      <c r="II64" s="52">
        <v>204.49</v>
      </c>
      <c r="IJ64" s="52">
        <v>162.41</v>
      </c>
      <c r="IK64" s="52">
        <v>196.06</v>
      </c>
      <c r="IL64" s="52">
        <v>160.94</v>
      </c>
      <c r="IM64" s="52">
        <v>208.2</v>
      </c>
      <c r="IN64" s="52">
        <v>201.06</v>
      </c>
      <c r="IO64" s="52">
        <v>159.52000000000001</v>
      </c>
      <c r="IP64" s="52">
        <v>117.01</v>
      </c>
      <c r="IQ64" s="52">
        <v>149.74</v>
      </c>
      <c r="IR64" s="52">
        <v>225.46</v>
      </c>
      <c r="IS64" s="52">
        <v>159.68</v>
      </c>
      <c r="IT64" s="52">
        <v>46.93</v>
      </c>
      <c r="IU64" s="52">
        <v>124.38</v>
      </c>
      <c r="IV64" s="52">
        <v>68.84</v>
      </c>
      <c r="IW64" s="52">
        <v>91.71</v>
      </c>
      <c r="IX64" s="52">
        <v>137.07</v>
      </c>
      <c r="IY64" s="52">
        <v>141.65</v>
      </c>
      <c r="IZ64" s="52">
        <v>194.76</v>
      </c>
      <c r="JA64" s="52">
        <v>142.22999999999999</v>
      </c>
      <c r="JB64" s="52"/>
      <c r="JC64" s="52">
        <v>174.24</v>
      </c>
      <c r="JD64" s="52">
        <v>223.11</v>
      </c>
      <c r="JE64" s="52">
        <v>156.94999999999999</v>
      </c>
      <c r="JF64" s="52">
        <v>146.28</v>
      </c>
      <c r="JG64" s="52">
        <v>165.64</v>
      </c>
      <c r="JH64" s="52">
        <v>273.63</v>
      </c>
      <c r="JI64" s="52">
        <v>191.54</v>
      </c>
      <c r="JJ64" s="52">
        <v>148.72</v>
      </c>
      <c r="JK64" s="52">
        <v>195.61</v>
      </c>
      <c r="JL64" s="52">
        <v>206.04</v>
      </c>
      <c r="JM64" s="52">
        <v>193.12</v>
      </c>
      <c r="JN64" s="52">
        <v>190.83</v>
      </c>
      <c r="JO64" s="52">
        <v>156.44999999999999</v>
      </c>
      <c r="JP64" s="52">
        <v>220.14</v>
      </c>
      <c r="JQ64" s="52">
        <v>190.81</v>
      </c>
      <c r="JR64" s="52">
        <v>190.84</v>
      </c>
      <c r="JS64" s="52">
        <v>233.69</v>
      </c>
      <c r="JT64" s="52">
        <v>222.87</v>
      </c>
      <c r="JU64" s="52">
        <v>182.66</v>
      </c>
      <c r="JV64" s="52">
        <v>106.4</v>
      </c>
      <c r="JW64" s="52">
        <v>127.29</v>
      </c>
      <c r="JX64" s="52">
        <v>298.85000000000002</v>
      </c>
      <c r="JY64" s="52">
        <v>185.59</v>
      </c>
      <c r="JZ64" s="52">
        <v>171.14</v>
      </c>
      <c r="KA64" s="52">
        <v>203.31</v>
      </c>
      <c r="KB64" s="52">
        <v>220.49</v>
      </c>
      <c r="KC64" s="52">
        <v>119.79</v>
      </c>
      <c r="KD64" s="52">
        <v>156.31</v>
      </c>
      <c r="KE64" s="52">
        <v>208.2</v>
      </c>
      <c r="KF64" s="52">
        <v>239.01</v>
      </c>
    </row>
    <row r="65" spans="1:292" s="41" customFormat="1" ht="12">
      <c r="A65" s="41">
        <v>2009</v>
      </c>
      <c r="B65" s="54" t="s">
        <v>999</v>
      </c>
      <c r="C65" s="55" t="s">
        <v>1000</v>
      </c>
      <c r="D65" s="52">
        <v>170.91</v>
      </c>
      <c r="E65" s="52">
        <v>176.76</v>
      </c>
      <c r="F65" s="52">
        <v>232.88</v>
      </c>
      <c r="G65" s="52">
        <v>125.81</v>
      </c>
      <c r="H65" s="52">
        <v>201.47</v>
      </c>
      <c r="I65" s="52">
        <v>140.02000000000001</v>
      </c>
      <c r="J65" s="52">
        <v>127.11</v>
      </c>
      <c r="K65" s="52">
        <v>163.08000000000001</v>
      </c>
      <c r="L65" s="52">
        <v>115.17</v>
      </c>
      <c r="M65" s="52">
        <v>147.74</v>
      </c>
      <c r="N65" s="52">
        <v>181.79</v>
      </c>
      <c r="O65" s="52">
        <v>216.5</v>
      </c>
      <c r="P65" s="52">
        <v>188.01</v>
      </c>
      <c r="Q65" s="52">
        <v>177.59</v>
      </c>
      <c r="R65" s="52">
        <v>163.77000000000001</v>
      </c>
      <c r="S65" s="52">
        <v>206.1</v>
      </c>
      <c r="T65" s="52">
        <v>234.35</v>
      </c>
      <c r="U65" s="52">
        <v>121.25</v>
      </c>
      <c r="V65" s="52">
        <v>139.58000000000001</v>
      </c>
      <c r="W65" s="52">
        <v>258.08999999999997</v>
      </c>
      <c r="X65" s="52">
        <v>151.5</v>
      </c>
      <c r="Y65" s="52">
        <v>170.91</v>
      </c>
      <c r="Z65" s="52">
        <v>195.43</v>
      </c>
      <c r="AA65" s="52">
        <v>148.47999999999999</v>
      </c>
      <c r="AB65" s="52">
        <v>127.52</v>
      </c>
      <c r="AC65" s="52">
        <v>117.3</v>
      </c>
      <c r="AD65" s="52">
        <v>156.88</v>
      </c>
      <c r="AE65" s="52">
        <v>167.8</v>
      </c>
      <c r="AF65" s="52">
        <v>144.61000000000001</v>
      </c>
      <c r="AG65" s="52">
        <v>96.79</v>
      </c>
      <c r="AH65" s="52">
        <v>154.52000000000001</v>
      </c>
      <c r="AI65" s="52">
        <v>157.93</v>
      </c>
      <c r="AJ65" s="52">
        <v>113.19</v>
      </c>
      <c r="AK65" s="52">
        <v>181.86</v>
      </c>
      <c r="AL65" s="52">
        <v>195.75</v>
      </c>
      <c r="AM65" s="52">
        <v>159.68</v>
      </c>
      <c r="AN65" s="52">
        <v>46.72</v>
      </c>
      <c r="AO65" s="52">
        <v>125.69</v>
      </c>
      <c r="AP65" s="52">
        <v>79.69</v>
      </c>
      <c r="AQ65" s="52">
        <v>142.63999999999999</v>
      </c>
      <c r="AR65" s="52">
        <v>180.48</v>
      </c>
      <c r="AS65" s="52">
        <v>179.33</v>
      </c>
      <c r="AT65" s="52">
        <v>206.97</v>
      </c>
      <c r="AU65" s="52">
        <v>190.71</v>
      </c>
      <c r="AV65" s="52">
        <v>206.17</v>
      </c>
      <c r="AW65" s="52">
        <v>193.12</v>
      </c>
      <c r="AX65" s="52">
        <v>190.83</v>
      </c>
      <c r="AY65" s="52">
        <v>156.16999999999999</v>
      </c>
      <c r="AZ65" s="52">
        <v>212.8</v>
      </c>
      <c r="BA65" s="52">
        <v>208.57</v>
      </c>
      <c r="BB65" s="52">
        <v>143.22</v>
      </c>
      <c r="BC65" s="52">
        <v>273.52999999999997</v>
      </c>
      <c r="BD65" s="52">
        <v>202.46</v>
      </c>
      <c r="BE65" s="52">
        <v>166.07</v>
      </c>
      <c r="BF65" s="52">
        <v>208.2</v>
      </c>
      <c r="BG65" s="52">
        <v>239.07</v>
      </c>
      <c r="BH65" s="52">
        <v>182.12</v>
      </c>
      <c r="BI65" s="52">
        <v>194.22</v>
      </c>
      <c r="BJ65" s="52">
        <v>145.38999999999999</v>
      </c>
      <c r="BK65" s="52">
        <v>172.27</v>
      </c>
      <c r="BL65" s="52">
        <v>155.35</v>
      </c>
      <c r="BM65" s="52">
        <v>155.91</v>
      </c>
      <c r="BN65" s="52">
        <v>189.89</v>
      </c>
      <c r="BO65" s="52">
        <v>151.52000000000001</v>
      </c>
      <c r="BP65" s="52">
        <v>169.87</v>
      </c>
      <c r="BQ65" s="52">
        <v>182.02</v>
      </c>
      <c r="BR65" s="52">
        <v>146.87</v>
      </c>
      <c r="BS65" s="52">
        <v>217.01</v>
      </c>
      <c r="BT65" s="52">
        <v>185.85</v>
      </c>
      <c r="BU65" s="52">
        <v>191.97</v>
      </c>
      <c r="BV65" s="52">
        <v>234.35</v>
      </c>
      <c r="BW65" s="52">
        <v>120.14</v>
      </c>
      <c r="BX65" s="52">
        <v>128.71</v>
      </c>
      <c r="BY65" s="52">
        <v>181.51</v>
      </c>
      <c r="BZ65" s="52">
        <v>139.27000000000001</v>
      </c>
      <c r="CA65" s="52">
        <v>189.77</v>
      </c>
      <c r="CB65" s="53">
        <v>258.08999999999997</v>
      </c>
      <c r="CC65" s="52">
        <v>151.5</v>
      </c>
      <c r="CD65" s="52">
        <v>170.26</v>
      </c>
      <c r="CE65" s="52">
        <v>170.14</v>
      </c>
      <c r="CF65" s="52">
        <v>206.46</v>
      </c>
      <c r="CG65" s="52">
        <v>198.37</v>
      </c>
      <c r="CH65" s="52">
        <v>153.13999999999999</v>
      </c>
      <c r="CI65" s="52">
        <v>131.16999999999999</v>
      </c>
      <c r="CJ65" s="52">
        <v>127.52</v>
      </c>
      <c r="CK65" s="52">
        <v>109.69</v>
      </c>
      <c r="CL65" s="52">
        <v>115.38</v>
      </c>
      <c r="CM65" s="52">
        <v>200.69</v>
      </c>
      <c r="CN65" s="52">
        <v>156.88</v>
      </c>
      <c r="CO65" s="52">
        <v>167.8</v>
      </c>
      <c r="CP65" s="52">
        <v>120.77</v>
      </c>
      <c r="CQ65" s="52">
        <v>238.88</v>
      </c>
      <c r="CR65" s="52">
        <v>93.1</v>
      </c>
      <c r="CS65" s="52">
        <v>138.16</v>
      </c>
      <c r="CT65" s="52">
        <v>116.42</v>
      </c>
      <c r="CU65" s="52">
        <v>193.49</v>
      </c>
      <c r="CV65" s="52">
        <v>146.44</v>
      </c>
      <c r="CW65" s="52">
        <v>95.68</v>
      </c>
      <c r="CX65" s="52">
        <v>157.93</v>
      </c>
      <c r="CY65" s="52">
        <v>113.24</v>
      </c>
      <c r="CZ65" s="52">
        <v>101.93</v>
      </c>
      <c r="DA65" s="52">
        <v>126.78</v>
      </c>
      <c r="DB65" s="52">
        <v>159.15</v>
      </c>
      <c r="DC65" s="52">
        <v>181.6</v>
      </c>
      <c r="DD65" s="52">
        <v>200.67</v>
      </c>
      <c r="DE65" s="52">
        <v>162.6</v>
      </c>
      <c r="DF65" s="52">
        <v>185.04</v>
      </c>
      <c r="DG65" s="52">
        <v>199.31</v>
      </c>
      <c r="DH65" s="52">
        <v>116.07</v>
      </c>
      <c r="DI65" s="52">
        <v>149.74</v>
      </c>
      <c r="DJ65" s="52">
        <v>225.05</v>
      </c>
      <c r="DK65" s="52">
        <v>159.68</v>
      </c>
      <c r="DL65" s="52">
        <v>46.72</v>
      </c>
      <c r="DM65" s="52">
        <v>125.69</v>
      </c>
      <c r="DN65" s="52">
        <v>67.13</v>
      </c>
      <c r="DO65" s="52">
        <v>91.54</v>
      </c>
      <c r="DP65" s="52">
        <v>137.22999999999999</v>
      </c>
      <c r="DQ65" s="52">
        <v>142.63999999999999</v>
      </c>
      <c r="DR65" s="52">
        <v>195.82</v>
      </c>
      <c r="DS65" s="52">
        <v>141.93</v>
      </c>
      <c r="DT65" s="52"/>
      <c r="DU65" s="52">
        <v>174.39</v>
      </c>
      <c r="DV65" s="52">
        <v>217.2</v>
      </c>
      <c r="DW65" s="52">
        <v>149.47</v>
      </c>
      <c r="DX65" s="52">
        <v>165.64</v>
      </c>
      <c r="DY65" s="52">
        <v>277.17</v>
      </c>
      <c r="DZ65" s="52">
        <v>191.93</v>
      </c>
      <c r="EA65" s="52">
        <v>148.36000000000001</v>
      </c>
      <c r="EB65" s="52">
        <v>190.71</v>
      </c>
      <c r="EC65" s="52">
        <v>206.17</v>
      </c>
      <c r="ED65" s="52">
        <v>193.12</v>
      </c>
      <c r="EE65" s="52">
        <v>190.83</v>
      </c>
      <c r="EF65" s="52">
        <v>156.16999999999999</v>
      </c>
      <c r="EG65" s="52">
        <v>212.8</v>
      </c>
      <c r="EH65" s="52">
        <v>208.57</v>
      </c>
      <c r="EI65" s="52">
        <v>203.09</v>
      </c>
      <c r="EJ65" s="52">
        <v>106.27</v>
      </c>
      <c r="EK65" s="52">
        <v>126.55</v>
      </c>
      <c r="EL65" s="52">
        <v>305.64999999999998</v>
      </c>
      <c r="EM65" s="52">
        <v>181.28</v>
      </c>
      <c r="EN65" s="52">
        <v>202.46</v>
      </c>
      <c r="EO65" s="52">
        <v>220.41</v>
      </c>
      <c r="EP65" s="52">
        <v>119.79</v>
      </c>
      <c r="EQ65" s="52">
        <v>158.66</v>
      </c>
      <c r="ER65" s="52">
        <v>208.2</v>
      </c>
      <c r="ES65" s="52">
        <v>239.07</v>
      </c>
      <c r="ET65" s="52">
        <v>226.41</v>
      </c>
      <c r="EU65" s="52">
        <v>161.77000000000001</v>
      </c>
      <c r="EV65" s="52">
        <v>182.44</v>
      </c>
      <c r="EW65" s="52">
        <v>178.34</v>
      </c>
      <c r="EX65" s="52">
        <v>183.33</v>
      </c>
      <c r="EY65" s="52">
        <v>126.04</v>
      </c>
      <c r="EZ65" s="52">
        <v>193.85</v>
      </c>
      <c r="FA65" s="52">
        <v>222.84</v>
      </c>
      <c r="FB65" s="52">
        <v>190.79</v>
      </c>
      <c r="FC65" s="52">
        <v>180.07</v>
      </c>
      <c r="FD65" s="52">
        <v>155.61000000000001</v>
      </c>
      <c r="FE65" s="52">
        <v>145.38999999999999</v>
      </c>
      <c r="FF65" s="52"/>
      <c r="FG65" s="52">
        <v>148.37</v>
      </c>
      <c r="FH65" s="52">
        <v>156.25</v>
      </c>
      <c r="FI65" s="52">
        <v>180.82</v>
      </c>
      <c r="FJ65" s="52">
        <v>203.62</v>
      </c>
      <c r="FK65" s="52">
        <v>196.05</v>
      </c>
      <c r="FL65" s="52">
        <v>135.74</v>
      </c>
      <c r="FM65" s="52">
        <v>155.83000000000001</v>
      </c>
      <c r="FN65" s="52">
        <v>145.78</v>
      </c>
      <c r="FO65" s="52">
        <v>208.34</v>
      </c>
      <c r="FP65" s="52">
        <v>183.17</v>
      </c>
      <c r="FQ65" s="52">
        <v>191.63</v>
      </c>
      <c r="FR65" s="52">
        <v>243.03</v>
      </c>
      <c r="FS65" s="52">
        <v>181.05</v>
      </c>
      <c r="FT65" s="52">
        <v>141.94999999999999</v>
      </c>
      <c r="FU65" s="52">
        <v>193.23</v>
      </c>
      <c r="FV65" s="52">
        <v>161.38</v>
      </c>
      <c r="FW65" s="52">
        <v>109.33</v>
      </c>
      <c r="FX65" s="52">
        <v>169.87</v>
      </c>
      <c r="FY65" s="52">
        <v>183.53</v>
      </c>
      <c r="FZ65" s="52">
        <v>182.52</v>
      </c>
      <c r="GA65" s="52">
        <v>137.38</v>
      </c>
      <c r="GB65" s="52">
        <v>154.13999999999999</v>
      </c>
      <c r="GC65" s="52">
        <v>147.78</v>
      </c>
      <c r="GD65" s="52">
        <v>128.09</v>
      </c>
      <c r="GE65" s="52">
        <v>217.01</v>
      </c>
      <c r="GF65" s="52">
        <v>185.85</v>
      </c>
      <c r="GG65" s="52">
        <v>191.97</v>
      </c>
      <c r="GH65" s="52">
        <v>233.96</v>
      </c>
      <c r="GI65" s="52">
        <v>124.01</v>
      </c>
      <c r="GJ65" s="52">
        <v>119.88</v>
      </c>
      <c r="GK65" s="52">
        <v>110.4</v>
      </c>
      <c r="GL65" s="52">
        <v>135.47999999999999</v>
      </c>
      <c r="GM65" s="52">
        <v>128.71</v>
      </c>
      <c r="GN65" s="52">
        <v>181.51</v>
      </c>
      <c r="GO65" s="52">
        <v>136.30000000000001</v>
      </c>
      <c r="GP65" s="52">
        <v>142.88</v>
      </c>
      <c r="GQ65" s="52">
        <v>139.31</v>
      </c>
      <c r="GR65" s="52">
        <v>189.77</v>
      </c>
      <c r="GS65" s="52">
        <v>258.08999999999997</v>
      </c>
      <c r="GT65" s="52">
        <v>151.5</v>
      </c>
      <c r="GU65" s="52">
        <v>170.26</v>
      </c>
      <c r="GV65" s="52">
        <v>170.14</v>
      </c>
      <c r="GW65" s="52">
        <v>192.08</v>
      </c>
      <c r="GX65" s="52">
        <v>214.25</v>
      </c>
      <c r="GY65" s="52">
        <v>198.37</v>
      </c>
      <c r="GZ65" s="52">
        <v>178.74</v>
      </c>
      <c r="HA65" s="52">
        <v>160.97</v>
      </c>
      <c r="HB65" s="52">
        <v>146.63</v>
      </c>
      <c r="HC65" s="52">
        <v>131.16999999999999</v>
      </c>
      <c r="HD65" s="52">
        <v>127.52</v>
      </c>
      <c r="HE65" s="52">
        <v>94.61</v>
      </c>
      <c r="HF65" s="52">
        <v>103.53</v>
      </c>
      <c r="HG65" s="52">
        <v>111.66</v>
      </c>
      <c r="HH65" s="52">
        <v>146.08000000000001</v>
      </c>
      <c r="HI65" s="52">
        <v>76.81</v>
      </c>
      <c r="HJ65" s="52">
        <v>115.38</v>
      </c>
      <c r="HK65" s="52">
        <v>200.69</v>
      </c>
      <c r="HL65" s="52">
        <v>139.9</v>
      </c>
      <c r="HM65" s="52">
        <v>173.47</v>
      </c>
      <c r="HN65" s="52">
        <v>168.63</v>
      </c>
      <c r="HO65" s="52">
        <v>143.22999999999999</v>
      </c>
      <c r="HP65" s="52">
        <v>192.04</v>
      </c>
      <c r="HQ65" s="52">
        <v>117.11</v>
      </c>
      <c r="HR65" s="52">
        <v>152.21</v>
      </c>
      <c r="HS65" s="52">
        <v>240.47</v>
      </c>
      <c r="HT65" s="52">
        <v>182.98</v>
      </c>
      <c r="HU65" s="52">
        <v>93.1</v>
      </c>
      <c r="HV65" s="52">
        <v>138.16</v>
      </c>
      <c r="HW65" s="52">
        <v>127.6</v>
      </c>
      <c r="HX65" s="52">
        <v>96.14</v>
      </c>
      <c r="HY65" s="52">
        <v>193.49</v>
      </c>
      <c r="HZ65" s="52">
        <v>146.44</v>
      </c>
      <c r="IA65" s="52">
        <v>87.4</v>
      </c>
      <c r="IB65" s="52">
        <v>157.93</v>
      </c>
      <c r="IC65" s="52">
        <v>101.56</v>
      </c>
      <c r="ID65" s="52">
        <v>115.86</v>
      </c>
      <c r="IE65" s="52">
        <v>101.93</v>
      </c>
      <c r="IF65" s="52">
        <v>126.78</v>
      </c>
      <c r="IG65" s="52">
        <v>159.15</v>
      </c>
      <c r="IH65" s="52">
        <v>181.6</v>
      </c>
      <c r="II65" s="52">
        <v>200.67</v>
      </c>
      <c r="IJ65" s="52">
        <v>162.6</v>
      </c>
      <c r="IK65" s="52">
        <v>195.98</v>
      </c>
      <c r="IL65" s="52">
        <v>160.94</v>
      </c>
      <c r="IM65" s="52">
        <v>210.64</v>
      </c>
      <c r="IN65" s="52">
        <v>201.61</v>
      </c>
      <c r="IO65" s="52">
        <v>158.52000000000001</v>
      </c>
      <c r="IP65" s="52">
        <v>116.07</v>
      </c>
      <c r="IQ65" s="52">
        <v>149.74</v>
      </c>
      <c r="IR65" s="52">
        <v>225.05</v>
      </c>
      <c r="IS65" s="52">
        <v>159.68</v>
      </c>
      <c r="IT65" s="52">
        <v>46.72</v>
      </c>
      <c r="IU65" s="52">
        <v>125.69</v>
      </c>
      <c r="IV65" s="52">
        <v>68.73</v>
      </c>
      <c r="IW65" s="52">
        <v>91.54</v>
      </c>
      <c r="IX65" s="52">
        <v>137.22999999999999</v>
      </c>
      <c r="IY65" s="52">
        <v>142.63999999999999</v>
      </c>
      <c r="IZ65" s="52">
        <v>195.82</v>
      </c>
      <c r="JA65" s="52">
        <v>141.93</v>
      </c>
      <c r="JB65" s="52"/>
      <c r="JC65" s="52">
        <v>174.39</v>
      </c>
      <c r="JD65" s="52">
        <v>217.2</v>
      </c>
      <c r="JE65" s="52">
        <v>156.78</v>
      </c>
      <c r="JF65" s="52">
        <v>146.87</v>
      </c>
      <c r="JG65" s="52">
        <v>165.64</v>
      </c>
      <c r="JH65" s="52">
        <v>277.17</v>
      </c>
      <c r="JI65" s="52">
        <v>191.93</v>
      </c>
      <c r="JJ65" s="52">
        <v>148.36000000000001</v>
      </c>
      <c r="JK65" s="52">
        <v>190.71</v>
      </c>
      <c r="JL65" s="52">
        <v>206.17</v>
      </c>
      <c r="JM65" s="52">
        <v>193.12</v>
      </c>
      <c r="JN65" s="52">
        <v>190.83</v>
      </c>
      <c r="JO65" s="52">
        <v>156.16999999999999</v>
      </c>
      <c r="JP65" s="52">
        <v>221.35</v>
      </c>
      <c r="JQ65" s="52">
        <v>192.83</v>
      </c>
      <c r="JR65" s="52">
        <v>190.63</v>
      </c>
      <c r="JS65" s="52">
        <v>233.63</v>
      </c>
      <c r="JT65" s="52">
        <v>223.4</v>
      </c>
      <c r="JU65" s="52">
        <v>183.36</v>
      </c>
      <c r="JV65" s="52">
        <v>106.27</v>
      </c>
      <c r="JW65" s="52">
        <v>126.55</v>
      </c>
      <c r="JX65" s="52">
        <v>305.64999999999998</v>
      </c>
      <c r="JY65" s="52">
        <v>185.08</v>
      </c>
      <c r="JZ65" s="52">
        <v>172.91</v>
      </c>
      <c r="KA65" s="52">
        <v>202.46</v>
      </c>
      <c r="KB65" s="52">
        <v>220.41</v>
      </c>
      <c r="KC65" s="52">
        <v>119.79</v>
      </c>
      <c r="KD65" s="52">
        <v>158.66</v>
      </c>
      <c r="KE65" s="52">
        <v>208.2</v>
      </c>
      <c r="KF65" s="52">
        <v>239.07</v>
      </c>
    </row>
    <row r="66" spans="1:292" s="41" customFormat="1" ht="12">
      <c r="A66" s="41">
        <v>2010</v>
      </c>
      <c r="B66" s="54" t="s">
        <v>977</v>
      </c>
      <c r="C66" s="50" t="s">
        <v>978</v>
      </c>
      <c r="D66" s="52">
        <v>174.07</v>
      </c>
      <c r="E66" s="52">
        <v>179.55</v>
      </c>
      <c r="F66" s="52">
        <v>284.2</v>
      </c>
      <c r="G66" s="52">
        <v>115.49</v>
      </c>
      <c r="H66" s="52">
        <v>204.52</v>
      </c>
      <c r="I66" s="52">
        <v>141.02000000000001</v>
      </c>
      <c r="J66" s="52">
        <v>126.97</v>
      </c>
      <c r="K66" s="52">
        <v>168.84</v>
      </c>
      <c r="L66" s="52">
        <v>114.89</v>
      </c>
      <c r="M66" s="52">
        <v>147.34</v>
      </c>
      <c r="N66" s="52">
        <v>181.91</v>
      </c>
      <c r="O66" s="52">
        <v>218.9</v>
      </c>
      <c r="P66" s="52">
        <v>188.44</v>
      </c>
      <c r="Q66" s="52">
        <v>180.56</v>
      </c>
      <c r="R66" s="52">
        <v>164.31</v>
      </c>
      <c r="S66" s="52">
        <v>226.62</v>
      </c>
      <c r="T66" s="52">
        <v>287.24</v>
      </c>
      <c r="U66" s="52">
        <v>111.21</v>
      </c>
      <c r="V66" s="52">
        <v>128.47</v>
      </c>
      <c r="W66" s="52">
        <v>259.11</v>
      </c>
      <c r="X66" s="52">
        <v>151.69</v>
      </c>
      <c r="Y66" s="52">
        <v>176.52</v>
      </c>
      <c r="Z66" s="52">
        <v>199.25</v>
      </c>
      <c r="AA66" s="52">
        <v>150.37</v>
      </c>
      <c r="AB66" s="52">
        <v>127.56</v>
      </c>
      <c r="AC66" s="52">
        <v>118.54</v>
      </c>
      <c r="AD66" s="52">
        <v>157.12</v>
      </c>
      <c r="AE66" s="52">
        <v>167.98</v>
      </c>
      <c r="AF66" s="52">
        <v>144.91999999999999</v>
      </c>
      <c r="AG66" s="52">
        <v>96.11</v>
      </c>
      <c r="AH66" s="52">
        <v>154.96</v>
      </c>
      <c r="AI66" s="52">
        <v>158.36000000000001</v>
      </c>
      <c r="AJ66" s="52">
        <v>115.11</v>
      </c>
      <c r="AK66" s="52">
        <v>195.14</v>
      </c>
      <c r="AL66" s="52">
        <v>198.68</v>
      </c>
      <c r="AM66" s="52">
        <v>159.68</v>
      </c>
      <c r="AN66" s="52">
        <v>45.56</v>
      </c>
      <c r="AO66" s="52">
        <v>125.69</v>
      </c>
      <c r="AP66" s="52">
        <v>78.36</v>
      </c>
      <c r="AQ66" s="52">
        <v>142.62</v>
      </c>
      <c r="AR66" s="52">
        <v>179.58</v>
      </c>
      <c r="AS66" s="52">
        <v>180.44</v>
      </c>
      <c r="AT66" s="52">
        <v>209.68</v>
      </c>
      <c r="AU66" s="52">
        <v>188.8</v>
      </c>
      <c r="AV66" s="52">
        <v>206.19</v>
      </c>
      <c r="AW66" s="52">
        <v>193.3</v>
      </c>
      <c r="AX66" s="52">
        <v>190.83</v>
      </c>
      <c r="AY66" s="52">
        <v>156.30000000000001</v>
      </c>
      <c r="AZ66" s="52">
        <v>215.2</v>
      </c>
      <c r="BA66" s="52">
        <v>210.46</v>
      </c>
      <c r="BB66" s="52">
        <v>142.88</v>
      </c>
      <c r="BC66" s="52">
        <v>269.12</v>
      </c>
      <c r="BD66" s="52">
        <v>202.43</v>
      </c>
      <c r="BE66" s="52">
        <v>171.14</v>
      </c>
      <c r="BF66" s="52">
        <v>217.7</v>
      </c>
      <c r="BG66" s="52">
        <v>252.24</v>
      </c>
      <c r="BH66" s="52">
        <v>181.9</v>
      </c>
      <c r="BI66" s="52">
        <v>198.12</v>
      </c>
      <c r="BJ66" s="52">
        <v>157.36000000000001</v>
      </c>
      <c r="BK66" s="52">
        <v>175.08</v>
      </c>
      <c r="BL66" s="52">
        <v>155.99</v>
      </c>
      <c r="BM66" s="52">
        <v>151.63</v>
      </c>
      <c r="BN66" s="52">
        <v>202.6</v>
      </c>
      <c r="BO66" s="52">
        <v>152.03</v>
      </c>
      <c r="BP66" s="52">
        <v>170.04</v>
      </c>
      <c r="BQ66" s="52">
        <v>182.31</v>
      </c>
      <c r="BR66" s="52">
        <v>147.53</v>
      </c>
      <c r="BS66" s="52">
        <v>234.19</v>
      </c>
      <c r="BT66" s="52">
        <v>191.48</v>
      </c>
      <c r="BU66" s="52">
        <v>217.33</v>
      </c>
      <c r="BV66" s="52">
        <v>287.24</v>
      </c>
      <c r="BW66" s="52">
        <v>109.53</v>
      </c>
      <c r="BX66" s="52">
        <v>125.5</v>
      </c>
      <c r="BY66" s="52">
        <v>182.77</v>
      </c>
      <c r="BZ66" s="52">
        <v>128.08000000000001</v>
      </c>
      <c r="CA66" s="52">
        <v>193.02</v>
      </c>
      <c r="CB66" s="53">
        <v>259.11</v>
      </c>
      <c r="CC66" s="52">
        <v>151.69</v>
      </c>
      <c r="CD66" s="52">
        <v>175.85</v>
      </c>
      <c r="CE66" s="52">
        <v>172.07</v>
      </c>
      <c r="CF66" s="52">
        <v>215.31</v>
      </c>
      <c r="CG66" s="52">
        <v>197.15</v>
      </c>
      <c r="CH66" s="52">
        <v>155.18</v>
      </c>
      <c r="CI66" s="52">
        <v>132.33000000000001</v>
      </c>
      <c r="CJ66" s="52">
        <v>127.56</v>
      </c>
      <c r="CK66" s="52">
        <v>111.05</v>
      </c>
      <c r="CL66" s="52">
        <v>115.12</v>
      </c>
      <c r="CM66" s="52">
        <v>201.3</v>
      </c>
      <c r="CN66" s="52">
        <v>157.12</v>
      </c>
      <c r="CO66" s="52">
        <v>167.98</v>
      </c>
      <c r="CP66" s="52">
        <v>120.52</v>
      </c>
      <c r="CQ66" s="52">
        <v>242.37</v>
      </c>
      <c r="CR66" s="52">
        <v>92.27</v>
      </c>
      <c r="CS66" s="52">
        <v>138.66999999999999</v>
      </c>
      <c r="CT66" s="52">
        <v>116.32</v>
      </c>
      <c r="CU66" s="52">
        <v>194.23</v>
      </c>
      <c r="CV66" s="52">
        <v>146.52000000000001</v>
      </c>
      <c r="CW66" s="52">
        <v>96</v>
      </c>
      <c r="CX66" s="52">
        <v>158.36000000000001</v>
      </c>
      <c r="CY66" s="52">
        <v>115.22</v>
      </c>
      <c r="CZ66" s="52">
        <v>101.7</v>
      </c>
      <c r="DA66" s="52">
        <v>126.69</v>
      </c>
      <c r="DB66" s="52">
        <v>159.97</v>
      </c>
      <c r="DC66" s="52">
        <v>196.74</v>
      </c>
      <c r="DD66" s="52">
        <v>208.38</v>
      </c>
      <c r="DE66" s="52">
        <v>164.45</v>
      </c>
      <c r="DF66" s="52">
        <v>186.72</v>
      </c>
      <c r="DG66" s="52">
        <v>202.56</v>
      </c>
      <c r="DH66" s="52">
        <v>116</v>
      </c>
      <c r="DI66" s="52">
        <v>149.77000000000001</v>
      </c>
      <c r="DJ66" s="52">
        <v>226.44</v>
      </c>
      <c r="DK66" s="52">
        <v>159.68</v>
      </c>
      <c r="DL66" s="52">
        <v>45.56</v>
      </c>
      <c r="DM66" s="52">
        <v>125.69</v>
      </c>
      <c r="DN66" s="52">
        <v>66.22</v>
      </c>
      <c r="DO66" s="52">
        <v>89.42</v>
      </c>
      <c r="DP66" s="52">
        <v>137</v>
      </c>
      <c r="DQ66" s="52">
        <v>142.62</v>
      </c>
      <c r="DR66" s="52">
        <v>196.22</v>
      </c>
      <c r="DS66" s="52">
        <v>138.80000000000001</v>
      </c>
      <c r="DT66" s="52"/>
      <c r="DU66" s="52">
        <v>175.43</v>
      </c>
      <c r="DV66" s="52">
        <v>217.89</v>
      </c>
      <c r="DW66" s="52">
        <v>151.16999999999999</v>
      </c>
      <c r="DX66" s="52">
        <v>165.64</v>
      </c>
      <c r="DY66" s="52">
        <v>284.20999999999998</v>
      </c>
      <c r="DZ66" s="52">
        <v>193.06</v>
      </c>
      <c r="EA66" s="52">
        <v>148.59</v>
      </c>
      <c r="EB66" s="52">
        <v>188.8</v>
      </c>
      <c r="EC66" s="52">
        <v>206.19</v>
      </c>
      <c r="ED66" s="52">
        <v>193.3</v>
      </c>
      <c r="EE66" s="52">
        <v>190.83</v>
      </c>
      <c r="EF66" s="52">
        <v>156.30000000000001</v>
      </c>
      <c r="EG66" s="52">
        <v>215.2</v>
      </c>
      <c r="EH66" s="52">
        <v>210.46</v>
      </c>
      <c r="EI66" s="52">
        <v>204.42</v>
      </c>
      <c r="EJ66" s="52">
        <v>106.32</v>
      </c>
      <c r="EK66" s="52">
        <v>125.8</v>
      </c>
      <c r="EL66" s="52">
        <v>299.24</v>
      </c>
      <c r="EM66" s="52">
        <v>180.96</v>
      </c>
      <c r="EN66" s="52">
        <v>202.43</v>
      </c>
      <c r="EO66" s="52">
        <v>223.61</v>
      </c>
      <c r="EP66" s="52">
        <v>124</v>
      </c>
      <c r="EQ66" s="52">
        <v>163.80000000000001</v>
      </c>
      <c r="ER66" s="52">
        <v>217.7</v>
      </c>
      <c r="ES66" s="52">
        <v>252.24</v>
      </c>
      <c r="ET66" s="52">
        <v>226.91</v>
      </c>
      <c r="EU66" s="52">
        <v>161.79</v>
      </c>
      <c r="EV66" s="52">
        <v>181.83</v>
      </c>
      <c r="EW66" s="52">
        <v>178.97</v>
      </c>
      <c r="EX66" s="52">
        <v>181.12</v>
      </c>
      <c r="EY66" s="52">
        <v>126.34</v>
      </c>
      <c r="EZ66" s="52">
        <v>206.61</v>
      </c>
      <c r="FA66" s="52">
        <v>226.44</v>
      </c>
      <c r="FB66" s="52">
        <v>178.87</v>
      </c>
      <c r="FC66" s="52">
        <v>198.43</v>
      </c>
      <c r="FD66" s="52">
        <v>158.07</v>
      </c>
      <c r="FE66" s="52">
        <v>157.36000000000001</v>
      </c>
      <c r="FF66" s="52"/>
      <c r="FG66" s="52">
        <v>153.93</v>
      </c>
      <c r="FH66" s="52">
        <v>161.35</v>
      </c>
      <c r="FI66" s="52">
        <v>188.25</v>
      </c>
      <c r="FJ66" s="52">
        <v>187.06</v>
      </c>
      <c r="FK66" s="52">
        <v>203.27</v>
      </c>
      <c r="FL66" s="52">
        <v>136.22</v>
      </c>
      <c r="FM66" s="52">
        <v>155.62</v>
      </c>
      <c r="FN66" s="52">
        <v>140.61000000000001</v>
      </c>
      <c r="FO66" s="52">
        <v>209.28</v>
      </c>
      <c r="FP66" s="52">
        <v>198.43</v>
      </c>
      <c r="FQ66" s="52">
        <v>210.4</v>
      </c>
      <c r="FR66" s="52">
        <v>247.77</v>
      </c>
      <c r="FS66" s="52">
        <v>182.28</v>
      </c>
      <c r="FT66" s="52">
        <v>140.94999999999999</v>
      </c>
      <c r="FU66" s="52">
        <v>194.29</v>
      </c>
      <c r="FV66" s="52">
        <v>162.07</v>
      </c>
      <c r="FW66" s="52">
        <v>115.02</v>
      </c>
      <c r="FX66" s="52">
        <v>170.04</v>
      </c>
      <c r="FY66" s="52">
        <v>183.82</v>
      </c>
      <c r="FZ66" s="52">
        <v>182.82</v>
      </c>
      <c r="GA66" s="52">
        <v>137.41999999999999</v>
      </c>
      <c r="GB66" s="52">
        <v>154.62</v>
      </c>
      <c r="GC66" s="52">
        <v>148.33000000000001</v>
      </c>
      <c r="GD66" s="52">
        <v>129.37</v>
      </c>
      <c r="GE66" s="52">
        <v>234.19</v>
      </c>
      <c r="GF66" s="52">
        <v>191.48</v>
      </c>
      <c r="GG66" s="52">
        <v>217.33</v>
      </c>
      <c r="GH66" s="52">
        <v>286.77</v>
      </c>
      <c r="GI66" s="52">
        <v>114.71</v>
      </c>
      <c r="GJ66" s="52">
        <v>106.69</v>
      </c>
      <c r="GK66" s="52">
        <v>102.49</v>
      </c>
      <c r="GL66" s="52">
        <v>133.94999999999999</v>
      </c>
      <c r="GM66" s="52">
        <v>125.5</v>
      </c>
      <c r="GN66" s="52">
        <v>182.77</v>
      </c>
      <c r="GO66" s="52">
        <v>127.08</v>
      </c>
      <c r="GP66" s="52">
        <v>128.43</v>
      </c>
      <c r="GQ66" s="52">
        <v>129.57</v>
      </c>
      <c r="GR66" s="52">
        <v>193.02</v>
      </c>
      <c r="GS66" s="52">
        <v>259.11</v>
      </c>
      <c r="GT66" s="52">
        <v>151.69</v>
      </c>
      <c r="GU66" s="52">
        <v>175.85</v>
      </c>
      <c r="GV66" s="52">
        <v>172.07</v>
      </c>
      <c r="GW66" s="52">
        <v>193.14</v>
      </c>
      <c r="GX66" s="52">
        <v>229.15</v>
      </c>
      <c r="GY66" s="52">
        <v>197.15</v>
      </c>
      <c r="GZ66" s="52">
        <v>179.27</v>
      </c>
      <c r="HA66" s="52">
        <v>163.24</v>
      </c>
      <c r="HB66" s="52">
        <v>148.80000000000001</v>
      </c>
      <c r="HC66" s="52">
        <v>132.33000000000001</v>
      </c>
      <c r="HD66" s="52">
        <v>127.56</v>
      </c>
      <c r="HE66" s="52">
        <v>95.58</v>
      </c>
      <c r="HF66" s="52">
        <v>106.61</v>
      </c>
      <c r="HG66" s="52">
        <v>115.35</v>
      </c>
      <c r="HH66" s="52">
        <v>145.66</v>
      </c>
      <c r="HI66" s="52">
        <v>76.78</v>
      </c>
      <c r="HJ66" s="52">
        <v>115.12</v>
      </c>
      <c r="HK66" s="52">
        <v>201.3</v>
      </c>
      <c r="HL66" s="52">
        <v>140.01</v>
      </c>
      <c r="HM66" s="52">
        <v>173.6</v>
      </c>
      <c r="HN66" s="52">
        <v>169.01</v>
      </c>
      <c r="HO66" s="52">
        <v>143.16999999999999</v>
      </c>
      <c r="HP66" s="52">
        <v>192.58</v>
      </c>
      <c r="HQ66" s="52">
        <v>116.5</v>
      </c>
      <c r="HR66" s="52">
        <v>154.6</v>
      </c>
      <c r="HS66" s="52">
        <v>244.18</v>
      </c>
      <c r="HT66" s="52">
        <v>182.78</v>
      </c>
      <c r="HU66" s="52">
        <v>92.27</v>
      </c>
      <c r="HV66" s="52">
        <v>138.66999999999999</v>
      </c>
      <c r="HW66" s="52">
        <v>127.57</v>
      </c>
      <c r="HX66" s="52">
        <v>95.98</v>
      </c>
      <c r="HY66" s="52">
        <v>194.23</v>
      </c>
      <c r="HZ66" s="52">
        <v>146.52000000000001</v>
      </c>
      <c r="IA66" s="52">
        <v>87.7</v>
      </c>
      <c r="IB66" s="52">
        <v>158.36000000000001</v>
      </c>
      <c r="IC66" s="52">
        <v>103.6</v>
      </c>
      <c r="ID66" s="52">
        <v>117.6</v>
      </c>
      <c r="IE66" s="52">
        <v>101.7</v>
      </c>
      <c r="IF66" s="52">
        <v>126.69</v>
      </c>
      <c r="IG66" s="52">
        <v>159.97</v>
      </c>
      <c r="IH66" s="52">
        <v>196.74</v>
      </c>
      <c r="II66" s="52">
        <v>208.38</v>
      </c>
      <c r="IJ66" s="52">
        <v>164.45</v>
      </c>
      <c r="IK66" s="52">
        <v>198.76</v>
      </c>
      <c r="IL66" s="52">
        <v>160.94</v>
      </c>
      <c r="IM66" s="52">
        <v>215.63</v>
      </c>
      <c r="IN66" s="52">
        <v>205.31</v>
      </c>
      <c r="IO66" s="52">
        <v>156.55000000000001</v>
      </c>
      <c r="IP66" s="52">
        <v>116</v>
      </c>
      <c r="IQ66" s="52">
        <v>149.77000000000001</v>
      </c>
      <c r="IR66" s="52">
        <v>226.44</v>
      </c>
      <c r="IS66" s="52">
        <v>159.68</v>
      </c>
      <c r="IT66" s="52">
        <v>45.56</v>
      </c>
      <c r="IU66" s="52">
        <v>125.69</v>
      </c>
      <c r="IV66" s="52">
        <v>67.75</v>
      </c>
      <c r="IW66" s="52">
        <v>89.42</v>
      </c>
      <c r="IX66" s="52">
        <v>137</v>
      </c>
      <c r="IY66" s="52">
        <v>142.62</v>
      </c>
      <c r="IZ66" s="52">
        <v>196.22</v>
      </c>
      <c r="JA66" s="52">
        <v>138.80000000000001</v>
      </c>
      <c r="JB66" s="52"/>
      <c r="JC66" s="52">
        <v>175.43</v>
      </c>
      <c r="JD66" s="52">
        <v>217.89</v>
      </c>
      <c r="JE66" s="52">
        <v>157.81</v>
      </c>
      <c r="JF66" s="52">
        <v>148.72</v>
      </c>
      <c r="JG66" s="52">
        <v>165.64</v>
      </c>
      <c r="JH66" s="52">
        <v>284.20999999999998</v>
      </c>
      <c r="JI66" s="52">
        <v>193.06</v>
      </c>
      <c r="JJ66" s="52">
        <v>148.59</v>
      </c>
      <c r="JK66" s="52">
        <v>188.8</v>
      </c>
      <c r="JL66" s="52">
        <v>206.19</v>
      </c>
      <c r="JM66" s="52">
        <v>193.3</v>
      </c>
      <c r="JN66" s="52">
        <v>190.83</v>
      </c>
      <c r="JO66" s="52">
        <v>156.30000000000001</v>
      </c>
      <c r="JP66" s="52">
        <v>223.4</v>
      </c>
      <c r="JQ66" s="52">
        <v>196.12</v>
      </c>
      <c r="JR66" s="52">
        <v>190.77</v>
      </c>
      <c r="JS66" s="52">
        <v>241.13</v>
      </c>
      <c r="JT66" s="52">
        <v>225.42</v>
      </c>
      <c r="JU66" s="52">
        <v>184.03</v>
      </c>
      <c r="JV66" s="52">
        <v>106.32</v>
      </c>
      <c r="JW66" s="52">
        <v>125.8</v>
      </c>
      <c r="JX66" s="52">
        <v>299.24</v>
      </c>
      <c r="JY66" s="52">
        <v>184.62</v>
      </c>
      <c r="JZ66" s="52">
        <v>172.8</v>
      </c>
      <c r="KA66" s="52">
        <v>202.43</v>
      </c>
      <c r="KB66" s="52">
        <v>223.61</v>
      </c>
      <c r="KC66" s="52">
        <v>124</v>
      </c>
      <c r="KD66" s="52">
        <v>163.80000000000001</v>
      </c>
      <c r="KE66" s="52">
        <v>217.7</v>
      </c>
      <c r="KF66" s="52">
        <v>252.24</v>
      </c>
    </row>
    <row r="67" spans="1:292" s="41" customFormat="1" ht="12">
      <c r="A67" s="41">
        <v>2010</v>
      </c>
      <c r="B67" s="54" t="s">
        <v>979</v>
      </c>
      <c r="C67" s="55" t="s">
        <v>980</v>
      </c>
      <c r="D67" s="52">
        <v>176.59</v>
      </c>
      <c r="E67" s="52">
        <v>188.55</v>
      </c>
      <c r="F67" s="52">
        <v>294.77999999999997</v>
      </c>
      <c r="G67" s="52">
        <v>109.43</v>
      </c>
      <c r="H67" s="52">
        <v>205.32</v>
      </c>
      <c r="I67" s="52">
        <v>140.86000000000001</v>
      </c>
      <c r="J67" s="52">
        <v>126.71</v>
      </c>
      <c r="K67" s="52">
        <v>169.55</v>
      </c>
      <c r="L67" s="52">
        <v>115.02</v>
      </c>
      <c r="M67" s="52">
        <v>146.5</v>
      </c>
      <c r="N67" s="52">
        <v>181.94</v>
      </c>
      <c r="O67" s="52">
        <v>221.46</v>
      </c>
      <c r="P67" s="52">
        <v>188.85</v>
      </c>
      <c r="Q67" s="52">
        <v>190.24</v>
      </c>
      <c r="R67" s="52">
        <v>164.27</v>
      </c>
      <c r="S67" s="52">
        <v>227.24</v>
      </c>
      <c r="T67" s="52">
        <v>298.32</v>
      </c>
      <c r="U67" s="52">
        <v>105.21</v>
      </c>
      <c r="V67" s="52">
        <v>122.37</v>
      </c>
      <c r="W67" s="52">
        <v>259.83999999999997</v>
      </c>
      <c r="X67" s="52">
        <v>152.11000000000001</v>
      </c>
      <c r="Y67" s="52">
        <v>176.43</v>
      </c>
      <c r="Z67" s="52">
        <v>200.51</v>
      </c>
      <c r="AA67" s="52">
        <v>150.57</v>
      </c>
      <c r="AB67" s="52">
        <v>127.68</v>
      </c>
      <c r="AC67" s="52">
        <v>119.37</v>
      </c>
      <c r="AD67" s="52">
        <v>157.74</v>
      </c>
      <c r="AE67" s="52">
        <v>168.15</v>
      </c>
      <c r="AF67" s="52">
        <v>142.74</v>
      </c>
      <c r="AG67" s="52">
        <v>95.44</v>
      </c>
      <c r="AH67" s="52">
        <v>155.15</v>
      </c>
      <c r="AI67" s="52">
        <v>158.44999999999999</v>
      </c>
      <c r="AJ67" s="52">
        <v>115.06</v>
      </c>
      <c r="AK67" s="52">
        <v>196.65</v>
      </c>
      <c r="AL67" s="52">
        <v>199.93</v>
      </c>
      <c r="AM67" s="52">
        <v>159.68</v>
      </c>
      <c r="AN67" s="52">
        <v>46.1</v>
      </c>
      <c r="AO67" s="52">
        <v>125.69</v>
      </c>
      <c r="AP67" s="52">
        <v>78.069999999999993</v>
      </c>
      <c r="AQ67" s="52">
        <v>142.78</v>
      </c>
      <c r="AR67" s="52">
        <v>179.88</v>
      </c>
      <c r="AS67" s="52">
        <v>179.7</v>
      </c>
      <c r="AT67" s="52">
        <v>206.42</v>
      </c>
      <c r="AU67" s="52">
        <v>188.94</v>
      </c>
      <c r="AV67" s="52">
        <v>206.19</v>
      </c>
      <c r="AW67" s="52">
        <v>194.38</v>
      </c>
      <c r="AX67" s="52">
        <v>190.83</v>
      </c>
      <c r="AY67" s="52">
        <v>155.49</v>
      </c>
      <c r="AZ67" s="52">
        <v>217.95</v>
      </c>
      <c r="BA67" s="52">
        <v>210.4</v>
      </c>
      <c r="BB67" s="52">
        <v>143.43</v>
      </c>
      <c r="BC67" s="52">
        <v>268.63</v>
      </c>
      <c r="BD67" s="52">
        <v>202.92</v>
      </c>
      <c r="BE67" s="52">
        <v>173.01</v>
      </c>
      <c r="BF67" s="52">
        <v>217.7</v>
      </c>
      <c r="BG67" s="52">
        <v>252.21</v>
      </c>
      <c r="BH67" s="52">
        <v>183.23</v>
      </c>
      <c r="BI67" s="52">
        <v>207.6</v>
      </c>
      <c r="BJ67" s="52">
        <v>160.54</v>
      </c>
      <c r="BK67" s="52">
        <v>180.75</v>
      </c>
      <c r="BL67" s="52">
        <v>155.22</v>
      </c>
      <c r="BM67" s="52">
        <v>156</v>
      </c>
      <c r="BN67" s="52">
        <v>241.03</v>
      </c>
      <c r="BO67" s="52">
        <v>152.22</v>
      </c>
      <c r="BP67" s="52">
        <v>170.89</v>
      </c>
      <c r="BQ67" s="52">
        <v>182.75</v>
      </c>
      <c r="BR67" s="52">
        <v>147.22</v>
      </c>
      <c r="BS67" s="52">
        <v>234.24</v>
      </c>
      <c r="BT67" s="52">
        <v>192.97</v>
      </c>
      <c r="BU67" s="52">
        <v>218.35</v>
      </c>
      <c r="BV67" s="52">
        <v>298.32</v>
      </c>
      <c r="BW67" s="52">
        <v>103.19</v>
      </c>
      <c r="BX67" s="52">
        <v>123.52</v>
      </c>
      <c r="BY67" s="52">
        <v>182.94</v>
      </c>
      <c r="BZ67" s="52">
        <v>121.95</v>
      </c>
      <c r="CA67" s="52">
        <v>194.76</v>
      </c>
      <c r="CB67" s="53">
        <v>259.83999999999997</v>
      </c>
      <c r="CC67" s="52">
        <v>152.11000000000001</v>
      </c>
      <c r="CD67" s="52">
        <v>175.76</v>
      </c>
      <c r="CE67" s="52">
        <v>172.07</v>
      </c>
      <c r="CF67" s="52">
        <v>219.41</v>
      </c>
      <c r="CG67" s="52">
        <v>196.18</v>
      </c>
      <c r="CH67" s="52">
        <v>155.22</v>
      </c>
      <c r="CI67" s="52">
        <v>133.4</v>
      </c>
      <c r="CJ67" s="52">
        <v>127.68</v>
      </c>
      <c r="CK67" s="52">
        <v>111.49</v>
      </c>
      <c r="CL67" s="52">
        <v>114.61</v>
      </c>
      <c r="CM67" s="52">
        <v>212.22</v>
      </c>
      <c r="CN67" s="52">
        <v>157.74</v>
      </c>
      <c r="CO67" s="52">
        <v>168.15</v>
      </c>
      <c r="CP67" s="52">
        <v>117.99</v>
      </c>
      <c r="CQ67" s="52">
        <v>242.9</v>
      </c>
      <c r="CR67" s="52">
        <v>91.45</v>
      </c>
      <c r="CS67" s="52">
        <v>139.06</v>
      </c>
      <c r="CT67" s="52">
        <v>116.33</v>
      </c>
      <c r="CU67" s="52">
        <v>194.54</v>
      </c>
      <c r="CV67" s="52">
        <v>146.63</v>
      </c>
      <c r="CW67" s="52">
        <v>96.09</v>
      </c>
      <c r="CX67" s="52">
        <v>158.44999999999999</v>
      </c>
      <c r="CY67" s="52">
        <v>115.16</v>
      </c>
      <c r="CZ67" s="52">
        <v>102.06</v>
      </c>
      <c r="DA67" s="52">
        <v>126.34</v>
      </c>
      <c r="DB67" s="52">
        <v>160.37</v>
      </c>
      <c r="DC67" s="52">
        <v>198.14</v>
      </c>
      <c r="DD67" s="52">
        <v>212.13</v>
      </c>
      <c r="DE67" s="52">
        <v>163.99</v>
      </c>
      <c r="DF67" s="52">
        <v>187.14</v>
      </c>
      <c r="DG67" s="52">
        <v>204.03</v>
      </c>
      <c r="DH67" s="52">
        <v>115.41</v>
      </c>
      <c r="DI67" s="52">
        <v>149.77000000000001</v>
      </c>
      <c r="DJ67" s="52">
        <v>226.17</v>
      </c>
      <c r="DK67" s="52">
        <v>159.68</v>
      </c>
      <c r="DL67" s="52">
        <v>46.1</v>
      </c>
      <c r="DM67" s="52">
        <v>125.69</v>
      </c>
      <c r="DN67" s="52">
        <v>65.53</v>
      </c>
      <c r="DO67" s="52">
        <v>89.67</v>
      </c>
      <c r="DP67" s="52">
        <v>137.56</v>
      </c>
      <c r="DQ67" s="52">
        <v>142.78</v>
      </c>
      <c r="DR67" s="52">
        <v>197.02</v>
      </c>
      <c r="DS67" s="52">
        <v>138.22</v>
      </c>
      <c r="DT67" s="52"/>
      <c r="DU67" s="52">
        <v>175.66</v>
      </c>
      <c r="DV67" s="52">
        <v>212.42</v>
      </c>
      <c r="DW67" s="52">
        <v>154.41</v>
      </c>
      <c r="DX67" s="52">
        <v>165.64</v>
      </c>
      <c r="DY67" s="52">
        <v>273.87</v>
      </c>
      <c r="DZ67" s="52">
        <v>193.06</v>
      </c>
      <c r="EA67" s="52">
        <v>148.69</v>
      </c>
      <c r="EB67" s="52">
        <v>188.94</v>
      </c>
      <c r="EC67" s="52">
        <v>206.19</v>
      </c>
      <c r="ED67" s="52">
        <v>194.38</v>
      </c>
      <c r="EE67" s="52">
        <v>190.83</v>
      </c>
      <c r="EF67" s="52">
        <v>155.49</v>
      </c>
      <c r="EG67" s="52">
        <v>217.95</v>
      </c>
      <c r="EH67" s="52">
        <v>210.4</v>
      </c>
      <c r="EI67" s="52">
        <v>206.17</v>
      </c>
      <c r="EJ67" s="52">
        <v>105.91</v>
      </c>
      <c r="EK67" s="52">
        <v>126.09</v>
      </c>
      <c r="EL67" s="52">
        <v>298.45</v>
      </c>
      <c r="EM67" s="52">
        <v>181.05</v>
      </c>
      <c r="EN67" s="52">
        <v>202.92</v>
      </c>
      <c r="EO67" s="52">
        <v>224.12</v>
      </c>
      <c r="EP67" s="52">
        <v>124</v>
      </c>
      <c r="EQ67" s="52">
        <v>166.13</v>
      </c>
      <c r="ER67" s="52">
        <v>217.7</v>
      </c>
      <c r="ES67" s="52">
        <v>252.21</v>
      </c>
      <c r="ET67" s="52">
        <v>227.83</v>
      </c>
      <c r="EU67" s="52">
        <v>162.38999999999999</v>
      </c>
      <c r="EV67" s="52">
        <v>183.83</v>
      </c>
      <c r="EW67" s="52">
        <v>180.38</v>
      </c>
      <c r="EX67" s="52">
        <v>176.46</v>
      </c>
      <c r="EY67" s="52">
        <v>127.08</v>
      </c>
      <c r="EZ67" s="52">
        <v>218.6</v>
      </c>
      <c r="FA67" s="52">
        <v>230.47</v>
      </c>
      <c r="FB67" s="52">
        <v>190.65</v>
      </c>
      <c r="FC67" s="52">
        <v>219.43</v>
      </c>
      <c r="FD67" s="52">
        <v>164.28</v>
      </c>
      <c r="FE67" s="52">
        <v>160.54</v>
      </c>
      <c r="FF67" s="52"/>
      <c r="FG67" s="52">
        <v>157.01</v>
      </c>
      <c r="FH67" s="52">
        <v>166.13</v>
      </c>
      <c r="FI67" s="52">
        <v>194.65</v>
      </c>
      <c r="FJ67" s="52">
        <v>196.02</v>
      </c>
      <c r="FK67" s="52">
        <v>205.49</v>
      </c>
      <c r="FL67" s="52">
        <v>136.97</v>
      </c>
      <c r="FM67" s="52">
        <v>154.11000000000001</v>
      </c>
      <c r="FN67" s="52">
        <v>145.19999999999999</v>
      </c>
      <c r="FO67" s="52">
        <v>212.28</v>
      </c>
      <c r="FP67" s="52">
        <v>251.52</v>
      </c>
      <c r="FQ67" s="52">
        <v>228.57</v>
      </c>
      <c r="FR67" s="52">
        <v>249.19</v>
      </c>
      <c r="FS67" s="52">
        <v>182.41</v>
      </c>
      <c r="FT67" s="52">
        <v>140.59</v>
      </c>
      <c r="FU67" s="52">
        <v>193.98</v>
      </c>
      <c r="FV67" s="52">
        <v>163.66999999999999</v>
      </c>
      <c r="FW67" s="52">
        <v>114.7</v>
      </c>
      <c r="FX67" s="52">
        <v>170.89</v>
      </c>
      <c r="FY67" s="52">
        <v>184.37</v>
      </c>
      <c r="FZ67" s="52">
        <v>183.29</v>
      </c>
      <c r="GA67" s="52">
        <v>136.21</v>
      </c>
      <c r="GB67" s="52">
        <v>154.66999999999999</v>
      </c>
      <c r="GC67" s="52">
        <v>148.22</v>
      </c>
      <c r="GD67" s="52">
        <v>127.82</v>
      </c>
      <c r="GE67" s="52">
        <v>234.24</v>
      </c>
      <c r="GF67" s="52">
        <v>192.97</v>
      </c>
      <c r="GG67" s="52">
        <v>218.35</v>
      </c>
      <c r="GH67" s="52">
        <v>297.82</v>
      </c>
      <c r="GI67" s="52">
        <v>108.87</v>
      </c>
      <c r="GJ67" s="52">
        <v>99.28</v>
      </c>
      <c r="GK67" s="52">
        <v>97.27</v>
      </c>
      <c r="GL67" s="52">
        <v>132.74</v>
      </c>
      <c r="GM67" s="52">
        <v>123.52</v>
      </c>
      <c r="GN67" s="52">
        <v>182.94</v>
      </c>
      <c r="GO67" s="52">
        <v>121.28</v>
      </c>
      <c r="GP67" s="52">
        <v>121.16</v>
      </c>
      <c r="GQ67" s="52">
        <v>124.73</v>
      </c>
      <c r="GR67" s="52">
        <v>194.76</v>
      </c>
      <c r="GS67" s="52">
        <v>259.83999999999997</v>
      </c>
      <c r="GT67" s="52">
        <v>152.11000000000001</v>
      </c>
      <c r="GU67" s="52">
        <v>175.76</v>
      </c>
      <c r="GV67" s="52">
        <v>172.07</v>
      </c>
      <c r="GW67" s="52">
        <v>193.26</v>
      </c>
      <c r="GX67" s="52">
        <v>236.34</v>
      </c>
      <c r="GY67" s="52">
        <v>196.18</v>
      </c>
      <c r="GZ67" s="52">
        <v>179.69</v>
      </c>
      <c r="HA67" s="52">
        <v>163.13999999999999</v>
      </c>
      <c r="HB67" s="52">
        <v>148.86000000000001</v>
      </c>
      <c r="HC67" s="52">
        <v>133.4</v>
      </c>
      <c r="HD67" s="52">
        <v>127.68</v>
      </c>
      <c r="HE67" s="52">
        <v>96.9</v>
      </c>
      <c r="HF67" s="52">
        <v>106.99</v>
      </c>
      <c r="HG67" s="52">
        <v>115.46</v>
      </c>
      <c r="HH67" s="52">
        <v>145.54</v>
      </c>
      <c r="HI67" s="52">
        <v>76.27</v>
      </c>
      <c r="HJ67" s="52">
        <v>114.61</v>
      </c>
      <c r="HK67" s="52">
        <v>212.22</v>
      </c>
      <c r="HL67" s="52">
        <v>140.56</v>
      </c>
      <c r="HM67" s="52">
        <v>174.03</v>
      </c>
      <c r="HN67" s="52">
        <v>169.71</v>
      </c>
      <c r="HO67" s="52">
        <v>143.1</v>
      </c>
      <c r="HP67" s="52">
        <v>193.09</v>
      </c>
      <c r="HQ67" s="52">
        <v>113.67</v>
      </c>
      <c r="HR67" s="52">
        <v>154.33000000000001</v>
      </c>
      <c r="HS67" s="52">
        <v>244.71</v>
      </c>
      <c r="HT67" s="52">
        <v>183.25</v>
      </c>
      <c r="HU67" s="52">
        <v>91.45</v>
      </c>
      <c r="HV67" s="52">
        <v>139.06</v>
      </c>
      <c r="HW67" s="52">
        <v>127.55</v>
      </c>
      <c r="HX67" s="52">
        <v>96.02</v>
      </c>
      <c r="HY67" s="52">
        <v>194.54</v>
      </c>
      <c r="HZ67" s="52">
        <v>146.63</v>
      </c>
      <c r="IA67" s="52">
        <v>87.78</v>
      </c>
      <c r="IB67" s="52">
        <v>158.44999999999999</v>
      </c>
      <c r="IC67" s="52">
        <v>103.35</v>
      </c>
      <c r="ID67" s="52">
        <v>117.76</v>
      </c>
      <c r="IE67" s="52">
        <v>102.06</v>
      </c>
      <c r="IF67" s="52">
        <v>126.34</v>
      </c>
      <c r="IG67" s="52">
        <v>160.37</v>
      </c>
      <c r="IH67" s="52">
        <v>198.14</v>
      </c>
      <c r="II67" s="52">
        <v>212.13</v>
      </c>
      <c r="IJ67" s="52">
        <v>163.99</v>
      </c>
      <c r="IK67" s="52">
        <v>199.27</v>
      </c>
      <c r="IL67" s="52">
        <v>161.22999999999999</v>
      </c>
      <c r="IM67" s="52">
        <v>217.36</v>
      </c>
      <c r="IN67" s="52">
        <v>206.12</v>
      </c>
      <c r="IO67" s="52">
        <v>157.41</v>
      </c>
      <c r="IP67" s="52">
        <v>115.41</v>
      </c>
      <c r="IQ67" s="52">
        <v>149.77000000000001</v>
      </c>
      <c r="IR67" s="52">
        <v>226.17</v>
      </c>
      <c r="IS67" s="52">
        <v>159.68</v>
      </c>
      <c r="IT67" s="52">
        <v>46.1</v>
      </c>
      <c r="IU67" s="52">
        <v>125.69</v>
      </c>
      <c r="IV67" s="52">
        <v>67.05</v>
      </c>
      <c r="IW67" s="52">
        <v>89.67</v>
      </c>
      <c r="IX67" s="52">
        <v>137.56</v>
      </c>
      <c r="IY67" s="52">
        <v>142.78</v>
      </c>
      <c r="IZ67" s="52">
        <v>197.02</v>
      </c>
      <c r="JA67" s="52">
        <v>138.22</v>
      </c>
      <c r="JB67" s="52"/>
      <c r="JC67" s="52">
        <v>175.66</v>
      </c>
      <c r="JD67" s="52">
        <v>212.42</v>
      </c>
      <c r="JE67" s="52">
        <v>158.88</v>
      </c>
      <c r="JF67" s="52">
        <v>152.47</v>
      </c>
      <c r="JG67" s="52">
        <v>165.64</v>
      </c>
      <c r="JH67" s="52">
        <v>273.87</v>
      </c>
      <c r="JI67" s="52">
        <v>193.06</v>
      </c>
      <c r="JJ67" s="52">
        <v>148.69</v>
      </c>
      <c r="JK67" s="52">
        <v>188.94</v>
      </c>
      <c r="JL67" s="52">
        <v>206.19</v>
      </c>
      <c r="JM67" s="52">
        <v>194.38</v>
      </c>
      <c r="JN67" s="52">
        <v>190.83</v>
      </c>
      <c r="JO67" s="52">
        <v>155.49</v>
      </c>
      <c r="JP67" s="52">
        <v>226.47</v>
      </c>
      <c r="JQ67" s="52">
        <v>198.07</v>
      </c>
      <c r="JR67" s="52">
        <v>190.7</v>
      </c>
      <c r="JS67" s="52">
        <v>241.08</v>
      </c>
      <c r="JT67" s="52">
        <v>227.24</v>
      </c>
      <c r="JU67" s="52">
        <v>185.73</v>
      </c>
      <c r="JV67" s="52">
        <v>105.91</v>
      </c>
      <c r="JW67" s="52">
        <v>126.09</v>
      </c>
      <c r="JX67" s="52">
        <v>298.45</v>
      </c>
      <c r="JY67" s="52">
        <v>184.74</v>
      </c>
      <c r="JZ67" s="52">
        <v>172.83</v>
      </c>
      <c r="KA67" s="52">
        <v>202.92</v>
      </c>
      <c r="KB67" s="52">
        <v>224.12</v>
      </c>
      <c r="KC67" s="52">
        <v>124</v>
      </c>
      <c r="KD67" s="52">
        <v>166.13</v>
      </c>
      <c r="KE67" s="52">
        <v>217.7</v>
      </c>
      <c r="KF67" s="52">
        <v>252.21</v>
      </c>
    </row>
    <row r="68" spans="1:292" s="41" customFormat="1" ht="12">
      <c r="A68" s="41">
        <v>2010</v>
      </c>
      <c r="B68" s="54" t="s">
        <v>981</v>
      </c>
      <c r="C68" s="55" t="s">
        <v>982</v>
      </c>
      <c r="D68" s="52">
        <v>177.62</v>
      </c>
      <c r="E68" s="52">
        <v>189.72</v>
      </c>
      <c r="F68" s="52">
        <v>294.82</v>
      </c>
      <c r="G68" s="52">
        <v>110.19</v>
      </c>
      <c r="H68" s="52">
        <v>205.73</v>
      </c>
      <c r="I68" s="52">
        <v>140.22999999999999</v>
      </c>
      <c r="J68" s="52">
        <v>126.76</v>
      </c>
      <c r="K68" s="52">
        <v>170.79</v>
      </c>
      <c r="L68" s="52">
        <v>118.63</v>
      </c>
      <c r="M68" s="52">
        <v>147.51</v>
      </c>
      <c r="N68" s="52">
        <v>182.59</v>
      </c>
      <c r="O68" s="52">
        <v>223.64</v>
      </c>
      <c r="P68" s="52">
        <v>190.17</v>
      </c>
      <c r="Q68" s="52">
        <v>191.5</v>
      </c>
      <c r="R68" s="52">
        <v>164.23</v>
      </c>
      <c r="S68" s="52">
        <v>228.1</v>
      </c>
      <c r="T68" s="52">
        <v>298.32</v>
      </c>
      <c r="U68" s="52">
        <v>105.44</v>
      </c>
      <c r="V68" s="52">
        <v>125.05</v>
      </c>
      <c r="W68" s="52">
        <v>260.58</v>
      </c>
      <c r="X68" s="52">
        <v>152.5</v>
      </c>
      <c r="Y68" s="52">
        <v>178.19</v>
      </c>
      <c r="Z68" s="52">
        <v>200.25</v>
      </c>
      <c r="AA68" s="52">
        <v>150.49</v>
      </c>
      <c r="AB68" s="52">
        <v>127.45</v>
      </c>
      <c r="AC68" s="52">
        <v>118.76</v>
      </c>
      <c r="AD68" s="52">
        <v>158.35</v>
      </c>
      <c r="AE68" s="52">
        <v>168.34</v>
      </c>
      <c r="AF68" s="52">
        <v>140.91999999999999</v>
      </c>
      <c r="AG68" s="52">
        <v>95.47</v>
      </c>
      <c r="AH68" s="52">
        <v>155.22999999999999</v>
      </c>
      <c r="AI68" s="52">
        <v>158.63</v>
      </c>
      <c r="AJ68" s="52">
        <v>115.63</v>
      </c>
      <c r="AK68" s="52">
        <v>199.24</v>
      </c>
      <c r="AL68" s="52">
        <v>200.53</v>
      </c>
      <c r="AM68" s="52">
        <v>207.65</v>
      </c>
      <c r="AN68" s="52">
        <v>45.85</v>
      </c>
      <c r="AO68" s="52">
        <v>130.1</v>
      </c>
      <c r="AP68" s="52">
        <v>78.88</v>
      </c>
      <c r="AQ68" s="52">
        <v>142.76</v>
      </c>
      <c r="AR68" s="52">
        <v>180.41</v>
      </c>
      <c r="AS68" s="52">
        <v>182.31</v>
      </c>
      <c r="AT68" s="52">
        <v>204.88</v>
      </c>
      <c r="AU68" s="52">
        <v>192.29</v>
      </c>
      <c r="AV68" s="52">
        <v>206.19</v>
      </c>
      <c r="AW68" s="52">
        <v>195.58</v>
      </c>
      <c r="AX68" s="52">
        <v>190.83</v>
      </c>
      <c r="AY68" s="52">
        <v>156</v>
      </c>
      <c r="AZ68" s="52">
        <v>220.21</v>
      </c>
      <c r="BA68" s="52">
        <v>211.27</v>
      </c>
      <c r="BB68" s="52">
        <v>142.97</v>
      </c>
      <c r="BC68" s="52">
        <v>276.02999999999997</v>
      </c>
      <c r="BD68" s="52">
        <v>203.6</v>
      </c>
      <c r="BE68" s="52">
        <v>173.98</v>
      </c>
      <c r="BF68" s="52">
        <v>217.7</v>
      </c>
      <c r="BG68" s="52">
        <v>254.16</v>
      </c>
      <c r="BH68" s="52">
        <v>184.2</v>
      </c>
      <c r="BI68" s="52">
        <v>213.14</v>
      </c>
      <c r="BJ68" s="52">
        <v>161.81</v>
      </c>
      <c r="BK68" s="52">
        <v>179.78</v>
      </c>
      <c r="BL68" s="52">
        <v>154.75</v>
      </c>
      <c r="BM68" s="52">
        <v>158.83000000000001</v>
      </c>
      <c r="BN68" s="52">
        <v>240.07</v>
      </c>
      <c r="BO68" s="52">
        <v>152.62</v>
      </c>
      <c r="BP68" s="52">
        <v>172.2</v>
      </c>
      <c r="BQ68" s="52">
        <v>183.92</v>
      </c>
      <c r="BR68" s="52">
        <v>146.47999999999999</v>
      </c>
      <c r="BS68" s="52">
        <v>234.28</v>
      </c>
      <c r="BT68" s="52">
        <v>198.96</v>
      </c>
      <c r="BU68" s="52">
        <v>219.19</v>
      </c>
      <c r="BV68" s="52">
        <v>298.32</v>
      </c>
      <c r="BW68" s="52">
        <v>103.32</v>
      </c>
      <c r="BX68" s="52">
        <v>125.98</v>
      </c>
      <c r="BY68" s="52">
        <v>183.42</v>
      </c>
      <c r="BZ68" s="52">
        <v>124.64</v>
      </c>
      <c r="CA68" s="52">
        <v>195.68</v>
      </c>
      <c r="CB68" s="53">
        <v>260.58</v>
      </c>
      <c r="CC68" s="52">
        <v>152.5</v>
      </c>
      <c r="CD68" s="52">
        <v>177.51</v>
      </c>
      <c r="CE68" s="52">
        <v>172.07</v>
      </c>
      <c r="CF68" s="52">
        <v>219.26</v>
      </c>
      <c r="CG68" s="52">
        <v>195.19</v>
      </c>
      <c r="CH68" s="52">
        <v>155.29</v>
      </c>
      <c r="CI68" s="52">
        <v>132.5</v>
      </c>
      <c r="CJ68" s="52">
        <v>127.45</v>
      </c>
      <c r="CK68" s="52">
        <v>110.77</v>
      </c>
      <c r="CL68" s="52">
        <v>114.62</v>
      </c>
      <c r="CM68" s="52">
        <v>213.35</v>
      </c>
      <c r="CN68" s="52">
        <v>158.35</v>
      </c>
      <c r="CO68" s="52">
        <v>168.34</v>
      </c>
      <c r="CP68" s="52">
        <v>115.86</v>
      </c>
      <c r="CQ68" s="52">
        <v>243.42</v>
      </c>
      <c r="CR68" s="52">
        <v>91.45</v>
      </c>
      <c r="CS68" s="52">
        <v>139.38</v>
      </c>
      <c r="CT68" s="52">
        <v>116.41</v>
      </c>
      <c r="CU68" s="52">
        <v>194.7</v>
      </c>
      <c r="CV68" s="52">
        <v>146.68</v>
      </c>
      <c r="CW68" s="52">
        <v>96.1</v>
      </c>
      <c r="CX68" s="52">
        <v>158.63</v>
      </c>
      <c r="CY68" s="52">
        <v>115.74</v>
      </c>
      <c r="CZ68" s="52">
        <v>102.38</v>
      </c>
      <c r="DA68" s="52">
        <v>127.02</v>
      </c>
      <c r="DB68" s="52">
        <v>160.31</v>
      </c>
      <c r="DC68" s="52">
        <v>201.29</v>
      </c>
      <c r="DD68" s="52">
        <v>212.24</v>
      </c>
      <c r="DE68" s="52">
        <v>163.85</v>
      </c>
      <c r="DF68" s="52">
        <v>187.14</v>
      </c>
      <c r="DG68" s="52">
        <v>204.59</v>
      </c>
      <c r="DH68" s="52">
        <v>116.28</v>
      </c>
      <c r="DI68" s="52">
        <v>149.77000000000001</v>
      </c>
      <c r="DJ68" s="52">
        <v>227.14</v>
      </c>
      <c r="DK68" s="52">
        <v>207.65</v>
      </c>
      <c r="DL68" s="52">
        <v>45.85</v>
      </c>
      <c r="DM68" s="52">
        <v>130.1</v>
      </c>
      <c r="DN68" s="52">
        <v>64.77</v>
      </c>
      <c r="DO68" s="52">
        <v>92.78</v>
      </c>
      <c r="DP68" s="52">
        <v>138.02000000000001</v>
      </c>
      <c r="DQ68" s="52">
        <v>142.76</v>
      </c>
      <c r="DR68" s="52">
        <v>197.24</v>
      </c>
      <c r="DS68" s="52">
        <v>139.18</v>
      </c>
      <c r="DT68" s="52"/>
      <c r="DU68" s="52">
        <v>178.92</v>
      </c>
      <c r="DV68" s="52">
        <v>218.54</v>
      </c>
      <c r="DW68" s="52">
        <v>154.5</v>
      </c>
      <c r="DX68" s="52">
        <v>165.64</v>
      </c>
      <c r="DY68" s="52">
        <v>268.77</v>
      </c>
      <c r="DZ68" s="52">
        <v>193.06</v>
      </c>
      <c r="EA68" s="52">
        <v>148.94999999999999</v>
      </c>
      <c r="EB68" s="52">
        <v>192.29</v>
      </c>
      <c r="EC68" s="52">
        <v>206.19</v>
      </c>
      <c r="ED68" s="52">
        <v>195.58</v>
      </c>
      <c r="EE68" s="52">
        <v>190.83</v>
      </c>
      <c r="EF68" s="52">
        <v>156</v>
      </c>
      <c r="EG68" s="52">
        <v>220.21</v>
      </c>
      <c r="EH68" s="52">
        <v>211.27</v>
      </c>
      <c r="EI68" s="52">
        <v>208.52</v>
      </c>
      <c r="EJ68" s="52">
        <v>105.77</v>
      </c>
      <c r="EK68" s="52">
        <v>124.94</v>
      </c>
      <c r="EL68" s="52">
        <v>309.60000000000002</v>
      </c>
      <c r="EM68" s="52">
        <v>180.92</v>
      </c>
      <c r="EN68" s="52">
        <v>203.6</v>
      </c>
      <c r="EO68" s="52">
        <v>223.51</v>
      </c>
      <c r="EP68" s="52">
        <v>124</v>
      </c>
      <c r="EQ68" s="52">
        <v>167.42</v>
      </c>
      <c r="ER68" s="52">
        <v>217.7</v>
      </c>
      <c r="ES68" s="52">
        <v>254.16</v>
      </c>
      <c r="ET68" s="52">
        <v>228.89</v>
      </c>
      <c r="EU68" s="52">
        <v>163.13999999999999</v>
      </c>
      <c r="EV68" s="52">
        <v>184.63</v>
      </c>
      <c r="EW68" s="52">
        <v>181.06</v>
      </c>
      <c r="EX68" s="52">
        <v>182.37</v>
      </c>
      <c r="EY68" s="52">
        <v>127.36</v>
      </c>
      <c r="EZ68" s="52">
        <v>222.06</v>
      </c>
      <c r="FA68" s="52">
        <v>231.13</v>
      </c>
      <c r="FB68" s="52">
        <v>206.23</v>
      </c>
      <c r="FC68" s="52">
        <v>229.63</v>
      </c>
      <c r="FD68" s="52">
        <v>167.34</v>
      </c>
      <c r="FE68" s="52">
        <v>161.81</v>
      </c>
      <c r="FF68" s="52"/>
      <c r="FG68" s="52">
        <v>158.43</v>
      </c>
      <c r="FH68" s="52">
        <v>164.88</v>
      </c>
      <c r="FI68" s="52">
        <v>194.1</v>
      </c>
      <c r="FJ68" s="52">
        <v>190.61</v>
      </c>
      <c r="FK68" s="52">
        <v>205.18</v>
      </c>
      <c r="FL68" s="52">
        <v>137.36000000000001</v>
      </c>
      <c r="FM68" s="52">
        <v>153.43</v>
      </c>
      <c r="FN68" s="52">
        <v>148.1</v>
      </c>
      <c r="FO68" s="52">
        <v>214.58</v>
      </c>
      <c r="FP68" s="52">
        <v>246.03</v>
      </c>
      <c r="FQ68" s="52">
        <v>255.85</v>
      </c>
      <c r="FR68" s="52">
        <v>250.21</v>
      </c>
      <c r="FS68" s="52">
        <v>183.92</v>
      </c>
      <c r="FT68" s="52">
        <v>140.65</v>
      </c>
      <c r="FU68" s="52">
        <v>195.28</v>
      </c>
      <c r="FV68" s="52">
        <v>164.72</v>
      </c>
      <c r="FW68" s="52">
        <v>113.67</v>
      </c>
      <c r="FX68" s="52">
        <v>172.2</v>
      </c>
      <c r="FY68" s="52">
        <v>185.07</v>
      </c>
      <c r="FZ68" s="52">
        <v>184.54</v>
      </c>
      <c r="GA68" s="52">
        <v>136.74</v>
      </c>
      <c r="GB68" s="52">
        <v>154.26</v>
      </c>
      <c r="GC68" s="52">
        <v>146.93</v>
      </c>
      <c r="GD68" s="52">
        <v>128.02000000000001</v>
      </c>
      <c r="GE68" s="52">
        <v>234.28</v>
      </c>
      <c r="GF68" s="52">
        <v>198.96</v>
      </c>
      <c r="GG68" s="52">
        <v>219.19</v>
      </c>
      <c r="GH68" s="52">
        <v>297.82</v>
      </c>
      <c r="GI68" s="52">
        <v>108.73</v>
      </c>
      <c r="GJ68" s="52">
        <v>100.08</v>
      </c>
      <c r="GK68" s="52">
        <v>96.37</v>
      </c>
      <c r="GL68" s="52">
        <v>132.63999999999999</v>
      </c>
      <c r="GM68" s="52">
        <v>125.98</v>
      </c>
      <c r="GN68" s="52">
        <v>183.42</v>
      </c>
      <c r="GO68" s="52">
        <v>124.04</v>
      </c>
      <c r="GP68" s="52">
        <v>123.94</v>
      </c>
      <c r="GQ68" s="52">
        <v>127.1</v>
      </c>
      <c r="GR68" s="52">
        <v>195.68</v>
      </c>
      <c r="GS68" s="52">
        <v>260.58</v>
      </c>
      <c r="GT68" s="52">
        <v>152.5</v>
      </c>
      <c r="GU68" s="52">
        <v>177.51</v>
      </c>
      <c r="GV68" s="52">
        <v>172.07</v>
      </c>
      <c r="GW68" s="52">
        <v>193.43</v>
      </c>
      <c r="GX68" s="52">
        <v>235.94</v>
      </c>
      <c r="GY68" s="52">
        <v>195.19</v>
      </c>
      <c r="GZ68" s="52">
        <v>179.83</v>
      </c>
      <c r="HA68" s="52">
        <v>163.21</v>
      </c>
      <c r="HB68" s="52">
        <v>148.91999999999999</v>
      </c>
      <c r="HC68" s="52">
        <v>132.5</v>
      </c>
      <c r="HD68" s="52">
        <v>127.45</v>
      </c>
      <c r="HE68" s="52">
        <v>95.49</v>
      </c>
      <c r="HF68" s="52">
        <v>106.99</v>
      </c>
      <c r="HG68" s="52">
        <v>115.56</v>
      </c>
      <c r="HH68" s="52">
        <v>145.30000000000001</v>
      </c>
      <c r="HI68" s="52">
        <v>74.78</v>
      </c>
      <c r="HJ68" s="52">
        <v>114.62</v>
      </c>
      <c r="HK68" s="52">
        <v>213.35</v>
      </c>
      <c r="HL68" s="52">
        <v>141.21</v>
      </c>
      <c r="HM68" s="52">
        <v>174.52</v>
      </c>
      <c r="HN68" s="52">
        <v>170.29</v>
      </c>
      <c r="HO68" s="52">
        <v>143.37</v>
      </c>
      <c r="HP68" s="52">
        <v>193.14</v>
      </c>
      <c r="HQ68" s="52">
        <v>111.12</v>
      </c>
      <c r="HR68" s="52">
        <v>155.27000000000001</v>
      </c>
      <c r="HS68" s="52">
        <v>245.29</v>
      </c>
      <c r="HT68" s="52">
        <v>182.89</v>
      </c>
      <c r="HU68" s="52">
        <v>91.45</v>
      </c>
      <c r="HV68" s="52">
        <v>139.38</v>
      </c>
      <c r="HW68" s="52">
        <v>127.59</v>
      </c>
      <c r="HX68" s="52">
        <v>96.14</v>
      </c>
      <c r="HY68" s="52">
        <v>194.7</v>
      </c>
      <c r="HZ68" s="52">
        <v>146.68</v>
      </c>
      <c r="IA68" s="52">
        <v>87.78</v>
      </c>
      <c r="IB68" s="52">
        <v>158.63</v>
      </c>
      <c r="IC68" s="52">
        <v>103.71</v>
      </c>
      <c r="ID68" s="52">
        <v>118.51</v>
      </c>
      <c r="IE68" s="52">
        <v>102.38</v>
      </c>
      <c r="IF68" s="52">
        <v>127.02</v>
      </c>
      <c r="IG68" s="52">
        <v>160.31</v>
      </c>
      <c r="IH68" s="52">
        <v>201.29</v>
      </c>
      <c r="II68" s="52">
        <v>212.24</v>
      </c>
      <c r="IJ68" s="52">
        <v>163.85</v>
      </c>
      <c r="IK68" s="52">
        <v>199.27</v>
      </c>
      <c r="IL68" s="52">
        <v>161.22999999999999</v>
      </c>
      <c r="IM68" s="52">
        <v>217.95</v>
      </c>
      <c r="IN68" s="52">
        <v>208.75</v>
      </c>
      <c r="IO68" s="52">
        <v>157.26</v>
      </c>
      <c r="IP68" s="52">
        <v>116.28</v>
      </c>
      <c r="IQ68" s="52">
        <v>149.77000000000001</v>
      </c>
      <c r="IR68" s="52">
        <v>227.14</v>
      </c>
      <c r="IS68" s="52">
        <v>207.65</v>
      </c>
      <c r="IT68" s="52">
        <v>45.85</v>
      </c>
      <c r="IU68" s="52">
        <v>130.1</v>
      </c>
      <c r="IV68" s="52">
        <v>66.23</v>
      </c>
      <c r="IW68" s="52">
        <v>92.78</v>
      </c>
      <c r="IX68" s="52">
        <v>138.02000000000001</v>
      </c>
      <c r="IY68" s="52">
        <v>142.76</v>
      </c>
      <c r="IZ68" s="52">
        <v>197.24</v>
      </c>
      <c r="JA68" s="52">
        <v>139.18</v>
      </c>
      <c r="JB68" s="52"/>
      <c r="JC68" s="52">
        <v>178.92</v>
      </c>
      <c r="JD68" s="52">
        <v>218.54</v>
      </c>
      <c r="JE68" s="52">
        <v>158.94999999999999</v>
      </c>
      <c r="JF68" s="52">
        <v>152.57</v>
      </c>
      <c r="JG68" s="52">
        <v>165.64</v>
      </c>
      <c r="JH68" s="52">
        <v>268.77</v>
      </c>
      <c r="JI68" s="52">
        <v>193.06</v>
      </c>
      <c r="JJ68" s="52">
        <v>148.94999999999999</v>
      </c>
      <c r="JK68" s="52">
        <v>192.29</v>
      </c>
      <c r="JL68" s="52">
        <v>206.19</v>
      </c>
      <c r="JM68" s="52">
        <v>195.58</v>
      </c>
      <c r="JN68" s="52">
        <v>190.83</v>
      </c>
      <c r="JO68" s="52">
        <v>156</v>
      </c>
      <c r="JP68" s="52">
        <v>229.61</v>
      </c>
      <c r="JQ68" s="52">
        <v>198.17</v>
      </c>
      <c r="JR68" s="52">
        <v>191.79</v>
      </c>
      <c r="JS68" s="52">
        <v>241.08</v>
      </c>
      <c r="JT68" s="52">
        <v>229.45</v>
      </c>
      <c r="JU68" s="52">
        <v>188.19</v>
      </c>
      <c r="JV68" s="52">
        <v>105.77</v>
      </c>
      <c r="JW68" s="52">
        <v>124.94</v>
      </c>
      <c r="JX68" s="52">
        <v>309.60000000000002</v>
      </c>
      <c r="JY68" s="52">
        <v>184.74</v>
      </c>
      <c r="JZ68" s="52">
        <v>172.54</v>
      </c>
      <c r="KA68" s="52">
        <v>203.6</v>
      </c>
      <c r="KB68" s="52">
        <v>223.51</v>
      </c>
      <c r="KC68" s="52">
        <v>124</v>
      </c>
      <c r="KD68" s="52">
        <v>167.42</v>
      </c>
      <c r="KE68" s="52">
        <v>217.7</v>
      </c>
      <c r="KF68" s="52">
        <v>254.16</v>
      </c>
    </row>
    <row r="69" spans="1:292" s="41" customFormat="1" ht="12">
      <c r="A69" s="41">
        <v>2010</v>
      </c>
      <c r="B69" s="54" t="s">
        <v>983</v>
      </c>
      <c r="C69" s="55" t="s">
        <v>984</v>
      </c>
      <c r="D69" s="52">
        <v>178.68</v>
      </c>
      <c r="E69" s="52">
        <v>189.99</v>
      </c>
      <c r="F69" s="52">
        <v>294.87</v>
      </c>
      <c r="G69" s="52">
        <v>121.85</v>
      </c>
      <c r="H69" s="52">
        <v>205.97</v>
      </c>
      <c r="I69" s="52">
        <v>141.15</v>
      </c>
      <c r="J69" s="52">
        <v>127.94</v>
      </c>
      <c r="K69" s="52">
        <v>170.87</v>
      </c>
      <c r="L69" s="52">
        <v>112.9</v>
      </c>
      <c r="M69" s="52">
        <v>146.80000000000001</v>
      </c>
      <c r="N69" s="52">
        <v>182.43</v>
      </c>
      <c r="O69" s="52">
        <v>226.23</v>
      </c>
      <c r="P69" s="52">
        <v>190.08</v>
      </c>
      <c r="Q69" s="52">
        <v>191.72</v>
      </c>
      <c r="R69" s="52">
        <v>165.16</v>
      </c>
      <c r="S69" s="52">
        <v>229.12</v>
      </c>
      <c r="T69" s="52">
        <v>298.32</v>
      </c>
      <c r="U69" s="52">
        <v>117.18</v>
      </c>
      <c r="V69" s="52">
        <v>136.11000000000001</v>
      </c>
      <c r="W69" s="52">
        <v>261.22000000000003</v>
      </c>
      <c r="X69" s="52">
        <v>152.75</v>
      </c>
      <c r="Y69" s="52">
        <v>178.19</v>
      </c>
      <c r="Z69" s="52">
        <v>200.37</v>
      </c>
      <c r="AA69" s="52">
        <v>154.4</v>
      </c>
      <c r="AB69" s="52">
        <v>130.75</v>
      </c>
      <c r="AC69" s="52">
        <v>118.69</v>
      </c>
      <c r="AD69" s="52">
        <v>158.6</v>
      </c>
      <c r="AE69" s="52">
        <v>168.14</v>
      </c>
      <c r="AF69" s="52">
        <v>139</v>
      </c>
      <c r="AG69" s="52">
        <v>95.61</v>
      </c>
      <c r="AH69" s="52">
        <v>154.84</v>
      </c>
      <c r="AI69" s="52">
        <v>172.89</v>
      </c>
      <c r="AJ69" s="52">
        <v>115.92</v>
      </c>
      <c r="AK69" s="52">
        <v>198.66</v>
      </c>
      <c r="AL69" s="52">
        <v>200.94</v>
      </c>
      <c r="AM69" s="52">
        <v>207.65</v>
      </c>
      <c r="AN69" s="52">
        <v>45.99</v>
      </c>
      <c r="AO69" s="52">
        <v>123.12</v>
      </c>
      <c r="AP69" s="52">
        <v>77.260000000000005</v>
      </c>
      <c r="AQ69" s="52">
        <v>143.46</v>
      </c>
      <c r="AR69" s="52">
        <v>181.69</v>
      </c>
      <c r="AS69" s="52">
        <v>183.5</v>
      </c>
      <c r="AT69" s="52">
        <v>204.68</v>
      </c>
      <c r="AU69" s="52">
        <v>193.88</v>
      </c>
      <c r="AV69" s="52">
        <v>206.18</v>
      </c>
      <c r="AW69" s="52">
        <v>196.17</v>
      </c>
      <c r="AX69" s="52">
        <v>190.83</v>
      </c>
      <c r="AY69" s="52">
        <v>155.11000000000001</v>
      </c>
      <c r="AZ69" s="52">
        <v>222.78</v>
      </c>
      <c r="BA69" s="52">
        <v>213.48</v>
      </c>
      <c r="BB69" s="52">
        <v>143.22999999999999</v>
      </c>
      <c r="BC69" s="52">
        <v>274.83</v>
      </c>
      <c r="BD69" s="52">
        <v>203.75</v>
      </c>
      <c r="BE69" s="52">
        <v>173.07</v>
      </c>
      <c r="BF69" s="52">
        <v>217.7</v>
      </c>
      <c r="BG69" s="52">
        <v>254.16</v>
      </c>
      <c r="BH69" s="52">
        <v>183.98</v>
      </c>
      <c r="BI69" s="52">
        <v>223.56</v>
      </c>
      <c r="BJ69" s="52">
        <v>167.08</v>
      </c>
      <c r="BK69" s="52">
        <v>174.86</v>
      </c>
      <c r="BL69" s="52">
        <v>154.4</v>
      </c>
      <c r="BM69" s="52">
        <v>161.72</v>
      </c>
      <c r="BN69" s="52">
        <v>231.94</v>
      </c>
      <c r="BO69" s="52">
        <v>153.43</v>
      </c>
      <c r="BP69" s="52">
        <v>172.91</v>
      </c>
      <c r="BQ69" s="52">
        <v>184.77</v>
      </c>
      <c r="BR69" s="52">
        <v>147.41999999999999</v>
      </c>
      <c r="BS69" s="52">
        <v>234.3</v>
      </c>
      <c r="BT69" s="52">
        <v>200.95</v>
      </c>
      <c r="BU69" s="52">
        <v>221</v>
      </c>
      <c r="BV69" s="52">
        <v>298.32</v>
      </c>
      <c r="BW69" s="52">
        <v>115.62</v>
      </c>
      <c r="BX69" s="52">
        <v>131.11000000000001</v>
      </c>
      <c r="BY69" s="52">
        <v>183.83</v>
      </c>
      <c r="BZ69" s="52">
        <v>135.76</v>
      </c>
      <c r="CA69" s="52">
        <v>195.99</v>
      </c>
      <c r="CB69" s="53">
        <v>261.22000000000003</v>
      </c>
      <c r="CC69" s="52">
        <v>152.75</v>
      </c>
      <c r="CD69" s="52">
        <v>177.51</v>
      </c>
      <c r="CE69" s="52">
        <v>172.07</v>
      </c>
      <c r="CF69" s="52">
        <v>217.83</v>
      </c>
      <c r="CG69" s="52">
        <v>198.25</v>
      </c>
      <c r="CH69" s="52">
        <v>159.75</v>
      </c>
      <c r="CI69" s="52">
        <v>133.65</v>
      </c>
      <c r="CJ69" s="52">
        <v>130.75</v>
      </c>
      <c r="CK69" s="52">
        <v>110.4</v>
      </c>
      <c r="CL69" s="52">
        <v>113.19</v>
      </c>
      <c r="CM69" s="52">
        <v>222.17</v>
      </c>
      <c r="CN69" s="52">
        <v>158.6</v>
      </c>
      <c r="CO69" s="52">
        <v>168.14</v>
      </c>
      <c r="CP69" s="52">
        <v>113.57</v>
      </c>
      <c r="CQ69" s="52">
        <v>244.31</v>
      </c>
      <c r="CR69" s="52">
        <v>91.45</v>
      </c>
      <c r="CS69" s="52">
        <v>139.61000000000001</v>
      </c>
      <c r="CT69" s="52">
        <v>117.39</v>
      </c>
      <c r="CU69" s="52">
        <v>194.94</v>
      </c>
      <c r="CV69" s="52">
        <v>146.69</v>
      </c>
      <c r="CW69" s="52">
        <v>94.95</v>
      </c>
      <c r="CX69" s="52">
        <v>172.89</v>
      </c>
      <c r="CY69" s="52">
        <v>116.01</v>
      </c>
      <c r="CZ69" s="52">
        <v>102.29</v>
      </c>
      <c r="DA69" s="52">
        <v>129.24</v>
      </c>
      <c r="DB69" s="52">
        <v>161</v>
      </c>
      <c r="DC69" s="52">
        <v>200.5</v>
      </c>
      <c r="DD69" s="52">
        <v>212.57</v>
      </c>
      <c r="DE69" s="52">
        <v>163.9</v>
      </c>
      <c r="DF69" s="52">
        <v>187.14</v>
      </c>
      <c r="DG69" s="52">
        <v>204.89</v>
      </c>
      <c r="DH69" s="52">
        <v>117.85</v>
      </c>
      <c r="DI69" s="52">
        <v>149.77000000000001</v>
      </c>
      <c r="DJ69" s="52">
        <v>227.08</v>
      </c>
      <c r="DK69" s="52">
        <v>207.65</v>
      </c>
      <c r="DL69" s="52">
        <v>45.99</v>
      </c>
      <c r="DM69" s="52">
        <v>123.12</v>
      </c>
      <c r="DN69" s="52">
        <v>62.12</v>
      </c>
      <c r="DO69" s="52">
        <v>92.1</v>
      </c>
      <c r="DP69" s="52">
        <v>138.72999999999999</v>
      </c>
      <c r="DQ69" s="52">
        <v>143.46</v>
      </c>
      <c r="DR69" s="52">
        <v>198.66</v>
      </c>
      <c r="DS69" s="52">
        <v>140.16999999999999</v>
      </c>
      <c r="DT69" s="52"/>
      <c r="DU69" s="52">
        <v>179.36</v>
      </c>
      <c r="DV69" s="52">
        <v>221.06</v>
      </c>
      <c r="DW69" s="52">
        <v>154.77000000000001</v>
      </c>
      <c r="DX69" s="52">
        <v>165.64</v>
      </c>
      <c r="DY69" s="52">
        <v>266.8</v>
      </c>
      <c r="DZ69" s="52">
        <v>193.06</v>
      </c>
      <c r="EA69" s="52">
        <v>150.1</v>
      </c>
      <c r="EB69" s="52">
        <v>193.88</v>
      </c>
      <c r="EC69" s="52">
        <v>206.18</v>
      </c>
      <c r="ED69" s="52">
        <v>196.17</v>
      </c>
      <c r="EE69" s="52">
        <v>190.83</v>
      </c>
      <c r="EF69" s="52">
        <v>155.11000000000001</v>
      </c>
      <c r="EG69" s="52">
        <v>222.78</v>
      </c>
      <c r="EH69" s="52">
        <v>213.48</v>
      </c>
      <c r="EI69" s="52">
        <v>209.63</v>
      </c>
      <c r="EJ69" s="52">
        <v>105.85</v>
      </c>
      <c r="EK69" s="52">
        <v>124.99</v>
      </c>
      <c r="EL69" s="52">
        <v>307.17</v>
      </c>
      <c r="EM69" s="52">
        <v>182.02</v>
      </c>
      <c r="EN69" s="52">
        <v>203.75</v>
      </c>
      <c r="EO69" s="52">
        <v>223.11</v>
      </c>
      <c r="EP69" s="52">
        <v>124</v>
      </c>
      <c r="EQ69" s="52">
        <v>166.32</v>
      </c>
      <c r="ER69" s="52">
        <v>217.7</v>
      </c>
      <c r="ES69" s="52">
        <v>254.16</v>
      </c>
      <c r="ET69" s="52">
        <v>229.35</v>
      </c>
      <c r="EU69" s="52">
        <v>162.86000000000001</v>
      </c>
      <c r="EV69" s="52">
        <v>183.9</v>
      </c>
      <c r="EW69" s="52">
        <v>181.38</v>
      </c>
      <c r="EX69" s="52">
        <v>184.95</v>
      </c>
      <c r="EY69" s="52">
        <v>127.88</v>
      </c>
      <c r="EZ69" s="52">
        <v>236.52</v>
      </c>
      <c r="FA69" s="52">
        <v>241.37</v>
      </c>
      <c r="FB69" s="52">
        <v>212.91</v>
      </c>
      <c r="FC69" s="52">
        <v>252.13</v>
      </c>
      <c r="FD69" s="52">
        <v>170.74</v>
      </c>
      <c r="FE69" s="52">
        <v>167.08</v>
      </c>
      <c r="FF69" s="52"/>
      <c r="FG69" s="52">
        <v>150.11000000000001</v>
      </c>
      <c r="FH69" s="52">
        <v>163.5</v>
      </c>
      <c r="FI69" s="52">
        <v>192.22</v>
      </c>
      <c r="FJ69" s="52">
        <v>178.81</v>
      </c>
      <c r="FK69" s="52">
        <v>205.6</v>
      </c>
      <c r="FL69" s="52">
        <v>138.72</v>
      </c>
      <c r="FM69" s="52">
        <v>152.59</v>
      </c>
      <c r="FN69" s="52">
        <v>150.99</v>
      </c>
      <c r="FO69" s="52">
        <v>217.37</v>
      </c>
      <c r="FP69" s="52">
        <v>235.44</v>
      </c>
      <c r="FQ69" s="52">
        <v>249.72</v>
      </c>
      <c r="FR69" s="52">
        <v>246.98</v>
      </c>
      <c r="FS69" s="52">
        <v>183.35</v>
      </c>
      <c r="FT69" s="52">
        <v>140.47</v>
      </c>
      <c r="FU69" s="52">
        <v>198.3</v>
      </c>
      <c r="FV69" s="52">
        <v>166.6</v>
      </c>
      <c r="FW69" s="52">
        <v>112.98</v>
      </c>
      <c r="FX69" s="52">
        <v>172.91</v>
      </c>
      <c r="FY69" s="52">
        <v>185.94</v>
      </c>
      <c r="FZ69" s="52">
        <v>185.33</v>
      </c>
      <c r="GA69" s="52">
        <v>139.44</v>
      </c>
      <c r="GB69" s="52">
        <v>154.84</v>
      </c>
      <c r="GC69" s="52">
        <v>148.11000000000001</v>
      </c>
      <c r="GD69" s="52">
        <v>128.94</v>
      </c>
      <c r="GE69" s="52">
        <v>234.3</v>
      </c>
      <c r="GF69" s="52">
        <v>200.95</v>
      </c>
      <c r="GG69" s="52">
        <v>221</v>
      </c>
      <c r="GH69" s="52">
        <v>297.82</v>
      </c>
      <c r="GI69" s="52">
        <v>122.26</v>
      </c>
      <c r="GJ69" s="52">
        <v>111.98</v>
      </c>
      <c r="GK69" s="52">
        <v>107.52</v>
      </c>
      <c r="GL69" s="52">
        <v>135.97</v>
      </c>
      <c r="GM69" s="52">
        <v>131.11000000000001</v>
      </c>
      <c r="GN69" s="52">
        <v>183.83</v>
      </c>
      <c r="GO69" s="52">
        <v>134.69</v>
      </c>
      <c r="GP69" s="52">
        <v>137.57</v>
      </c>
      <c r="GQ69" s="52">
        <v>134.69</v>
      </c>
      <c r="GR69" s="52">
        <v>195.99</v>
      </c>
      <c r="GS69" s="52">
        <v>261.22000000000003</v>
      </c>
      <c r="GT69" s="52">
        <v>152.75</v>
      </c>
      <c r="GU69" s="52">
        <v>177.51</v>
      </c>
      <c r="GV69" s="52">
        <v>172.07</v>
      </c>
      <c r="GW69" s="52">
        <v>194.64</v>
      </c>
      <c r="GX69" s="52">
        <v>232.43</v>
      </c>
      <c r="GY69" s="52">
        <v>198.25</v>
      </c>
      <c r="GZ69" s="52">
        <v>181.55</v>
      </c>
      <c r="HA69" s="52">
        <v>164.39</v>
      </c>
      <c r="HB69" s="52">
        <v>155.69999999999999</v>
      </c>
      <c r="HC69" s="52">
        <v>133.65</v>
      </c>
      <c r="HD69" s="52">
        <v>130.75</v>
      </c>
      <c r="HE69" s="52">
        <v>96.58</v>
      </c>
      <c r="HF69" s="52">
        <v>106.74</v>
      </c>
      <c r="HG69" s="52">
        <v>115.64</v>
      </c>
      <c r="HH69" s="52">
        <v>144.58000000000001</v>
      </c>
      <c r="HI69" s="52">
        <v>71.16</v>
      </c>
      <c r="HJ69" s="52">
        <v>113.19</v>
      </c>
      <c r="HK69" s="52">
        <v>222.17</v>
      </c>
      <c r="HL69" s="52">
        <v>141.5</v>
      </c>
      <c r="HM69" s="52">
        <v>175.06</v>
      </c>
      <c r="HN69" s="52">
        <v>170.46</v>
      </c>
      <c r="HO69" s="52">
        <v>142.4</v>
      </c>
      <c r="HP69" s="52">
        <v>194.08</v>
      </c>
      <c r="HQ69" s="52">
        <v>108.57</v>
      </c>
      <c r="HR69" s="52">
        <v>154.87</v>
      </c>
      <c r="HS69" s="52">
        <v>246.15</v>
      </c>
      <c r="HT69" s="52">
        <v>183.99</v>
      </c>
      <c r="HU69" s="52">
        <v>91.45</v>
      </c>
      <c r="HV69" s="52">
        <v>139.61000000000001</v>
      </c>
      <c r="HW69" s="52">
        <v>128.69999999999999</v>
      </c>
      <c r="HX69" s="52">
        <v>96.9</v>
      </c>
      <c r="HY69" s="52">
        <v>194.94</v>
      </c>
      <c r="HZ69" s="52">
        <v>146.69</v>
      </c>
      <c r="IA69" s="52">
        <v>86.74</v>
      </c>
      <c r="IB69" s="52">
        <v>172.89</v>
      </c>
      <c r="IC69" s="52">
        <v>103.96</v>
      </c>
      <c r="ID69" s="52">
        <v>118.8</v>
      </c>
      <c r="IE69" s="52">
        <v>102.29</v>
      </c>
      <c r="IF69" s="52">
        <v>129.24</v>
      </c>
      <c r="IG69" s="52">
        <v>161</v>
      </c>
      <c r="IH69" s="52">
        <v>200.5</v>
      </c>
      <c r="II69" s="52">
        <v>212.57</v>
      </c>
      <c r="IJ69" s="52">
        <v>163.9</v>
      </c>
      <c r="IK69" s="52">
        <v>199.27</v>
      </c>
      <c r="IL69" s="52">
        <v>161.22999999999999</v>
      </c>
      <c r="IM69" s="52">
        <v>217.97</v>
      </c>
      <c r="IN69" s="52">
        <v>209.09</v>
      </c>
      <c r="IO69" s="52">
        <v>158.37</v>
      </c>
      <c r="IP69" s="52">
        <v>117.85</v>
      </c>
      <c r="IQ69" s="52">
        <v>149.77000000000001</v>
      </c>
      <c r="IR69" s="52">
        <v>227.08</v>
      </c>
      <c r="IS69" s="52">
        <v>207.65</v>
      </c>
      <c r="IT69" s="52">
        <v>45.99</v>
      </c>
      <c r="IU69" s="52">
        <v>123.12</v>
      </c>
      <c r="IV69" s="52">
        <v>63.35</v>
      </c>
      <c r="IW69" s="52">
        <v>92.1</v>
      </c>
      <c r="IX69" s="52">
        <v>138.72999999999999</v>
      </c>
      <c r="IY69" s="52">
        <v>143.46</v>
      </c>
      <c r="IZ69" s="52">
        <v>198.66</v>
      </c>
      <c r="JA69" s="52">
        <v>140.16999999999999</v>
      </c>
      <c r="JB69" s="52"/>
      <c r="JC69" s="52">
        <v>179.36</v>
      </c>
      <c r="JD69" s="52">
        <v>221.06</v>
      </c>
      <c r="JE69" s="52">
        <v>159.44999999999999</v>
      </c>
      <c r="JF69" s="52">
        <v>152.78</v>
      </c>
      <c r="JG69" s="52">
        <v>165.64</v>
      </c>
      <c r="JH69" s="52">
        <v>266.8</v>
      </c>
      <c r="JI69" s="52">
        <v>193.06</v>
      </c>
      <c r="JJ69" s="52">
        <v>150.1</v>
      </c>
      <c r="JK69" s="52">
        <v>193.88</v>
      </c>
      <c r="JL69" s="52">
        <v>206.18</v>
      </c>
      <c r="JM69" s="52">
        <v>196.17</v>
      </c>
      <c r="JN69" s="52">
        <v>190.83</v>
      </c>
      <c r="JO69" s="52">
        <v>155.11000000000001</v>
      </c>
      <c r="JP69" s="52">
        <v>233.19</v>
      </c>
      <c r="JQ69" s="52">
        <v>198.25</v>
      </c>
      <c r="JR69" s="52">
        <v>194.54</v>
      </c>
      <c r="JS69" s="52">
        <v>241.08</v>
      </c>
      <c r="JT69" s="52">
        <v>230.98</v>
      </c>
      <c r="JU69" s="52">
        <v>188.91</v>
      </c>
      <c r="JV69" s="52">
        <v>105.85</v>
      </c>
      <c r="JW69" s="52">
        <v>124.99</v>
      </c>
      <c r="JX69" s="52">
        <v>307.17</v>
      </c>
      <c r="JY69" s="52">
        <v>186.29</v>
      </c>
      <c r="JZ69" s="52">
        <v>172.98</v>
      </c>
      <c r="KA69" s="52">
        <v>203.75</v>
      </c>
      <c r="KB69" s="52">
        <v>223.11</v>
      </c>
      <c r="KC69" s="52">
        <v>124</v>
      </c>
      <c r="KD69" s="52">
        <v>166.32</v>
      </c>
      <c r="KE69" s="52">
        <v>217.7</v>
      </c>
      <c r="KF69" s="52">
        <v>254.16</v>
      </c>
    </row>
    <row r="70" spans="1:292" s="41" customFormat="1" ht="12">
      <c r="A70" s="41">
        <v>2010</v>
      </c>
      <c r="B70" s="54" t="s">
        <v>985</v>
      </c>
      <c r="C70" s="55" t="s">
        <v>986</v>
      </c>
      <c r="D70" s="52">
        <v>178.04</v>
      </c>
      <c r="E70" s="52">
        <v>181.66</v>
      </c>
      <c r="F70" s="52">
        <v>294.83999999999997</v>
      </c>
      <c r="G70" s="52">
        <v>135.44999999999999</v>
      </c>
      <c r="H70" s="52">
        <v>206.77</v>
      </c>
      <c r="I70" s="52">
        <v>141.36000000000001</v>
      </c>
      <c r="J70" s="52">
        <v>127.91</v>
      </c>
      <c r="K70" s="52">
        <v>170.82</v>
      </c>
      <c r="L70" s="52">
        <v>111.39</v>
      </c>
      <c r="M70" s="52">
        <v>146.12</v>
      </c>
      <c r="N70" s="52">
        <v>183.53</v>
      </c>
      <c r="O70" s="52">
        <v>228.27</v>
      </c>
      <c r="P70" s="52">
        <v>193.82</v>
      </c>
      <c r="Q70" s="52">
        <v>182.72</v>
      </c>
      <c r="R70" s="52">
        <v>165.68</v>
      </c>
      <c r="S70" s="52">
        <v>228.66</v>
      </c>
      <c r="T70" s="52">
        <v>298.32</v>
      </c>
      <c r="U70" s="52">
        <v>132.78</v>
      </c>
      <c r="V70" s="52">
        <v>141.94999999999999</v>
      </c>
      <c r="W70" s="52">
        <v>261.8</v>
      </c>
      <c r="X70" s="52">
        <v>152.94</v>
      </c>
      <c r="Y70" s="52">
        <v>180.24</v>
      </c>
      <c r="Z70" s="52">
        <v>200.98</v>
      </c>
      <c r="AA70" s="52">
        <v>155.5</v>
      </c>
      <c r="AB70" s="52">
        <v>131.49</v>
      </c>
      <c r="AC70" s="52">
        <v>118.04</v>
      </c>
      <c r="AD70" s="52">
        <v>158.88</v>
      </c>
      <c r="AE70" s="52">
        <v>168.62</v>
      </c>
      <c r="AF70" s="52">
        <v>139.02000000000001</v>
      </c>
      <c r="AG70" s="52">
        <v>95.55</v>
      </c>
      <c r="AH70" s="52">
        <v>154.82</v>
      </c>
      <c r="AI70" s="52">
        <v>172.91</v>
      </c>
      <c r="AJ70" s="52">
        <v>116.2</v>
      </c>
      <c r="AK70" s="52">
        <v>197.17</v>
      </c>
      <c r="AL70" s="52">
        <v>202.03</v>
      </c>
      <c r="AM70" s="52">
        <v>207.65</v>
      </c>
      <c r="AN70" s="52">
        <v>46.71</v>
      </c>
      <c r="AO70" s="52">
        <v>121.09</v>
      </c>
      <c r="AP70" s="52">
        <v>76.69</v>
      </c>
      <c r="AQ70" s="52">
        <v>143.72999999999999</v>
      </c>
      <c r="AR70" s="52">
        <v>182.25</v>
      </c>
      <c r="AS70" s="52">
        <v>180.51</v>
      </c>
      <c r="AT70" s="52">
        <v>205.92</v>
      </c>
      <c r="AU70" s="52">
        <v>194.25</v>
      </c>
      <c r="AV70" s="52">
        <v>209.16</v>
      </c>
      <c r="AW70" s="52">
        <v>197.54</v>
      </c>
      <c r="AX70" s="52">
        <v>190.83</v>
      </c>
      <c r="AY70" s="52">
        <v>155.35</v>
      </c>
      <c r="AZ70" s="52">
        <v>224.87</v>
      </c>
      <c r="BA70" s="52">
        <v>214.46</v>
      </c>
      <c r="BB70" s="52">
        <v>143.6</v>
      </c>
      <c r="BC70" s="52">
        <v>292.98</v>
      </c>
      <c r="BD70" s="52">
        <v>204.68</v>
      </c>
      <c r="BE70" s="52">
        <v>173.38</v>
      </c>
      <c r="BF70" s="52">
        <v>217.7</v>
      </c>
      <c r="BG70" s="52">
        <v>254.19</v>
      </c>
      <c r="BH70" s="52">
        <v>181.97</v>
      </c>
      <c r="BI70" s="52">
        <v>214.38</v>
      </c>
      <c r="BJ70" s="52">
        <v>175.54</v>
      </c>
      <c r="BK70" s="52">
        <v>170.24</v>
      </c>
      <c r="BL70" s="52">
        <v>154.06</v>
      </c>
      <c r="BM70" s="52">
        <v>189.91</v>
      </c>
      <c r="BN70" s="52">
        <v>174.04</v>
      </c>
      <c r="BO70" s="52">
        <v>154.16999999999999</v>
      </c>
      <c r="BP70" s="52">
        <v>173.64</v>
      </c>
      <c r="BQ70" s="52">
        <v>186.13</v>
      </c>
      <c r="BR70" s="52">
        <v>147.44</v>
      </c>
      <c r="BS70" s="52">
        <v>234.3</v>
      </c>
      <c r="BT70" s="52">
        <v>195.97</v>
      </c>
      <c r="BU70" s="52">
        <v>220.79</v>
      </c>
      <c r="BV70" s="52">
        <v>298.32</v>
      </c>
      <c r="BW70" s="52">
        <v>132.16</v>
      </c>
      <c r="BX70" s="52">
        <v>133.78</v>
      </c>
      <c r="BY70" s="52">
        <v>184.93</v>
      </c>
      <c r="BZ70" s="52">
        <v>141.61000000000001</v>
      </c>
      <c r="CA70" s="52">
        <v>197.17</v>
      </c>
      <c r="CB70" s="53">
        <v>261.8</v>
      </c>
      <c r="CC70" s="52">
        <v>152.94</v>
      </c>
      <c r="CD70" s="52">
        <v>179.55</v>
      </c>
      <c r="CE70" s="52">
        <v>172.07</v>
      </c>
      <c r="CF70" s="52">
        <v>217.13</v>
      </c>
      <c r="CG70" s="52">
        <v>202.44</v>
      </c>
      <c r="CH70" s="52">
        <v>160.94999999999999</v>
      </c>
      <c r="CI70" s="52">
        <v>134.28</v>
      </c>
      <c r="CJ70" s="52">
        <v>131.49</v>
      </c>
      <c r="CK70" s="52">
        <v>109.76</v>
      </c>
      <c r="CL70" s="52">
        <v>112.43</v>
      </c>
      <c r="CM70" s="52">
        <v>221.99</v>
      </c>
      <c r="CN70" s="52">
        <v>158.88</v>
      </c>
      <c r="CO70" s="52">
        <v>168.62</v>
      </c>
      <c r="CP70" s="52">
        <v>113.43</v>
      </c>
      <c r="CQ70" s="52">
        <v>245.25</v>
      </c>
      <c r="CR70" s="52">
        <v>91.45</v>
      </c>
      <c r="CS70" s="52">
        <v>140.02000000000001</v>
      </c>
      <c r="CT70" s="52">
        <v>116.87</v>
      </c>
      <c r="CU70" s="52">
        <v>194.88</v>
      </c>
      <c r="CV70" s="52">
        <v>146.69999999999999</v>
      </c>
      <c r="CW70" s="52">
        <v>94.97</v>
      </c>
      <c r="CX70" s="52">
        <v>172.91</v>
      </c>
      <c r="CY70" s="52">
        <v>116.29</v>
      </c>
      <c r="CZ70" s="52">
        <v>102.44</v>
      </c>
      <c r="DA70" s="52">
        <v>130.46</v>
      </c>
      <c r="DB70" s="52">
        <v>161.85</v>
      </c>
      <c r="DC70" s="52">
        <v>198.61</v>
      </c>
      <c r="DD70" s="52">
        <v>212.75</v>
      </c>
      <c r="DE70" s="52">
        <v>163.77000000000001</v>
      </c>
      <c r="DF70" s="52">
        <v>187.14</v>
      </c>
      <c r="DG70" s="52">
        <v>206.06</v>
      </c>
      <c r="DH70" s="52">
        <v>118.12</v>
      </c>
      <c r="DI70" s="52">
        <v>149.77000000000001</v>
      </c>
      <c r="DJ70" s="52">
        <v>228.92</v>
      </c>
      <c r="DK70" s="52">
        <v>207.65</v>
      </c>
      <c r="DL70" s="52">
        <v>46.71</v>
      </c>
      <c r="DM70" s="52">
        <v>121.09</v>
      </c>
      <c r="DN70" s="52">
        <v>60.26</v>
      </c>
      <c r="DO70" s="52">
        <v>93.1</v>
      </c>
      <c r="DP70" s="52">
        <v>138.9</v>
      </c>
      <c r="DQ70" s="52">
        <v>143.72999999999999</v>
      </c>
      <c r="DR70" s="52">
        <v>198.89</v>
      </c>
      <c r="DS70" s="52">
        <v>141.22999999999999</v>
      </c>
      <c r="DT70" s="52"/>
      <c r="DU70" s="52">
        <v>179.8</v>
      </c>
      <c r="DV70" s="52">
        <v>214.02</v>
      </c>
      <c r="DW70" s="52">
        <v>154.69999999999999</v>
      </c>
      <c r="DX70" s="52">
        <v>165.64</v>
      </c>
      <c r="DY70" s="52">
        <v>269.58</v>
      </c>
      <c r="DZ70" s="52">
        <v>193.06</v>
      </c>
      <c r="EA70" s="52">
        <v>151.09</v>
      </c>
      <c r="EB70" s="52">
        <v>194.25</v>
      </c>
      <c r="EC70" s="52">
        <v>209.16</v>
      </c>
      <c r="ED70" s="52">
        <v>197.54</v>
      </c>
      <c r="EE70" s="52">
        <v>190.83</v>
      </c>
      <c r="EF70" s="52">
        <v>155.35</v>
      </c>
      <c r="EG70" s="52">
        <v>224.87</v>
      </c>
      <c r="EH70" s="52">
        <v>214.46</v>
      </c>
      <c r="EI70" s="52">
        <v>210.41</v>
      </c>
      <c r="EJ70" s="52">
        <v>105.42</v>
      </c>
      <c r="EK70" s="52">
        <v>125.29</v>
      </c>
      <c r="EL70" s="52">
        <v>333.55</v>
      </c>
      <c r="EM70" s="52">
        <v>183.4</v>
      </c>
      <c r="EN70" s="52">
        <v>204.68</v>
      </c>
      <c r="EO70" s="52">
        <v>221.97</v>
      </c>
      <c r="EP70" s="52">
        <v>124.71</v>
      </c>
      <c r="EQ70" s="52">
        <v>166.68</v>
      </c>
      <c r="ER70" s="52">
        <v>217.7</v>
      </c>
      <c r="ES70" s="52">
        <v>254.19</v>
      </c>
      <c r="ET70" s="52">
        <v>227.52</v>
      </c>
      <c r="EU70" s="52">
        <v>162.59</v>
      </c>
      <c r="EV70" s="52">
        <v>181.1</v>
      </c>
      <c r="EW70" s="52">
        <v>180.62</v>
      </c>
      <c r="EX70" s="52">
        <v>178.51</v>
      </c>
      <c r="EY70" s="52">
        <v>128.41</v>
      </c>
      <c r="EZ70" s="52">
        <v>220.79</v>
      </c>
      <c r="FA70" s="52">
        <v>242.35</v>
      </c>
      <c r="FB70" s="52">
        <v>197.3</v>
      </c>
      <c r="FC70" s="52">
        <v>249.05</v>
      </c>
      <c r="FD70" s="52">
        <v>176.39</v>
      </c>
      <c r="FE70" s="52">
        <v>175.54</v>
      </c>
      <c r="FF70" s="52"/>
      <c r="FG70" s="52">
        <v>144.01</v>
      </c>
      <c r="FH70" s="52">
        <v>162.82</v>
      </c>
      <c r="FI70" s="52">
        <v>192.26</v>
      </c>
      <c r="FJ70" s="52">
        <v>159.57</v>
      </c>
      <c r="FK70" s="52">
        <v>206.74</v>
      </c>
      <c r="FL70" s="52">
        <v>138.97999999999999</v>
      </c>
      <c r="FM70" s="52">
        <v>151.91999999999999</v>
      </c>
      <c r="FN70" s="52">
        <v>183.51</v>
      </c>
      <c r="FO70" s="52">
        <v>219.78</v>
      </c>
      <c r="FP70" s="52">
        <v>153.94999999999999</v>
      </c>
      <c r="FQ70" s="52">
        <v>233.3</v>
      </c>
      <c r="FR70" s="52">
        <v>239.81</v>
      </c>
      <c r="FS70" s="52">
        <v>184.47</v>
      </c>
      <c r="FT70" s="52">
        <v>140.51</v>
      </c>
      <c r="FU70" s="52">
        <v>199.75</v>
      </c>
      <c r="FV70" s="52">
        <v>167.49</v>
      </c>
      <c r="FW70" s="52">
        <v>115.27</v>
      </c>
      <c r="FX70" s="52">
        <v>173.64</v>
      </c>
      <c r="FY70" s="52">
        <v>185.42</v>
      </c>
      <c r="FZ70" s="52">
        <v>186.99</v>
      </c>
      <c r="GA70" s="52">
        <v>140.41</v>
      </c>
      <c r="GB70" s="52">
        <v>154.84</v>
      </c>
      <c r="GC70" s="52">
        <v>148.83000000000001</v>
      </c>
      <c r="GD70" s="52">
        <v>127.08</v>
      </c>
      <c r="GE70" s="52">
        <v>234.3</v>
      </c>
      <c r="GF70" s="52">
        <v>195.97</v>
      </c>
      <c r="GG70" s="52">
        <v>220.79</v>
      </c>
      <c r="GH70" s="52">
        <v>297.82</v>
      </c>
      <c r="GI70" s="52">
        <v>137.19</v>
      </c>
      <c r="GJ70" s="52">
        <v>132.21</v>
      </c>
      <c r="GK70" s="52">
        <v>119.74</v>
      </c>
      <c r="GL70" s="52">
        <v>137.41</v>
      </c>
      <c r="GM70" s="52">
        <v>133.78</v>
      </c>
      <c r="GN70" s="52">
        <v>184.93</v>
      </c>
      <c r="GO70" s="52">
        <v>139.79</v>
      </c>
      <c r="GP70" s="52">
        <v>145.69999999999999</v>
      </c>
      <c r="GQ70" s="52">
        <v>138.11000000000001</v>
      </c>
      <c r="GR70" s="52">
        <v>197.17</v>
      </c>
      <c r="GS70" s="52">
        <v>261.8</v>
      </c>
      <c r="GT70" s="52">
        <v>152.94</v>
      </c>
      <c r="GU70" s="52">
        <v>179.55</v>
      </c>
      <c r="GV70" s="52">
        <v>172.07</v>
      </c>
      <c r="GW70" s="52">
        <v>194.11</v>
      </c>
      <c r="GX70" s="52">
        <v>231.6</v>
      </c>
      <c r="GY70" s="52">
        <v>202.44</v>
      </c>
      <c r="GZ70" s="52">
        <v>182.19</v>
      </c>
      <c r="HA70" s="52">
        <v>164.67</v>
      </c>
      <c r="HB70" s="52">
        <v>157.53</v>
      </c>
      <c r="HC70" s="52">
        <v>134.28</v>
      </c>
      <c r="HD70" s="52">
        <v>131.49</v>
      </c>
      <c r="HE70" s="52">
        <v>97.53</v>
      </c>
      <c r="HF70" s="52">
        <v>106.74</v>
      </c>
      <c r="HG70" s="52">
        <v>116.53</v>
      </c>
      <c r="HH70" s="52">
        <v>140.79</v>
      </c>
      <c r="HI70" s="52">
        <v>69.44</v>
      </c>
      <c r="HJ70" s="52">
        <v>112.43</v>
      </c>
      <c r="HK70" s="52">
        <v>221.99</v>
      </c>
      <c r="HL70" s="52">
        <v>141.25</v>
      </c>
      <c r="HM70" s="52">
        <v>176.2</v>
      </c>
      <c r="HN70" s="52">
        <v>171.17</v>
      </c>
      <c r="HO70" s="52">
        <v>142.88</v>
      </c>
      <c r="HP70" s="52">
        <v>194.54</v>
      </c>
      <c r="HQ70" s="52">
        <v>108.28</v>
      </c>
      <c r="HR70" s="52">
        <v>155.83000000000001</v>
      </c>
      <c r="HS70" s="52">
        <v>247.2</v>
      </c>
      <c r="HT70" s="52">
        <v>183.21</v>
      </c>
      <c r="HU70" s="52">
        <v>91.45</v>
      </c>
      <c r="HV70" s="52">
        <v>140.02000000000001</v>
      </c>
      <c r="HW70" s="52">
        <v>128.69999999999999</v>
      </c>
      <c r="HX70" s="52">
        <v>95.95</v>
      </c>
      <c r="HY70" s="52">
        <v>194.88</v>
      </c>
      <c r="HZ70" s="52">
        <v>146.69999999999999</v>
      </c>
      <c r="IA70" s="52">
        <v>86.75</v>
      </c>
      <c r="IB70" s="52">
        <v>172.91</v>
      </c>
      <c r="IC70" s="52">
        <v>104.17</v>
      </c>
      <c r="ID70" s="52">
        <v>119.12</v>
      </c>
      <c r="IE70" s="52">
        <v>102.44</v>
      </c>
      <c r="IF70" s="52">
        <v>130.46</v>
      </c>
      <c r="IG70" s="52">
        <v>161.85</v>
      </c>
      <c r="IH70" s="52">
        <v>198.61</v>
      </c>
      <c r="II70" s="52">
        <v>212.75</v>
      </c>
      <c r="IJ70" s="52">
        <v>163.77000000000001</v>
      </c>
      <c r="IK70" s="52">
        <v>199.27</v>
      </c>
      <c r="IL70" s="52">
        <v>161.22999999999999</v>
      </c>
      <c r="IM70" s="52">
        <v>218.42</v>
      </c>
      <c r="IN70" s="52">
        <v>210.3</v>
      </c>
      <c r="IO70" s="52">
        <v>161.5</v>
      </c>
      <c r="IP70" s="52">
        <v>118.12</v>
      </c>
      <c r="IQ70" s="52">
        <v>149.77000000000001</v>
      </c>
      <c r="IR70" s="52">
        <v>228.92</v>
      </c>
      <c r="IS70" s="52">
        <v>207.65</v>
      </c>
      <c r="IT70" s="52">
        <v>46.71</v>
      </c>
      <c r="IU70" s="52">
        <v>121.09</v>
      </c>
      <c r="IV70" s="52">
        <v>61.29</v>
      </c>
      <c r="IW70" s="52">
        <v>93.1</v>
      </c>
      <c r="IX70" s="52">
        <v>138.9</v>
      </c>
      <c r="IY70" s="52">
        <v>143.72999999999999</v>
      </c>
      <c r="IZ70" s="52">
        <v>198.89</v>
      </c>
      <c r="JA70" s="52">
        <v>141.22999999999999</v>
      </c>
      <c r="JB70" s="52"/>
      <c r="JC70" s="52">
        <v>179.8</v>
      </c>
      <c r="JD70" s="52">
        <v>214.02</v>
      </c>
      <c r="JE70" s="52">
        <v>159.94999999999999</v>
      </c>
      <c r="JF70" s="52">
        <v>152.57</v>
      </c>
      <c r="JG70" s="52">
        <v>165.64</v>
      </c>
      <c r="JH70" s="52">
        <v>269.58</v>
      </c>
      <c r="JI70" s="52">
        <v>193.06</v>
      </c>
      <c r="JJ70" s="52">
        <v>151.09</v>
      </c>
      <c r="JK70" s="52">
        <v>194.25</v>
      </c>
      <c r="JL70" s="52">
        <v>209.16</v>
      </c>
      <c r="JM70" s="52">
        <v>197.54</v>
      </c>
      <c r="JN70" s="52">
        <v>190.83</v>
      </c>
      <c r="JO70" s="52">
        <v>155.35</v>
      </c>
      <c r="JP70" s="52">
        <v>235.64</v>
      </c>
      <c r="JQ70" s="52">
        <v>199.45</v>
      </c>
      <c r="JR70" s="52">
        <v>195.79</v>
      </c>
      <c r="JS70" s="52">
        <v>241</v>
      </c>
      <c r="JT70" s="52">
        <v>232.39</v>
      </c>
      <c r="JU70" s="52">
        <v>189.1</v>
      </c>
      <c r="JV70" s="52">
        <v>105.42</v>
      </c>
      <c r="JW70" s="52">
        <v>125.29</v>
      </c>
      <c r="JX70" s="52">
        <v>333.55</v>
      </c>
      <c r="JY70" s="52">
        <v>188.58</v>
      </c>
      <c r="JZ70" s="52">
        <v>173.04</v>
      </c>
      <c r="KA70" s="52">
        <v>204.68</v>
      </c>
      <c r="KB70" s="52">
        <v>221.97</v>
      </c>
      <c r="KC70" s="52">
        <v>124.71</v>
      </c>
      <c r="KD70" s="52">
        <v>166.68</v>
      </c>
      <c r="KE70" s="52">
        <v>217.7</v>
      </c>
      <c r="KF70" s="52">
        <v>254.19</v>
      </c>
    </row>
    <row r="71" spans="1:292" s="41" customFormat="1" ht="12">
      <c r="A71" s="41">
        <v>2010</v>
      </c>
      <c r="B71" s="54" t="s">
        <v>987</v>
      </c>
      <c r="C71" s="55" t="s">
        <v>988</v>
      </c>
      <c r="D71" s="52">
        <v>177.04</v>
      </c>
      <c r="E71" s="52">
        <v>177.08</v>
      </c>
      <c r="F71" s="52">
        <v>294.82</v>
      </c>
      <c r="G71" s="52">
        <v>135.93</v>
      </c>
      <c r="H71" s="52">
        <v>207.72</v>
      </c>
      <c r="I71" s="52">
        <v>141.88999999999999</v>
      </c>
      <c r="J71" s="52">
        <v>127.92</v>
      </c>
      <c r="K71" s="52">
        <v>170.11</v>
      </c>
      <c r="L71" s="52">
        <v>112.17</v>
      </c>
      <c r="M71" s="52">
        <v>145.97999999999999</v>
      </c>
      <c r="N71" s="52">
        <v>185.44</v>
      </c>
      <c r="O71" s="52">
        <v>228.73</v>
      </c>
      <c r="P71" s="52">
        <v>193.33</v>
      </c>
      <c r="Q71" s="52">
        <v>177.71</v>
      </c>
      <c r="R71" s="52">
        <v>166.73</v>
      </c>
      <c r="S71" s="52">
        <v>228.15</v>
      </c>
      <c r="T71" s="52">
        <v>298.32</v>
      </c>
      <c r="U71" s="52">
        <v>133.72999999999999</v>
      </c>
      <c r="V71" s="52">
        <v>140.63999999999999</v>
      </c>
      <c r="W71" s="52">
        <v>262.27999999999997</v>
      </c>
      <c r="X71" s="52">
        <v>153.19999999999999</v>
      </c>
      <c r="Y71" s="52">
        <v>183.3</v>
      </c>
      <c r="Z71" s="52">
        <v>201.54</v>
      </c>
      <c r="AA71" s="52">
        <v>156.05000000000001</v>
      </c>
      <c r="AB71" s="52">
        <v>132.72</v>
      </c>
      <c r="AC71" s="52">
        <v>119.01</v>
      </c>
      <c r="AD71" s="52">
        <v>159.55000000000001</v>
      </c>
      <c r="AE71" s="52">
        <v>169.63</v>
      </c>
      <c r="AF71" s="52">
        <v>138.49</v>
      </c>
      <c r="AG71" s="52">
        <v>95.56</v>
      </c>
      <c r="AH71" s="52">
        <v>154.82</v>
      </c>
      <c r="AI71" s="52">
        <v>173.01</v>
      </c>
      <c r="AJ71" s="52">
        <v>115.53</v>
      </c>
      <c r="AK71" s="52">
        <v>195.23</v>
      </c>
      <c r="AL71" s="52">
        <v>203.17</v>
      </c>
      <c r="AM71" s="52">
        <v>207.65</v>
      </c>
      <c r="AN71" s="52">
        <v>46.35</v>
      </c>
      <c r="AO71" s="52">
        <v>122.14</v>
      </c>
      <c r="AP71" s="52">
        <v>76.180000000000007</v>
      </c>
      <c r="AQ71" s="52">
        <v>143.80000000000001</v>
      </c>
      <c r="AR71" s="52">
        <v>183.05</v>
      </c>
      <c r="AS71" s="52">
        <v>180.48</v>
      </c>
      <c r="AT71" s="52">
        <v>209.16</v>
      </c>
      <c r="AU71" s="52">
        <v>186.83</v>
      </c>
      <c r="AV71" s="52">
        <v>213.96</v>
      </c>
      <c r="AW71" s="52">
        <v>200.99</v>
      </c>
      <c r="AX71" s="52">
        <v>190.83</v>
      </c>
      <c r="AY71" s="52">
        <v>153.62</v>
      </c>
      <c r="AZ71" s="52">
        <v>225.36</v>
      </c>
      <c r="BA71" s="52">
        <v>214.52</v>
      </c>
      <c r="BB71" s="52">
        <v>142.37</v>
      </c>
      <c r="BC71" s="52">
        <v>305.16000000000003</v>
      </c>
      <c r="BD71" s="52">
        <v>205.44</v>
      </c>
      <c r="BE71" s="52">
        <v>172.95</v>
      </c>
      <c r="BF71" s="52">
        <v>217.7</v>
      </c>
      <c r="BG71" s="52">
        <v>233.59</v>
      </c>
      <c r="BH71" s="52">
        <v>181.78</v>
      </c>
      <c r="BI71" s="52">
        <v>207.27</v>
      </c>
      <c r="BJ71" s="52">
        <v>177.57</v>
      </c>
      <c r="BK71" s="52">
        <v>167.17</v>
      </c>
      <c r="BL71" s="52">
        <v>148.09</v>
      </c>
      <c r="BM71" s="52">
        <v>187.51</v>
      </c>
      <c r="BN71" s="52">
        <v>158.69999999999999</v>
      </c>
      <c r="BO71" s="52">
        <v>153.11000000000001</v>
      </c>
      <c r="BP71" s="52">
        <v>173.73</v>
      </c>
      <c r="BQ71" s="52">
        <v>187.84</v>
      </c>
      <c r="BR71" s="52">
        <v>148.08000000000001</v>
      </c>
      <c r="BS71" s="52">
        <v>234.39</v>
      </c>
      <c r="BT71" s="52">
        <v>191.65</v>
      </c>
      <c r="BU71" s="52">
        <v>220.3</v>
      </c>
      <c r="BV71" s="52">
        <v>298.32</v>
      </c>
      <c r="BW71" s="52">
        <v>133.13</v>
      </c>
      <c r="BX71" s="52">
        <v>134.46</v>
      </c>
      <c r="BY71" s="52">
        <v>185.68</v>
      </c>
      <c r="BZ71" s="52">
        <v>140.29</v>
      </c>
      <c r="CA71" s="52">
        <v>197.43</v>
      </c>
      <c r="CB71" s="53">
        <v>262.27999999999997</v>
      </c>
      <c r="CC71" s="52">
        <v>153.19999999999999</v>
      </c>
      <c r="CD71" s="52">
        <v>182.6</v>
      </c>
      <c r="CE71" s="52">
        <v>172.07</v>
      </c>
      <c r="CF71" s="52">
        <v>217.48</v>
      </c>
      <c r="CG71" s="52">
        <v>204.61</v>
      </c>
      <c r="CH71" s="52">
        <v>161.13</v>
      </c>
      <c r="CI71" s="52">
        <v>136.85</v>
      </c>
      <c r="CJ71" s="52">
        <v>132.72</v>
      </c>
      <c r="CK71" s="52">
        <v>110.81</v>
      </c>
      <c r="CL71" s="52">
        <v>111.73</v>
      </c>
      <c r="CM71" s="52">
        <v>223.9</v>
      </c>
      <c r="CN71" s="52">
        <v>159.55000000000001</v>
      </c>
      <c r="CO71" s="52">
        <v>169.63</v>
      </c>
      <c r="CP71" s="52">
        <v>112.28</v>
      </c>
      <c r="CQ71" s="52">
        <v>248.45</v>
      </c>
      <c r="CR71" s="52">
        <v>91.45</v>
      </c>
      <c r="CS71" s="52">
        <v>140.6</v>
      </c>
      <c r="CT71" s="52">
        <v>116.8</v>
      </c>
      <c r="CU71" s="52">
        <v>194.89</v>
      </c>
      <c r="CV71" s="52">
        <v>146.69999999999999</v>
      </c>
      <c r="CW71" s="52">
        <v>94.96</v>
      </c>
      <c r="CX71" s="52">
        <v>173.01</v>
      </c>
      <c r="CY71" s="52">
        <v>115.61</v>
      </c>
      <c r="CZ71" s="52">
        <v>101.99</v>
      </c>
      <c r="DA71" s="52">
        <v>131.09</v>
      </c>
      <c r="DB71" s="52">
        <v>162.09</v>
      </c>
      <c r="DC71" s="52">
        <v>196.83</v>
      </c>
      <c r="DD71" s="52">
        <v>207.68</v>
      </c>
      <c r="DE71" s="52">
        <v>163.57</v>
      </c>
      <c r="DF71" s="52">
        <v>187.14</v>
      </c>
      <c r="DG71" s="52">
        <v>207.33</v>
      </c>
      <c r="DH71" s="52">
        <v>118.07</v>
      </c>
      <c r="DI71" s="52">
        <v>149.77000000000001</v>
      </c>
      <c r="DJ71" s="52">
        <v>230.16</v>
      </c>
      <c r="DK71" s="52">
        <v>207.65</v>
      </c>
      <c r="DL71" s="52">
        <v>46.35</v>
      </c>
      <c r="DM71" s="52">
        <v>122.14</v>
      </c>
      <c r="DN71" s="52">
        <v>59.11</v>
      </c>
      <c r="DO71" s="52">
        <v>93.49</v>
      </c>
      <c r="DP71" s="52">
        <v>139.09</v>
      </c>
      <c r="DQ71" s="52">
        <v>143.80000000000001</v>
      </c>
      <c r="DR71" s="52">
        <v>199.6</v>
      </c>
      <c r="DS71" s="52">
        <v>142.18</v>
      </c>
      <c r="DT71" s="52"/>
      <c r="DU71" s="52">
        <v>179.91</v>
      </c>
      <c r="DV71" s="52">
        <v>213.85</v>
      </c>
      <c r="DW71" s="52">
        <v>154.78</v>
      </c>
      <c r="DX71" s="52">
        <v>165.64</v>
      </c>
      <c r="DY71" s="52">
        <v>279.35000000000002</v>
      </c>
      <c r="DZ71" s="52">
        <v>193.06</v>
      </c>
      <c r="EA71" s="52">
        <v>151.43</v>
      </c>
      <c r="EB71" s="52">
        <v>186.83</v>
      </c>
      <c r="EC71" s="52">
        <v>213.96</v>
      </c>
      <c r="ED71" s="52">
        <v>200.99</v>
      </c>
      <c r="EE71" s="52">
        <v>190.83</v>
      </c>
      <c r="EF71" s="52">
        <v>153.62</v>
      </c>
      <c r="EG71" s="52">
        <v>225.36</v>
      </c>
      <c r="EH71" s="52">
        <v>214.52</v>
      </c>
      <c r="EI71" s="52">
        <v>210.82</v>
      </c>
      <c r="EJ71" s="52">
        <v>104.97</v>
      </c>
      <c r="EK71" s="52">
        <v>123.67</v>
      </c>
      <c r="EL71" s="52">
        <v>351.41</v>
      </c>
      <c r="EM71" s="52">
        <v>184.03</v>
      </c>
      <c r="EN71" s="52">
        <v>205.44</v>
      </c>
      <c r="EO71" s="52">
        <v>221.32</v>
      </c>
      <c r="EP71" s="52">
        <v>124.08</v>
      </c>
      <c r="EQ71" s="52">
        <v>166.35</v>
      </c>
      <c r="ER71" s="52">
        <v>217.7</v>
      </c>
      <c r="ES71" s="52">
        <v>233.59</v>
      </c>
      <c r="ET71" s="52">
        <v>219.18</v>
      </c>
      <c r="EU71" s="52">
        <v>162.01</v>
      </c>
      <c r="EV71" s="52">
        <v>182.57</v>
      </c>
      <c r="EW71" s="52">
        <v>179.82</v>
      </c>
      <c r="EX71" s="52">
        <v>177.37</v>
      </c>
      <c r="EY71" s="52">
        <v>126.76</v>
      </c>
      <c r="EZ71" s="52">
        <v>216.05</v>
      </c>
      <c r="FA71" s="52">
        <v>239.43</v>
      </c>
      <c r="FB71" s="52">
        <v>177.76</v>
      </c>
      <c r="FC71" s="52">
        <v>240.92</v>
      </c>
      <c r="FD71" s="52">
        <v>176.17</v>
      </c>
      <c r="FE71" s="52">
        <v>177.57</v>
      </c>
      <c r="FF71" s="52"/>
      <c r="FG71" s="52">
        <v>141.02000000000001</v>
      </c>
      <c r="FH71" s="52">
        <v>159.68</v>
      </c>
      <c r="FI71" s="52">
        <v>192.13</v>
      </c>
      <c r="FJ71" s="52">
        <v>149.28</v>
      </c>
      <c r="FK71" s="52">
        <v>208.5</v>
      </c>
      <c r="FL71" s="52">
        <v>136.94</v>
      </c>
      <c r="FM71" s="52">
        <v>143.97999999999999</v>
      </c>
      <c r="FN71" s="52">
        <v>180.58</v>
      </c>
      <c r="FO71" s="52">
        <v>220.54</v>
      </c>
      <c r="FP71" s="52">
        <v>137.85</v>
      </c>
      <c r="FQ71" s="52">
        <v>192.47</v>
      </c>
      <c r="FR71" s="52">
        <v>232.71</v>
      </c>
      <c r="FS71" s="52">
        <v>183.61</v>
      </c>
      <c r="FT71" s="52">
        <v>140.9</v>
      </c>
      <c r="FU71" s="52">
        <v>198.83</v>
      </c>
      <c r="FV71" s="52">
        <v>167.6</v>
      </c>
      <c r="FW71" s="52">
        <v>105.04</v>
      </c>
      <c r="FX71" s="52">
        <v>173.73</v>
      </c>
      <c r="FY71" s="52">
        <v>185.08</v>
      </c>
      <c r="FZ71" s="52">
        <v>188.99</v>
      </c>
      <c r="GA71" s="52">
        <v>142.41999999999999</v>
      </c>
      <c r="GB71" s="52">
        <v>155.18</v>
      </c>
      <c r="GC71" s="52">
        <v>149.62</v>
      </c>
      <c r="GD71" s="52">
        <v>127.81</v>
      </c>
      <c r="GE71" s="52">
        <v>234.39</v>
      </c>
      <c r="GF71" s="52">
        <v>191.65</v>
      </c>
      <c r="GG71" s="52">
        <v>220.3</v>
      </c>
      <c r="GH71" s="52">
        <v>297.82</v>
      </c>
      <c r="GI71" s="52">
        <v>138.54</v>
      </c>
      <c r="GJ71" s="52">
        <v>132.29</v>
      </c>
      <c r="GK71" s="52">
        <v>122.15</v>
      </c>
      <c r="GL71" s="52">
        <v>137.05000000000001</v>
      </c>
      <c r="GM71" s="52">
        <v>134.46</v>
      </c>
      <c r="GN71" s="52">
        <v>185.68</v>
      </c>
      <c r="GO71" s="52">
        <v>137.87</v>
      </c>
      <c r="GP71" s="52">
        <v>144.11000000000001</v>
      </c>
      <c r="GQ71" s="52">
        <v>138.68</v>
      </c>
      <c r="GR71" s="52">
        <v>197.43</v>
      </c>
      <c r="GS71" s="52">
        <v>262.27999999999997</v>
      </c>
      <c r="GT71" s="52">
        <v>153.19999999999999</v>
      </c>
      <c r="GU71" s="52">
        <v>182.6</v>
      </c>
      <c r="GV71" s="52">
        <v>172.07</v>
      </c>
      <c r="GW71" s="52">
        <v>194.52</v>
      </c>
      <c r="GX71" s="52">
        <v>231.91</v>
      </c>
      <c r="GY71" s="52">
        <v>204.61</v>
      </c>
      <c r="GZ71" s="52">
        <v>183.64</v>
      </c>
      <c r="HA71" s="52">
        <v>164.74</v>
      </c>
      <c r="HB71" s="52">
        <v>157.58000000000001</v>
      </c>
      <c r="HC71" s="52">
        <v>136.85</v>
      </c>
      <c r="HD71" s="52">
        <v>132.72</v>
      </c>
      <c r="HE71" s="52">
        <v>100.36</v>
      </c>
      <c r="HF71" s="52">
        <v>105.15</v>
      </c>
      <c r="HG71" s="52">
        <v>121.13</v>
      </c>
      <c r="HH71" s="52">
        <v>140.88</v>
      </c>
      <c r="HI71" s="52">
        <v>69.709999999999994</v>
      </c>
      <c r="HJ71" s="52">
        <v>111.73</v>
      </c>
      <c r="HK71" s="52">
        <v>223.9</v>
      </c>
      <c r="HL71" s="52">
        <v>141.97</v>
      </c>
      <c r="HM71" s="52">
        <v>176.81</v>
      </c>
      <c r="HN71" s="52">
        <v>171.76</v>
      </c>
      <c r="HO71" s="52">
        <v>144.06</v>
      </c>
      <c r="HP71" s="52">
        <v>195.22</v>
      </c>
      <c r="HQ71" s="52">
        <v>106.95</v>
      </c>
      <c r="HR71" s="52">
        <v>156.04</v>
      </c>
      <c r="HS71" s="52">
        <v>250.52</v>
      </c>
      <c r="HT71" s="52">
        <v>184.26</v>
      </c>
      <c r="HU71" s="52">
        <v>91.45</v>
      </c>
      <c r="HV71" s="52">
        <v>140.6</v>
      </c>
      <c r="HW71" s="52">
        <v>128.66</v>
      </c>
      <c r="HX71" s="52">
        <v>95.85</v>
      </c>
      <c r="HY71" s="52">
        <v>194.89</v>
      </c>
      <c r="HZ71" s="52">
        <v>146.69999999999999</v>
      </c>
      <c r="IA71" s="52">
        <v>86.74</v>
      </c>
      <c r="IB71" s="52">
        <v>173.01</v>
      </c>
      <c r="IC71" s="52">
        <v>103.67</v>
      </c>
      <c r="ID71" s="52">
        <v>118.31</v>
      </c>
      <c r="IE71" s="52">
        <v>101.99</v>
      </c>
      <c r="IF71" s="52">
        <v>131.09</v>
      </c>
      <c r="IG71" s="52">
        <v>162.09</v>
      </c>
      <c r="IH71" s="52">
        <v>196.83</v>
      </c>
      <c r="II71" s="52">
        <v>207.68</v>
      </c>
      <c r="IJ71" s="52">
        <v>163.57</v>
      </c>
      <c r="IK71" s="52">
        <v>199.27</v>
      </c>
      <c r="IL71" s="52">
        <v>161.22999999999999</v>
      </c>
      <c r="IM71" s="52">
        <v>218.84</v>
      </c>
      <c r="IN71" s="52">
        <v>210.74</v>
      </c>
      <c r="IO71" s="52">
        <v>165.39</v>
      </c>
      <c r="IP71" s="52">
        <v>118.07</v>
      </c>
      <c r="IQ71" s="52">
        <v>149.77000000000001</v>
      </c>
      <c r="IR71" s="52">
        <v>230.16</v>
      </c>
      <c r="IS71" s="52">
        <v>207.65</v>
      </c>
      <c r="IT71" s="52">
        <v>46.35</v>
      </c>
      <c r="IU71" s="52">
        <v>122.14</v>
      </c>
      <c r="IV71" s="52">
        <v>60.01</v>
      </c>
      <c r="IW71" s="52">
        <v>93.49</v>
      </c>
      <c r="IX71" s="52">
        <v>139.09</v>
      </c>
      <c r="IY71" s="52">
        <v>143.80000000000001</v>
      </c>
      <c r="IZ71" s="52">
        <v>199.6</v>
      </c>
      <c r="JA71" s="52">
        <v>142.18</v>
      </c>
      <c r="JB71" s="52"/>
      <c r="JC71" s="52">
        <v>179.91</v>
      </c>
      <c r="JD71" s="52">
        <v>213.85</v>
      </c>
      <c r="JE71" s="52">
        <v>160.06</v>
      </c>
      <c r="JF71" s="52">
        <v>152.63999999999999</v>
      </c>
      <c r="JG71" s="52">
        <v>165.64</v>
      </c>
      <c r="JH71" s="52">
        <v>279.35000000000002</v>
      </c>
      <c r="JI71" s="52">
        <v>193.06</v>
      </c>
      <c r="JJ71" s="52">
        <v>151.43</v>
      </c>
      <c r="JK71" s="52">
        <v>186.83</v>
      </c>
      <c r="JL71" s="52">
        <v>213.96</v>
      </c>
      <c r="JM71" s="52">
        <v>200.99</v>
      </c>
      <c r="JN71" s="52">
        <v>190.83</v>
      </c>
      <c r="JO71" s="52">
        <v>153.62</v>
      </c>
      <c r="JP71" s="52">
        <v>236.23</v>
      </c>
      <c r="JQ71" s="52">
        <v>199.71</v>
      </c>
      <c r="JR71" s="52">
        <v>195.88</v>
      </c>
      <c r="JS71" s="52">
        <v>240.91</v>
      </c>
      <c r="JT71" s="52">
        <v>233.01</v>
      </c>
      <c r="JU71" s="52">
        <v>189.32</v>
      </c>
      <c r="JV71" s="52">
        <v>104.97</v>
      </c>
      <c r="JW71" s="52">
        <v>123.67</v>
      </c>
      <c r="JX71" s="52">
        <v>351.41</v>
      </c>
      <c r="JY71" s="52">
        <v>189.56</v>
      </c>
      <c r="JZ71" s="52">
        <v>173.16</v>
      </c>
      <c r="KA71" s="52">
        <v>205.44</v>
      </c>
      <c r="KB71" s="52">
        <v>221.32</v>
      </c>
      <c r="KC71" s="52">
        <v>124.08</v>
      </c>
      <c r="KD71" s="52">
        <v>166.35</v>
      </c>
      <c r="KE71" s="52">
        <v>217.7</v>
      </c>
      <c r="KF71" s="52">
        <v>233.59</v>
      </c>
    </row>
    <row r="72" spans="1:292" s="41" customFormat="1" ht="12">
      <c r="A72" s="41">
        <v>2010</v>
      </c>
      <c r="B72" s="54" t="s">
        <v>989</v>
      </c>
      <c r="C72" s="55" t="s">
        <v>990</v>
      </c>
      <c r="D72" s="52">
        <v>176.19</v>
      </c>
      <c r="E72" s="52">
        <v>175.78</v>
      </c>
      <c r="F72" s="52">
        <v>294.85000000000002</v>
      </c>
      <c r="G72" s="52">
        <v>128.87</v>
      </c>
      <c r="H72" s="52">
        <v>208.3</v>
      </c>
      <c r="I72" s="52">
        <v>142.77000000000001</v>
      </c>
      <c r="J72" s="52">
        <v>128.25</v>
      </c>
      <c r="K72" s="52">
        <v>170.95</v>
      </c>
      <c r="L72" s="52">
        <v>112.05</v>
      </c>
      <c r="M72" s="52">
        <v>145.4</v>
      </c>
      <c r="N72" s="52">
        <v>187.08</v>
      </c>
      <c r="O72" s="52">
        <v>229.51</v>
      </c>
      <c r="P72" s="52">
        <v>189.45</v>
      </c>
      <c r="Q72" s="52">
        <v>176.19</v>
      </c>
      <c r="R72" s="52">
        <v>168.24</v>
      </c>
      <c r="S72" s="52">
        <v>228.7</v>
      </c>
      <c r="T72" s="52">
        <v>298.32</v>
      </c>
      <c r="U72" s="52">
        <v>126.87</v>
      </c>
      <c r="V72" s="52">
        <v>133.03</v>
      </c>
      <c r="W72" s="52">
        <v>263.42</v>
      </c>
      <c r="X72" s="52">
        <v>153.34</v>
      </c>
      <c r="Y72" s="52">
        <v>183.44</v>
      </c>
      <c r="Z72" s="52">
        <v>202.11</v>
      </c>
      <c r="AA72" s="52">
        <v>158.88999999999999</v>
      </c>
      <c r="AB72" s="52">
        <v>133.85</v>
      </c>
      <c r="AC72" s="52">
        <v>119.05</v>
      </c>
      <c r="AD72" s="52">
        <v>160.55000000000001</v>
      </c>
      <c r="AE72" s="52">
        <v>170.55</v>
      </c>
      <c r="AF72" s="52">
        <v>138.11000000000001</v>
      </c>
      <c r="AG72" s="52">
        <v>96.13</v>
      </c>
      <c r="AH72" s="52">
        <v>154.88999999999999</v>
      </c>
      <c r="AI72" s="52">
        <v>173.08</v>
      </c>
      <c r="AJ72" s="52">
        <v>115.86</v>
      </c>
      <c r="AK72" s="52">
        <v>195.62</v>
      </c>
      <c r="AL72" s="52">
        <v>205.54</v>
      </c>
      <c r="AM72" s="52">
        <v>218.24</v>
      </c>
      <c r="AN72" s="52">
        <v>45.79</v>
      </c>
      <c r="AO72" s="52">
        <v>122.14</v>
      </c>
      <c r="AP72" s="52">
        <v>74.67</v>
      </c>
      <c r="AQ72" s="52">
        <v>143.87</v>
      </c>
      <c r="AR72" s="52">
        <v>183.78</v>
      </c>
      <c r="AS72" s="52">
        <v>180.77</v>
      </c>
      <c r="AT72" s="52">
        <v>209.15</v>
      </c>
      <c r="AU72" s="52">
        <v>193.02</v>
      </c>
      <c r="AV72" s="52">
        <v>216.68</v>
      </c>
      <c r="AW72" s="52">
        <v>202.91</v>
      </c>
      <c r="AX72" s="52">
        <v>190.83</v>
      </c>
      <c r="AY72" s="52">
        <v>153.65</v>
      </c>
      <c r="AZ72" s="52">
        <v>226.09</v>
      </c>
      <c r="BA72" s="52">
        <v>215.6</v>
      </c>
      <c r="BB72" s="52">
        <v>142.34</v>
      </c>
      <c r="BC72" s="52">
        <v>293.76</v>
      </c>
      <c r="BD72" s="52">
        <v>205.6</v>
      </c>
      <c r="BE72" s="52">
        <v>176.84</v>
      </c>
      <c r="BF72" s="52">
        <v>217.7</v>
      </c>
      <c r="BG72" s="52">
        <v>212.98</v>
      </c>
      <c r="BH72" s="52">
        <v>182.11</v>
      </c>
      <c r="BI72" s="52">
        <v>217.12</v>
      </c>
      <c r="BJ72" s="52">
        <v>175.57</v>
      </c>
      <c r="BK72" s="52">
        <v>167.84</v>
      </c>
      <c r="BL72" s="52">
        <v>148.04</v>
      </c>
      <c r="BM72" s="52">
        <v>169.21</v>
      </c>
      <c r="BN72" s="52">
        <v>150.44</v>
      </c>
      <c r="BO72" s="52">
        <v>153.47999999999999</v>
      </c>
      <c r="BP72" s="52">
        <v>175.09</v>
      </c>
      <c r="BQ72" s="52">
        <v>189.89</v>
      </c>
      <c r="BR72" s="52">
        <v>149.21</v>
      </c>
      <c r="BS72" s="52">
        <v>234.42</v>
      </c>
      <c r="BT72" s="52">
        <v>197.29</v>
      </c>
      <c r="BU72" s="52">
        <v>220.57</v>
      </c>
      <c r="BV72" s="52">
        <v>298.32</v>
      </c>
      <c r="BW72" s="52">
        <v>125.89</v>
      </c>
      <c r="BX72" s="52">
        <v>131.76</v>
      </c>
      <c r="BY72" s="52">
        <v>186.5</v>
      </c>
      <c r="BZ72" s="52">
        <v>132.65</v>
      </c>
      <c r="CA72" s="52">
        <v>197.24</v>
      </c>
      <c r="CB72" s="53">
        <v>263.42</v>
      </c>
      <c r="CC72" s="52">
        <v>153.34</v>
      </c>
      <c r="CD72" s="52">
        <v>182.74</v>
      </c>
      <c r="CE72" s="52">
        <v>172.07</v>
      </c>
      <c r="CF72" s="52">
        <v>218.4</v>
      </c>
      <c r="CG72" s="52">
        <v>205.74</v>
      </c>
      <c r="CH72" s="52">
        <v>164.02</v>
      </c>
      <c r="CI72" s="52">
        <v>139.55000000000001</v>
      </c>
      <c r="CJ72" s="52">
        <v>133.85</v>
      </c>
      <c r="CK72" s="52">
        <v>110.81</v>
      </c>
      <c r="CL72" s="52">
        <v>111.55</v>
      </c>
      <c r="CM72" s="52">
        <v>225.01</v>
      </c>
      <c r="CN72" s="52">
        <v>160.55000000000001</v>
      </c>
      <c r="CO72" s="52">
        <v>170.55</v>
      </c>
      <c r="CP72" s="52">
        <v>111.48</v>
      </c>
      <c r="CQ72" s="52">
        <v>250.68</v>
      </c>
      <c r="CR72" s="52">
        <v>92.15</v>
      </c>
      <c r="CS72" s="52">
        <v>141.16999999999999</v>
      </c>
      <c r="CT72" s="52">
        <v>116.64</v>
      </c>
      <c r="CU72" s="52">
        <v>195.08</v>
      </c>
      <c r="CV72" s="52">
        <v>146.69</v>
      </c>
      <c r="CW72" s="52">
        <v>94.94</v>
      </c>
      <c r="CX72" s="52">
        <v>173.08</v>
      </c>
      <c r="CY72" s="52">
        <v>115.98</v>
      </c>
      <c r="CZ72" s="52">
        <v>101.29</v>
      </c>
      <c r="DA72" s="52">
        <v>130.09</v>
      </c>
      <c r="DB72" s="52">
        <v>162.65</v>
      </c>
      <c r="DC72" s="52">
        <v>196.64</v>
      </c>
      <c r="DD72" s="52">
        <v>212.89</v>
      </c>
      <c r="DE72" s="52">
        <v>164.15</v>
      </c>
      <c r="DF72" s="52">
        <v>187.14</v>
      </c>
      <c r="DG72" s="52">
        <v>209.11</v>
      </c>
      <c r="DH72" s="52">
        <v>126.54</v>
      </c>
      <c r="DI72" s="52">
        <v>149.77000000000001</v>
      </c>
      <c r="DJ72" s="52">
        <v>231.65</v>
      </c>
      <c r="DK72" s="52">
        <v>218.24</v>
      </c>
      <c r="DL72" s="52">
        <v>45.79</v>
      </c>
      <c r="DM72" s="52">
        <v>122.14</v>
      </c>
      <c r="DN72" s="52">
        <v>57.52</v>
      </c>
      <c r="DO72" s="52">
        <v>92.06</v>
      </c>
      <c r="DP72" s="52">
        <v>138.97</v>
      </c>
      <c r="DQ72" s="52">
        <v>143.87</v>
      </c>
      <c r="DR72" s="52">
        <v>200.65</v>
      </c>
      <c r="DS72" s="52">
        <v>142.31</v>
      </c>
      <c r="DT72" s="52"/>
      <c r="DU72" s="52">
        <v>179.99</v>
      </c>
      <c r="DV72" s="52">
        <v>214.57</v>
      </c>
      <c r="DW72" s="52">
        <v>154.76</v>
      </c>
      <c r="DX72" s="52">
        <v>165.64</v>
      </c>
      <c r="DY72" s="52">
        <v>279.01</v>
      </c>
      <c r="DZ72" s="52">
        <v>193.06</v>
      </c>
      <c r="EA72" s="52">
        <v>151.69</v>
      </c>
      <c r="EB72" s="52">
        <v>193.02</v>
      </c>
      <c r="EC72" s="52">
        <v>216.68</v>
      </c>
      <c r="ED72" s="52">
        <v>202.91</v>
      </c>
      <c r="EE72" s="52">
        <v>190.83</v>
      </c>
      <c r="EF72" s="52">
        <v>153.65</v>
      </c>
      <c r="EG72" s="52">
        <v>226.09</v>
      </c>
      <c r="EH72" s="52">
        <v>215.6</v>
      </c>
      <c r="EI72" s="52">
        <v>211.62</v>
      </c>
      <c r="EJ72" s="52">
        <v>105.11</v>
      </c>
      <c r="EK72" s="52">
        <v>123.43</v>
      </c>
      <c r="EL72" s="52">
        <v>334.71</v>
      </c>
      <c r="EM72" s="52">
        <v>183.41</v>
      </c>
      <c r="EN72" s="52">
        <v>205.6</v>
      </c>
      <c r="EO72" s="52">
        <v>221.81</v>
      </c>
      <c r="EP72" s="52">
        <v>142.58000000000001</v>
      </c>
      <c r="EQ72" s="52">
        <v>167.09</v>
      </c>
      <c r="ER72" s="52">
        <v>217.7</v>
      </c>
      <c r="ES72" s="52">
        <v>212.98</v>
      </c>
      <c r="ET72" s="52">
        <v>217.93</v>
      </c>
      <c r="EU72" s="52">
        <v>162.65</v>
      </c>
      <c r="EV72" s="52">
        <v>182.96</v>
      </c>
      <c r="EW72" s="52">
        <v>180.18</v>
      </c>
      <c r="EX72" s="52">
        <v>178.58</v>
      </c>
      <c r="EY72" s="52">
        <v>127.35</v>
      </c>
      <c r="EZ72" s="52">
        <v>225.74</v>
      </c>
      <c r="FA72" s="52">
        <v>253.9</v>
      </c>
      <c r="FB72" s="52">
        <v>188.17</v>
      </c>
      <c r="FC72" s="52">
        <v>237.63</v>
      </c>
      <c r="FD72" s="52">
        <v>178.21</v>
      </c>
      <c r="FE72" s="52">
        <v>175.57</v>
      </c>
      <c r="FF72" s="52"/>
      <c r="FG72" s="52">
        <v>140.56</v>
      </c>
      <c r="FH72" s="52">
        <v>160.77000000000001</v>
      </c>
      <c r="FI72" s="52">
        <v>192.16</v>
      </c>
      <c r="FJ72" s="52">
        <v>152.74</v>
      </c>
      <c r="FK72" s="52">
        <v>210.67</v>
      </c>
      <c r="FL72" s="52">
        <v>137.63999999999999</v>
      </c>
      <c r="FM72" s="52">
        <v>143.46</v>
      </c>
      <c r="FN72" s="52">
        <v>158.85</v>
      </c>
      <c r="FO72" s="52">
        <v>222.52</v>
      </c>
      <c r="FP72" s="52">
        <v>129.18</v>
      </c>
      <c r="FQ72" s="52">
        <v>164.98</v>
      </c>
      <c r="FR72" s="52">
        <v>232.68</v>
      </c>
      <c r="FS72" s="52">
        <v>184.92</v>
      </c>
      <c r="FT72" s="52">
        <v>141.69</v>
      </c>
      <c r="FU72" s="52">
        <v>200.94</v>
      </c>
      <c r="FV72" s="52">
        <v>168.5</v>
      </c>
      <c r="FW72" s="52">
        <v>99.95</v>
      </c>
      <c r="FX72" s="52">
        <v>175.09</v>
      </c>
      <c r="FY72" s="52">
        <v>186.66</v>
      </c>
      <c r="FZ72" s="52">
        <v>191.1</v>
      </c>
      <c r="GA72" s="52">
        <v>144.54</v>
      </c>
      <c r="GB72" s="52">
        <v>155.58000000000001</v>
      </c>
      <c r="GC72" s="52">
        <v>150.83000000000001</v>
      </c>
      <c r="GD72" s="52">
        <v>130.16999999999999</v>
      </c>
      <c r="GE72" s="52">
        <v>234.42</v>
      </c>
      <c r="GF72" s="52">
        <v>197.29</v>
      </c>
      <c r="GG72" s="52">
        <v>220.57</v>
      </c>
      <c r="GH72" s="52">
        <v>297.82</v>
      </c>
      <c r="GI72" s="52">
        <v>131.51</v>
      </c>
      <c r="GJ72" s="52">
        <v>123.63</v>
      </c>
      <c r="GK72" s="52">
        <v>117.41</v>
      </c>
      <c r="GL72" s="52">
        <v>136.84</v>
      </c>
      <c r="GM72" s="52">
        <v>131.76</v>
      </c>
      <c r="GN72" s="52">
        <v>186.5</v>
      </c>
      <c r="GO72" s="52">
        <v>131.66</v>
      </c>
      <c r="GP72" s="52">
        <v>133.78</v>
      </c>
      <c r="GQ72" s="52">
        <v>132.66</v>
      </c>
      <c r="GR72" s="52">
        <v>197.24</v>
      </c>
      <c r="GS72" s="52">
        <v>263.42</v>
      </c>
      <c r="GT72" s="52">
        <v>153.34</v>
      </c>
      <c r="GU72" s="52">
        <v>182.74</v>
      </c>
      <c r="GV72" s="52">
        <v>172.07</v>
      </c>
      <c r="GW72" s="52">
        <v>194.6</v>
      </c>
      <c r="GX72" s="52">
        <v>233.49</v>
      </c>
      <c r="GY72" s="52">
        <v>205.74</v>
      </c>
      <c r="GZ72" s="52">
        <v>186.93</v>
      </c>
      <c r="HA72" s="52">
        <v>167.39</v>
      </c>
      <c r="HB72" s="52">
        <v>160.59</v>
      </c>
      <c r="HC72" s="52">
        <v>139.55000000000001</v>
      </c>
      <c r="HD72" s="52">
        <v>133.85</v>
      </c>
      <c r="HE72" s="52">
        <v>100.36</v>
      </c>
      <c r="HF72" s="52">
        <v>105.15</v>
      </c>
      <c r="HG72" s="52">
        <v>121.39</v>
      </c>
      <c r="HH72" s="52">
        <v>141.03</v>
      </c>
      <c r="HI72" s="52">
        <v>69.33</v>
      </c>
      <c r="HJ72" s="52">
        <v>111.55</v>
      </c>
      <c r="HK72" s="52">
        <v>225.01</v>
      </c>
      <c r="HL72" s="52">
        <v>143.01</v>
      </c>
      <c r="HM72" s="52">
        <v>178.16</v>
      </c>
      <c r="HN72" s="52">
        <v>172.66</v>
      </c>
      <c r="HO72" s="52">
        <v>144.53</v>
      </c>
      <c r="HP72" s="52">
        <v>196.74</v>
      </c>
      <c r="HQ72" s="52">
        <v>106.12</v>
      </c>
      <c r="HR72" s="52">
        <v>155.44999999999999</v>
      </c>
      <c r="HS72" s="52">
        <v>252.83</v>
      </c>
      <c r="HT72" s="52">
        <v>184.94</v>
      </c>
      <c r="HU72" s="52">
        <v>92.15</v>
      </c>
      <c r="HV72" s="52">
        <v>141.16999999999999</v>
      </c>
      <c r="HW72" s="52">
        <v>128.66</v>
      </c>
      <c r="HX72" s="52">
        <v>95.57</v>
      </c>
      <c r="HY72" s="52">
        <v>195.08</v>
      </c>
      <c r="HZ72" s="52">
        <v>146.69</v>
      </c>
      <c r="IA72" s="52">
        <v>86.72</v>
      </c>
      <c r="IB72" s="52">
        <v>173.08</v>
      </c>
      <c r="IC72" s="52">
        <v>104.16</v>
      </c>
      <c r="ID72" s="52">
        <v>118.51</v>
      </c>
      <c r="IE72" s="52">
        <v>101.29</v>
      </c>
      <c r="IF72" s="52">
        <v>130.09</v>
      </c>
      <c r="IG72" s="52">
        <v>162.65</v>
      </c>
      <c r="IH72" s="52">
        <v>196.64</v>
      </c>
      <c r="II72" s="52">
        <v>212.89</v>
      </c>
      <c r="IJ72" s="52">
        <v>164.15</v>
      </c>
      <c r="IK72" s="52">
        <v>199.27</v>
      </c>
      <c r="IL72" s="52">
        <v>161.22999999999999</v>
      </c>
      <c r="IM72" s="52">
        <v>219.17</v>
      </c>
      <c r="IN72" s="52">
        <v>211.55</v>
      </c>
      <c r="IO72" s="52">
        <v>171.51</v>
      </c>
      <c r="IP72" s="52">
        <v>126.54</v>
      </c>
      <c r="IQ72" s="52">
        <v>149.77000000000001</v>
      </c>
      <c r="IR72" s="52">
        <v>231.65</v>
      </c>
      <c r="IS72" s="52">
        <v>218.24</v>
      </c>
      <c r="IT72" s="52">
        <v>45.79</v>
      </c>
      <c r="IU72" s="52">
        <v>122.14</v>
      </c>
      <c r="IV72" s="52">
        <v>58.3</v>
      </c>
      <c r="IW72" s="52">
        <v>92.06</v>
      </c>
      <c r="IX72" s="52">
        <v>138.97</v>
      </c>
      <c r="IY72" s="52">
        <v>143.87</v>
      </c>
      <c r="IZ72" s="52">
        <v>200.65</v>
      </c>
      <c r="JA72" s="52">
        <v>142.31</v>
      </c>
      <c r="JB72" s="52"/>
      <c r="JC72" s="52">
        <v>179.99</v>
      </c>
      <c r="JD72" s="52">
        <v>214.57</v>
      </c>
      <c r="JE72" s="52">
        <v>160.29</v>
      </c>
      <c r="JF72" s="52">
        <v>152.56</v>
      </c>
      <c r="JG72" s="52">
        <v>165.64</v>
      </c>
      <c r="JH72" s="52">
        <v>279.01</v>
      </c>
      <c r="JI72" s="52">
        <v>193.06</v>
      </c>
      <c r="JJ72" s="52">
        <v>151.69</v>
      </c>
      <c r="JK72" s="52">
        <v>193.02</v>
      </c>
      <c r="JL72" s="52">
        <v>216.68</v>
      </c>
      <c r="JM72" s="52">
        <v>202.91</v>
      </c>
      <c r="JN72" s="52">
        <v>190.83</v>
      </c>
      <c r="JO72" s="52">
        <v>153.65</v>
      </c>
      <c r="JP72" s="52">
        <v>236.98</v>
      </c>
      <c r="JQ72" s="52">
        <v>200.39</v>
      </c>
      <c r="JR72" s="52">
        <v>197.16</v>
      </c>
      <c r="JS72" s="52">
        <v>241.15</v>
      </c>
      <c r="JT72" s="52">
        <v>234.04</v>
      </c>
      <c r="JU72" s="52">
        <v>189.88</v>
      </c>
      <c r="JV72" s="52">
        <v>105.11</v>
      </c>
      <c r="JW72" s="52">
        <v>123.43</v>
      </c>
      <c r="JX72" s="52">
        <v>334.71</v>
      </c>
      <c r="JY72" s="52">
        <v>187.96</v>
      </c>
      <c r="JZ72" s="52">
        <v>173.94</v>
      </c>
      <c r="KA72" s="52">
        <v>205.6</v>
      </c>
      <c r="KB72" s="52">
        <v>221.81</v>
      </c>
      <c r="KC72" s="52">
        <v>142.58000000000001</v>
      </c>
      <c r="KD72" s="52">
        <v>167.09</v>
      </c>
      <c r="KE72" s="52">
        <v>217.7</v>
      </c>
      <c r="KF72" s="52">
        <v>212.98</v>
      </c>
    </row>
    <row r="73" spans="1:292" s="41" customFormat="1" ht="12">
      <c r="A73" s="41">
        <v>2010</v>
      </c>
      <c r="B73" s="54" t="s">
        <v>991</v>
      </c>
      <c r="C73" s="55" t="s">
        <v>992</v>
      </c>
      <c r="D73" s="52">
        <v>176.9</v>
      </c>
      <c r="E73" s="52">
        <v>180.97</v>
      </c>
      <c r="F73" s="52">
        <v>294.86</v>
      </c>
      <c r="G73" s="52">
        <v>122.7</v>
      </c>
      <c r="H73" s="52">
        <v>208.61</v>
      </c>
      <c r="I73" s="52">
        <v>142.74</v>
      </c>
      <c r="J73" s="52">
        <v>127.39</v>
      </c>
      <c r="K73" s="52">
        <v>170.66</v>
      </c>
      <c r="L73" s="52">
        <v>110.97</v>
      </c>
      <c r="M73" s="52">
        <v>145.55000000000001</v>
      </c>
      <c r="N73" s="52">
        <v>187.34</v>
      </c>
      <c r="O73" s="52">
        <v>230.58</v>
      </c>
      <c r="P73" s="52">
        <v>189.03</v>
      </c>
      <c r="Q73" s="52">
        <v>181.67</v>
      </c>
      <c r="R73" s="52">
        <v>169.67</v>
      </c>
      <c r="S73" s="52">
        <v>229.01</v>
      </c>
      <c r="T73" s="52">
        <v>298.32</v>
      </c>
      <c r="U73" s="52">
        <v>120.4</v>
      </c>
      <c r="V73" s="52">
        <v>128.13999999999999</v>
      </c>
      <c r="W73" s="52">
        <v>264.5</v>
      </c>
      <c r="X73" s="52">
        <v>153.6</v>
      </c>
      <c r="Y73" s="52">
        <v>183.21</v>
      </c>
      <c r="Z73" s="52">
        <v>202.24</v>
      </c>
      <c r="AA73" s="52">
        <v>158.97999999999999</v>
      </c>
      <c r="AB73" s="52">
        <v>134.06</v>
      </c>
      <c r="AC73" s="52">
        <v>119.06</v>
      </c>
      <c r="AD73" s="52">
        <v>161.06</v>
      </c>
      <c r="AE73" s="52">
        <v>170.77</v>
      </c>
      <c r="AF73" s="52">
        <v>137.6</v>
      </c>
      <c r="AG73" s="52">
        <v>94.31</v>
      </c>
      <c r="AH73" s="52">
        <v>155.11000000000001</v>
      </c>
      <c r="AI73" s="52">
        <v>173.14</v>
      </c>
      <c r="AJ73" s="52">
        <v>115.5</v>
      </c>
      <c r="AK73" s="52">
        <v>194.86</v>
      </c>
      <c r="AL73" s="52">
        <v>206.18</v>
      </c>
      <c r="AM73" s="52">
        <v>218.24</v>
      </c>
      <c r="AN73" s="52">
        <v>45.99</v>
      </c>
      <c r="AO73" s="52">
        <v>120.78</v>
      </c>
      <c r="AP73" s="52">
        <v>74.14</v>
      </c>
      <c r="AQ73" s="52">
        <v>143.72</v>
      </c>
      <c r="AR73" s="52">
        <v>184.43</v>
      </c>
      <c r="AS73" s="52">
        <v>182.95</v>
      </c>
      <c r="AT73" s="52">
        <v>210.14</v>
      </c>
      <c r="AU73" s="52">
        <v>190.42</v>
      </c>
      <c r="AV73" s="52">
        <v>217.46</v>
      </c>
      <c r="AW73" s="52">
        <v>203.23</v>
      </c>
      <c r="AX73" s="52">
        <v>190.83</v>
      </c>
      <c r="AY73" s="52">
        <v>153.31</v>
      </c>
      <c r="AZ73" s="52">
        <v>227.24</v>
      </c>
      <c r="BA73" s="52">
        <v>215.56</v>
      </c>
      <c r="BB73" s="52">
        <v>142.57</v>
      </c>
      <c r="BC73" s="52">
        <v>290.7</v>
      </c>
      <c r="BD73" s="52">
        <v>205.89</v>
      </c>
      <c r="BE73" s="52">
        <v>176.06</v>
      </c>
      <c r="BF73" s="52">
        <v>230.6</v>
      </c>
      <c r="BG73" s="52">
        <v>213.14</v>
      </c>
      <c r="BH73" s="52">
        <v>182.24</v>
      </c>
      <c r="BI73" s="52">
        <v>227.59</v>
      </c>
      <c r="BJ73" s="52">
        <v>172.25</v>
      </c>
      <c r="BK73" s="52">
        <v>169.78</v>
      </c>
      <c r="BL73" s="52">
        <v>147.51</v>
      </c>
      <c r="BM73" s="52">
        <v>185.41</v>
      </c>
      <c r="BN73" s="52">
        <v>159.44</v>
      </c>
      <c r="BO73" s="52">
        <v>155.11000000000001</v>
      </c>
      <c r="BP73" s="52">
        <v>172.87</v>
      </c>
      <c r="BQ73" s="52">
        <v>193.04</v>
      </c>
      <c r="BR73" s="52">
        <v>149.6</v>
      </c>
      <c r="BS73" s="52">
        <v>234.42</v>
      </c>
      <c r="BT73" s="52">
        <v>204.11</v>
      </c>
      <c r="BU73" s="52">
        <v>220.18</v>
      </c>
      <c r="BV73" s="52">
        <v>298.32</v>
      </c>
      <c r="BW73" s="52">
        <v>119.07</v>
      </c>
      <c r="BX73" s="52">
        <v>129.30000000000001</v>
      </c>
      <c r="BY73" s="52">
        <v>187.01</v>
      </c>
      <c r="BZ73" s="52">
        <v>127.74</v>
      </c>
      <c r="CA73" s="52">
        <v>197.44</v>
      </c>
      <c r="CB73" s="53">
        <v>264.5</v>
      </c>
      <c r="CC73" s="52">
        <v>153.6</v>
      </c>
      <c r="CD73" s="52">
        <v>182.51</v>
      </c>
      <c r="CE73" s="52">
        <v>172.07</v>
      </c>
      <c r="CF73" s="52">
        <v>218.45</v>
      </c>
      <c r="CG73" s="52">
        <v>206.31</v>
      </c>
      <c r="CH73" s="52">
        <v>163.99</v>
      </c>
      <c r="CI73" s="52">
        <v>140.31</v>
      </c>
      <c r="CJ73" s="52">
        <v>134.06</v>
      </c>
      <c r="CK73" s="52">
        <v>110.79</v>
      </c>
      <c r="CL73" s="52">
        <v>111.42</v>
      </c>
      <c r="CM73" s="52">
        <v>225.77</v>
      </c>
      <c r="CN73" s="52">
        <v>161.06</v>
      </c>
      <c r="CO73" s="52">
        <v>170.77</v>
      </c>
      <c r="CP73" s="52">
        <v>110.71</v>
      </c>
      <c r="CQ73" s="52">
        <v>251.85</v>
      </c>
      <c r="CR73" s="52">
        <v>92.15</v>
      </c>
      <c r="CS73" s="52">
        <v>141.35</v>
      </c>
      <c r="CT73" s="52">
        <v>103.38</v>
      </c>
      <c r="CU73" s="52">
        <v>195.66</v>
      </c>
      <c r="CV73" s="52">
        <v>146.68</v>
      </c>
      <c r="CW73" s="52">
        <v>94.95</v>
      </c>
      <c r="CX73" s="52">
        <v>173.14</v>
      </c>
      <c r="CY73" s="52">
        <v>115.6</v>
      </c>
      <c r="CZ73" s="52">
        <v>101.22</v>
      </c>
      <c r="DA73" s="52">
        <v>130.16999999999999</v>
      </c>
      <c r="DB73" s="52">
        <v>162.61000000000001</v>
      </c>
      <c r="DC73" s="52">
        <v>195.67</v>
      </c>
      <c r="DD73" s="52">
        <v>213.47</v>
      </c>
      <c r="DE73" s="52">
        <v>163.76</v>
      </c>
      <c r="DF73" s="52">
        <v>187.14</v>
      </c>
      <c r="DG73" s="52">
        <v>209.8</v>
      </c>
      <c r="DH73" s="52">
        <v>126.49</v>
      </c>
      <c r="DI73" s="52">
        <v>149.77000000000001</v>
      </c>
      <c r="DJ73" s="52">
        <v>233.49</v>
      </c>
      <c r="DK73" s="52">
        <v>218.24</v>
      </c>
      <c r="DL73" s="52">
        <v>45.99</v>
      </c>
      <c r="DM73" s="52">
        <v>120.78</v>
      </c>
      <c r="DN73" s="52">
        <v>57.35</v>
      </c>
      <c r="DO73" s="52">
        <v>90.89</v>
      </c>
      <c r="DP73" s="52">
        <v>138.72</v>
      </c>
      <c r="DQ73" s="52">
        <v>143.72</v>
      </c>
      <c r="DR73" s="52">
        <v>201.56</v>
      </c>
      <c r="DS73" s="52">
        <v>142.47</v>
      </c>
      <c r="DT73" s="52"/>
      <c r="DU73" s="52">
        <v>180.51</v>
      </c>
      <c r="DV73" s="52">
        <v>219.64</v>
      </c>
      <c r="DW73" s="52">
        <v>154.86000000000001</v>
      </c>
      <c r="DX73" s="52">
        <v>165.64</v>
      </c>
      <c r="DY73" s="52">
        <v>281.67</v>
      </c>
      <c r="DZ73" s="52">
        <v>193.06</v>
      </c>
      <c r="EA73" s="52">
        <v>152.09</v>
      </c>
      <c r="EB73" s="52">
        <v>190.42</v>
      </c>
      <c r="EC73" s="52">
        <v>217.46</v>
      </c>
      <c r="ED73" s="52">
        <v>203.23</v>
      </c>
      <c r="EE73" s="52">
        <v>190.83</v>
      </c>
      <c r="EF73" s="52">
        <v>153.31</v>
      </c>
      <c r="EG73" s="52">
        <v>227.24</v>
      </c>
      <c r="EH73" s="52">
        <v>215.56</v>
      </c>
      <c r="EI73" s="52">
        <v>212.58</v>
      </c>
      <c r="EJ73" s="52">
        <v>104.49</v>
      </c>
      <c r="EK73" s="52">
        <v>123.51</v>
      </c>
      <c r="EL73" s="52">
        <v>330.11</v>
      </c>
      <c r="EM73" s="52">
        <v>183.45</v>
      </c>
      <c r="EN73" s="52">
        <v>205.89</v>
      </c>
      <c r="EO73" s="52">
        <v>222.38</v>
      </c>
      <c r="EP73" s="52">
        <v>142.58000000000001</v>
      </c>
      <c r="EQ73" s="52">
        <v>166.02</v>
      </c>
      <c r="ER73" s="52">
        <v>230.6</v>
      </c>
      <c r="ES73" s="52">
        <v>213.14</v>
      </c>
      <c r="ET73" s="52">
        <v>214.34</v>
      </c>
      <c r="EU73" s="52">
        <v>161.87</v>
      </c>
      <c r="EV73" s="52">
        <v>184.28</v>
      </c>
      <c r="EW73" s="52">
        <v>180.37</v>
      </c>
      <c r="EX73" s="52">
        <v>173.22</v>
      </c>
      <c r="EY73" s="52">
        <v>127.86</v>
      </c>
      <c r="EZ73" s="52">
        <v>233.7</v>
      </c>
      <c r="FA73" s="52">
        <v>268.14</v>
      </c>
      <c r="FB73" s="52">
        <v>205.31</v>
      </c>
      <c r="FC73" s="52">
        <v>238.38</v>
      </c>
      <c r="FD73" s="52">
        <v>179.08</v>
      </c>
      <c r="FE73" s="52">
        <v>172.25</v>
      </c>
      <c r="FF73" s="52"/>
      <c r="FG73" s="52">
        <v>143.47</v>
      </c>
      <c r="FH73" s="52">
        <v>161.37</v>
      </c>
      <c r="FI73" s="52">
        <v>192.24</v>
      </c>
      <c r="FJ73" s="52">
        <v>159.57</v>
      </c>
      <c r="FK73" s="52">
        <v>211.1</v>
      </c>
      <c r="FL73" s="52">
        <v>137.59</v>
      </c>
      <c r="FM73" s="52">
        <v>142.69</v>
      </c>
      <c r="FN73" s="52">
        <v>177.88</v>
      </c>
      <c r="FO73" s="52">
        <v>221.88</v>
      </c>
      <c r="FP73" s="52">
        <v>145.15</v>
      </c>
      <c r="FQ73" s="52">
        <v>138.15</v>
      </c>
      <c r="FR73" s="52">
        <v>225.91</v>
      </c>
      <c r="FS73" s="52">
        <v>188.64</v>
      </c>
      <c r="FT73" s="52">
        <v>143.38</v>
      </c>
      <c r="FU73" s="52">
        <v>199.69</v>
      </c>
      <c r="FV73" s="52">
        <v>169.83</v>
      </c>
      <c r="FW73" s="52">
        <v>105.86</v>
      </c>
      <c r="FX73" s="52">
        <v>172.87</v>
      </c>
      <c r="FY73" s="52">
        <v>183.94</v>
      </c>
      <c r="FZ73" s="52">
        <v>195.18</v>
      </c>
      <c r="GA73" s="52">
        <v>145.9</v>
      </c>
      <c r="GB73" s="52">
        <v>155.81</v>
      </c>
      <c r="GC73" s="52">
        <v>151.09</v>
      </c>
      <c r="GD73" s="52">
        <v>131.24</v>
      </c>
      <c r="GE73" s="52">
        <v>234.42</v>
      </c>
      <c r="GF73" s="52">
        <v>204.11</v>
      </c>
      <c r="GG73" s="52">
        <v>220.18</v>
      </c>
      <c r="GH73" s="52">
        <v>297.82</v>
      </c>
      <c r="GI73" s="52">
        <v>124.65</v>
      </c>
      <c r="GJ73" s="52">
        <v>116.05</v>
      </c>
      <c r="GK73" s="52">
        <v>112.11</v>
      </c>
      <c r="GL73" s="52">
        <v>136.51</v>
      </c>
      <c r="GM73" s="52">
        <v>129.30000000000001</v>
      </c>
      <c r="GN73" s="52">
        <v>187.01</v>
      </c>
      <c r="GO73" s="52">
        <v>127.18</v>
      </c>
      <c r="GP73" s="52">
        <v>126.88</v>
      </c>
      <c r="GQ73" s="52">
        <v>130.38</v>
      </c>
      <c r="GR73" s="52">
        <v>197.44</v>
      </c>
      <c r="GS73" s="52">
        <v>264.5</v>
      </c>
      <c r="GT73" s="52">
        <v>153.6</v>
      </c>
      <c r="GU73" s="52">
        <v>182.51</v>
      </c>
      <c r="GV73" s="52">
        <v>172.07</v>
      </c>
      <c r="GW73" s="52">
        <v>194.47</v>
      </c>
      <c r="GX73" s="52">
        <v>233.67</v>
      </c>
      <c r="GY73" s="52">
        <v>206.31</v>
      </c>
      <c r="GZ73" s="52">
        <v>187.05</v>
      </c>
      <c r="HA73" s="52">
        <v>167.23</v>
      </c>
      <c r="HB73" s="52">
        <v>160.61000000000001</v>
      </c>
      <c r="HC73" s="52">
        <v>140.31</v>
      </c>
      <c r="HD73" s="52">
        <v>134.06</v>
      </c>
      <c r="HE73" s="52">
        <v>100.36</v>
      </c>
      <c r="HF73" s="52">
        <v>104.06</v>
      </c>
      <c r="HG73" s="52">
        <v>121.71</v>
      </c>
      <c r="HH73" s="52">
        <v>141.26</v>
      </c>
      <c r="HI73" s="52">
        <v>70.569999999999993</v>
      </c>
      <c r="HJ73" s="52">
        <v>111.42</v>
      </c>
      <c r="HK73" s="52">
        <v>225.77</v>
      </c>
      <c r="HL73" s="52">
        <v>143.41999999999999</v>
      </c>
      <c r="HM73" s="52">
        <v>179.18</v>
      </c>
      <c r="HN73" s="52">
        <v>173.18</v>
      </c>
      <c r="HO73" s="52">
        <v>144.57</v>
      </c>
      <c r="HP73" s="52">
        <v>197.21</v>
      </c>
      <c r="HQ73" s="52">
        <v>105.3</v>
      </c>
      <c r="HR73" s="52">
        <v>155.01</v>
      </c>
      <c r="HS73" s="52">
        <v>253.99</v>
      </c>
      <c r="HT73" s="52">
        <v>186.25</v>
      </c>
      <c r="HU73" s="52">
        <v>92.15</v>
      </c>
      <c r="HV73" s="52">
        <v>141.35</v>
      </c>
      <c r="HW73" s="52">
        <v>102.36</v>
      </c>
      <c r="HX73" s="52">
        <v>95.59</v>
      </c>
      <c r="HY73" s="52">
        <v>195.66</v>
      </c>
      <c r="HZ73" s="52">
        <v>146.68</v>
      </c>
      <c r="IA73" s="52">
        <v>86.73</v>
      </c>
      <c r="IB73" s="52">
        <v>173.14</v>
      </c>
      <c r="IC73" s="52">
        <v>104.3</v>
      </c>
      <c r="ID73" s="52">
        <v>117.6</v>
      </c>
      <c r="IE73" s="52">
        <v>101.22</v>
      </c>
      <c r="IF73" s="52">
        <v>130.16999999999999</v>
      </c>
      <c r="IG73" s="52">
        <v>162.61000000000001</v>
      </c>
      <c r="IH73" s="52">
        <v>195.67</v>
      </c>
      <c r="II73" s="52">
        <v>213.47</v>
      </c>
      <c r="IJ73" s="52">
        <v>163.76</v>
      </c>
      <c r="IK73" s="52">
        <v>199.27</v>
      </c>
      <c r="IL73" s="52">
        <v>161.22999999999999</v>
      </c>
      <c r="IM73" s="52">
        <v>219.63</v>
      </c>
      <c r="IN73" s="52">
        <v>212</v>
      </c>
      <c r="IO73" s="52">
        <v>172.88</v>
      </c>
      <c r="IP73" s="52">
        <v>126.49</v>
      </c>
      <c r="IQ73" s="52">
        <v>149.77000000000001</v>
      </c>
      <c r="IR73" s="52">
        <v>233.49</v>
      </c>
      <c r="IS73" s="52">
        <v>218.24</v>
      </c>
      <c r="IT73" s="52">
        <v>45.99</v>
      </c>
      <c r="IU73" s="52">
        <v>120.78</v>
      </c>
      <c r="IV73" s="52">
        <v>58.12</v>
      </c>
      <c r="IW73" s="52">
        <v>90.89</v>
      </c>
      <c r="IX73" s="52">
        <v>138.72</v>
      </c>
      <c r="IY73" s="52">
        <v>143.72</v>
      </c>
      <c r="IZ73" s="52">
        <v>201.56</v>
      </c>
      <c r="JA73" s="52">
        <v>142.47</v>
      </c>
      <c r="JB73" s="52"/>
      <c r="JC73" s="52">
        <v>180.51</v>
      </c>
      <c r="JD73" s="52">
        <v>219.64</v>
      </c>
      <c r="JE73" s="52">
        <v>160.72999999999999</v>
      </c>
      <c r="JF73" s="52">
        <v>152.57</v>
      </c>
      <c r="JG73" s="52">
        <v>165.64</v>
      </c>
      <c r="JH73" s="52">
        <v>281.67</v>
      </c>
      <c r="JI73" s="52">
        <v>193.06</v>
      </c>
      <c r="JJ73" s="52">
        <v>152.09</v>
      </c>
      <c r="JK73" s="52">
        <v>190.42</v>
      </c>
      <c r="JL73" s="52">
        <v>217.46</v>
      </c>
      <c r="JM73" s="52">
        <v>203.23</v>
      </c>
      <c r="JN73" s="52">
        <v>190.83</v>
      </c>
      <c r="JO73" s="52">
        <v>153.31</v>
      </c>
      <c r="JP73" s="52">
        <v>238.41</v>
      </c>
      <c r="JQ73" s="52">
        <v>200.87</v>
      </c>
      <c r="JR73" s="52">
        <v>196.89</v>
      </c>
      <c r="JS73" s="52">
        <v>241.89</v>
      </c>
      <c r="JT73" s="52">
        <v>235.8</v>
      </c>
      <c r="JU73" s="52">
        <v>190.12</v>
      </c>
      <c r="JV73" s="52">
        <v>104.49</v>
      </c>
      <c r="JW73" s="52">
        <v>123.51</v>
      </c>
      <c r="JX73" s="52">
        <v>330.11</v>
      </c>
      <c r="JY73" s="52">
        <v>188.1</v>
      </c>
      <c r="JZ73" s="52">
        <v>173.84</v>
      </c>
      <c r="KA73" s="52">
        <v>205.89</v>
      </c>
      <c r="KB73" s="52">
        <v>222.38</v>
      </c>
      <c r="KC73" s="52">
        <v>142.58000000000001</v>
      </c>
      <c r="KD73" s="52">
        <v>166.02</v>
      </c>
      <c r="KE73" s="52">
        <v>230.6</v>
      </c>
      <c r="KF73" s="52">
        <v>213.14</v>
      </c>
    </row>
    <row r="74" spans="1:292" s="41" customFormat="1" ht="12">
      <c r="A74" s="41">
        <v>2010</v>
      </c>
      <c r="B74" s="54" t="s">
        <v>993</v>
      </c>
      <c r="C74" s="55" t="s">
        <v>994</v>
      </c>
      <c r="D74" s="52">
        <v>179.07</v>
      </c>
      <c r="E74" s="52">
        <v>189.51</v>
      </c>
      <c r="F74" s="52">
        <v>291.62</v>
      </c>
      <c r="G74" s="52">
        <v>119.99</v>
      </c>
      <c r="H74" s="52">
        <v>209.3</v>
      </c>
      <c r="I74" s="52">
        <v>143.41999999999999</v>
      </c>
      <c r="J74" s="52">
        <v>127.6</v>
      </c>
      <c r="K74" s="52">
        <v>170.86</v>
      </c>
      <c r="L74" s="52">
        <v>108.92</v>
      </c>
      <c r="M74" s="52">
        <v>146.80000000000001</v>
      </c>
      <c r="N74" s="52">
        <v>189.52</v>
      </c>
      <c r="O74" s="52">
        <v>232.29</v>
      </c>
      <c r="P74" s="52">
        <v>191.35</v>
      </c>
      <c r="Q74" s="52">
        <v>190.8</v>
      </c>
      <c r="R74" s="52">
        <v>170.43</v>
      </c>
      <c r="S74" s="52">
        <v>229.04</v>
      </c>
      <c r="T74" s="52">
        <v>294.92</v>
      </c>
      <c r="U74" s="52">
        <v>116.19</v>
      </c>
      <c r="V74" s="52">
        <v>131.11000000000001</v>
      </c>
      <c r="W74" s="52">
        <v>265.7</v>
      </c>
      <c r="X74" s="52">
        <v>154.06</v>
      </c>
      <c r="Y74" s="52">
        <v>183.12</v>
      </c>
      <c r="Z74" s="52">
        <v>203</v>
      </c>
      <c r="AA74" s="52">
        <v>158.97999999999999</v>
      </c>
      <c r="AB74" s="52">
        <v>134.56</v>
      </c>
      <c r="AC74" s="52">
        <v>120.73</v>
      </c>
      <c r="AD74" s="52">
        <v>161.61000000000001</v>
      </c>
      <c r="AE74" s="52">
        <v>171.87</v>
      </c>
      <c r="AF74" s="52">
        <v>137.72999999999999</v>
      </c>
      <c r="AG74" s="52">
        <v>94.66</v>
      </c>
      <c r="AH74" s="52">
        <v>155.13999999999999</v>
      </c>
      <c r="AI74" s="52">
        <v>173.16</v>
      </c>
      <c r="AJ74" s="52">
        <v>114.82</v>
      </c>
      <c r="AK74" s="52">
        <v>196.27</v>
      </c>
      <c r="AL74" s="52">
        <v>206.89</v>
      </c>
      <c r="AM74" s="52">
        <v>218.24</v>
      </c>
      <c r="AN74" s="52">
        <v>44.98</v>
      </c>
      <c r="AO74" s="52">
        <v>118.58</v>
      </c>
      <c r="AP74" s="52">
        <v>73.41</v>
      </c>
      <c r="AQ74" s="52">
        <v>143.93</v>
      </c>
      <c r="AR74" s="52">
        <v>186.31</v>
      </c>
      <c r="AS74" s="52">
        <v>188.26</v>
      </c>
      <c r="AT74" s="52">
        <v>214.03</v>
      </c>
      <c r="AU74" s="52">
        <v>188.95</v>
      </c>
      <c r="AV74" s="52">
        <v>218.42</v>
      </c>
      <c r="AW74" s="52">
        <v>204.81</v>
      </c>
      <c r="AX74" s="52">
        <v>198.75</v>
      </c>
      <c r="AY74" s="52">
        <v>154.34</v>
      </c>
      <c r="AZ74" s="52">
        <v>228.97</v>
      </c>
      <c r="BA74" s="52">
        <v>216.69</v>
      </c>
      <c r="BB74" s="52">
        <v>143.27000000000001</v>
      </c>
      <c r="BC74" s="52">
        <v>299.75</v>
      </c>
      <c r="BD74" s="52">
        <v>210.91</v>
      </c>
      <c r="BE74" s="52">
        <v>176.39</v>
      </c>
      <c r="BF74" s="52">
        <v>230.6</v>
      </c>
      <c r="BG74" s="52">
        <v>213.3</v>
      </c>
      <c r="BH74" s="52">
        <v>183.45</v>
      </c>
      <c r="BI74" s="52">
        <v>236.91</v>
      </c>
      <c r="BJ74" s="52">
        <v>163.58000000000001</v>
      </c>
      <c r="BK74" s="52">
        <v>171.28</v>
      </c>
      <c r="BL74" s="52">
        <v>148.65</v>
      </c>
      <c r="BM74" s="52">
        <v>188.79</v>
      </c>
      <c r="BN74" s="52">
        <v>199.31</v>
      </c>
      <c r="BO74" s="52">
        <v>155.5</v>
      </c>
      <c r="BP74" s="52">
        <v>174.53</v>
      </c>
      <c r="BQ74" s="52">
        <v>194.74</v>
      </c>
      <c r="BR74" s="52">
        <v>149.79</v>
      </c>
      <c r="BS74" s="52">
        <v>234.43</v>
      </c>
      <c r="BT74" s="52">
        <v>204.59</v>
      </c>
      <c r="BU74" s="52">
        <v>220.15</v>
      </c>
      <c r="BV74" s="52">
        <v>294.92</v>
      </c>
      <c r="BW74" s="52">
        <v>114.4</v>
      </c>
      <c r="BX74" s="52">
        <v>132.41999999999999</v>
      </c>
      <c r="BY74" s="52">
        <v>188.02</v>
      </c>
      <c r="BZ74" s="52">
        <v>130.72</v>
      </c>
      <c r="CA74" s="52">
        <v>197.96</v>
      </c>
      <c r="CB74" s="53">
        <v>265.7</v>
      </c>
      <c r="CC74" s="52">
        <v>154.06</v>
      </c>
      <c r="CD74" s="52">
        <v>182.42</v>
      </c>
      <c r="CE74" s="52">
        <v>172.07</v>
      </c>
      <c r="CF74" s="52">
        <v>220.64</v>
      </c>
      <c r="CG74" s="52">
        <v>206.23</v>
      </c>
      <c r="CH74" s="52">
        <v>163.97</v>
      </c>
      <c r="CI74" s="52">
        <v>140.41999999999999</v>
      </c>
      <c r="CJ74" s="52">
        <v>134.56</v>
      </c>
      <c r="CK74" s="52">
        <v>112.6</v>
      </c>
      <c r="CL74" s="52">
        <v>111.53</v>
      </c>
      <c r="CM74" s="52">
        <v>226.42</v>
      </c>
      <c r="CN74" s="52">
        <v>161.61000000000001</v>
      </c>
      <c r="CO74" s="52">
        <v>171.87</v>
      </c>
      <c r="CP74" s="52">
        <v>110.61</v>
      </c>
      <c r="CQ74" s="52">
        <v>253.21</v>
      </c>
      <c r="CR74" s="52">
        <v>92.15</v>
      </c>
      <c r="CS74" s="52">
        <v>141.38</v>
      </c>
      <c r="CT74" s="52">
        <v>105.95</v>
      </c>
      <c r="CU74" s="52">
        <v>195.74</v>
      </c>
      <c r="CV74" s="52">
        <v>146.68</v>
      </c>
      <c r="CW74" s="52">
        <v>94.95</v>
      </c>
      <c r="CX74" s="52">
        <v>173.16</v>
      </c>
      <c r="CY74" s="52">
        <v>114.91</v>
      </c>
      <c r="CZ74" s="52">
        <v>101.21</v>
      </c>
      <c r="DA74" s="52">
        <v>129.75</v>
      </c>
      <c r="DB74" s="52">
        <v>163.34</v>
      </c>
      <c r="DC74" s="52">
        <v>197.26</v>
      </c>
      <c r="DD74" s="52">
        <v>214.49</v>
      </c>
      <c r="DE74" s="52">
        <v>162.94999999999999</v>
      </c>
      <c r="DF74" s="52">
        <v>187.14</v>
      </c>
      <c r="DG74" s="52">
        <v>210.53</v>
      </c>
      <c r="DH74" s="52">
        <v>126.91</v>
      </c>
      <c r="DI74" s="52">
        <v>150.18</v>
      </c>
      <c r="DJ74" s="52">
        <v>234.02</v>
      </c>
      <c r="DK74" s="52">
        <v>218.24</v>
      </c>
      <c r="DL74" s="52">
        <v>44.98</v>
      </c>
      <c r="DM74" s="52">
        <v>118.58</v>
      </c>
      <c r="DN74" s="52">
        <v>55.99</v>
      </c>
      <c r="DO74" s="52">
        <v>90.98</v>
      </c>
      <c r="DP74" s="52">
        <v>138.76</v>
      </c>
      <c r="DQ74" s="52">
        <v>143.93</v>
      </c>
      <c r="DR74" s="52">
        <v>203.68</v>
      </c>
      <c r="DS74" s="52">
        <v>143.84</v>
      </c>
      <c r="DT74" s="52"/>
      <c r="DU74" s="52">
        <v>181.44</v>
      </c>
      <c r="DV74" s="52">
        <v>231.67</v>
      </c>
      <c r="DW74" s="52">
        <v>155.4</v>
      </c>
      <c r="DX74" s="52">
        <v>165.64</v>
      </c>
      <c r="DY74" s="52">
        <v>292.39</v>
      </c>
      <c r="DZ74" s="52">
        <v>193.06</v>
      </c>
      <c r="EA74" s="52">
        <v>153.38999999999999</v>
      </c>
      <c r="EB74" s="52">
        <v>188.95</v>
      </c>
      <c r="EC74" s="52">
        <v>218.42</v>
      </c>
      <c r="ED74" s="52">
        <v>204.81</v>
      </c>
      <c r="EE74" s="52">
        <v>198.75</v>
      </c>
      <c r="EF74" s="52">
        <v>154.34</v>
      </c>
      <c r="EG74" s="52">
        <v>228.97</v>
      </c>
      <c r="EH74" s="52">
        <v>216.69</v>
      </c>
      <c r="EI74" s="52">
        <v>213.69</v>
      </c>
      <c r="EJ74" s="52">
        <v>104.77</v>
      </c>
      <c r="EK74" s="52">
        <v>124.11</v>
      </c>
      <c r="EL74" s="52">
        <v>342.18</v>
      </c>
      <c r="EM74" s="52">
        <v>186.01</v>
      </c>
      <c r="EN74" s="52">
        <v>210.91</v>
      </c>
      <c r="EO74" s="52">
        <v>223.2</v>
      </c>
      <c r="EP74" s="52">
        <v>142.58000000000001</v>
      </c>
      <c r="EQ74" s="52">
        <v>166.35</v>
      </c>
      <c r="ER74" s="52">
        <v>230.6</v>
      </c>
      <c r="ES74" s="52">
        <v>213.3</v>
      </c>
      <c r="ET74" s="52">
        <v>214.55</v>
      </c>
      <c r="EU74" s="52">
        <v>164.56</v>
      </c>
      <c r="EV74" s="52">
        <v>185.13</v>
      </c>
      <c r="EW74" s="52">
        <v>181.06</v>
      </c>
      <c r="EX74" s="52">
        <v>178.13</v>
      </c>
      <c r="EY74" s="52">
        <v>128.53</v>
      </c>
      <c r="EZ74" s="52">
        <v>244.94</v>
      </c>
      <c r="FA74" s="52">
        <v>275.60000000000002</v>
      </c>
      <c r="FB74" s="52">
        <v>216.95</v>
      </c>
      <c r="FC74" s="52">
        <v>242.56</v>
      </c>
      <c r="FD74" s="52">
        <v>181.58</v>
      </c>
      <c r="FE74" s="52">
        <v>163.58000000000001</v>
      </c>
      <c r="FF74" s="52"/>
      <c r="FG74" s="52">
        <v>147.80000000000001</v>
      </c>
      <c r="FH74" s="52">
        <v>162.25</v>
      </c>
      <c r="FI74" s="52">
        <v>194.49</v>
      </c>
      <c r="FJ74" s="52">
        <v>155.38</v>
      </c>
      <c r="FK74" s="52">
        <v>210.88</v>
      </c>
      <c r="FL74" s="52">
        <v>140.13</v>
      </c>
      <c r="FM74" s="52">
        <v>143.71</v>
      </c>
      <c r="FN74" s="52">
        <v>181.59</v>
      </c>
      <c r="FO74" s="52">
        <v>223.33</v>
      </c>
      <c r="FP74" s="52">
        <v>197.4</v>
      </c>
      <c r="FQ74" s="52">
        <v>164.32</v>
      </c>
      <c r="FR74" s="52">
        <v>227.38</v>
      </c>
      <c r="FS74" s="52">
        <v>195.45</v>
      </c>
      <c r="FT74" s="52">
        <v>143.4</v>
      </c>
      <c r="FU74" s="52">
        <v>199.76</v>
      </c>
      <c r="FV74" s="52">
        <v>168.91</v>
      </c>
      <c r="FW74" s="52">
        <v>111.56</v>
      </c>
      <c r="FX74" s="52">
        <v>174.53</v>
      </c>
      <c r="FY74" s="52">
        <v>183.41</v>
      </c>
      <c r="FZ74" s="52">
        <v>197.24</v>
      </c>
      <c r="GA74" s="52">
        <v>146.72999999999999</v>
      </c>
      <c r="GB74" s="52">
        <v>156.34</v>
      </c>
      <c r="GC74" s="52">
        <v>151.16999999999999</v>
      </c>
      <c r="GD74" s="52">
        <v>131.08000000000001</v>
      </c>
      <c r="GE74" s="52">
        <v>234.43</v>
      </c>
      <c r="GF74" s="52">
        <v>204.59</v>
      </c>
      <c r="GG74" s="52">
        <v>220.15</v>
      </c>
      <c r="GH74" s="52">
        <v>294.43</v>
      </c>
      <c r="GI74" s="52">
        <v>119.15</v>
      </c>
      <c r="GJ74" s="52">
        <v>110.89</v>
      </c>
      <c r="GK74" s="52">
        <v>109.95</v>
      </c>
      <c r="GL74" s="52">
        <v>139.19999999999999</v>
      </c>
      <c r="GM74" s="52">
        <v>132.41999999999999</v>
      </c>
      <c r="GN74" s="52">
        <v>188.02</v>
      </c>
      <c r="GO74" s="52">
        <v>129.56</v>
      </c>
      <c r="GP74" s="52">
        <v>129.25</v>
      </c>
      <c r="GQ74" s="52">
        <v>135.85</v>
      </c>
      <c r="GR74" s="52">
        <v>197.96</v>
      </c>
      <c r="GS74" s="52">
        <v>265.7</v>
      </c>
      <c r="GT74" s="52">
        <v>154.06</v>
      </c>
      <c r="GU74" s="52">
        <v>182.42</v>
      </c>
      <c r="GV74" s="52">
        <v>172.07</v>
      </c>
      <c r="GW74" s="52">
        <v>194.2</v>
      </c>
      <c r="GX74" s="52">
        <v>237.79</v>
      </c>
      <c r="GY74" s="52">
        <v>206.23</v>
      </c>
      <c r="GZ74" s="52">
        <v>187.18</v>
      </c>
      <c r="HA74" s="52">
        <v>167.16</v>
      </c>
      <c r="HB74" s="52">
        <v>160.6</v>
      </c>
      <c r="HC74" s="52">
        <v>140.41999999999999</v>
      </c>
      <c r="HD74" s="52">
        <v>134.56</v>
      </c>
      <c r="HE74" s="52">
        <v>101.06</v>
      </c>
      <c r="HF74" s="52">
        <v>107.05</v>
      </c>
      <c r="HG74" s="52">
        <v>126.54</v>
      </c>
      <c r="HH74" s="52">
        <v>141.35</v>
      </c>
      <c r="HI74" s="52">
        <v>72.900000000000006</v>
      </c>
      <c r="HJ74" s="52">
        <v>111.53</v>
      </c>
      <c r="HK74" s="52">
        <v>226.42</v>
      </c>
      <c r="HL74" s="52">
        <v>143.91</v>
      </c>
      <c r="HM74" s="52">
        <v>179.43</v>
      </c>
      <c r="HN74" s="52">
        <v>173.82</v>
      </c>
      <c r="HO74" s="52">
        <v>145.88</v>
      </c>
      <c r="HP74" s="52">
        <v>197.92</v>
      </c>
      <c r="HQ74" s="52">
        <v>105.28</v>
      </c>
      <c r="HR74" s="52">
        <v>154.32</v>
      </c>
      <c r="HS74" s="52">
        <v>255.41</v>
      </c>
      <c r="HT74" s="52">
        <v>186.49</v>
      </c>
      <c r="HU74" s="52">
        <v>92.15</v>
      </c>
      <c r="HV74" s="52">
        <v>141.38</v>
      </c>
      <c r="HW74" s="52">
        <v>106.66</v>
      </c>
      <c r="HX74" s="52">
        <v>96.33</v>
      </c>
      <c r="HY74" s="52">
        <v>195.74</v>
      </c>
      <c r="HZ74" s="52">
        <v>146.68</v>
      </c>
      <c r="IA74" s="52">
        <v>86.74</v>
      </c>
      <c r="IB74" s="52">
        <v>173.16</v>
      </c>
      <c r="IC74" s="52">
        <v>103.89</v>
      </c>
      <c r="ID74" s="52">
        <v>116.68</v>
      </c>
      <c r="IE74" s="52">
        <v>101.21</v>
      </c>
      <c r="IF74" s="52">
        <v>129.75</v>
      </c>
      <c r="IG74" s="52">
        <v>163.34</v>
      </c>
      <c r="IH74" s="52">
        <v>197.26</v>
      </c>
      <c r="II74" s="52">
        <v>214.49</v>
      </c>
      <c r="IJ74" s="52">
        <v>162.94999999999999</v>
      </c>
      <c r="IK74" s="52">
        <v>199.27</v>
      </c>
      <c r="IL74" s="52">
        <v>161.22999999999999</v>
      </c>
      <c r="IM74" s="52">
        <v>220.61</v>
      </c>
      <c r="IN74" s="52">
        <v>212.25</v>
      </c>
      <c r="IO74" s="52">
        <v>173.03</v>
      </c>
      <c r="IP74" s="52">
        <v>126.91</v>
      </c>
      <c r="IQ74" s="52">
        <v>150.18</v>
      </c>
      <c r="IR74" s="52">
        <v>234.02</v>
      </c>
      <c r="IS74" s="52">
        <v>218.24</v>
      </c>
      <c r="IT74" s="52">
        <v>44.98</v>
      </c>
      <c r="IU74" s="52">
        <v>118.58</v>
      </c>
      <c r="IV74" s="52">
        <v>56.62</v>
      </c>
      <c r="IW74" s="52">
        <v>90.98</v>
      </c>
      <c r="IX74" s="52">
        <v>138.76</v>
      </c>
      <c r="IY74" s="52">
        <v>143.93</v>
      </c>
      <c r="IZ74" s="52">
        <v>203.68</v>
      </c>
      <c r="JA74" s="52">
        <v>143.84</v>
      </c>
      <c r="JB74" s="52"/>
      <c r="JC74" s="52">
        <v>181.44</v>
      </c>
      <c r="JD74" s="52">
        <v>231.67</v>
      </c>
      <c r="JE74" s="52">
        <v>161.22</v>
      </c>
      <c r="JF74" s="52">
        <v>153.13</v>
      </c>
      <c r="JG74" s="52">
        <v>165.64</v>
      </c>
      <c r="JH74" s="52">
        <v>292.39</v>
      </c>
      <c r="JI74" s="52">
        <v>193.06</v>
      </c>
      <c r="JJ74" s="52">
        <v>153.38999999999999</v>
      </c>
      <c r="JK74" s="52">
        <v>188.95</v>
      </c>
      <c r="JL74" s="52">
        <v>218.42</v>
      </c>
      <c r="JM74" s="52">
        <v>204.81</v>
      </c>
      <c r="JN74" s="52">
        <v>198.75</v>
      </c>
      <c r="JO74" s="52">
        <v>154.34</v>
      </c>
      <c r="JP74" s="52">
        <v>240.26</v>
      </c>
      <c r="JQ74" s="52">
        <v>202.32</v>
      </c>
      <c r="JR74" s="52">
        <v>196.81</v>
      </c>
      <c r="JS74" s="52">
        <v>246.95</v>
      </c>
      <c r="JT74" s="52">
        <v>236.91</v>
      </c>
      <c r="JU74" s="52">
        <v>191.21</v>
      </c>
      <c r="JV74" s="52">
        <v>104.77</v>
      </c>
      <c r="JW74" s="52">
        <v>124.11</v>
      </c>
      <c r="JX74" s="52">
        <v>342.18</v>
      </c>
      <c r="JY74" s="52">
        <v>192.07</v>
      </c>
      <c r="JZ74" s="52">
        <v>174.36</v>
      </c>
      <c r="KA74" s="52">
        <v>210.91</v>
      </c>
      <c r="KB74" s="52">
        <v>223.2</v>
      </c>
      <c r="KC74" s="52">
        <v>142.58000000000001</v>
      </c>
      <c r="KD74" s="52">
        <v>166.35</v>
      </c>
      <c r="KE74" s="52">
        <v>230.6</v>
      </c>
      <c r="KF74" s="52">
        <v>213.3</v>
      </c>
    </row>
    <row r="75" spans="1:292" s="41" customFormat="1" ht="12">
      <c r="A75" s="41">
        <v>2010</v>
      </c>
      <c r="B75" s="54" t="s">
        <v>995</v>
      </c>
      <c r="C75" s="55" t="s">
        <v>996</v>
      </c>
      <c r="D75" s="52">
        <v>182.35</v>
      </c>
      <c r="E75" s="52">
        <v>198.08</v>
      </c>
      <c r="F75" s="52">
        <v>288.39999999999998</v>
      </c>
      <c r="G75" s="52">
        <v>129.15</v>
      </c>
      <c r="H75" s="52">
        <v>209.69</v>
      </c>
      <c r="I75" s="52">
        <v>143.25</v>
      </c>
      <c r="J75" s="52">
        <v>127.78</v>
      </c>
      <c r="K75" s="52">
        <v>171.52</v>
      </c>
      <c r="L75" s="52">
        <v>108.23</v>
      </c>
      <c r="M75" s="52">
        <v>145.12</v>
      </c>
      <c r="N75" s="52">
        <v>189.69</v>
      </c>
      <c r="O75" s="52">
        <v>234.8</v>
      </c>
      <c r="P75" s="52">
        <v>192.96</v>
      </c>
      <c r="Q75" s="52">
        <v>199.96</v>
      </c>
      <c r="R75" s="52">
        <v>171.23</v>
      </c>
      <c r="S75" s="52">
        <v>229.38</v>
      </c>
      <c r="T75" s="52">
        <v>291.52</v>
      </c>
      <c r="U75" s="52">
        <v>125.01</v>
      </c>
      <c r="V75" s="52">
        <v>141.25</v>
      </c>
      <c r="W75" s="52">
        <v>266.77</v>
      </c>
      <c r="X75" s="52">
        <v>154.5</v>
      </c>
      <c r="Y75" s="52">
        <v>183.37</v>
      </c>
      <c r="Z75" s="52">
        <v>203.09</v>
      </c>
      <c r="AA75" s="52">
        <v>158</v>
      </c>
      <c r="AB75" s="52">
        <v>137.05000000000001</v>
      </c>
      <c r="AC75" s="52">
        <v>119.39</v>
      </c>
      <c r="AD75" s="52">
        <v>162.31</v>
      </c>
      <c r="AE75" s="52">
        <v>173.29</v>
      </c>
      <c r="AF75" s="52">
        <v>138.41999999999999</v>
      </c>
      <c r="AG75" s="52">
        <v>94.94</v>
      </c>
      <c r="AH75" s="52">
        <v>155.22</v>
      </c>
      <c r="AI75" s="52">
        <v>173.21</v>
      </c>
      <c r="AJ75" s="52">
        <v>115.23</v>
      </c>
      <c r="AK75" s="52">
        <v>197.06</v>
      </c>
      <c r="AL75" s="52">
        <v>207.73</v>
      </c>
      <c r="AM75" s="52">
        <v>218.24</v>
      </c>
      <c r="AN75" s="52">
        <v>44.13</v>
      </c>
      <c r="AO75" s="52">
        <v>118</v>
      </c>
      <c r="AP75" s="52">
        <v>72.39</v>
      </c>
      <c r="AQ75" s="52">
        <v>144.69999999999999</v>
      </c>
      <c r="AR75" s="52">
        <v>186</v>
      </c>
      <c r="AS75" s="52">
        <v>188.03</v>
      </c>
      <c r="AT75" s="52">
        <v>210.03</v>
      </c>
      <c r="AU75" s="52">
        <v>183.82</v>
      </c>
      <c r="AV75" s="52">
        <v>217.77</v>
      </c>
      <c r="AW75" s="52">
        <v>204.92</v>
      </c>
      <c r="AX75" s="52">
        <v>198.75</v>
      </c>
      <c r="AY75" s="52">
        <v>155.99</v>
      </c>
      <c r="AZ75" s="52">
        <v>231.57</v>
      </c>
      <c r="BA75" s="52">
        <v>217.64</v>
      </c>
      <c r="BB75" s="52">
        <v>144.26</v>
      </c>
      <c r="BC75" s="52">
        <v>304.38</v>
      </c>
      <c r="BD75" s="52">
        <v>213.68</v>
      </c>
      <c r="BE75" s="52">
        <v>175.94</v>
      </c>
      <c r="BF75" s="52">
        <v>230.6</v>
      </c>
      <c r="BG75" s="52">
        <v>213.34</v>
      </c>
      <c r="BH75" s="52">
        <v>185.62</v>
      </c>
      <c r="BI75" s="52">
        <v>235.55</v>
      </c>
      <c r="BJ75" s="52">
        <v>174.59</v>
      </c>
      <c r="BK75" s="52">
        <v>177.33</v>
      </c>
      <c r="BL75" s="52">
        <v>150.12</v>
      </c>
      <c r="BM75" s="52">
        <v>172.55</v>
      </c>
      <c r="BN75" s="52">
        <v>257.06</v>
      </c>
      <c r="BO75" s="52">
        <v>154.74</v>
      </c>
      <c r="BP75" s="52">
        <v>177.23</v>
      </c>
      <c r="BQ75" s="52">
        <v>195.97</v>
      </c>
      <c r="BR75" s="52">
        <v>150.31</v>
      </c>
      <c r="BS75" s="52">
        <v>234.5</v>
      </c>
      <c r="BT75" s="52">
        <v>209.28</v>
      </c>
      <c r="BU75" s="52">
        <v>220.08</v>
      </c>
      <c r="BV75" s="52">
        <v>291.52</v>
      </c>
      <c r="BW75" s="52">
        <v>123.59</v>
      </c>
      <c r="BX75" s="52">
        <v>136.65</v>
      </c>
      <c r="BY75" s="52">
        <v>189.24</v>
      </c>
      <c r="BZ75" s="52">
        <v>140.9</v>
      </c>
      <c r="CA75" s="52">
        <v>198.47</v>
      </c>
      <c r="CB75" s="53">
        <v>266.77</v>
      </c>
      <c r="CC75" s="52">
        <v>154.5</v>
      </c>
      <c r="CD75" s="52">
        <v>182.67</v>
      </c>
      <c r="CE75" s="52">
        <v>172.07</v>
      </c>
      <c r="CF75" s="52">
        <v>220.8</v>
      </c>
      <c r="CG75" s="52">
        <v>206.37</v>
      </c>
      <c r="CH75" s="52">
        <v>162.85</v>
      </c>
      <c r="CI75" s="52">
        <v>140.16</v>
      </c>
      <c r="CJ75" s="52">
        <v>137.05000000000001</v>
      </c>
      <c r="CK75" s="52">
        <v>111.1</v>
      </c>
      <c r="CL75" s="52">
        <v>111.27</v>
      </c>
      <c r="CM75" s="52">
        <v>227.48</v>
      </c>
      <c r="CN75" s="52">
        <v>162.31</v>
      </c>
      <c r="CO75" s="52">
        <v>173.29</v>
      </c>
      <c r="CP75" s="52">
        <v>111.16</v>
      </c>
      <c r="CQ75" s="52">
        <v>254.53</v>
      </c>
      <c r="CR75" s="52">
        <v>92.15</v>
      </c>
      <c r="CS75" s="52">
        <v>141.52000000000001</v>
      </c>
      <c r="CT75" s="52">
        <v>107.92</v>
      </c>
      <c r="CU75" s="52">
        <v>195.88</v>
      </c>
      <c r="CV75" s="52">
        <v>146.75</v>
      </c>
      <c r="CW75" s="52">
        <v>94.96</v>
      </c>
      <c r="CX75" s="52">
        <v>173.21</v>
      </c>
      <c r="CY75" s="52">
        <v>115.33</v>
      </c>
      <c r="CZ75" s="52">
        <v>101.39</v>
      </c>
      <c r="DA75" s="52">
        <v>129.06</v>
      </c>
      <c r="DB75" s="52">
        <v>163.36000000000001</v>
      </c>
      <c r="DC75" s="52">
        <v>198.32</v>
      </c>
      <c r="DD75" s="52">
        <v>213.65</v>
      </c>
      <c r="DE75" s="52">
        <v>162.69</v>
      </c>
      <c r="DF75" s="52">
        <v>187.87</v>
      </c>
      <c r="DG75" s="52">
        <v>211.1</v>
      </c>
      <c r="DH75" s="52">
        <v>130.57</v>
      </c>
      <c r="DI75" s="52">
        <v>150.18</v>
      </c>
      <c r="DJ75" s="52">
        <v>233.63</v>
      </c>
      <c r="DK75" s="52">
        <v>218.24</v>
      </c>
      <c r="DL75" s="52">
        <v>44.13</v>
      </c>
      <c r="DM75" s="52">
        <v>118</v>
      </c>
      <c r="DN75" s="52">
        <v>55.29</v>
      </c>
      <c r="DO75" s="52">
        <v>89.57</v>
      </c>
      <c r="DP75" s="52">
        <v>138.38999999999999</v>
      </c>
      <c r="DQ75" s="52">
        <v>144.69999999999999</v>
      </c>
      <c r="DR75" s="52">
        <v>202.44</v>
      </c>
      <c r="DS75" s="52">
        <v>145.13</v>
      </c>
      <c r="DT75" s="52"/>
      <c r="DU75" s="52">
        <v>181.5</v>
      </c>
      <c r="DV75" s="52">
        <v>230.52</v>
      </c>
      <c r="DW75" s="52">
        <v>155.91999999999999</v>
      </c>
      <c r="DX75" s="52">
        <v>165.64</v>
      </c>
      <c r="DY75" s="52">
        <v>278.77</v>
      </c>
      <c r="DZ75" s="52">
        <v>193.06</v>
      </c>
      <c r="EA75" s="52">
        <v>154.33000000000001</v>
      </c>
      <c r="EB75" s="52">
        <v>183.82</v>
      </c>
      <c r="EC75" s="52">
        <v>217.77</v>
      </c>
      <c r="ED75" s="52">
        <v>204.92</v>
      </c>
      <c r="EE75" s="52">
        <v>198.75</v>
      </c>
      <c r="EF75" s="52">
        <v>155.99</v>
      </c>
      <c r="EG75" s="52">
        <v>231.57</v>
      </c>
      <c r="EH75" s="52">
        <v>217.64</v>
      </c>
      <c r="EI75" s="52">
        <v>214.75</v>
      </c>
      <c r="EJ75" s="52">
        <v>104.86</v>
      </c>
      <c r="EK75" s="52">
        <v>125.1</v>
      </c>
      <c r="EL75" s="52">
        <v>346.88</v>
      </c>
      <c r="EM75" s="52">
        <v>189.93</v>
      </c>
      <c r="EN75" s="52">
        <v>213.68</v>
      </c>
      <c r="EO75" s="52">
        <v>223.15</v>
      </c>
      <c r="EP75" s="52">
        <v>142.58000000000001</v>
      </c>
      <c r="EQ75" s="52">
        <v>165.79</v>
      </c>
      <c r="ER75" s="52">
        <v>230.6</v>
      </c>
      <c r="ES75" s="52">
        <v>213.34</v>
      </c>
      <c r="ET75" s="52">
        <v>216.42</v>
      </c>
      <c r="EU75" s="52">
        <v>169.26</v>
      </c>
      <c r="EV75" s="52">
        <v>186.93</v>
      </c>
      <c r="EW75" s="52">
        <v>182.06</v>
      </c>
      <c r="EX75" s="52">
        <v>181.57</v>
      </c>
      <c r="EY75" s="52">
        <v>128.77000000000001</v>
      </c>
      <c r="EZ75" s="52">
        <v>248.99</v>
      </c>
      <c r="FA75" s="52">
        <v>279.8</v>
      </c>
      <c r="FB75" s="52">
        <v>195.91</v>
      </c>
      <c r="FC75" s="52">
        <v>253.21</v>
      </c>
      <c r="FD75" s="52">
        <v>186.95</v>
      </c>
      <c r="FE75" s="52">
        <v>174.59</v>
      </c>
      <c r="FF75" s="52"/>
      <c r="FG75" s="52">
        <v>150.19</v>
      </c>
      <c r="FH75" s="52">
        <v>164.24</v>
      </c>
      <c r="FI75" s="52">
        <v>197.28</v>
      </c>
      <c r="FJ75" s="52">
        <v>180.99</v>
      </c>
      <c r="FK75" s="52">
        <v>215.22</v>
      </c>
      <c r="FL75" s="52">
        <v>142.34</v>
      </c>
      <c r="FM75" s="52">
        <v>144.65</v>
      </c>
      <c r="FN75" s="52">
        <v>162.52000000000001</v>
      </c>
      <c r="FO75" s="52">
        <v>223.78</v>
      </c>
      <c r="FP75" s="52">
        <v>272.47000000000003</v>
      </c>
      <c r="FQ75" s="52">
        <v>202.7</v>
      </c>
      <c r="FR75" s="52">
        <v>238.15</v>
      </c>
      <c r="FS75" s="52">
        <v>205.26</v>
      </c>
      <c r="FT75" s="52">
        <v>141.32</v>
      </c>
      <c r="FU75" s="52">
        <v>201.28</v>
      </c>
      <c r="FV75" s="52">
        <v>170.66</v>
      </c>
      <c r="FW75" s="52">
        <v>107.01</v>
      </c>
      <c r="FX75" s="52">
        <v>177.23</v>
      </c>
      <c r="FY75" s="52">
        <v>184.72</v>
      </c>
      <c r="FZ75" s="52">
        <v>198.5</v>
      </c>
      <c r="GA75" s="52">
        <v>146.76</v>
      </c>
      <c r="GB75" s="52">
        <v>156.49</v>
      </c>
      <c r="GC75" s="52">
        <v>151.16999999999999</v>
      </c>
      <c r="GD75" s="52">
        <v>133.74</v>
      </c>
      <c r="GE75" s="52">
        <v>234.5</v>
      </c>
      <c r="GF75" s="52">
        <v>209.28</v>
      </c>
      <c r="GG75" s="52">
        <v>220.08</v>
      </c>
      <c r="GH75" s="52">
        <v>291.02999999999997</v>
      </c>
      <c r="GI75" s="52">
        <v>126.66</v>
      </c>
      <c r="GJ75" s="52">
        <v>124.01</v>
      </c>
      <c r="GK75" s="52">
        <v>113.68</v>
      </c>
      <c r="GL75" s="52">
        <v>143.03</v>
      </c>
      <c r="GM75" s="52">
        <v>136.65</v>
      </c>
      <c r="GN75" s="52">
        <v>189.24</v>
      </c>
      <c r="GO75" s="52">
        <v>138.58000000000001</v>
      </c>
      <c r="GP75" s="52">
        <v>143.21</v>
      </c>
      <c r="GQ75" s="52">
        <v>141.82</v>
      </c>
      <c r="GR75" s="52">
        <v>198.47</v>
      </c>
      <c r="GS75" s="52">
        <v>266.77</v>
      </c>
      <c r="GT75" s="52">
        <v>154.5</v>
      </c>
      <c r="GU75" s="52">
        <v>182.67</v>
      </c>
      <c r="GV75" s="52">
        <v>172.07</v>
      </c>
      <c r="GW75" s="52">
        <v>194.37</v>
      </c>
      <c r="GX75" s="52">
        <v>237.94</v>
      </c>
      <c r="GY75" s="52">
        <v>206.37</v>
      </c>
      <c r="GZ75" s="52">
        <v>187.55</v>
      </c>
      <c r="HA75" s="52">
        <v>163.52000000000001</v>
      </c>
      <c r="HB75" s="52">
        <v>160.66999999999999</v>
      </c>
      <c r="HC75" s="52">
        <v>140.16</v>
      </c>
      <c r="HD75" s="52">
        <v>137.05000000000001</v>
      </c>
      <c r="HE75" s="52">
        <v>96.97</v>
      </c>
      <c r="HF75" s="52">
        <v>107.15</v>
      </c>
      <c r="HG75" s="52">
        <v>123.1</v>
      </c>
      <c r="HH75" s="52">
        <v>141.96</v>
      </c>
      <c r="HI75" s="52">
        <v>73.180000000000007</v>
      </c>
      <c r="HJ75" s="52">
        <v>111.27</v>
      </c>
      <c r="HK75" s="52">
        <v>227.48</v>
      </c>
      <c r="HL75" s="52">
        <v>144.32</v>
      </c>
      <c r="HM75" s="52">
        <v>180.1</v>
      </c>
      <c r="HN75" s="52">
        <v>174.83</v>
      </c>
      <c r="HO75" s="52">
        <v>147.80000000000001</v>
      </c>
      <c r="HP75" s="52">
        <v>198.5</v>
      </c>
      <c r="HQ75" s="52">
        <v>105.84</v>
      </c>
      <c r="HR75" s="52">
        <v>154.82</v>
      </c>
      <c r="HS75" s="52">
        <v>256.8</v>
      </c>
      <c r="HT75" s="52">
        <v>186.65</v>
      </c>
      <c r="HU75" s="52">
        <v>92.15</v>
      </c>
      <c r="HV75" s="52">
        <v>141.52000000000001</v>
      </c>
      <c r="HW75" s="52">
        <v>110.97</v>
      </c>
      <c r="HX75" s="52">
        <v>95.96</v>
      </c>
      <c r="HY75" s="52">
        <v>195.88</v>
      </c>
      <c r="HZ75" s="52">
        <v>146.75</v>
      </c>
      <c r="IA75" s="52">
        <v>86.75</v>
      </c>
      <c r="IB75" s="52">
        <v>173.21</v>
      </c>
      <c r="IC75" s="52">
        <v>104.2</v>
      </c>
      <c r="ID75" s="52">
        <v>117.17</v>
      </c>
      <c r="IE75" s="52">
        <v>101.39</v>
      </c>
      <c r="IF75" s="52">
        <v>129.06</v>
      </c>
      <c r="IG75" s="52">
        <v>163.36000000000001</v>
      </c>
      <c r="IH75" s="52">
        <v>198.32</v>
      </c>
      <c r="II75" s="52">
        <v>213.65</v>
      </c>
      <c r="IJ75" s="52">
        <v>162.69</v>
      </c>
      <c r="IK75" s="52">
        <v>200.48</v>
      </c>
      <c r="IL75" s="52">
        <v>161.22999999999999</v>
      </c>
      <c r="IM75" s="52">
        <v>222.19</v>
      </c>
      <c r="IN75" s="52">
        <v>213.16</v>
      </c>
      <c r="IO75" s="52">
        <v>170.62</v>
      </c>
      <c r="IP75" s="52">
        <v>130.57</v>
      </c>
      <c r="IQ75" s="52">
        <v>150.18</v>
      </c>
      <c r="IR75" s="52">
        <v>233.63</v>
      </c>
      <c r="IS75" s="52">
        <v>218.24</v>
      </c>
      <c r="IT75" s="52">
        <v>44.13</v>
      </c>
      <c r="IU75" s="52">
        <v>118</v>
      </c>
      <c r="IV75" s="52">
        <v>55.97</v>
      </c>
      <c r="IW75" s="52">
        <v>89.57</v>
      </c>
      <c r="IX75" s="52">
        <v>138.38999999999999</v>
      </c>
      <c r="IY75" s="52">
        <v>144.69999999999999</v>
      </c>
      <c r="IZ75" s="52">
        <v>202.44</v>
      </c>
      <c r="JA75" s="52">
        <v>145.13</v>
      </c>
      <c r="JB75" s="52"/>
      <c r="JC75" s="52">
        <v>181.5</v>
      </c>
      <c r="JD75" s="52">
        <v>230.52</v>
      </c>
      <c r="JE75" s="52">
        <v>161.31</v>
      </c>
      <c r="JF75" s="52">
        <v>153.75</v>
      </c>
      <c r="JG75" s="52">
        <v>165.64</v>
      </c>
      <c r="JH75" s="52">
        <v>278.77</v>
      </c>
      <c r="JI75" s="52">
        <v>193.06</v>
      </c>
      <c r="JJ75" s="52">
        <v>154.33000000000001</v>
      </c>
      <c r="JK75" s="52">
        <v>183.82</v>
      </c>
      <c r="JL75" s="52">
        <v>217.77</v>
      </c>
      <c r="JM75" s="52">
        <v>204.92</v>
      </c>
      <c r="JN75" s="52">
        <v>198.75</v>
      </c>
      <c r="JO75" s="52">
        <v>155.99</v>
      </c>
      <c r="JP75" s="52">
        <v>243.32</v>
      </c>
      <c r="JQ75" s="52">
        <v>203.79</v>
      </c>
      <c r="JR75" s="52">
        <v>197.57</v>
      </c>
      <c r="JS75" s="52">
        <v>248.36</v>
      </c>
      <c r="JT75" s="52">
        <v>237.8</v>
      </c>
      <c r="JU75" s="52">
        <v>192.43</v>
      </c>
      <c r="JV75" s="52">
        <v>104.86</v>
      </c>
      <c r="JW75" s="52">
        <v>125.1</v>
      </c>
      <c r="JX75" s="52">
        <v>346.88</v>
      </c>
      <c r="JY75" s="52">
        <v>195.08</v>
      </c>
      <c r="JZ75" s="52">
        <v>179.5</v>
      </c>
      <c r="KA75" s="52">
        <v>213.68</v>
      </c>
      <c r="KB75" s="52">
        <v>223.15</v>
      </c>
      <c r="KC75" s="52">
        <v>142.58000000000001</v>
      </c>
      <c r="KD75" s="52">
        <v>165.79</v>
      </c>
      <c r="KE75" s="52">
        <v>230.6</v>
      </c>
      <c r="KF75" s="52">
        <v>213.34</v>
      </c>
    </row>
    <row r="76" spans="1:292" s="41" customFormat="1" ht="12">
      <c r="A76" s="41">
        <v>2010</v>
      </c>
      <c r="B76" s="54" t="s">
        <v>997</v>
      </c>
      <c r="C76" s="55" t="s">
        <v>998</v>
      </c>
      <c r="D76" s="52">
        <v>182.4</v>
      </c>
      <c r="E76" s="52">
        <v>194.34</v>
      </c>
      <c r="F76" s="52">
        <v>290.17</v>
      </c>
      <c r="G76" s="52">
        <v>134.15</v>
      </c>
      <c r="H76" s="52">
        <v>210.91</v>
      </c>
      <c r="I76" s="52">
        <v>144.12</v>
      </c>
      <c r="J76" s="52">
        <v>127.79</v>
      </c>
      <c r="K76" s="52">
        <v>172.3</v>
      </c>
      <c r="L76" s="52">
        <v>108.58</v>
      </c>
      <c r="M76" s="52">
        <v>143.94999999999999</v>
      </c>
      <c r="N76" s="52">
        <v>189.43</v>
      </c>
      <c r="O76" s="52">
        <v>236.84</v>
      </c>
      <c r="P76" s="52">
        <v>194.43</v>
      </c>
      <c r="Q76" s="52">
        <v>195.91</v>
      </c>
      <c r="R76" s="52">
        <v>171.59</v>
      </c>
      <c r="S76" s="52">
        <v>266.55</v>
      </c>
      <c r="T76" s="52">
        <v>291.52</v>
      </c>
      <c r="U76" s="52">
        <v>130.13</v>
      </c>
      <c r="V76" s="52">
        <v>145.69999999999999</v>
      </c>
      <c r="W76" s="52">
        <v>267.77999999999997</v>
      </c>
      <c r="X76" s="52">
        <v>155.09</v>
      </c>
      <c r="Y76" s="52">
        <v>184.85</v>
      </c>
      <c r="Z76" s="52">
        <v>204.46</v>
      </c>
      <c r="AA76" s="52">
        <v>158.24</v>
      </c>
      <c r="AB76" s="52">
        <v>139.94999999999999</v>
      </c>
      <c r="AC76" s="52">
        <v>119.78</v>
      </c>
      <c r="AD76" s="52">
        <v>162.80000000000001</v>
      </c>
      <c r="AE76" s="52">
        <v>174.13</v>
      </c>
      <c r="AF76" s="52">
        <v>139.76</v>
      </c>
      <c r="AG76" s="52">
        <v>94.91</v>
      </c>
      <c r="AH76" s="52">
        <v>155.27000000000001</v>
      </c>
      <c r="AI76" s="52">
        <v>173.35</v>
      </c>
      <c r="AJ76" s="52">
        <v>114.34</v>
      </c>
      <c r="AK76" s="52">
        <v>200.02</v>
      </c>
      <c r="AL76" s="52">
        <v>209.44</v>
      </c>
      <c r="AM76" s="52">
        <v>218.24</v>
      </c>
      <c r="AN76" s="52">
        <v>45.56</v>
      </c>
      <c r="AO76" s="52">
        <v>118</v>
      </c>
      <c r="AP76" s="52">
        <v>72.28</v>
      </c>
      <c r="AQ76" s="52">
        <v>144.88999999999999</v>
      </c>
      <c r="AR76" s="52">
        <v>186.25</v>
      </c>
      <c r="AS76" s="52">
        <v>185.01</v>
      </c>
      <c r="AT76" s="52">
        <v>206.9</v>
      </c>
      <c r="AU76" s="52">
        <v>183.6</v>
      </c>
      <c r="AV76" s="52">
        <v>216.05</v>
      </c>
      <c r="AW76" s="52">
        <v>205</v>
      </c>
      <c r="AX76" s="52">
        <v>198.75</v>
      </c>
      <c r="AY76" s="52">
        <v>155.94</v>
      </c>
      <c r="AZ76" s="52">
        <v>233.76</v>
      </c>
      <c r="BA76" s="52">
        <v>217.7</v>
      </c>
      <c r="BB76" s="52">
        <v>145</v>
      </c>
      <c r="BC76" s="52">
        <v>309.12</v>
      </c>
      <c r="BD76" s="52">
        <v>214.19</v>
      </c>
      <c r="BE76" s="52">
        <v>176.74</v>
      </c>
      <c r="BF76" s="52">
        <v>224.89</v>
      </c>
      <c r="BG76" s="52">
        <v>213.39</v>
      </c>
      <c r="BH76" s="52">
        <v>187.18</v>
      </c>
      <c r="BI76" s="52">
        <v>227.47</v>
      </c>
      <c r="BJ76" s="52">
        <v>157.26</v>
      </c>
      <c r="BK76" s="52">
        <v>178.25</v>
      </c>
      <c r="BL76" s="52">
        <v>154.11000000000001</v>
      </c>
      <c r="BM76" s="52">
        <v>163.77000000000001</v>
      </c>
      <c r="BN76" s="52">
        <v>244.09</v>
      </c>
      <c r="BO76" s="52">
        <v>155.38</v>
      </c>
      <c r="BP76" s="52">
        <v>177.95</v>
      </c>
      <c r="BQ76" s="52">
        <v>197.34</v>
      </c>
      <c r="BR76" s="52">
        <v>150.08000000000001</v>
      </c>
      <c r="BS76" s="52">
        <v>277.92</v>
      </c>
      <c r="BT76" s="52">
        <v>209.51</v>
      </c>
      <c r="BU76" s="52">
        <v>255.62</v>
      </c>
      <c r="BV76" s="52">
        <v>291.52</v>
      </c>
      <c r="BW76" s="52">
        <v>128.94</v>
      </c>
      <c r="BX76" s="52">
        <v>137.96</v>
      </c>
      <c r="BY76" s="52">
        <v>190.65</v>
      </c>
      <c r="BZ76" s="52">
        <v>145.37</v>
      </c>
      <c r="CA76" s="52">
        <v>199.38</v>
      </c>
      <c r="CB76" s="53">
        <v>267.77999999999997</v>
      </c>
      <c r="CC76" s="52">
        <v>155.09</v>
      </c>
      <c r="CD76" s="52">
        <v>184.15</v>
      </c>
      <c r="CE76" s="52">
        <v>172.07</v>
      </c>
      <c r="CF76" s="52">
        <v>224.53</v>
      </c>
      <c r="CG76" s="52">
        <v>206.64</v>
      </c>
      <c r="CH76" s="52">
        <v>163.02000000000001</v>
      </c>
      <c r="CI76" s="52">
        <v>140.80000000000001</v>
      </c>
      <c r="CJ76" s="52">
        <v>139.94999999999999</v>
      </c>
      <c r="CK76" s="52">
        <v>111.51</v>
      </c>
      <c r="CL76" s="52">
        <v>111.21</v>
      </c>
      <c r="CM76" s="52">
        <v>227.69</v>
      </c>
      <c r="CN76" s="52">
        <v>162.80000000000001</v>
      </c>
      <c r="CO76" s="52">
        <v>174.13</v>
      </c>
      <c r="CP76" s="52">
        <v>112.47</v>
      </c>
      <c r="CQ76" s="52">
        <v>255.66</v>
      </c>
      <c r="CR76" s="52">
        <v>92.15</v>
      </c>
      <c r="CS76" s="52">
        <v>141.55000000000001</v>
      </c>
      <c r="CT76" s="52">
        <v>107.7</v>
      </c>
      <c r="CU76" s="52">
        <v>195.91</v>
      </c>
      <c r="CV76" s="52">
        <v>146.83000000000001</v>
      </c>
      <c r="CW76" s="52">
        <v>95</v>
      </c>
      <c r="CX76" s="52">
        <v>173.35</v>
      </c>
      <c r="CY76" s="52">
        <v>114.42</v>
      </c>
      <c r="CZ76" s="52">
        <v>101.37</v>
      </c>
      <c r="DA76" s="52">
        <v>128.88999999999999</v>
      </c>
      <c r="DB76" s="52">
        <v>164.18</v>
      </c>
      <c r="DC76" s="52">
        <v>201.88</v>
      </c>
      <c r="DD76" s="52">
        <v>213.63</v>
      </c>
      <c r="DE76" s="52">
        <v>162.29</v>
      </c>
      <c r="DF76" s="52">
        <v>194.22</v>
      </c>
      <c r="DG76" s="52">
        <v>212.76</v>
      </c>
      <c r="DH76" s="52">
        <v>130.27000000000001</v>
      </c>
      <c r="DI76" s="52">
        <v>165.62</v>
      </c>
      <c r="DJ76" s="52">
        <v>233.59</v>
      </c>
      <c r="DK76" s="52">
        <v>218.24</v>
      </c>
      <c r="DL76" s="52">
        <v>45.56</v>
      </c>
      <c r="DM76" s="52">
        <v>118</v>
      </c>
      <c r="DN76" s="52">
        <v>55.61</v>
      </c>
      <c r="DO76" s="52">
        <v>89.06</v>
      </c>
      <c r="DP76" s="52">
        <v>138.75</v>
      </c>
      <c r="DQ76" s="52">
        <v>144.88999999999999</v>
      </c>
      <c r="DR76" s="52">
        <v>202.65</v>
      </c>
      <c r="DS76" s="52">
        <v>145.43</v>
      </c>
      <c r="DT76" s="52"/>
      <c r="DU76" s="52">
        <v>182.11</v>
      </c>
      <c r="DV76" s="52">
        <v>222.66</v>
      </c>
      <c r="DW76" s="52">
        <v>156.52000000000001</v>
      </c>
      <c r="DX76" s="52">
        <v>165.64</v>
      </c>
      <c r="DY76" s="52">
        <v>268.89</v>
      </c>
      <c r="DZ76" s="52">
        <v>193.06</v>
      </c>
      <c r="EA76" s="52">
        <v>154.4</v>
      </c>
      <c r="EB76" s="52">
        <v>183.6</v>
      </c>
      <c r="EC76" s="52">
        <v>216.05</v>
      </c>
      <c r="ED76" s="52">
        <v>205</v>
      </c>
      <c r="EE76" s="52">
        <v>198.75</v>
      </c>
      <c r="EF76" s="52">
        <v>155.94</v>
      </c>
      <c r="EG76" s="52">
        <v>233.76</v>
      </c>
      <c r="EH76" s="52">
        <v>217.7</v>
      </c>
      <c r="EI76" s="52">
        <v>215.48</v>
      </c>
      <c r="EJ76" s="52">
        <v>104.93</v>
      </c>
      <c r="EK76" s="52">
        <v>125.84</v>
      </c>
      <c r="EL76" s="52">
        <v>353.42</v>
      </c>
      <c r="EM76" s="52">
        <v>190.89</v>
      </c>
      <c r="EN76" s="52">
        <v>214.19</v>
      </c>
      <c r="EO76" s="52">
        <v>223.13</v>
      </c>
      <c r="EP76" s="52">
        <v>142.58000000000001</v>
      </c>
      <c r="EQ76" s="52">
        <v>166.8</v>
      </c>
      <c r="ER76" s="52">
        <v>224.89</v>
      </c>
      <c r="ES76" s="52">
        <v>213.39</v>
      </c>
      <c r="ET76" s="52">
        <v>219.36</v>
      </c>
      <c r="EU76" s="52">
        <v>172.2</v>
      </c>
      <c r="EV76" s="52">
        <v>188.21</v>
      </c>
      <c r="EW76" s="52">
        <v>182.8</v>
      </c>
      <c r="EX76" s="52">
        <v>183.11</v>
      </c>
      <c r="EY76" s="52">
        <v>128.63</v>
      </c>
      <c r="EZ76" s="52">
        <v>240.21</v>
      </c>
      <c r="FA76" s="52">
        <v>280.44</v>
      </c>
      <c r="FB76" s="52">
        <v>174.63</v>
      </c>
      <c r="FC76" s="52">
        <v>264.83</v>
      </c>
      <c r="FD76" s="52">
        <v>188</v>
      </c>
      <c r="FE76" s="52">
        <v>157.26</v>
      </c>
      <c r="FF76" s="52"/>
      <c r="FG76" s="52">
        <v>150.5</v>
      </c>
      <c r="FH76" s="52">
        <v>164.91</v>
      </c>
      <c r="FI76" s="52">
        <v>198.04</v>
      </c>
      <c r="FJ76" s="52">
        <v>183.61</v>
      </c>
      <c r="FK76" s="52">
        <v>217.54</v>
      </c>
      <c r="FL76" s="52">
        <v>145.53</v>
      </c>
      <c r="FM76" s="52">
        <v>149.08000000000001</v>
      </c>
      <c r="FN76" s="52">
        <v>152.27000000000001</v>
      </c>
      <c r="FO76" s="52">
        <v>223.75</v>
      </c>
      <c r="FP76" s="52">
        <v>248.37</v>
      </c>
      <c r="FQ76" s="52">
        <v>223.24</v>
      </c>
      <c r="FR76" s="52">
        <v>240.73</v>
      </c>
      <c r="FS76" s="52">
        <v>213.94</v>
      </c>
      <c r="FT76" s="52">
        <v>140.87</v>
      </c>
      <c r="FU76" s="52">
        <v>203.34</v>
      </c>
      <c r="FV76" s="52">
        <v>171.06</v>
      </c>
      <c r="FW76" s="52">
        <v>110.96</v>
      </c>
      <c r="FX76" s="52">
        <v>177.95</v>
      </c>
      <c r="FY76" s="52">
        <v>185.59</v>
      </c>
      <c r="FZ76" s="52">
        <v>199.99</v>
      </c>
      <c r="GA76" s="52">
        <v>146.78</v>
      </c>
      <c r="GB76" s="52">
        <v>156.44</v>
      </c>
      <c r="GC76" s="52">
        <v>150.71</v>
      </c>
      <c r="GD76" s="52">
        <v>133.79</v>
      </c>
      <c r="GE76" s="52">
        <v>277.92</v>
      </c>
      <c r="GF76" s="52">
        <v>209.51</v>
      </c>
      <c r="GG76" s="52">
        <v>255.62</v>
      </c>
      <c r="GH76" s="52">
        <v>291.02999999999997</v>
      </c>
      <c r="GI76" s="52">
        <v>131.86000000000001</v>
      </c>
      <c r="GJ76" s="52">
        <v>129.96</v>
      </c>
      <c r="GK76" s="52">
        <v>118</v>
      </c>
      <c r="GL76" s="52">
        <v>146.74</v>
      </c>
      <c r="GM76" s="52">
        <v>137.96</v>
      </c>
      <c r="GN76" s="52">
        <v>190.65</v>
      </c>
      <c r="GO76" s="52">
        <v>141.80000000000001</v>
      </c>
      <c r="GP76" s="52">
        <v>149.31</v>
      </c>
      <c r="GQ76" s="52">
        <v>146.21</v>
      </c>
      <c r="GR76" s="52">
        <v>199.38</v>
      </c>
      <c r="GS76" s="52">
        <v>267.77999999999997</v>
      </c>
      <c r="GT76" s="52">
        <v>155.09</v>
      </c>
      <c r="GU76" s="52">
        <v>184.15</v>
      </c>
      <c r="GV76" s="52">
        <v>172.07</v>
      </c>
      <c r="GW76" s="52">
        <v>194.22</v>
      </c>
      <c r="GX76" s="52">
        <v>244.68</v>
      </c>
      <c r="GY76" s="52">
        <v>206.64</v>
      </c>
      <c r="GZ76" s="52">
        <v>188.08</v>
      </c>
      <c r="HA76" s="52">
        <v>163.84</v>
      </c>
      <c r="HB76" s="52">
        <v>160.69999999999999</v>
      </c>
      <c r="HC76" s="52">
        <v>140.80000000000001</v>
      </c>
      <c r="HD76" s="52">
        <v>139.94999999999999</v>
      </c>
      <c r="HE76" s="52">
        <v>97.8</v>
      </c>
      <c r="HF76" s="52">
        <v>107.49</v>
      </c>
      <c r="HG76" s="52">
        <v>123.87</v>
      </c>
      <c r="HH76" s="52">
        <v>141.88</v>
      </c>
      <c r="HI76" s="52">
        <v>73.19</v>
      </c>
      <c r="HJ76" s="52">
        <v>111.21</v>
      </c>
      <c r="HK76" s="52">
        <v>227.69</v>
      </c>
      <c r="HL76" s="52">
        <v>144.66999999999999</v>
      </c>
      <c r="HM76" s="52">
        <v>181.26</v>
      </c>
      <c r="HN76" s="52">
        <v>175.34</v>
      </c>
      <c r="HO76" s="52">
        <v>148.79</v>
      </c>
      <c r="HP76" s="52">
        <v>199.06</v>
      </c>
      <c r="HQ76" s="52">
        <v>107.3</v>
      </c>
      <c r="HR76" s="52">
        <v>155</v>
      </c>
      <c r="HS76" s="52">
        <v>258.04000000000002</v>
      </c>
      <c r="HT76" s="52">
        <v>186</v>
      </c>
      <c r="HU76" s="52">
        <v>92.15</v>
      </c>
      <c r="HV76" s="52">
        <v>141.55000000000001</v>
      </c>
      <c r="HW76" s="52">
        <v>110.97</v>
      </c>
      <c r="HX76" s="52">
        <v>95.55</v>
      </c>
      <c r="HY76" s="52">
        <v>195.91</v>
      </c>
      <c r="HZ76" s="52">
        <v>146.83000000000001</v>
      </c>
      <c r="IA76" s="52">
        <v>86.78</v>
      </c>
      <c r="IB76" s="52">
        <v>173.35</v>
      </c>
      <c r="IC76" s="52">
        <v>103.25</v>
      </c>
      <c r="ID76" s="52">
        <v>116.39</v>
      </c>
      <c r="IE76" s="52">
        <v>101.37</v>
      </c>
      <c r="IF76" s="52">
        <v>128.88999999999999</v>
      </c>
      <c r="IG76" s="52">
        <v>164.18</v>
      </c>
      <c r="IH76" s="52">
        <v>201.88</v>
      </c>
      <c r="II76" s="52">
        <v>213.63</v>
      </c>
      <c r="IJ76" s="52">
        <v>162.29</v>
      </c>
      <c r="IK76" s="52">
        <v>211.02</v>
      </c>
      <c r="IL76" s="52">
        <v>161.22999999999999</v>
      </c>
      <c r="IM76" s="52">
        <v>224.32</v>
      </c>
      <c r="IN76" s="52">
        <v>213.55</v>
      </c>
      <c r="IO76" s="52">
        <v>171.23</v>
      </c>
      <c r="IP76" s="52">
        <v>130.27000000000001</v>
      </c>
      <c r="IQ76" s="52">
        <v>165.62</v>
      </c>
      <c r="IR76" s="52">
        <v>233.59</v>
      </c>
      <c r="IS76" s="52">
        <v>218.24</v>
      </c>
      <c r="IT76" s="52">
        <v>45.56</v>
      </c>
      <c r="IU76" s="52">
        <v>118</v>
      </c>
      <c r="IV76" s="52">
        <v>56.36</v>
      </c>
      <c r="IW76" s="52">
        <v>89.06</v>
      </c>
      <c r="IX76" s="52">
        <v>138.75</v>
      </c>
      <c r="IY76" s="52">
        <v>144.88999999999999</v>
      </c>
      <c r="IZ76" s="52">
        <v>202.65</v>
      </c>
      <c r="JA76" s="52">
        <v>145.43</v>
      </c>
      <c r="JB76" s="52"/>
      <c r="JC76" s="52">
        <v>182.11</v>
      </c>
      <c r="JD76" s="52">
        <v>222.66</v>
      </c>
      <c r="JE76" s="52">
        <v>162.08000000000001</v>
      </c>
      <c r="JF76" s="52">
        <v>154.30000000000001</v>
      </c>
      <c r="JG76" s="52">
        <v>165.64</v>
      </c>
      <c r="JH76" s="52">
        <v>268.89</v>
      </c>
      <c r="JI76" s="52">
        <v>193.06</v>
      </c>
      <c r="JJ76" s="52">
        <v>154.4</v>
      </c>
      <c r="JK76" s="52">
        <v>183.6</v>
      </c>
      <c r="JL76" s="52">
        <v>216.05</v>
      </c>
      <c r="JM76" s="52">
        <v>205</v>
      </c>
      <c r="JN76" s="52">
        <v>198.75</v>
      </c>
      <c r="JO76" s="52">
        <v>155.94</v>
      </c>
      <c r="JP76" s="52">
        <v>245.55</v>
      </c>
      <c r="JQ76" s="52">
        <v>205.86</v>
      </c>
      <c r="JR76" s="52">
        <v>197.79</v>
      </c>
      <c r="JS76" s="52">
        <v>247.86</v>
      </c>
      <c r="JT76" s="52">
        <v>238.62</v>
      </c>
      <c r="JU76" s="52">
        <v>193.08</v>
      </c>
      <c r="JV76" s="52">
        <v>104.93</v>
      </c>
      <c r="JW76" s="52">
        <v>125.84</v>
      </c>
      <c r="JX76" s="52">
        <v>353.42</v>
      </c>
      <c r="JY76" s="52">
        <v>194.73</v>
      </c>
      <c r="JZ76" s="52">
        <v>182.31</v>
      </c>
      <c r="KA76" s="52">
        <v>214.19</v>
      </c>
      <c r="KB76" s="52">
        <v>223.13</v>
      </c>
      <c r="KC76" s="52">
        <v>142.58000000000001</v>
      </c>
      <c r="KD76" s="52">
        <v>166.8</v>
      </c>
      <c r="KE76" s="52">
        <v>224.89</v>
      </c>
      <c r="KF76" s="52">
        <v>213.39</v>
      </c>
    </row>
    <row r="77" spans="1:292" s="41" customFormat="1" ht="12">
      <c r="A77" s="41">
        <v>2010</v>
      </c>
      <c r="B77" s="54" t="s">
        <v>999</v>
      </c>
      <c r="C77" s="55" t="s">
        <v>1000</v>
      </c>
      <c r="D77" s="52">
        <v>181.85</v>
      </c>
      <c r="E77" s="52">
        <v>189.17</v>
      </c>
      <c r="F77" s="52">
        <v>290.3</v>
      </c>
      <c r="G77" s="52">
        <v>131.77000000000001</v>
      </c>
      <c r="H77" s="52">
        <v>213.37</v>
      </c>
      <c r="I77" s="52">
        <v>144.6</v>
      </c>
      <c r="J77" s="52">
        <v>127.84</v>
      </c>
      <c r="K77" s="52">
        <v>174.14</v>
      </c>
      <c r="L77" s="52">
        <v>111.46</v>
      </c>
      <c r="M77" s="52">
        <v>144.31</v>
      </c>
      <c r="N77" s="52">
        <v>189.52</v>
      </c>
      <c r="O77" s="52">
        <v>237.63</v>
      </c>
      <c r="P77" s="52">
        <v>198.37</v>
      </c>
      <c r="Q77" s="52">
        <v>190.36</v>
      </c>
      <c r="R77" s="52">
        <v>171.34</v>
      </c>
      <c r="S77" s="52">
        <v>269.26</v>
      </c>
      <c r="T77" s="52">
        <v>291.52</v>
      </c>
      <c r="U77" s="52">
        <v>127.58</v>
      </c>
      <c r="V77" s="52">
        <v>144</v>
      </c>
      <c r="W77" s="52">
        <v>268.31</v>
      </c>
      <c r="X77" s="52">
        <v>155.55000000000001</v>
      </c>
      <c r="Y77" s="52">
        <v>187.91</v>
      </c>
      <c r="Z77" s="52">
        <v>208.16</v>
      </c>
      <c r="AA77" s="52">
        <v>157.66</v>
      </c>
      <c r="AB77" s="52">
        <v>142.28</v>
      </c>
      <c r="AC77" s="52">
        <v>120.17</v>
      </c>
      <c r="AD77" s="52">
        <v>163.1</v>
      </c>
      <c r="AE77" s="52">
        <v>174.31</v>
      </c>
      <c r="AF77" s="52">
        <v>140.72999999999999</v>
      </c>
      <c r="AG77" s="52">
        <v>94.94</v>
      </c>
      <c r="AH77" s="52">
        <v>155.30000000000001</v>
      </c>
      <c r="AI77" s="52">
        <v>173.54</v>
      </c>
      <c r="AJ77" s="52">
        <v>112.91</v>
      </c>
      <c r="AK77" s="52">
        <v>208.75</v>
      </c>
      <c r="AL77" s="52">
        <v>209.53</v>
      </c>
      <c r="AM77" s="52">
        <v>218.24</v>
      </c>
      <c r="AN77" s="52">
        <v>46.47</v>
      </c>
      <c r="AO77" s="52">
        <v>121.23</v>
      </c>
      <c r="AP77" s="52">
        <v>72.61</v>
      </c>
      <c r="AQ77" s="52">
        <v>144.87</v>
      </c>
      <c r="AR77" s="52">
        <v>186.46</v>
      </c>
      <c r="AS77" s="52">
        <v>189.08</v>
      </c>
      <c r="AT77" s="52">
        <v>202.8</v>
      </c>
      <c r="AU77" s="52">
        <v>184.09</v>
      </c>
      <c r="AV77" s="52">
        <v>215.89</v>
      </c>
      <c r="AW77" s="52">
        <v>205.21</v>
      </c>
      <c r="AX77" s="52">
        <v>198.75</v>
      </c>
      <c r="AY77" s="52">
        <v>156.26</v>
      </c>
      <c r="AZ77" s="52">
        <v>234.72</v>
      </c>
      <c r="BA77" s="52">
        <v>216.49</v>
      </c>
      <c r="BB77" s="52">
        <v>145.79</v>
      </c>
      <c r="BC77" s="52">
        <v>326.74</v>
      </c>
      <c r="BD77" s="52">
        <v>214.26</v>
      </c>
      <c r="BE77" s="52">
        <v>177.16</v>
      </c>
      <c r="BF77" s="52">
        <v>231.56</v>
      </c>
      <c r="BG77" s="52">
        <v>213.48</v>
      </c>
      <c r="BH77" s="52">
        <v>187.79</v>
      </c>
      <c r="BI77" s="52">
        <v>222.63</v>
      </c>
      <c r="BJ77" s="52">
        <v>162.65</v>
      </c>
      <c r="BK77" s="52">
        <v>175.63</v>
      </c>
      <c r="BL77" s="52">
        <v>158.35</v>
      </c>
      <c r="BM77" s="52">
        <v>153.61000000000001</v>
      </c>
      <c r="BN77" s="52">
        <v>221.4</v>
      </c>
      <c r="BO77" s="52">
        <v>155.78</v>
      </c>
      <c r="BP77" s="52">
        <v>179.86</v>
      </c>
      <c r="BQ77" s="52">
        <v>196.95</v>
      </c>
      <c r="BR77" s="52">
        <v>149.91</v>
      </c>
      <c r="BS77" s="52">
        <v>278.20999999999998</v>
      </c>
      <c r="BT77" s="52">
        <v>210.56</v>
      </c>
      <c r="BU77" s="52">
        <v>260.85000000000002</v>
      </c>
      <c r="BV77" s="52">
        <v>291.52</v>
      </c>
      <c r="BW77" s="52">
        <v>126.14</v>
      </c>
      <c r="BX77" s="52">
        <v>137.78</v>
      </c>
      <c r="BY77" s="52">
        <v>191.08</v>
      </c>
      <c r="BZ77" s="52">
        <v>143.65</v>
      </c>
      <c r="CA77" s="52">
        <v>201.87</v>
      </c>
      <c r="CB77" s="53">
        <v>268.31</v>
      </c>
      <c r="CC77" s="52">
        <v>155.55000000000001</v>
      </c>
      <c r="CD77" s="52">
        <v>187.2</v>
      </c>
      <c r="CE77" s="52">
        <v>172.07</v>
      </c>
      <c r="CF77" s="52">
        <v>234.64</v>
      </c>
      <c r="CG77" s="52">
        <v>207.14</v>
      </c>
      <c r="CH77" s="52">
        <v>162.22999999999999</v>
      </c>
      <c r="CI77" s="52">
        <v>141.30000000000001</v>
      </c>
      <c r="CJ77" s="52">
        <v>142.28</v>
      </c>
      <c r="CK77" s="52">
        <v>111.78</v>
      </c>
      <c r="CL77" s="52">
        <v>111.42</v>
      </c>
      <c r="CM77" s="52">
        <v>230.81</v>
      </c>
      <c r="CN77" s="52">
        <v>163.1</v>
      </c>
      <c r="CO77" s="52">
        <v>174.31</v>
      </c>
      <c r="CP77" s="52">
        <v>113.25</v>
      </c>
      <c r="CQ77" s="52">
        <v>257.44</v>
      </c>
      <c r="CR77" s="52">
        <v>92.15</v>
      </c>
      <c r="CS77" s="52">
        <v>141.65</v>
      </c>
      <c r="CT77" s="52">
        <v>107.9</v>
      </c>
      <c r="CU77" s="52">
        <v>195.96</v>
      </c>
      <c r="CV77" s="52">
        <v>146.85</v>
      </c>
      <c r="CW77" s="52">
        <v>95.03</v>
      </c>
      <c r="CX77" s="52">
        <v>173.54</v>
      </c>
      <c r="CY77" s="52">
        <v>112.94</v>
      </c>
      <c r="CZ77" s="52">
        <v>101.51</v>
      </c>
      <c r="DA77" s="52">
        <v>128.83000000000001</v>
      </c>
      <c r="DB77" s="52">
        <v>166.16</v>
      </c>
      <c r="DC77" s="52">
        <v>212.24</v>
      </c>
      <c r="DD77" s="52">
        <v>214.56</v>
      </c>
      <c r="DE77" s="52">
        <v>162.49</v>
      </c>
      <c r="DF77" s="52">
        <v>195.16</v>
      </c>
      <c r="DG77" s="52">
        <v>212.81</v>
      </c>
      <c r="DH77" s="52">
        <v>130.37</v>
      </c>
      <c r="DI77" s="52">
        <v>166.06</v>
      </c>
      <c r="DJ77" s="52">
        <v>234.2</v>
      </c>
      <c r="DK77" s="52">
        <v>218.24</v>
      </c>
      <c r="DL77" s="52">
        <v>46.47</v>
      </c>
      <c r="DM77" s="52">
        <v>121.23</v>
      </c>
      <c r="DN77" s="52">
        <v>55.83</v>
      </c>
      <c r="DO77" s="52">
        <v>89.66</v>
      </c>
      <c r="DP77" s="52">
        <v>139.56</v>
      </c>
      <c r="DQ77" s="52">
        <v>144.87</v>
      </c>
      <c r="DR77" s="52">
        <v>202.42</v>
      </c>
      <c r="DS77" s="52">
        <v>146.36000000000001</v>
      </c>
      <c r="DT77" s="52"/>
      <c r="DU77" s="52">
        <v>182.38</v>
      </c>
      <c r="DV77" s="52">
        <v>231.98</v>
      </c>
      <c r="DW77" s="52">
        <v>156.84</v>
      </c>
      <c r="DX77" s="52">
        <v>165.64</v>
      </c>
      <c r="DY77" s="52">
        <v>255.99</v>
      </c>
      <c r="DZ77" s="52">
        <v>193.06</v>
      </c>
      <c r="EA77" s="52">
        <v>154.41999999999999</v>
      </c>
      <c r="EB77" s="52">
        <v>184.09</v>
      </c>
      <c r="EC77" s="52">
        <v>215.89</v>
      </c>
      <c r="ED77" s="52">
        <v>205.21</v>
      </c>
      <c r="EE77" s="52">
        <v>198.75</v>
      </c>
      <c r="EF77" s="52">
        <v>156.26</v>
      </c>
      <c r="EG77" s="52">
        <v>234.72</v>
      </c>
      <c r="EH77" s="52">
        <v>216.49</v>
      </c>
      <c r="EI77" s="52">
        <v>216.57</v>
      </c>
      <c r="EJ77" s="52">
        <v>104.66</v>
      </c>
      <c r="EK77" s="52">
        <v>126.59</v>
      </c>
      <c r="EL77" s="52">
        <v>379.84</v>
      </c>
      <c r="EM77" s="52">
        <v>190.79</v>
      </c>
      <c r="EN77" s="52">
        <v>214.26</v>
      </c>
      <c r="EO77" s="52">
        <v>223.21</v>
      </c>
      <c r="EP77" s="52">
        <v>142.58000000000001</v>
      </c>
      <c r="EQ77" s="52">
        <v>167.32</v>
      </c>
      <c r="ER77" s="52">
        <v>231.56</v>
      </c>
      <c r="ES77" s="52">
        <v>213.48</v>
      </c>
      <c r="ET77" s="52">
        <v>220.42</v>
      </c>
      <c r="EU77" s="52">
        <v>169.57</v>
      </c>
      <c r="EV77" s="52">
        <v>189.86</v>
      </c>
      <c r="EW77" s="52">
        <v>183.51</v>
      </c>
      <c r="EX77" s="52">
        <v>181.96</v>
      </c>
      <c r="EY77" s="52">
        <v>128.66</v>
      </c>
      <c r="EZ77" s="52">
        <v>233.98</v>
      </c>
      <c r="FA77" s="52">
        <v>281.68</v>
      </c>
      <c r="FB77" s="52">
        <v>164.86</v>
      </c>
      <c r="FC77" s="52">
        <v>279.63</v>
      </c>
      <c r="FD77" s="52">
        <v>184.49</v>
      </c>
      <c r="FE77" s="52">
        <v>162.65</v>
      </c>
      <c r="FF77" s="52"/>
      <c r="FG77" s="52">
        <v>148.72</v>
      </c>
      <c r="FH77" s="52">
        <v>163.34</v>
      </c>
      <c r="FI77" s="52">
        <v>197.12</v>
      </c>
      <c r="FJ77" s="52">
        <v>173.96</v>
      </c>
      <c r="FK77" s="52">
        <v>217.49</v>
      </c>
      <c r="FL77" s="52">
        <v>148.9</v>
      </c>
      <c r="FM77" s="52">
        <v>154.13</v>
      </c>
      <c r="FN77" s="52">
        <v>140.19999999999999</v>
      </c>
      <c r="FO77" s="52">
        <v>224.89</v>
      </c>
      <c r="FP77" s="52">
        <v>213.71</v>
      </c>
      <c r="FQ77" s="52">
        <v>229.24</v>
      </c>
      <c r="FR77" s="52">
        <v>242.63</v>
      </c>
      <c r="FS77" s="52">
        <v>217.21</v>
      </c>
      <c r="FT77" s="52">
        <v>140.91</v>
      </c>
      <c r="FU77" s="52">
        <v>205.06</v>
      </c>
      <c r="FV77" s="52">
        <v>170.96</v>
      </c>
      <c r="FW77" s="52">
        <v>112.36</v>
      </c>
      <c r="FX77" s="52">
        <v>179.86</v>
      </c>
      <c r="FY77" s="52">
        <v>185.12</v>
      </c>
      <c r="FZ77" s="52">
        <v>199.53</v>
      </c>
      <c r="GA77" s="52">
        <v>148.69999999999999</v>
      </c>
      <c r="GB77" s="52">
        <v>157.09</v>
      </c>
      <c r="GC77" s="52">
        <v>149.56</v>
      </c>
      <c r="GD77" s="52">
        <v>134.80000000000001</v>
      </c>
      <c r="GE77" s="52">
        <v>278.20999999999998</v>
      </c>
      <c r="GF77" s="52">
        <v>210.56</v>
      </c>
      <c r="GG77" s="52">
        <v>260.85000000000002</v>
      </c>
      <c r="GH77" s="52">
        <v>291.02999999999997</v>
      </c>
      <c r="GI77" s="52">
        <v>129.68</v>
      </c>
      <c r="GJ77" s="52">
        <v>125.61</v>
      </c>
      <c r="GK77" s="52">
        <v>117.27</v>
      </c>
      <c r="GL77" s="52">
        <v>148.41</v>
      </c>
      <c r="GM77" s="52">
        <v>137.78</v>
      </c>
      <c r="GN77" s="52">
        <v>191.08</v>
      </c>
      <c r="GO77" s="52">
        <v>139.9</v>
      </c>
      <c r="GP77" s="52">
        <v>146.72</v>
      </c>
      <c r="GQ77" s="52">
        <v>146.47999999999999</v>
      </c>
      <c r="GR77" s="52">
        <v>201.87</v>
      </c>
      <c r="GS77" s="52">
        <v>268.31</v>
      </c>
      <c r="GT77" s="52">
        <v>155.55000000000001</v>
      </c>
      <c r="GU77" s="52">
        <v>187.2</v>
      </c>
      <c r="GV77" s="52">
        <v>172.07</v>
      </c>
      <c r="GW77" s="52">
        <v>194.34</v>
      </c>
      <c r="GX77" s="52">
        <v>262.58</v>
      </c>
      <c r="GY77" s="52">
        <v>207.14</v>
      </c>
      <c r="GZ77" s="52">
        <v>188.23</v>
      </c>
      <c r="HA77" s="52">
        <v>161.26</v>
      </c>
      <c r="HB77" s="52">
        <v>160.79</v>
      </c>
      <c r="HC77" s="52">
        <v>141.30000000000001</v>
      </c>
      <c r="HD77" s="52">
        <v>142.28</v>
      </c>
      <c r="HE77" s="52">
        <v>97.91</v>
      </c>
      <c r="HF77" s="52">
        <v>107.83</v>
      </c>
      <c r="HG77" s="52">
        <v>124.6</v>
      </c>
      <c r="HH77" s="52">
        <v>142.13</v>
      </c>
      <c r="HI77" s="52">
        <v>73.31</v>
      </c>
      <c r="HJ77" s="52">
        <v>111.42</v>
      </c>
      <c r="HK77" s="52">
        <v>230.81</v>
      </c>
      <c r="HL77" s="52">
        <v>144.86000000000001</v>
      </c>
      <c r="HM77" s="52">
        <v>182.34</v>
      </c>
      <c r="HN77" s="52">
        <v>175.64</v>
      </c>
      <c r="HO77" s="52">
        <v>149.34</v>
      </c>
      <c r="HP77" s="52">
        <v>198.66</v>
      </c>
      <c r="HQ77" s="52">
        <v>108.16</v>
      </c>
      <c r="HR77" s="52">
        <v>155.19</v>
      </c>
      <c r="HS77" s="52">
        <v>259.89999999999998</v>
      </c>
      <c r="HT77" s="52">
        <v>186.32</v>
      </c>
      <c r="HU77" s="52">
        <v>92.15</v>
      </c>
      <c r="HV77" s="52">
        <v>141.65</v>
      </c>
      <c r="HW77" s="52">
        <v>110.97</v>
      </c>
      <c r="HX77" s="52">
        <v>95.92</v>
      </c>
      <c r="HY77" s="52">
        <v>195.96</v>
      </c>
      <c r="HZ77" s="52">
        <v>146.85</v>
      </c>
      <c r="IA77" s="52">
        <v>86.8</v>
      </c>
      <c r="IB77" s="52">
        <v>173.54</v>
      </c>
      <c r="IC77" s="52">
        <v>102.05</v>
      </c>
      <c r="ID77" s="52">
        <v>114.75</v>
      </c>
      <c r="IE77" s="52">
        <v>101.51</v>
      </c>
      <c r="IF77" s="52">
        <v>128.83000000000001</v>
      </c>
      <c r="IG77" s="52">
        <v>166.16</v>
      </c>
      <c r="IH77" s="52">
        <v>212.24</v>
      </c>
      <c r="II77" s="52">
        <v>214.56</v>
      </c>
      <c r="IJ77" s="52">
        <v>162.49</v>
      </c>
      <c r="IK77" s="52">
        <v>212.58</v>
      </c>
      <c r="IL77" s="52">
        <v>161.22999999999999</v>
      </c>
      <c r="IM77" s="52">
        <v>224.91</v>
      </c>
      <c r="IN77" s="52">
        <v>216.94</v>
      </c>
      <c r="IO77" s="52">
        <v>168.78</v>
      </c>
      <c r="IP77" s="52">
        <v>130.37</v>
      </c>
      <c r="IQ77" s="52">
        <v>166.06</v>
      </c>
      <c r="IR77" s="52">
        <v>234.2</v>
      </c>
      <c r="IS77" s="52">
        <v>218.24</v>
      </c>
      <c r="IT77" s="52">
        <v>46.47</v>
      </c>
      <c r="IU77" s="52">
        <v>121.23</v>
      </c>
      <c r="IV77" s="52">
        <v>56.63</v>
      </c>
      <c r="IW77" s="52">
        <v>89.66</v>
      </c>
      <c r="IX77" s="52">
        <v>139.56</v>
      </c>
      <c r="IY77" s="52">
        <v>144.87</v>
      </c>
      <c r="IZ77" s="52">
        <v>202.42</v>
      </c>
      <c r="JA77" s="52">
        <v>146.36000000000001</v>
      </c>
      <c r="JB77" s="52"/>
      <c r="JC77" s="52">
        <v>182.38</v>
      </c>
      <c r="JD77" s="52">
        <v>231.98</v>
      </c>
      <c r="JE77" s="52">
        <v>162.41999999999999</v>
      </c>
      <c r="JF77" s="52">
        <v>154.62</v>
      </c>
      <c r="JG77" s="52">
        <v>165.64</v>
      </c>
      <c r="JH77" s="52">
        <v>255.99</v>
      </c>
      <c r="JI77" s="52">
        <v>193.06</v>
      </c>
      <c r="JJ77" s="52">
        <v>154.41999999999999</v>
      </c>
      <c r="JK77" s="52">
        <v>184.09</v>
      </c>
      <c r="JL77" s="52">
        <v>215.89</v>
      </c>
      <c r="JM77" s="52">
        <v>205.21</v>
      </c>
      <c r="JN77" s="52">
        <v>198.75</v>
      </c>
      <c r="JO77" s="52">
        <v>156.26</v>
      </c>
      <c r="JP77" s="52">
        <v>246.61</v>
      </c>
      <c r="JQ77" s="52">
        <v>206.6</v>
      </c>
      <c r="JR77" s="52">
        <v>196.19</v>
      </c>
      <c r="JS77" s="52">
        <v>248.21</v>
      </c>
      <c r="JT77" s="52">
        <v>239.78</v>
      </c>
      <c r="JU77" s="52">
        <v>194.08</v>
      </c>
      <c r="JV77" s="52">
        <v>104.66</v>
      </c>
      <c r="JW77" s="52">
        <v>126.59</v>
      </c>
      <c r="JX77" s="52">
        <v>379.84</v>
      </c>
      <c r="JY77" s="52">
        <v>194.23</v>
      </c>
      <c r="JZ77" s="52">
        <v>182.78</v>
      </c>
      <c r="KA77" s="52">
        <v>214.26</v>
      </c>
      <c r="KB77" s="52">
        <v>223.21</v>
      </c>
      <c r="KC77" s="52">
        <v>142.58000000000001</v>
      </c>
      <c r="KD77" s="52">
        <v>167.32</v>
      </c>
      <c r="KE77" s="52">
        <v>231.56</v>
      </c>
      <c r="KF77" s="52">
        <v>213.48</v>
      </c>
    </row>
    <row r="78" spans="1:292" s="41" customFormat="1" ht="12">
      <c r="A78" s="41">
        <v>2011</v>
      </c>
      <c r="B78" s="54" t="s">
        <v>977</v>
      </c>
      <c r="C78" s="50" t="s">
        <v>978</v>
      </c>
      <c r="D78" s="52">
        <v>182.6</v>
      </c>
      <c r="E78" s="52">
        <v>192.22</v>
      </c>
      <c r="F78" s="52">
        <v>290.3</v>
      </c>
      <c r="G78" s="52">
        <v>121.54</v>
      </c>
      <c r="H78" s="52">
        <v>214.61</v>
      </c>
      <c r="I78" s="52">
        <v>146.08000000000001</v>
      </c>
      <c r="J78" s="52">
        <v>128.19999999999999</v>
      </c>
      <c r="K78" s="52">
        <v>176.65</v>
      </c>
      <c r="L78" s="52">
        <v>112.81</v>
      </c>
      <c r="M78" s="52">
        <v>144.19999999999999</v>
      </c>
      <c r="N78" s="52">
        <v>189.59</v>
      </c>
      <c r="O78" s="52">
        <v>239.44</v>
      </c>
      <c r="P78" s="52">
        <v>201.09</v>
      </c>
      <c r="Q78" s="52">
        <v>193.58</v>
      </c>
      <c r="R78" s="52">
        <v>172.28</v>
      </c>
      <c r="S78" s="52">
        <v>269.27999999999997</v>
      </c>
      <c r="T78" s="52">
        <v>291.52</v>
      </c>
      <c r="U78" s="52">
        <v>116.96</v>
      </c>
      <c r="V78" s="52">
        <v>135.46</v>
      </c>
      <c r="W78" s="52">
        <v>269.31</v>
      </c>
      <c r="X78" s="52">
        <v>156.24</v>
      </c>
      <c r="Y78" s="52">
        <v>192.65</v>
      </c>
      <c r="Z78" s="52">
        <v>208.41</v>
      </c>
      <c r="AA78" s="52">
        <v>157.43</v>
      </c>
      <c r="AB78" s="52">
        <v>146.16</v>
      </c>
      <c r="AC78" s="52">
        <v>123.42</v>
      </c>
      <c r="AD78" s="52">
        <v>163.44999999999999</v>
      </c>
      <c r="AE78" s="52">
        <v>173.87</v>
      </c>
      <c r="AF78" s="52">
        <v>141.22</v>
      </c>
      <c r="AG78" s="52">
        <v>94.84</v>
      </c>
      <c r="AH78" s="52">
        <v>156.11000000000001</v>
      </c>
      <c r="AI78" s="52">
        <v>174.39</v>
      </c>
      <c r="AJ78" s="52">
        <v>114.6</v>
      </c>
      <c r="AK78" s="52">
        <v>212.14</v>
      </c>
      <c r="AL78" s="52">
        <v>211.8</v>
      </c>
      <c r="AM78" s="52">
        <v>218.24</v>
      </c>
      <c r="AN78" s="52">
        <v>46.61</v>
      </c>
      <c r="AO78" s="52">
        <v>122.81</v>
      </c>
      <c r="AP78" s="52">
        <v>71.92</v>
      </c>
      <c r="AQ78" s="52">
        <v>144.88999999999999</v>
      </c>
      <c r="AR78" s="52">
        <v>185.74</v>
      </c>
      <c r="AS78" s="52">
        <v>192.61</v>
      </c>
      <c r="AT78" s="52">
        <v>201.51</v>
      </c>
      <c r="AU78" s="52">
        <v>182.44</v>
      </c>
      <c r="AV78" s="52">
        <v>215.85</v>
      </c>
      <c r="AW78" s="52">
        <v>205.29</v>
      </c>
      <c r="AX78" s="52">
        <v>198.75</v>
      </c>
      <c r="AY78" s="52">
        <v>156.55000000000001</v>
      </c>
      <c r="AZ78" s="52">
        <v>236.23</v>
      </c>
      <c r="BA78" s="52">
        <v>221.33</v>
      </c>
      <c r="BB78" s="52">
        <v>146.44</v>
      </c>
      <c r="BC78" s="52">
        <v>330.5</v>
      </c>
      <c r="BD78" s="52">
        <v>214.67</v>
      </c>
      <c r="BE78" s="52">
        <v>179.72</v>
      </c>
      <c r="BF78" s="52">
        <v>238.22</v>
      </c>
      <c r="BG78" s="52">
        <v>228.2</v>
      </c>
      <c r="BH78" s="52">
        <v>190.66</v>
      </c>
      <c r="BI78" s="52">
        <v>217.58</v>
      </c>
      <c r="BJ78" s="52">
        <v>169.81</v>
      </c>
      <c r="BK78" s="52">
        <v>176.87</v>
      </c>
      <c r="BL78" s="52">
        <v>162.47</v>
      </c>
      <c r="BM78" s="52">
        <v>155.54</v>
      </c>
      <c r="BN78" s="52">
        <v>236.22</v>
      </c>
      <c r="BO78" s="52">
        <v>156.9</v>
      </c>
      <c r="BP78" s="52">
        <v>180.86</v>
      </c>
      <c r="BQ78" s="52">
        <v>198.3</v>
      </c>
      <c r="BR78" s="52">
        <v>150.59</v>
      </c>
      <c r="BS78" s="52">
        <v>278.18</v>
      </c>
      <c r="BT78" s="52">
        <v>209.09</v>
      </c>
      <c r="BU78" s="52">
        <v>261.12</v>
      </c>
      <c r="BV78" s="52">
        <v>291.52</v>
      </c>
      <c r="BW78" s="52">
        <v>114.92</v>
      </c>
      <c r="BX78" s="52">
        <v>133.19</v>
      </c>
      <c r="BY78" s="52">
        <v>191.79</v>
      </c>
      <c r="BZ78" s="52">
        <v>135.06</v>
      </c>
      <c r="CA78" s="52">
        <v>203.47</v>
      </c>
      <c r="CB78" s="53">
        <v>269.31</v>
      </c>
      <c r="CC78" s="52">
        <v>156.24</v>
      </c>
      <c r="CD78" s="52">
        <v>191.92</v>
      </c>
      <c r="CE78" s="52">
        <v>171.62</v>
      </c>
      <c r="CF78" s="52">
        <v>234.87</v>
      </c>
      <c r="CG78" s="52">
        <v>209.11</v>
      </c>
      <c r="CH78" s="52">
        <v>161.82</v>
      </c>
      <c r="CI78" s="52">
        <v>142.31</v>
      </c>
      <c r="CJ78" s="52">
        <v>146.16</v>
      </c>
      <c r="CK78" s="52">
        <v>114.57</v>
      </c>
      <c r="CL78" s="52">
        <v>113.88</v>
      </c>
      <c r="CM78" s="52">
        <v>243.45</v>
      </c>
      <c r="CN78" s="52">
        <v>163.44999999999999</v>
      </c>
      <c r="CO78" s="52">
        <v>173.87</v>
      </c>
      <c r="CP78" s="52">
        <v>113.59</v>
      </c>
      <c r="CQ78" s="52">
        <v>258.62</v>
      </c>
      <c r="CR78" s="52">
        <v>92.04</v>
      </c>
      <c r="CS78" s="52">
        <v>141.79</v>
      </c>
      <c r="CT78" s="52">
        <v>107.73</v>
      </c>
      <c r="CU78" s="52">
        <v>197.72</v>
      </c>
      <c r="CV78" s="52">
        <v>146.81</v>
      </c>
      <c r="CW78" s="52">
        <v>95.41</v>
      </c>
      <c r="CX78" s="52">
        <v>174.39</v>
      </c>
      <c r="CY78" s="52">
        <v>114.65</v>
      </c>
      <c r="CZ78" s="52">
        <v>102.3</v>
      </c>
      <c r="DA78" s="52">
        <v>128.99</v>
      </c>
      <c r="DB78" s="52">
        <v>167.32</v>
      </c>
      <c r="DC78" s="52">
        <v>215.83</v>
      </c>
      <c r="DD78" s="52">
        <v>218.25</v>
      </c>
      <c r="DE78" s="52">
        <v>163.41999999999999</v>
      </c>
      <c r="DF78" s="52">
        <v>199.29</v>
      </c>
      <c r="DG78" s="52">
        <v>215.3</v>
      </c>
      <c r="DH78" s="52">
        <v>130.62</v>
      </c>
      <c r="DI78" s="52">
        <v>166.06</v>
      </c>
      <c r="DJ78" s="52">
        <v>233.81</v>
      </c>
      <c r="DK78" s="52">
        <v>218.24</v>
      </c>
      <c r="DL78" s="52">
        <v>46.61</v>
      </c>
      <c r="DM78" s="52">
        <v>122.81</v>
      </c>
      <c r="DN78" s="52">
        <v>55</v>
      </c>
      <c r="DO78" s="52">
        <v>89.18</v>
      </c>
      <c r="DP78" s="52">
        <v>139.75</v>
      </c>
      <c r="DQ78" s="52">
        <v>144.88999999999999</v>
      </c>
      <c r="DR78" s="52">
        <v>202.55</v>
      </c>
      <c r="DS78" s="52">
        <v>144.34</v>
      </c>
      <c r="DT78" s="52"/>
      <c r="DU78" s="52">
        <v>183.52</v>
      </c>
      <c r="DV78" s="52">
        <v>232.45</v>
      </c>
      <c r="DW78" s="52">
        <v>159.13</v>
      </c>
      <c r="DX78" s="52">
        <v>187.61</v>
      </c>
      <c r="DY78" s="52">
        <v>251.21</v>
      </c>
      <c r="DZ78" s="52">
        <v>194.02</v>
      </c>
      <c r="EA78" s="52">
        <v>154.47</v>
      </c>
      <c r="EB78" s="52">
        <v>182.44</v>
      </c>
      <c r="EC78" s="52">
        <v>215.85</v>
      </c>
      <c r="ED78" s="52">
        <v>205.29</v>
      </c>
      <c r="EE78" s="52">
        <v>198.75</v>
      </c>
      <c r="EF78" s="52">
        <v>156.55000000000001</v>
      </c>
      <c r="EG78" s="52">
        <v>236.23</v>
      </c>
      <c r="EH78" s="52">
        <v>221.33</v>
      </c>
      <c r="EI78" s="52">
        <v>217.96</v>
      </c>
      <c r="EJ78" s="52">
        <v>106.39</v>
      </c>
      <c r="EK78" s="52">
        <v>127</v>
      </c>
      <c r="EL78" s="52">
        <v>386.21</v>
      </c>
      <c r="EM78" s="52">
        <v>190.46</v>
      </c>
      <c r="EN78" s="52">
        <v>214.67</v>
      </c>
      <c r="EO78" s="52">
        <v>228.48</v>
      </c>
      <c r="EP78" s="52">
        <v>142.58000000000001</v>
      </c>
      <c r="EQ78" s="52">
        <v>169.8</v>
      </c>
      <c r="ER78" s="52">
        <v>238.22</v>
      </c>
      <c r="ES78" s="52">
        <v>228.2</v>
      </c>
      <c r="ET78" s="52">
        <v>220.21</v>
      </c>
      <c r="EU78" s="52">
        <v>174.64</v>
      </c>
      <c r="EV78" s="52">
        <v>193.11</v>
      </c>
      <c r="EW78" s="52">
        <v>184.69</v>
      </c>
      <c r="EX78" s="52">
        <v>185.31</v>
      </c>
      <c r="EY78" s="52">
        <v>127.77</v>
      </c>
      <c r="EZ78" s="52">
        <v>220.93</v>
      </c>
      <c r="FA78" s="52">
        <v>275.8</v>
      </c>
      <c r="FB78" s="52">
        <v>170.35</v>
      </c>
      <c r="FC78" s="52">
        <v>296.92</v>
      </c>
      <c r="FD78" s="52">
        <v>185.52</v>
      </c>
      <c r="FE78" s="52">
        <v>169.81</v>
      </c>
      <c r="FF78" s="52"/>
      <c r="FG78" s="52">
        <v>149.29</v>
      </c>
      <c r="FH78" s="52">
        <v>163.72</v>
      </c>
      <c r="FI78" s="52">
        <v>198.24</v>
      </c>
      <c r="FJ78" s="52">
        <v>177.87</v>
      </c>
      <c r="FK78" s="52">
        <v>219.71</v>
      </c>
      <c r="FL78" s="52">
        <v>152.71</v>
      </c>
      <c r="FM78" s="52">
        <v>158.57</v>
      </c>
      <c r="FN78" s="52">
        <v>141.81</v>
      </c>
      <c r="FO78" s="52">
        <v>228.55</v>
      </c>
      <c r="FP78" s="52">
        <v>233.11</v>
      </c>
      <c r="FQ78" s="52">
        <v>243.84</v>
      </c>
      <c r="FR78" s="52">
        <v>241.3</v>
      </c>
      <c r="FS78" s="52">
        <v>219.44</v>
      </c>
      <c r="FT78" s="52">
        <v>141.01</v>
      </c>
      <c r="FU78" s="52">
        <v>207.7</v>
      </c>
      <c r="FV78" s="52">
        <v>172.85</v>
      </c>
      <c r="FW78" s="52">
        <v>113.49</v>
      </c>
      <c r="FX78" s="52">
        <v>180.86</v>
      </c>
      <c r="FY78" s="52">
        <v>184.23</v>
      </c>
      <c r="FZ78" s="52">
        <v>201.24</v>
      </c>
      <c r="GA78" s="52">
        <v>148.97999999999999</v>
      </c>
      <c r="GB78" s="52">
        <v>157.75</v>
      </c>
      <c r="GC78" s="52">
        <v>150.24</v>
      </c>
      <c r="GD78" s="52">
        <v>135.5</v>
      </c>
      <c r="GE78" s="52">
        <v>278.18</v>
      </c>
      <c r="GF78" s="52">
        <v>209.09</v>
      </c>
      <c r="GG78" s="52">
        <v>261.12</v>
      </c>
      <c r="GH78" s="52">
        <v>291.02999999999997</v>
      </c>
      <c r="GI78" s="52">
        <v>120.28</v>
      </c>
      <c r="GJ78" s="52">
        <v>111.35</v>
      </c>
      <c r="GK78" s="52">
        <v>108.99</v>
      </c>
      <c r="GL78" s="52">
        <v>145.97</v>
      </c>
      <c r="GM78" s="52">
        <v>133.19</v>
      </c>
      <c r="GN78" s="52">
        <v>191.79</v>
      </c>
      <c r="GO78" s="52">
        <v>132.68</v>
      </c>
      <c r="GP78" s="52">
        <v>136.04</v>
      </c>
      <c r="GQ78" s="52">
        <v>138.63999999999999</v>
      </c>
      <c r="GR78" s="52">
        <v>203.47</v>
      </c>
      <c r="GS78" s="52">
        <v>269.31</v>
      </c>
      <c r="GT78" s="52">
        <v>156.24</v>
      </c>
      <c r="GU78" s="52">
        <v>191.92</v>
      </c>
      <c r="GV78" s="52">
        <v>171.62</v>
      </c>
      <c r="GW78" s="52">
        <v>194.65</v>
      </c>
      <c r="GX78" s="52">
        <v>262.73</v>
      </c>
      <c r="GY78" s="52">
        <v>209.11</v>
      </c>
      <c r="GZ78" s="52">
        <v>189.16</v>
      </c>
      <c r="HA78" s="52">
        <v>162.9</v>
      </c>
      <c r="HB78" s="52">
        <v>158.93</v>
      </c>
      <c r="HC78" s="52">
        <v>142.31</v>
      </c>
      <c r="HD78" s="52">
        <v>146.16</v>
      </c>
      <c r="HE78" s="52">
        <v>101.3</v>
      </c>
      <c r="HF78" s="52">
        <v>112.01</v>
      </c>
      <c r="HG78" s="52">
        <v>126.17</v>
      </c>
      <c r="HH78" s="52">
        <v>142.54</v>
      </c>
      <c r="HI78" s="52">
        <v>74.7</v>
      </c>
      <c r="HJ78" s="52">
        <v>113.88</v>
      </c>
      <c r="HK78" s="52">
        <v>243.45</v>
      </c>
      <c r="HL78" s="52">
        <v>144.99</v>
      </c>
      <c r="HM78" s="52">
        <v>182.46</v>
      </c>
      <c r="HN78" s="52">
        <v>176.25</v>
      </c>
      <c r="HO78" s="52">
        <v>148.05000000000001</v>
      </c>
      <c r="HP78" s="52">
        <v>199.5</v>
      </c>
      <c r="HQ78" s="52">
        <v>108.51</v>
      </c>
      <c r="HR78" s="52">
        <v>155.52000000000001</v>
      </c>
      <c r="HS78" s="52">
        <v>261.08999999999997</v>
      </c>
      <c r="HT78" s="52">
        <v>187.15</v>
      </c>
      <c r="HU78" s="52">
        <v>92.04</v>
      </c>
      <c r="HV78" s="52">
        <v>141.79</v>
      </c>
      <c r="HW78" s="52">
        <v>110.99</v>
      </c>
      <c r="HX78" s="52">
        <v>95.41</v>
      </c>
      <c r="HY78" s="52">
        <v>197.72</v>
      </c>
      <c r="HZ78" s="52">
        <v>146.81</v>
      </c>
      <c r="IA78" s="52">
        <v>87.15</v>
      </c>
      <c r="IB78" s="52">
        <v>174.39</v>
      </c>
      <c r="IC78" s="52">
        <v>103.47</v>
      </c>
      <c r="ID78" s="52">
        <v>116.63</v>
      </c>
      <c r="IE78" s="52">
        <v>102.3</v>
      </c>
      <c r="IF78" s="52">
        <v>128.99</v>
      </c>
      <c r="IG78" s="52">
        <v>167.32</v>
      </c>
      <c r="IH78" s="52">
        <v>215.83</v>
      </c>
      <c r="II78" s="52">
        <v>218.25</v>
      </c>
      <c r="IJ78" s="52">
        <v>163.41999999999999</v>
      </c>
      <c r="IK78" s="52">
        <v>215.94</v>
      </c>
      <c r="IL78" s="52">
        <v>165.95</v>
      </c>
      <c r="IM78" s="52">
        <v>229.6</v>
      </c>
      <c r="IN78" s="52">
        <v>220.66</v>
      </c>
      <c r="IO78" s="52">
        <v>164.94</v>
      </c>
      <c r="IP78" s="52">
        <v>130.62</v>
      </c>
      <c r="IQ78" s="52">
        <v>166.06</v>
      </c>
      <c r="IR78" s="52">
        <v>233.81</v>
      </c>
      <c r="IS78" s="52">
        <v>218.24</v>
      </c>
      <c r="IT78" s="52">
        <v>46.61</v>
      </c>
      <c r="IU78" s="52">
        <v>122.81</v>
      </c>
      <c r="IV78" s="52">
        <v>55.76</v>
      </c>
      <c r="IW78" s="52">
        <v>89.18</v>
      </c>
      <c r="IX78" s="52">
        <v>139.75</v>
      </c>
      <c r="IY78" s="52">
        <v>144.88999999999999</v>
      </c>
      <c r="IZ78" s="52">
        <v>202.55</v>
      </c>
      <c r="JA78" s="52">
        <v>144.34</v>
      </c>
      <c r="JB78" s="52"/>
      <c r="JC78" s="52">
        <v>183.52</v>
      </c>
      <c r="JD78" s="52">
        <v>232.45</v>
      </c>
      <c r="JE78" s="52">
        <v>162.69999999999999</v>
      </c>
      <c r="JF78" s="52">
        <v>157.34</v>
      </c>
      <c r="JG78" s="52">
        <v>187.61</v>
      </c>
      <c r="JH78" s="52">
        <v>251.21</v>
      </c>
      <c r="JI78" s="52">
        <v>194.02</v>
      </c>
      <c r="JJ78" s="52">
        <v>154.47</v>
      </c>
      <c r="JK78" s="52">
        <v>182.44</v>
      </c>
      <c r="JL78" s="52">
        <v>215.85</v>
      </c>
      <c r="JM78" s="52">
        <v>205.29</v>
      </c>
      <c r="JN78" s="52">
        <v>198.75</v>
      </c>
      <c r="JO78" s="52">
        <v>156.55000000000001</v>
      </c>
      <c r="JP78" s="52">
        <v>248.42</v>
      </c>
      <c r="JQ78" s="52">
        <v>207.35</v>
      </c>
      <c r="JR78" s="52">
        <v>196.55</v>
      </c>
      <c r="JS78" s="52">
        <v>262.02</v>
      </c>
      <c r="JT78" s="52">
        <v>240.69</v>
      </c>
      <c r="JU78" s="52">
        <v>195.84</v>
      </c>
      <c r="JV78" s="52">
        <v>106.39</v>
      </c>
      <c r="JW78" s="52">
        <v>127</v>
      </c>
      <c r="JX78" s="52">
        <v>386.21</v>
      </c>
      <c r="JY78" s="52">
        <v>193.62</v>
      </c>
      <c r="JZ78" s="52">
        <v>182.95</v>
      </c>
      <c r="KA78" s="52">
        <v>214.67</v>
      </c>
      <c r="KB78" s="52">
        <v>228.48</v>
      </c>
      <c r="KC78" s="52">
        <v>142.58000000000001</v>
      </c>
      <c r="KD78" s="52">
        <v>169.8</v>
      </c>
      <c r="KE78" s="52">
        <v>238.22</v>
      </c>
      <c r="KF78" s="52">
        <v>228.2</v>
      </c>
    </row>
    <row r="79" spans="1:292" s="41" customFormat="1" ht="12">
      <c r="A79" s="41">
        <v>2011</v>
      </c>
      <c r="B79" s="54" t="s">
        <v>979</v>
      </c>
      <c r="C79" s="55" t="s">
        <v>980</v>
      </c>
      <c r="D79" s="52">
        <v>183.93</v>
      </c>
      <c r="E79" s="52">
        <v>197.1</v>
      </c>
      <c r="F79" s="52">
        <v>290.33</v>
      </c>
      <c r="G79" s="52">
        <v>115.28</v>
      </c>
      <c r="H79" s="52">
        <v>214.32</v>
      </c>
      <c r="I79" s="52">
        <v>147.41999999999999</v>
      </c>
      <c r="J79" s="52">
        <v>128.34</v>
      </c>
      <c r="K79" s="52">
        <v>179.78</v>
      </c>
      <c r="L79" s="52">
        <v>113.3</v>
      </c>
      <c r="M79" s="52">
        <v>143.62</v>
      </c>
      <c r="N79" s="52">
        <v>189.85</v>
      </c>
      <c r="O79" s="52">
        <v>240.51</v>
      </c>
      <c r="P79" s="52">
        <v>202.75</v>
      </c>
      <c r="Q79" s="52">
        <v>198.74</v>
      </c>
      <c r="R79" s="52">
        <v>173.64</v>
      </c>
      <c r="S79" s="52">
        <v>269.86</v>
      </c>
      <c r="T79" s="52">
        <v>291.52</v>
      </c>
      <c r="U79" s="52">
        <v>111.05</v>
      </c>
      <c r="V79" s="52">
        <v>128.06</v>
      </c>
      <c r="W79" s="52">
        <v>270.23</v>
      </c>
      <c r="X79" s="52">
        <v>157.05000000000001</v>
      </c>
      <c r="Y79" s="52">
        <v>188.78</v>
      </c>
      <c r="Z79" s="52">
        <v>208.45</v>
      </c>
      <c r="AA79" s="52">
        <v>158.43</v>
      </c>
      <c r="AB79" s="52">
        <v>147.97</v>
      </c>
      <c r="AC79" s="52">
        <v>125.68</v>
      </c>
      <c r="AD79" s="52">
        <v>163.82</v>
      </c>
      <c r="AE79" s="52">
        <v>174.68</v>
      </c>
      <c r="AF79" s="52">
        <v>141.78</v>
      </c>
      <c r="AG79" s="52">
        <v>94.85</v>
      </c>
      <c r="AH79" s="52">
        <v>156.36000000000001</v>
      </c>
      <c r="AI79" s="52">
        <v>174.65</v>
      </c>
      <c r="AJ79" s="52">
        <v>118.84</v>
      </c>
      <c r="AK79" s="52">
        <v>213.68</v>
      </c>
      <c r="AL79" s="52">
        <v>213.16</v>
      </c>
      <c r="AM79" s="52">
        <v>193.22</v>
      </c>
      <c r="AN79" s="52">
        <v>46.79</v>
      </c>
      <c r="AO79" s="52">
        <v>123.38</v>
      </c>
      <c r="AP79" s="52">
        <v>70.89</v>
      </c>
      <c r="AQ79" s="52">
        <v>145.13</v>
      </c>
      <c r="AR79" s="52">
        <v>186.24</v>
      </c>
      <c r="AS79" s="52">
        <v>190.11</v>
      </c>
      <c r="AT79" s="52">
        <v>204.38</v>
      </c>
      <c r="AU79" s="52">
        <v>183.36</v>
      </c>
      <c r="AV79" s="52">
        <v>215.85</v>
      </c>
      <c r="AW79" s="52">
        <v>205.46</v>
      </c>
      <c r="AX79" s="52">
        <v>198.75</v>
      </c>
      <c r="AY79" s="52">
        <v>156.82</v>
      </c>
      <c r="AZ79" s="52">
        <v>237.3</v>
      </c>
      <c r="BA79" s="52">
        <v>222.21</v>
      </c>
      <c r="BB79" s="52">
        <v>148.13999999999999</v>
      </c>
      <c r="BC79" s="52">
        <v>332.54</v>
      </c>
      <c r="BD79" s="52">
        <v>215.15</v>
      </c>
      <c r="BE79" s="52">
        <v>180.2</v>
      </c>
      <c r="BF79" s="52">
        <v>238.22</v>
      </c>
      <c r="BG79" s="52">
        <v>228.22</v>
      </c>
      <c r="BH79" s="52">
        <v>193.26</v>
      </c>
      <c r="BI79" s="52">
        <v>215.68</v>
      </c>
      <c r="BJ79" s="52">
        <v>176.7</v>
      </c>
      <c r="BK79" s="52">
        <v>176.56</v>
      </c>
      <c r="BL79" s="52">
        <v>168.48</v>
      </c>
      <c r="BM79" s="52">
        <v>160.72</v>
      </c>
      <c r="BN79" s="52">
        <v>258.17</v>
      </c>
      <c r="BO79" s="52">
        <v>157.78</v>
      </c>
      <c r="BP79" s="52">
        <v>182.43</v>
      </c>
      <c r="BQ79" s="52">
        <v>199.08</v>
      </c>
      <c r="BR79" s="52">
        <v>152.19999999999999</v>
      </c>
      <c r="BS79" s="52">
        <v>278.36</v>
      </c>
      <c r="BT79" s="52">
        <v>215.1</v>
      </c>
      <c r="BU79" s="52">
        <v>261.31</v>
      </c>
      <c r="BV79" s="52">
        <v>291.52</v>
      </c>
      <c r="BW79" s="52">
        <v>108.6</v>
      </c>
      <c r="BX79" s="52">
        <v>132.01</v>
      </c>
      <c r="BY79" s="52">
        <v>192.48</v>
      </c>
      <c r="BZ79" s="52">
        <v>127.62</v>
      </c>
      <c r="CA79" s="52">
        <v>204.77</v>
      </c>
      <c r="CB79" s="53">
        <v>270.23</v>
      </c>
      <c r="CC79" s="52">
        <v>157.05000000000001</v>
      </c>
      <c r="CD79" s="52">
        <v>188.07</v>
      </c>
      <c r="CE79" s="52">
        <v>171.62</v>
      </c>
      <c r="CF79" s="52">
        <v>234.63</v>
      </c>
      <c r="CG79" s="52">
        <v>209.75</v>
      </c>
      <c r="CH79" s="52">
        <v>162.68</v>
      </c>
      <c r="CI79" s="52">
        <v>144.24</v>
      </c>
      <c r="CJ79" s="52">
        <v>147.97</v>
      </c>
      <c r="CK79" s="52">
        <v>116.98</v>
      </c>
      <c r="CL79" s="52">
        <v>114.15</v>
      </c>
      <c r="CM79" s="52">
        <v>244.23</v>
      </c>
      <c r="CN79" s="52">
        <v>163.82</v>
      </c>
      <c r="CO79" s="52">
        <v>174.68</v>
      </c>
      <c r="CP79" s="52">
        <v>113.9</v>
      </c>
      <c r="CQ79" s="52">
        <v>260.41000000000003</v>
      </c>
      <c r="CR79" s="52">
        <v>92.04</v>
      </c>
      <c r="CS79" s="52">
        <v>142.01</v>
      </c>
      <c r="CT79" s="52">
        <v>107.76</v>
      </c>
      <c r="CU79" s="52">
        <v>198.26</v>
      </c>
      <c r="CV79" s="52">
        <v>146.80000000000001</v>
      </c>
      <c r="CW79" s="52">
        <v>95.52</v>
      </c>
      <c r="CX79" s="52">
        <v>174.65</v>
      </c>
      <c r="CY79" s="52">
        <v>118.99</v>
      </c>
      <c r="CZ79" s="52">
        <v>102.75</v>
      </c>
      <c r="DA79" s="52">
        <v>129.37</v>
      </c>
      <c r="DB79" s="52">
        <v>169.09</v>
      </c>
      <c r="DC79" s="52">
        <v>217.32</v>
      </c>
      <c r="DD79" s="52">
        <v>220.55</v>
      </c>
      <c r="DE79" s="52">
        <v>163.92</v>
      </c>
      <c r="DF79" s="52">
        <v>202.14</v>
      </c>
      <c r="DG79" s="52">
        <v>216.69</v>
      </c>
      <c r="DH79" s="52">
        <v>131.35</v>
      </c>
      <c r="DI79" s="52">
        <v>166.27</v>
      </c>
      <c r="DJ79" s="52">
        <v>235.21</v>
      </c>
      <c r="DK79" s="52">
        <v>193.22</v>
      </c>
      <c r="DL79" s="52">
        <v>46.79</v>
      </c>
      <c r="DM79" s="52">
        <v>123.38</v>
      </c>
      <c r="DN79" s="52">
        <v>54.07</v>
      </c>
      <c r="DO79" s="52">
        <v>87.73</v>
      </c>
      <c r="DP79" s="52">
        <v>139.79</v>
      </c>
      <c r="DQ79" s="52">
        <v>145.13</v>
      </c>
      <c r="DR79" s="52">
        <v>203.56</v>
      </c>
      <c r="DS79" s="52">
        <v>144.01</v>
      </c>
      <c r="DT79" s="52"/>
      <c r="DU79" s="52">
        <v>184.34</v>
      </c>
      <c r="DV79" s="52">
        <v>225.89</v>
      </c>
      <c r="DW79" s="52">
        <v>159.51</v>
      </c>
      <c r="DX79" s="52">
        <v>187.61</v>
      </c>
      <c r="DY79" s="52">
        <v>259.7</v>
      </c>
      <c r="DZ79" s="52">
        <v>194.02</v>
      </c>
      <c r="EA79" s="52">
        <v>154.63</v>
      </c>
      <c r="EB79" s="52">
        <v>183.36</v>
      </c>
      <c r="EC79" s="52">
        <v>215.85</v>
      </c>
      <c r="ED79" s="52">
        <v>205.46</v>
      </c>
      <c r="EE79" s="52">
        <v>198.75</v>
      </c>
      <c r="EF79" s="52">
        <v>156.82</v>
      </c>
      <c r="EG79" s="52">
        <v>237.3</v>
      </c>
      <c r="EH79" s="52">
        <v>222.21</v>
      </c>
      <c r="EI79" s="52">
        <v>219.58</v>
      </c>
      <c r="EJ79" s="52">
        <v>105.07</v>
      </c>
      <c r="EK79" s="52">
        <v>128.81</v>
      </c>
      <c r="EL79" s="52">
        <v>390.67</v>
      </c>
      <c r="EM79" s="52">
        <v>189.01</v>
      </c>
      <c r="EN79" s="52">
        <v>215.15</v>
      </c>
      <c r="EO79" s="52">
        <v>228.69</v>
      </c>
      <c r="EP79" s="52">
        <v>142.58000000000001</v>
      </c>
      <c r="EQ79" s="52">
        <v>170.49</v>
      </c>
      <c r="ER79" s="52">
        <v>238.22</v>
      </c>
      <c r="ES79" s="52">
        <v>228.22</v>
      </c>
      <c r="ET79" s="52">
        <v>221.8</v>
      </c>
      <c r="EU79" s="52">
        <v>180.7</v>
      </c>
      <c r="EV79" s="52">
        <v>195.18</v>
      </c>
      <c r="EW79" s="52">
        <v>185.94</v>
      </c>
      <c r="EX79" s="52">
        <v>189.04</v>
      </c>
      <c r="EY79" s="52">
        <v>130.41</v>
      </c>
      <c r="EZ79" s="52">
        <v>216.68</v>
      </c>
      <c r="FA79" s="52">
        <v>266.83</v>
      </c>
      <c r="FB79" s="52">
        <v>178.63</v>
      </c>
      <c r="FC79" s="52">
        <v>301.08999999999997</v>
      </c>
      <c r="FD79" s="52">
        <v>182.92</v>
      </c>
      <c r="FE79" s="52">
        <v>176.7</v>
      </c>
      <c r="FF79" s="52"/>
      <c r="FG79" s="52">
        <v>149.25</v>
      </c>
      <c r="FH79" s="52">
        <v>161.52000000000001</v>
      </c>
      <c r="FI79" s="52">
        <v>197.1</v>
      </c>
      <c r="FJ79" s="52">
        <v>182.16</v>
      </c>
      <c r="FK79" s="52">
        <v>219.27</v>
      </c>
      <c r="FL79" s="52">
        <v>160.96</v>
      </c>
      <c r="FM79" s="52">
        <v>164.96</v>
      </c>
      <c r="FN79" s="52">
        <v>147.15</v>
      </c>
      <c r="FO79" s="52">
        <v>232.77</v>
      </c>
      <c r="FP79" s="52">
        <v>261.76</v>
      </c>
      <c r="FQ79" s="52">
        <v>264.2</v>
      </c>
      <c r="FR79" s="52">
        <v>248.4</v>
      </c>
      <c r="FS79" s="52">
        <v>221.24</v>
      </c>
      <c r="FT79" s="52">
        <v>140.81</v>
      </c>
      <c r="FU79" s="52">
        <v>211.76</v>
      </c>
      <c r="FV79" s="52">
        <v>173.74</v>
      </c>
      <c r="FW79" s="52">
        <v>114.24</v>
      </c>
      <c r="FX79" s="52">
        <v>182.43</v>
      </c>
      <c r="FY79" s="52">
        <v>188.25</v>
      </c>
      <c r="FZ79" s="52">
        <v>201.53</v>
      </c>
      <c r="GA79" s="52">
        <v>150.1</v>
      </c>
      <c r="GB79" s="52">
        <v>158.38</v>
      </c>
      <c r="GC79" s="52">
        <v>153.32</v>
      </c>
      <c r="GD79" s="52">
        <v>135.49</v>
      </c>
      <c r="GE79" s="52">
        <v>278.36</v>
      </c>
      <c r="GF79" s="52">
        <v>215.1</v>
      </c>
      <c r="GG79" s="52">
        <v>261.31</v>
      </c>
      <c r="GH79" s="52">
        <v>291.02999999999997</v>
      </c>
      <c r="GI79" s="52">
        <v>114.09</v>
      </c>
      <c r="GJ79" s="52">
        <v>104.38</v>
      </c>
      <c r="GK79" s="52">
        <v>103.63</v>
      </c>
      <c r="GL79" s="52">
        <v>144.97999999999999</v>
      </c>
      <c r="GM79" s="52">
        <v>132.01</v>
      </c>
      <c r="GN79" s="52">
        <v>192.48</v>
      </c>
      <c r="GO79" s="52">
        <v>126.17</v>
      </c>
      <c r="GP79" s="52">
        <v>126.93</v>
      </c>
      <c r="GQ79" s="52">
        <v>132.21</v>
      </c>
      <c r="GR79" s="52">
        <v>204.77</v>
      </c>
      <c r="GS79" s="52">
        <v>270.23</v>
      </c>
      <c r="GT79" s="52">
        <v>157.05000000000001</v>
      </c>
      <c r="GU79" s="52">
        <v>188.07</v>
      </c>
      <c r="GV79" s="52">
        <v>171.62</v>
      </c>
      <c r="GW79" s="52">
        <v>195.16</v>
      </c>
      <c r="GX79" s="52">
        <v>261.8</v>
      </c>
      <c r="GY79" s="52">
        <v>209.75</v>
      </c>
      <c r="GZ79" s="52">
        <v>190.29</v>
      </c>
      <c r="HA79" s="52">
        <v>164.91</v>
      </c>
      <c r="HB79" s="52">
        <v>159.1</v>
      </c>
      <c r="HC79" s="52">
        <v>144.24</v>
      </c>
      <c r="HD79" s="52">
        <v>147.97</v>
      </c>
      <c r="HE79" s="52">
        <v>104.69</v>
      </c>
      <c r="HF79" s="52">
        <v>115.35</v>
      </c>
      <c r="HG79" s="52">
        <v>126.64</v>
      </c>
      <c r="HH79" s="52">
        <v>143.31</v>
      </c>
      <c r="HI79" s="52">
        <v>75.25</v>
      </c>
      <c r="HJ79" s="52">
        <v>114.15</v>
      </c>
      <c r="HK79" s="52">
        <v>244.23</v>
      </c>
      <c r="HL79" s="52">
        <v>145.02000000000001</v>
      </c>
      <c r="HM79" s="52">
        <v>182.62</v>
      </c>
      <c r="HN79" s="52">
        <v>177.03</v>
      </c>
      <c r="HO79" s="52">
        <v>149.16999999999999</v>
      </c>
      <c r="HP79" s="52">
        <v>199.78</v>
      </c>
      <c r="HQ79" s="52">
        <v>108.61</v>
      </c>
      <c r="HR79" s="52">
        <v>157.35</v>
      </c>
      <c r="HS79" s="52">
        <v>262.94</v>
      </c>
      <c r="HT79" s="52">
        <v>187.96</v>
      </c>
      <c r="HU79" s="52">
        <v>92.04</v>
      </c>
      <c r="HV79" s="52">
        <v>142.01</v>
      </c>
      <c r="HW79" s="52">
        <v>111.01</v>
      </c>
      <c r="HX79" s="52">
        <v>95.48</v>
      </c>
      <c r="HY79" s="52">
        <v>198.26</v>
      </c>
      <c r="HZ79" s="52">
        <v>146.80000000000001</v>
      </c>
      <c r="IA79" s="52">
        <v>87.25</v>
      </c>
      <c r="IB79" s="52">
        <v>174.65</v>
      </c>
      <c r="IC79" s="52">
        <v>106.88</v>
      </c>
      <c r="ID79" s="52">
        <v>121.63</v>
      </c>
      <c r="IE79" s="52">
        <v>102.75</v>
      </c>
      <c r="IF79" s="52">
        <v>129.37</v>
      </c>
      <c r="IG79" s="52">
        <v>169.09</v>
      </c>
      <c r="IH79" s="52">
        <v>217.32</v>
      </c>
      <c r="II79" s="52">
        <v>220.55</v>
      </c>
      <c r="IJ79" s="52">
        <v>163.92</v>
      </c>
      <c r="IK79" s="52">
        <v>217</v>
      </c>
      <c r="IL79" s="52">
        <v>170.67</v>
      </c>
      <c r="IM79" s="52">
        <v>230.88</v>
      </c>
      <c r="IN79" s="52">
        <v>223.67</v>
      </c>
      <c r="IO79" s="52">
        <v>166.02</v>
      </c>
      <c r="IP79" s="52">
        <v>131.35</v>
      </c>
      <c r="IQ79" s="52">
        <v>166.27</v>
      </c>
      <c r="IR79" s="52">
        <v>235.21</v>
      </c>
      <c r="IS79" s="52">
        <v>193.22</v>
      </c>
      <c r="IT79" s="52">
        <v>46.79</v>
      </c>
      <c r="IU79" s="52">
        <v>123.38</v>
      </c>
      <c r="IV79" s="52">
        <v>54.77</v>
      </c>
      <c r="IW79" s="52">
        <v>87.73</v>
      </c>
      <c r="IX79" s="52">
        <v>139.79</v>
      </c>
      <c r="IY79" s="52">
        <v>145.13</v>
      </c>
      <c r="IZ79" s="52">
        <v>203.56</v>
      </c>
      <c r="JA79" s="52">
        <v>144.01</v>
      </c>
      <c r="JB79" s="52"/>
      <c r="JC79" s="52">
        <v>184.34</v>
      </c>
      <c r="JD79" s="52">
        <v>225.89</v>
      </c>
      <c r="JE79" s="52">
        <v>163.46</v>
      </c>
      <c r="JF79" s="52">
        <v>157.62</v>
      </c>
      <c r="JG79" s="52">
        <v>187.61</v>
      </c>
      <c r="JH79" s="52">
        <v>259.7</v>
      </c>
      <c r="JI79" s="52">
        <v>194.02</v>
      </c>
      <c r="JJ79" s="52">
        <v>154.63</v>
      </c>
      <c r="JK79" s="52">
        <v>183.36</v>
      </c>
      <c r="JL79" s="52">
        <v>215.85</v>
      </c>
      <c r="JM79" s="52">
        <v>205.46</v>
      </c>
      <c r="JN79" s="52">
        <v>198.75</v>
      </c>
      <c r="JO79" s="52">
        <v>156.82</v>
      </c>
      <c r="JP79" s="52">
        <v>249.64</v>
      </c>
      <c r="JQ79" s="52">
        <v>208.03</v>
      </c>
      <c r="JR79" s="52">
        <v>197.91</v>
      </c>
      <c r="JS79" s="52">
        <v>261.86</v>
      </c>
      <c r="JT79" s="52">
        <v>242.57</v>
      </c>
      <c r="JU79" s="52">
        <v>197.22</v>
      </c>
      <c r="JV79" s="52">
        <v>105.07</v>
      </c>
      <c r="JW79" s="52">
        <v>128.81</v>
      </c>
      <c r="JX79" s="52">
        <v>390.67</v>
      </c>
      <c r="JY79" s="52">
        <v>191.7</v>
      </c>
      <c r="JZ79" s="52">
        <v>182.34</v>
      </c>
      <c r="KA79" s="52">
        <v>215.15</v>
      </c>
      <c r="KB79" s="52">
        <v>228.69</v>
      </c>
      <c r="KC79" s="52">
        <v>142.58000000000001</v>
      </c>
      <c r="KD79" s="52">
        <v>170.49</v>
      </c>
      <c r="KE79" s="52">
        <v>238.22</v>
      </c>
      <c r="KF79" s="52">
        <v>228.22</v>
      </c>
    </row>
    <row r="80" spans="1:292" s="41" customFormat="1" ht="12">
      <c r="A80" s="41">
        <v>2011</v>
      </c>
      <c r="B80" s="54" t="s">
        <v>981</v>
      </c>
      <c r="C80" s="55" t="s">
        <v>982</v>
      </c>
      <c r="D80" s="52">
        <v>184.7</v>
      </c>
      <c r="E80" s="52">
        <v>196.3</v>
      </c>
      <c r="F80" s="52">
        <v>290.43</v>
      </c>
      <c r="G80" s="52">
        <v>116.17</v>
      </c>
      <c r="H80" s="52">
        <v>215.14</v>
      </c>
      <c r="I80" s="52">
        <v>148.80000000000001</v>
      </c>
      <c r="J80" s="52">
        <v>128.53</v>
      </c>
      <c r="K80" s="52">
        <v>182.6</v>
      </c>
      <c r="L80" s="52">
        <v>113.68</v>
      </c>
      <c r="M80" s="52">
        <v>144.28</v>
      </c>
      <c r="N80" s="52">
        <v>190.41</v>
      </c>
      <c r="O80" s="52">
        <v>241.55</v>
      </c>
      <c r="P80" s="52">
        <v>205.12</v>
      </c>
      <c r="Q80" s="52">
        <v>197.84</v>
      </c>
      <c r="R80" s="52">
        <v>174.07</v>
      </c>
      <c r="S80" s="52">
        <v>271.55</v>
      </c>
      <c r="T80" s="52">
        <v>291.52</v>
      </c>
      <c r="U80" s="52">
        <v>111.67</v>
      </c>
      <c r="V80" s="52">
        <v>129.91999999999999</v>
      </c>
      <c r="W80" s="52">
        <v>271.2</v>
      </c>
      <c r="X80" s="52">
        <v>157.94</v>
      </c>
      <c r="Y80" s="52">
        <v>189.53</v>
      </c>
      <c r="Z80" s="52">
        <v>209.18</v>
      </c>
      <c r="AA80" s="52">
        <v>159.27000000000001</v>
      </c>
      <c r="AB80" s="52">
        <v>149.74</v>
      </c>
      <c r="AC80" s="52">
        <v>127.31</v>
      </c>
      <c r="AD80" s="52">
        <v>164.71</v>
      </c>
      <c r="AE80" s="52">
        <v>175.54</v>
      </c>
      <c r="AF80" s="52">
        <v>143.31</v>
      </c>
      <c r="AG80" s="52">
        <v>95.01</v>
      </c>
      <c r="AH80" s="52">
        <v>156.52000000000001</v>
      </c>
      <c r="AI80" s="52">
        <v>175.07</v>
      </c>
      <c r="AJ80" s="52">
        <v>119.99</v>
      </c>
      <c r="AK80" s="52">
        <v>219.71</v>
      </c>
      <c r="AL80" s="52">
        <v>214.31</v>
      </c>
      <c r="AM80" s="52">
        <v>193.22</v>
      </c>
      <c r="AN80" s="52">
        <v>47.54</v>
      </c>
      <c r="AO80" s="52">
        <v>123.64</v>
      </c>
      <c r="AP80" s="52">
        <v>70.44</v>
      </c>
      <c r="AQ80" s="52">
        <v>145.36000000000001</v>
      </c>
      <c r="AR80" s="52">
        <v>189.22</v>
      </c>
      <c r="AS80" s="52">
        <v>190.53</v>
      </c>
      <c r="AT80" s="52">
        <v>207.61</v>
      </c>
      <c r="AU80" s="52">
        <v>184.77</v>
      </c>
      <c r="AV80" s="52">
        <v>215.85</v>
      </c>
      <c r="AW80" s="52">
        <v>206.09</v>
      </c>
      <c r="AX80" s="52">
        <v>198.75</v>
      </c>
      <c r="AY80" s="52">
        <v>157.53</v>
      </c>
      <c r="AZ80" s="52">
        <v>238.26</v>
      </c>
      <c r="BA80" s="52">
        <v>223.92</v>
      </c>
      <c r="BB80" s="52">
        <v>148.81</v>
      </c>
      <c r="BC80" s="52">
        <v>342.25</v>
      </c>
      <c r="BD80" s="52">
        <v>215.74</v>
      </c>
      <c r="BE80" s="52">
        <v>180.12</v>
      </c>
      <c r="BF80" s="52">
        <v>258.33999999999997</v>
      </c>
      <c r="BG80" s="52">
        <v>229.32</v>
      </c>
      <c r="BH80" s="52">
        <v>194.2</v>
      </c>
      <c r="BI80" s="52">
        <v>217.09</v>
      </c>
      <c r="BJ80" s="52">
        <v>180.06</v>
      </c>
      <c r="BK80" s="52">
        <v>176.35</v>
      </c>
      <c r="BL80" s="52">
        <v>172.39</v>
      </c>
      <c r="BM80" s="52">
        <v>166.27</v>
      </c>
      <c r="BN80" s="52">
        <v>243.72</v>
      </c>
      <c r="BO80" s="52">
        <v>159.08000000000001</v>
      </c>
      <c r="BP80" s="52">
        <v>183.83</v>
      </c>
      <c r="BQ80" s="52">
        <v>199.76</v>
      </c>
      <c r="BR80" s="52">
        <v>152.47</v>
      </c>
      <c r="BS80" s="52">
        <v>280.8</v>
      </c>
      <c r="BT80" s="52">
        <v>218.67</v>
      </c>
      <c r="BU80" s="52">
        <v>262.01</v>
      </c>
      <c r="BV80" s="52">
        <v>291.52</v>
      </c>
      <c r="BW80" s="52">
        <v>109.05</v>
      </c>
      <c r="BX80" s="52">
        <v>135.35</v>
      </c>
      <c r="BY80" s="52">
        <v>193.06</v>
      </c>
      <c r="BZ80" s="52">
        <v>129.49</v>
      </c>
      <c r="CA80" s="52">
        <v>205.77</v>
      </c>
      <c r="CB80" s="53">
        <v>271.2</v>
      </c>
      <c r="CC80" s="52">
        <v>157.94</v>
      </c>
      <c r="CD80" s="52">
        <v>188.81</v>
      </c>
      <c r="CE80" s="52">
        <v>171.62</v>
      </c>
      <c r="CF80" s="52">
        <v>236.33</v>
      </c>
      <c r="CG80" s="52">
        <v>210.32</v>
      </c>
      <c r="CH80" s="52">
        <v>163.44999999999999</v>
      </c>
      <c r="CI80" s="52">
        <v>145.68</v>
      </c>
      <c r="CJ80" s="52">
        <v>149.74</v>
      </c>
      <c r="CK80" s="52">
        <v>118.64</v>
      </c>
      <c r="CL80" s="52">
        <v>114.35</v>
      </c>
      <c r="CM80" s="52">
        <v>246.87</v>
      </c>
      <c r="CN80" s="52">
        <v>164.71</v>
      </c>
      <c r="CO80" s="52">
        <v>175.54</v>
      </c>
      <c r="CP80" s="52">
        <v>115.2</v>
      </c>
      <c r="CQ80" s="52">
        <v>262.87</v>
      </c>
      <c r="CR80" s="52">
        <v>92.04</v>
      </c>
      <c r="CS80" s="52">
        <v>142.34</v>
      </c>
      <c r="CT80" s="52">
        <v>108.93</v>
      </c>
      <c r="CU80" s="52">
        <v>198.57</v>
      </c>
      <c r="CV80" s="52">
        <v>146.80000000000001</v>
      </c>
      <c r="CW80" s="52">
        <v>95.61</v>
      </c>
      <c r="CX80" s="52">
        <v>175.07</v>
      </c>
      <c r="CY80" s="52">
        <v>120.21</v>
      </c>
      <c r="CZ80" s="52">
        <v>99.54</v>
      </c>
      <c r="DA80" s="52">
        <v>130.16</v>
      </c>
      <c r="DB80" s="52">
        <v>171.2</v>
      </c>
      <c r="DC80" s="52">
        <v>224.13</v>
      </c>
      <c r="DD80" s="52">
        <v>223.96</v>
      </c>
      <c r="DE80" s="52">
        <v>163.99</v>
      </c>
      <c r="DF80" s="52">
        <v>202.14</v>
      </c>
      <c r="DG80" s="52">
        <v>217.77</v>
      </c>
      <c r="DH80" s="52">
        <v>132.93</v>
      </c>
      <c r="DI80" s="52">
        <v>166.27</v>
      </c>
      <c r="DJ80" s="52">
        <v>237.11</v>
      </c>
      <c r="DK80" s="52">
        <v>193.22</v>
      </c>
      <c r="DL80" s="52">
        <v>47.54</v>
      </c>
      <c r="DM80" s="52">
        <v>123.64</v>
      </c>
      <c r="DN80" s="52">
        <v>53.09</v>
      </c>
      <c r="DO80" s="52">
        <v>88.02</v>
      </c>
      <c r="DP80" s="52">
        <v>139.79</v>
      </c>
      <c r="DQ80" s="52">
        <v>145.36000000000001</v>
      </c>
      <c r="DR80" s="52">
        <v>207.21</v>
      </c>
      <c r="DS80" s="52">
        <v>145.74</v>
      </c>
      <c r="DT80" s="52"/>
      <c r="DU80" s="52">
        <v>186.68</v>
      </c>
      <c r="DV80" s="52">
        <v>226.72</v>
      </c>
      <c r="DW80" s="52">
        <v>159.68</v>
      </c>
      <c r="DX80" s="52">
        <v>187.61</v>
      </c>
      <c r="DY80" s="52">
        <v>269.13</v>
      </c>
      <c r="DZ80" s="52">
        <v>194.02</v>
      </c>
      <c r="EA80" s="52">
        <v>154.9</v>
      </c>
      <c r="EB80" s="52">
        <v>184.77</v>
      </c>
      <c r="EC80" s="52">
        <v>215.85</v>
      </c>
      <c r="ED80" s="52">
        <v>206.09</v>
      </c>
      <c r="EE80" s="52">
        <v>198.75</v>
      </c>
      <c r="EF80" s="52">
        <v>157.53</v>
      </c>
      <c r="EG80" s="52">
        <v>238.26</v>
      </c>
      <c r="EH80" s="52">
        <v>223.92</v>
      </c>
      <c r="EI80" s="52">
        <v>221.07</v>
      </c>
      <c r="EJ80" s="52">
        <v>104.42</v>
      </c>
      <c r="EK80" s="52">
        <v>129.31</v>
      </c>
      <c r="EL80" s="52">
        <v>405.37</v>
      </c>
      <c r="EM80" s="52">
        <v>190.4</v>
      </c>
      <c r="EN80" s="52">
        <v>215.74</v>
      </c>
      <c r="EO80" s="52">
        <v>227.64</v>
      </c>
      <c r="EP80" s="52">
        <v>142.58000000000001</v>
      </c>
      <c r="EQ80" s="52">
        <v>170.67</v>
      </c>
      <c r="ER80" s="52">
        <v>258.33999999999997</v>
      </c>
      <c r="ES80" s="52">
        <v>229.32</v>
      </c>
      <c r="ET80" s="52">
        <v>222.83</v>
      </c>
      <c r="EU80" s="52">
        <v>183.51</v>
      </c>
      <c r="EV80" s="52">
        <v>195.39</v>
      </c>
      <c r="EW80" s="52">
        <v>186.63</v>
      </c>
      <c r="EX80" s="52">
        <v>192.92</v>
      </c>
      <c r="EY80" s="52">
        <v>132.54</v>
      </c>
      <c r="EZ80" s="52">
        <v>213.39</v>
      </c>
      <c r="FA80" s="52">
        <v>267.08999999999997</v>
      </c>
      <c r="FB80" s="52">
        <v>189.45</v>
      </c>
      <c r="FC80" s="52">
        <v>304.51</v>
      </c>
      <c r="FD80" s="52">
        <v>183.79</v>
      </c>
      <c r="FE80" s="52">
        <v>180.06</v>
      </c>
      <c r="FF80" s="52"/>
      <c r="FG80" s="52">
        <v>145.59</v>
      </c>
      <c r="FH80" s="52">
        <v>159.07</v>
      </c>
      <c r="FI80" s="52">
        <v>195.42</v>
      </c>
      <c r="FJ80" s="52">
        <v>195.16</v>
      </c>
      <c r="FK80" s="52">
        <v>220.99</v>
      </c>
      <c r="FL80" s="52">
        <v>168.53</v>
      </c>
      <c r="FM80" s="52">
        <v>168.46</v>
      </c>
      <c r="FN80" s="52">
        <v>153.34</v>
      </c>
      <c r="FO80" s="52">
        <v>234.75</v>
      </c>
      <c r="FP80" s="52">
        <v>240.71</v>
      </c>
      <c r="FQ80" s="52">
        <v>260.52</v>
      </c>
      <c r="FR80" s="52">
        <v>248.67</v>
      </c>
      <c r="FS80" s="52">
        <v>221.95</v>
      </c>
      <c r="FT80" s="52">
        <v>141.91999999999999</v>
      </c>
      <c r="FU80" s="52">
        <v>211.72</v>
      </c>
      <c r="FV80" s="52">
        <v>176.14</v>
      </c>
      <c r="FW80" s="52">
        <v>115.4</v>
      </c>
      <c r="FX80" s="52">
        <v>183.83</v>
      </c>
      <c r="FY80" s="52">
        <v>191.66</v>
      </c>
      <c r="FZ80" s="52">
        <v>201.79</v>
      </c>
      <c r="GA80" s="52">
        <v>151.55000000000001</v>
      </c>
      <c r="GB80" s="52">
        <v>159.09</v>
      </c>
      <c r="GC80" s="52">
        <v>153.78</v>
      </c>
      <c r="GD80" s="52">
        <v>134.41999999999999</v>
      </c>
      <c r="GE80" s="52">
        <v>280.8</v>
      </c>
      <c r="GF80" s="52">
        <v>218.67</v>
      </c>
      <c r="GG80" s="52">
        <v>262.01</v>
      </c>
      <c r="GH80" s="52">
        <v>291.02999999999997</v>
      </c>
      <c r="GI80" s="52">
        <v>114.77</v>
      </c>
      <c r="GJ80" s="52">
        <v>105.04</v>
      </c>
      <c r="GK80" s="52">
        <v>102.9</v>
      </c>
      <c r="GL80" s="52">
        <v>146.91999999999999</v>
      </c>
      <c r="GM80" s="52">
        <v>135.35</v>
      </c>
      <c r="GN80" s="52">
        <v>193.06</v>
      </c>
      <c r="GO80" s="52">
        <v>127.17</v>
      </c>
      <c r="GP80" s="52">
        <v>128.71</v>
      </c>
      <c r="GQ80" s="52">
        <v>136.32</v>
      </c>
      <c r="GR80" s="52">
        <v>205.77</v>
      </c>
      <c r="GS80" s="52">
        <v>271.2</v>
      </c>
      <c r="GT80" s="52">
        <v>157.94</v>
      </c>
      <c r="GU80" s="52">
        <v>188.81</v>
      </c>
      <c r="GV80" s="52">
        <v>171.62</v>
      </c>
      <c r="GW80" s="52">
        <v>195.74</v>
      </c>
      <c r="GX80" s="52">
        <v>264.48</v>
      </c>
      <c r="GY80" s="52">
        <v>210.32</v>
      </c>
      <c r="GZ80" s="52">
        <v>191.9</v>
      </c>
      <c r="HA80" s="52">
        <v>166.63</v>
      </c>
      <c r="HB80" s="52">
        <v>159.18</v>
      </c>
      <c r="HC80" s="52">
        <v>145.68</v>
      </c>
      <c r="HD80" s="52">
        <v>149.74</v>
      </c>
      <c r="HE80" s="52">
        <v>107.36</v>
      </c>
      <c r="HF80" s="52">
        <v>116.85</v>
      </c>
      <c r="HG80" s="52">
        <v>127.84</v>
      </c>
      <c r="HH80" s="52">
        <v>143.94</v>
      </c>
      <c r="HI80" s="52">
        <v>75.63</v>
      </c>
      <c r="HJ80" s="52">
        <v>114.35</v>
      </c>
      <c r="HK80" s="52">
        <v>246.87</v>
      </c>
      <c r="HL80" s="52">
        <v>145.41999999999999</v>
      </c>
      <c r="HM80" s="52">
        <v>183.46</v>
      </c>
      <c r="HN80" s="52">
        <v>178.44</v>
      </c>
      <c r="HO80" s="52">
        <v>150.35</v>
      </c>
      <c r="HP80" s="52">
        <v>200.12</v>
      </c>
      <c r="HQ80" s="52">
        <v>109.87</v>
      </c>
      <c r="HR80" s="52">
        <v>158.99</v>
      </c>
      <c r="HS80" s="52">
        <v>265.51</v>
      </c>
      <c r="HT80" s="52">
        <v>188.58</v>
      </c>
      <c r="HU80" s="52">
        <v>92.04</v>
      </c>
      <c r="HV80" s="52">
        <v>142.34</v>
      </c>
      <c r="HW80" s="52">
        <v>112.82</v>
      </c>
      <c r="HX80" s="52">
        <v>95.43</v>
      </c>
      <c r="HY80" s="52">
        <v>198.57</v>
      </c>
      <c r="HZ80" s="52">
        <v>146.80000000000001</v>
      </c>
      <c r="IA80" s="52">
        <v>87.33</v>
      </c>
      <c r="IB80" s="52">
        <v>175.07</v>
      </c>
      <c r="IC80" s="52">
        <v>107.91</v>
      </c>
      <c r="ID80" s="52">
        <v>122.97</v>
      </c>
      <c r="IE80" s="52">
        <v>99.54</v>
      </c>
      <c r="IF80" s="52">
        <v>130.16</v>
      </c>
      <c r="IG80" s="52">
        <v>171.2</v>
      </c>
      <c r="IH80" s="52">
        <v>224.13</v>
      </c>
      <c r="II80" s="52">
        <v>223.96</v>
      </c>
      <c r="IJ80" s="52">
        <v>163.99</v>
      </c>
      <c r="IK80" s="52">
        <v>217</v>
      </c>
      <c r="IL80" s="52">
        <v>170.67</v>
      </c>
      <c r="IM80" s="52">
        <v>232.91</v>
      </c>
      <c r="IN80" s="52">
        <v>224.3</v>
      </c>
      <c r="IO80" s="52">
        <v>164.65</v>
      </c>
      <c r="IP80" s="52">
        <v>132.93</v>
      </c>
      <c r="IQ80" s="52">
        <v>166.27</v>
      </c>
      <c r="IR80" s="52">
        <v>237.11</v>
      </c>
      <c r="IS80" s="52">
        <v>193.22</v>
      </c>
      <c r="IT80" s="52">
        <v>47.54</v>
      </c>
      <c r="IU80" s="52">
        <v>123.64</v>
      </c>
      <c r="IV80" s="52">
        <v>53.73</v>
      </c>
      <c r="IW80" s="52">
        <v>88.02</v>
      </c>
      <c r="IX80" s="52">
        <v>139.79</v>
      </c>
      <c r="IY80" s="52">
        <v>145.36000000000001</v>
      </c>
      <c r="IZ80" s="52">
        <v>207.21</v>
      </c>
      <c r="JA80" s="52">
        <v>145.74</v>
      </c>
      <c r="JB80" s="52"/>
      <c r="JC80" s="52">
        <v>186.68</v>
      </c>
      <c r="JD80" s="52">
        <v>226.72</v>
      </c>
      <c r="JE80" s="52">
        <v>164.8</v>
      </c>
      <c r="JF80" s="52">
        <v>157.54</v>
      </c>
      <c r="JG80" s="52">
        <v>187.61</v>
      </c>
      <c r="JH80" s="52">
        <v>269.13</v>
      </c>
      <c r="JI80" s="52">
        <v>194.02</v>
      </c>
      <c r="JJ80" s="52">
        <v>154.9</v>
      </c>
      <c r="JK80" s="52">
        <v>184.77</v>
      </c>
      <c r="JL80" s="52">
        <v>215.85</v>
      </c>
      <c r="JM80" s="52">
        <v>206.09</v>
      </c>
      <c r="JN80" s="52">
        <v>198.75</v>
      </c>
      <c r="JO80" s="52">
        <v>157.53</v>
      </c>
      <c r="JP80" s="52">
        <v>250.53</v>
      </c>
      <c r="JQ80" s="52">
        <v>209.2</v>
      </c>
      <c r="JR80" s="52">
        <v>200.44</v>
      </c>
      <c r="JS80" s="52">
        <v>261.82</v>
      </c>
      <c r="JT80" s="52">
        <v>243.7</v>
      </c>
      <c r="JU80" s="52">
        <v>199</v>
      </c>
      <c r="JV80" s="52">
        <v>104.42</v>
      </c>
      <c r="JW80" s="52">
        <v>129.31</v>
      </c>
      <c r="JX80" s="52">
        <v>405.37</v>
      </c>
      <c r="JY80" s="52">
        <v>193.77</v>
      </c>
      <c r="JZ80" s="52">
        <v>182.5</v>
      </c>
      <c r="KA80" s="52">
        <v>215.74</v>
      </c>
      <c r="KB80" s="52">
        <v>227.64</v>
      </c>
      <c r="KC80" s="52">
        <v>142.58000000000001</v>
      </c>
      <c r="KD80" s="52">
        <v>170.67</v>
      </c>
      <c r="KE80" s="52">
        <v>258.33999999999997</v>
      </c>
      <c r="KF80" s="52">
        <v>229.32</v>
      </c>
    </row>
    <row r="81" spans="1:292" s="41" customFormat="1" ht="12">
      <c r="A81" s="41">
        <v>2011</v>
      </c>
      <c r="B81" s="54" t="s">
        <v>983</v>
      </c>
      <c r="C81" s="55" t="s">
        <v>984</v>
      </c>
      <c r="D81" s="52">
        <v>186.3</v>
      </c>
      <c r="E81" s="52">
        <v>195.36</v>
      </c>
      <c r="F81" s="52">
        <v>290.42</v>
      </c>
      <c r="G81" s="52">
        <v>128.84</v>
      </c>
      <c r="H81" s="52">
        <v>215.98</v>
      </c>
      <c r="I81" s="52">
        <v>151.41999999999999</v>
      </c>
      <c r="J81" s="52">
        <v>128.66999999999999</v>
      </c>
      <c r="K81" s="52">
        <v>184.5</v>
      </c>
      <c r="L81" s="52">
        <v>111.59</v>
      </c>
      <c r="M81" s="52">
        <v>144.4</v>
      </c>
      <c r="N81" s="52">
        <v>190.89</v>
      </c>
      <c r="O81" s="52">
        <v>242.75</v>
      </c>
      <c r="P81" s="52">
        <v>205.68</v>
      </c>
      <c r="Q81" s="52">
        <v>196.83</v>
      </c>
      <c r="R81" s="52">
        <v>174.09</v>
      </c>
      <c r="S81" s="52">
        <v>271.39</v>
      </c>
      <c r="T81" s="52">
        <v>291.52</v>
      </c>
      <c r="U81" s="52">
        <v>124.44</v>
      </c>
      <c r="V81" s="52">
        <v>141.91</v>
      </c>
      <c r="W81" s="52">
        <v>271.97000000000003</v>
      </c>
      <c r="X81" s="52">
        <v>158.71</v>
      </c>
      <c r="Y81" s="52">
        <v>190.1</v>
      </c>
      <c r="Z81" s="52">
        <v>210.19</v>
      </c>
      <c r="AA81" s="52">
        <v>164.7</v>
      </c>
      <c r="AB81" s="52">
        <v>155.87</v>
      </c>
      <c r="AC81" s="52">
        <v>127.58</v>
      </c>
      <c r="AD81" s="52">
        <v>164.98</v>
      </c>
      <c r="AE81" s="52">
        <v>177.19</v>
      </c>
      <c r="AF81" s="52">
        <v>144.93</v>
      </c>
      <c r="AG81" s="52">
        <v>95.18</v>
      </c>
      <c r="AH81" s="52">
        <v>156.65</v>
      </c>
      <c r="AI81" s="52">
        <v>175.1</v>
      </c>
      <c r="AJ81" s="52">
        <v>121.66</v>
      </c>
      <c r="AK81" s="52">
        <v>222.12</v>
      </c>
      <c r="AL81" s="52">
        <v>215.2</v>
      </c>
      <c r="AM81" s="52">
        <v>218.24</v>
      </c>
      <c r="AN81" s="52">
        <v>47.23</v>
      </c>
      <c r="AO81" s="52">
        <v>121.19</v>
      </c>
      <c r="AP81" s="52">
        <v>69.33</v>
      </c>
      <c r="AQ81" s="52">
        <v>147.75</v>
      </c>
      <c r="AR81" s="52">
        <v>190.59</v>
      </c>
      <c r="AS81" s="52">
        <v>192.04</v>
      </c>
      <c r="AT81" s="52">
        <v>207.87</v>
      </c>
      <c r="AU81" s="52">
        <v>189.46</v>
      </c>
      <c r="AV81" s="52">
        <v>216.73</v>
      </c>
      <c r="AW81" s="52">
        <v>207.05</v>
      </c>
      <c r="AX81" s="52">
        <v>198.75</v>
      </c>
      <c r="AY81" s="52">
        <v>157.58000000000001</v>
      </c>
      <c r="AZ81" s="52">
        <v>239.4</v>
      </c>
      <c r="BA81" s="52">
        <v>225.61</v>
      </c>
      <c r="BB81" s="52">
        <v>149.44999999999999</v>
      </c>
      <c r="BC81" s="52">
        <v>342.6</v>
      </c>
      <c r="BD81" s="52">
        <v>216.3</v>
      </c>
      <c r="BE81" s="52">
        <v>180.45</v>
      </c>
      <c r="BF81" s="52">
        <v>258.33999999999997</v>
      </c>
      <c r="BG81" s="52">
        <v>229.34</v>
      </c>
      <c r="BH81" s="52">
        <v>194.81</v>
      </c>
      <c r="BI81" s="52">
        <v>220.1</v>
      </c>
      <c r="BJ81" s="52">
        <v>190.11</v>
      </c>
      <c r="BK81" s="52">
        <v>171.79</v>
      </c>
      <c r="BL81" s="52">
        <v>175.12</v>
      </c>
      <c r="BM81" s="52">
        <v>178.96</v>
      </c>
      <c r="BN81" s="52">
        <v>226.44</v>
      </c>
      <c r="BO81" s="52">
        <v>159.30000000000001</v>
      </c>
      <c r="BP81" s="52">
        <v>185.23</v>
      </c>
      <c r="BQ81" s="52">
        <v>200.07</v>
      </c>
      <c r="BR81" s="52">
        <v>152.34</v>
      </c>
      <c r="BS81" s="52">
        <v>280.92</v>
      </c>
      <c r="BT81" s="52">
        <v>214.27</v>
      </c>
      <c r="BU81" s="52">
        <v>262.18</v>
      </c>
      <c r="BV81" s="52">
        <v>291.52</v>
      </c>
      <c r="BW81" s="52">
        <v>122.45</v>
      </c>
      <c r="BX81" s="52">
        <v>139.44999999999999</v>
      </c>
      <c r="BY81" s="52">
        <v>193.72</v>
      </c>
      <c r="BZ81" s="52">
        <v>141.53</v>
      </c>
      <c r="CA81" s="52">
        <v>206.11</v>
      </c>
      <c r="CB81" s="53">
        <v>271.97000000000003</v>
      </c>
      <c r="CC81" s="52">
        <v>158.71</v>
      </c>
      <c r="CD81" s="52">
        <v>189.39</v>
      </c>
      <c r="CE81" s="52">
        <v>171.75</v>
      </c>
      <c r="CF81" s="52">
        <v>239.14</v>
      </c>
      <c r="CG81" s="52">
        <v>209.9</v>
      </c>
      <c r="CH81" s="52">
        <v>169.4</v>
      </c>
      <c r="CI81" s="52">
        <v>148.09</v>
      </c>
      <c r="CJ81" s="52">
        <v>155.87</v>
      </c>
      <c r="CK81" s="52">
        <v>118.79</v>
      </c>
      <c r="CL81" s="52">
        <v>114.54</v>
      </c>
      <c r="CM81" s="52">
        <v>249.81</v>
      </c>
      <c r="CN81" s="52">
        <v>164.98</v>
      </c>
      <c r="CO81" s="52">
        <v>177.19</v>
      </c>
      <c r="CP81" s="52">
        <v>116.91</v>
      </c>
      <c r="CQ81" s="52">
        <v>263.64999999999998</v>
      </c>
      <c r="CR81" s="52">
        <v>92.04</v>
      </c>
      <c r="CS81" s="52">
        <v>142.91</v>
      </c>
      <c r="CT81" s="52">
        <v>110.06</v>
      </c>
      <c r="CU81" s="52">
        <v>198.89</v>
      </c>
      <c r="CV81" s="52">
        <v>146.82</v>
      </c>
      <c r="CW81" s="52">
        <v>95.63</v>
      </c>
      <c r="CX81" s="52">
        <v>175.1</v>
      </c>
      <c r="CY81" s="52">
        <v>121.92</v>
      </c>
      <c r="CZ81" s="52">
        <v>99.7</v>
      </c>
      <c r="DA81" s="52">
        <v>130.88999999999999</v>
      </c>
      <c r="DB81" s="52">
        <v>173.26</v>
      </c>
      <c r="DC81" s="52">
        <v>226.41</v>
      </c>
      <c r="DD81" s="52">
        <v>226.42</v>
      </c>
      <c r="DE81" s="52">
        <v>169.49</v>
      </c>
      <c r="DF81" s="52">
        <v>202.14</v>
      </c>
      <c r="DG81" s="52">
        <v>218.66</v>
      </c>
      <c r="DH81" s="52">
        <v>133.69</v>
      </c>
      <c r="DI81" s="52">
        <v>166.27</v>
      </c>
      <c r="DJ81" s="52">
        <v>238.48</v>
      </c>
      <c r="DK81" s="52">
        <v>218.24</v>
      </c>
      <c r="DL81" s="52">
        <v>47.23</v>
      </c>
      <c r="DM81" s="52">
        <v>121.19</v>
      </c>
      <c r="DN81" s="52">
        <v>51.47</v>
      </c>
      <c r="DO81" s="52">
        <v>87.13</v>
      </c>
      <c r="DP81" s="52">
        <v>140.41999999999999</v>
      </c>
      <c r="DQ81" s="52">
        <v>147.75</v>
      </c>
      <c r="DR81" s="52">
        <v>206.73</v>
      </c>
      <c r="DS81" s="52">
        <v>149.83000000000001</v>
      </c>
      <c r="DT81" s="52"/>
      <c r="DU81" s="52">
        <v>187.04</v>
      </c>
      <c r="DV81" s="52">
        <v>229.63</v>
      </c>
      <c r="DW81" s="52">
        <v>160.32</v>
      </c>
      <c r="DX81" s="52">
        <v>187.61</v>
      </c>
      <c r="DY81" s="52">
        <v>268.8</v>
      </c>
      <c r="DZ81" s="52">
        <v>194.02</v>
      </c>
      <c r="EA81" s="52">
        <v>155.80000000000001</v>
      </c>
      <c r="EB81" s="52">
        <v>189.46</v>
      </c>
      <c r="EC81" s="52">
        <v>216.73</v>
      </c>
      <c r="ED81" s="52">
        <v>207.05</v>
      </c>
      <c r="EE81" s="52">
        <v>198.75</v>
      </c>
      <c r="EF81" s="52">
        <v>157.58000000000001</v>
      </c>
      <c r="EG81" s="52">
        <v>239.4</v>
      </c>
      <c r="EH81" s="52">
        <v>225.61</v>
      </c>
      <c r="EI81" s="52">
        <v>222.57</v>
      </c>
      <c r="EJ81" s="52">
        <v>104.26</v>
      </c>
      <c r="EK81" s="52">
        <v>129.76</v>
      </c>
      <c r="EL81" s="52">
        <v>404.32</v>
      </c>
      <c r="EM81" s="52">
        <v>192.43</v>
      </c>
      <c r="EN81" s="52">
        <v>216.3</v>
      </c>
      <c r="EO81" s="52">
        <v>227.94</v>
      </c>
      <c r="EP81" s="52">
        <v>142.58000000000001</v>
      </c>
      <c r="EQ81" s="52">
        <v>171.1</v>
      </c>
      <c r="ER81" s="52">
        <v>258.33999999999997</v>
      </c>
      <c r="ES81" s="52">
        <v>229.34</v>
      </c>
      <c r="ET81" s="52">
        <v>223.13</v>
      </c>
      <c r="EU81" s="52">
        <v>184.39</v>
      </c>
      <c r="EV81" s="52">
        <v>196.18</v>
      </c>
      <c r="EW81" s="52">
        <v>187.22</v>
      </c>
      <c r="EX81" s="52">
        <v>190.26</v>
      </c>
      <c r="EY81" s="52">
        <v>133.79</v>
      </c>
      <c r="EZ81" s="52">
        <v>214.13</v>
      </c>
      <c r="FA81" s="52">
        <v>270.13</v>
      </c>
      <c r="FB81" s="52">
        <v>198.56</v>
      </c>
      <c r="FC81" s="52">
        <v>305.75</v>
      </c>
      <c r="FD81" s="52">
        <v>183.15</v>
      </c>
      <c r="FE81" s="52">
        <v>190.11</v>
      </c>
      <c r="FF81" s="52"/>
      <c r="FG81" s="52">
        <v>144.4</v>
      </c>
      <c r="FH81" s="52">
        <v>157</v>
      </c>
      <c r="FI81" s="52">
        <v>191.22</v>
      </c>
      <c r="FJ81" s="52">
        <v>180.39</v>
      </c>
      <c r="FK81" s="52">
        <v>221.41</v>
      </c>
      <c r="FL81" s="52">
        <v>179.08</v>
      </c>
      <c r="FM81" s="52">
        <v>169.99</v>
      </c>
      <c r="FN81" s="52">
        <v>167.93</v>
      </c>
      <c r="FO81" s="52">
        <v>236.76</v>
      </c>
      <c r="FP81" s="52">
        <v>211.49</v>
      </c>
      <c r="FQ81" s="52">
        <v>283.77</v>
      </c>
      <c r="FR81" s="52">
        <v>248.41</v>
      </c>
      <c r="FS81" s="52">
        <v>224.51</v>
      </c>
      <c r="FT81" s="52">
        <v>143.85</v>
      </c>
      <c r="FU81" s="52">
        <v>208.42</v>
      </c>
      <c r="FV81" s="52">
        <v>176.69</v>
      </c>
      <c r="FW81" s="52">
        <v>113.13</v>
      </c>
      <c r="FX81" s="52">
        <v>185.23</v>
      </c>
      <c r="FY81" s="52">
        <v>195.57</v>
      </c>
      <c r="FZ81" s="52">
        <v>201.48</v>
      </c>
      <c r="GA81" s="52">
        <v>155.13</v>
      </c>
      <c r="GB81" s="52">
        <v>160.13999999999999</v>
      </c>
      <c r="GC81" s="52">
        <v>152.66</v>
      </c>
      <c r="GD81" s="52">
        <v>134.31</v>
      </c>
      <c r="GE81" s="52">
        <v>280.92</v>
      </c>
      <c r="GF81" s="52">
        <v>214.27</v>
      </c>
      <c r="GG81" s="52">
        <v>262.18</v>
      </c>
      <c r="GH81" s="52">
        <v>291.02999999999997</v>
      </c>
      <c r="GI81" s="52">
        <v>129.72</v>
      </c>
      <c r="GJ81" s="52">
        <v>117.78</v>
      </c>
      <c r="GK81" s="52">
        <v>115.05</v>
      </c>
      <c r="GL81" s="52">
        <v>152.16999999999999</v>
      </c>
      <c r="GM81" s="52">
        <v>139.44999999999999</v>
      </c>
      <c r="GN81" s="52">
        <v>193.72</v>
      </c>
      <c r="GO81" s="52">
        <v>138.9</v>
      </c>
      <c r="GP81" s="52">
        <v>143.78</v>
      </c>
      <c r="GQ81" s="52">
        <v>143.29</v>
      </c>
      <c r="GR81" s="52">
        <v>206.11</v>
      </c>
      <c r="GS81" s="52">
        <v>271.97000000000003</v>
      </c>
      <c r="GT81" s="52">
        <v>158.71</v>
      </c>
      <c r="GU81" s="52">
        <v>189.39</v>
      </c>
      <c r="GV81" s="52">
        <v>171.75</v>
      </c>
      <c r="GW81" s="52">
        <v>196.08</v>
      </c>
      <c r="GX81" s="52">
        <v>269.45999999999998</v>
      </c>
      <c r="GY81" s="52">
        <v>209.9</v>
      </c>
      <c r="GZ81" s="52">
        <v>194.6</v>
      </c>
      <c r="HA81" s="52">
        <v>173.13</v>
      </c>
      <c r="HB81" s="52">
        <v>165.56</v>
      </c>
      <c r="HC81" s="52">
        <v>148.09</v>
      </c>
      <c r="HD81" s="52">
        <v>155.87</v>
      </c>
      <c r="HE81" s="52">
        <v>107.36</v>
      </c>
      <c r="HF81" s="52">
        <v>117.28</v>
      </c>
      <c r="HG81" s="52">
        <v>128.22999999999999</v>
      </c>
      <c r="HH81" s="52">
        <v>143.99</v>
      </c>
      <c r="HI81" s="52">
        <v>75.53</v>
      </c>
      <c r="HJ81" s="52">
        <v>114.54</v>
      </c>
      <c r="HK81" s="52">
        <v>249.81</v>
      </c>
      <c r="HL81" s="52">
        <v>145.08000000000001</v>
      </c>
      <c r="HM81" s="52">
        <v>184.07</v>
      </c>
      <c r="HN81" s="52">
        <v>179.32</v>
      </c>
      <c r="HO81" s="52">
        <v>152.97</v>
      </c>
      <c r="HP81" s="52">
        <v>200.24</v>
      </c>
      <c r="HQ81" s="52">
        <v>111.8</v>
      </c>
      <c r="HR81" s="52">
        <v>159.12</v>
      </c>
      <c r="HS81" s="52">
        <v>266.25</v>
      </c>
      <c r="HT81" s="52">
        <v>189.8</v>
      </c>
      <c r="HU81" s="52">
        <v>92.04</v>
      </c>
      <c r="HV81" s="52">
        <v>142.91</v>
      </c>
      <c r="HW81" s="52">
        <v>114.69</v>
      </c>
      <c r="HX81" s="52">
        <v>95.16</v>
      </c>
      <c r="HY81" s="52">
        <v>198.89</v>
      </c>
      <c r="HZ81" s="52">
        <v>146.82</v>
      </c>
      <c r="IA81" s="52">
        <v>87.35</v>
      </c>
      <c r="IB81" s="52">
        <v>175.1</v>
      </c>
      <c r="IC81" s="52">
        <v>109.82</v>
      </c>
      <c r="ID81" s="52">
        <v>124.26</v>
      </c>
      <c r="IE81" s="52">
        <v>99.7</v>
      </c>
      <c r="IF81" s="52">
        <v>130.88999999999999</v>
      </c>
      <c r="IG81" s="52">
        <v>173.26</v>
      </c>
      <c r="IH81" s="52">
        <v>226.41</v>
      </c>
      <c r="II81" s="52">
        <v>226.42</v>
      </c>
      <c r="IJ81" s="52">
        <v>169.49</v>
      </c>
      <c r="IK81" s="52">
        <v>217</v>
      </c>
      <c r="IL81" s="52">
        <v>170.67</v>
      </c>
      <c r="IM81" s="52">
        <v>233.79</v>
      </c>
      <c r="IN81" s="52">
        <v>224.67</v>
      </c>
      <c r="IO81" s="52">
        <v>165.73</v>
      </c>
      <c r="IP81" s="52">
        <v>133.69</v>
      </c>
      <c r="IQ81" s="52">
        <v>166.27</v>
      </c>
      <c r="IR81" s="52">
        <v>238.48</v>
      </c>
      <c r="IS81" s="52">
        <v>218.24</v>
      </c>
      <c r="IT81" s="52">
        <v>47.23</v>
      </c>
      <c r="IU81" s="52">
        <v>121.19</v>
      </c>
      <c r="IV81" s="52">
        <v>52.01</v>
      </c>
      <c r="IW81" s="52">
        <v>87.13</v>
      </c>
      <c r="IX81" s="52">
        <v>140.41999999999999</v>
      </c>
      <c r="IY81" s="52">
        <v>147.75</v>
      </c>
      <c r="IZ81" s="52">
        <v>206.73</v>
      </c>
      <c r="JA81" s="52">
        <v>149.83000000000001</v>
      </c>
      <c r="JB81" s="52"/>
      <c r="JC81" s="52">
        <v>187.04</v>
      </c>
      <c r="JD81" s="52">
        <v>229.63</v>
      </c>
      <c r="JE81" s="52">
        <v>168.51</v>
      </c>
      <c r="JF81" s="52">
        <v>157.51</v>
      </c>
      <c r="JG81" s="52">
        <v>187.61</v>
      </c>
      <c r="JH81" s="52">
        <v>268.8</v>
      </c>
      <c r="JI81" s="52">
        <v>194.02</v>
      </c>
      <c r="JJ81" s="52">
        <v>155.80000000000001</v>
      </c>
      <c r="JK81" s="52">
        <v>189.46</v>
      </c>
      <c r="JL81" s="52">
        <v>216.73</v>
      </c>
      <c r="JM81" s="52">
        <v>207.05</v>
      </c>
      <c r="JN81" s="52">
        <v>198.75</v>
      </c>
      <c r="JO81" s="52">
        <v>157.58000000000001</v>
      </c>
      <c r="JP81" s="52">
        <v>251.68</v>
      </c>
      <c r="JQ81" s="52">
        <v>210.31</v>
      </c>
      <c r="JR81" s="52">
        <v>202.92</v>
      </c>
      <c r="JS81" s="52">
        <v>261.82</v>
      </c>
      <c r="JT81" s="52">
        <v>245.31</v>
      </c>
      <c r="JU81" s="52">
        <v>200.39</v>
      </c>
      <c r="JV81" s="52">
        <v>104.26</v>
      </c>
      <c r="JW81" s="52">
        <v>129.76</v>
      </c>
      <c r="JX81" s="52">
        <v>404.32</v>
      </c>
      <c r="JY81" s="52">
        <v>195.79</v>
      </c>
      <c r="JZ81" s="52">
        <v>184.55</v>
      </c>
      <c r="KA81" s="52">
        <v>216.3</v>
      </c>
      <c r="KB81" s="52">
        <v>227.94</v>
      </c>
      <c r="KC81" s="52">
        <v>142.58000000000001</v>
      </c>
      <c r="KD81" s="52">
        <v>171.1</v>
      </c>
      <c r="KE81" s="52">
        <v>258.33999999999997</v>
      </c>
      <c r="KF81" s="52">
        <v>229.34</v>
      </c>
    </row>
    <row r="82" spans="1:292" s="41" customFormat="1" ht="12">
      <c r="A82" s="41">
        <v>2011</v>
      </c>
      <c r="B82" s="54" t="s">
        <v>985</v>
      </c>
      <c r="C82" s="55" t="s">
        <v>986</v>
      </c>
      <c r="D82" s="52">
        <v>190.81</v>
      </c>
      <c r="E82" s="52">
        <v>204.57</v>
      </c>
      <c r="F82" s="52">
        <v>290.39</v>
      </c>
      <c r="G82" s="52">
        <v>143.88999999999999</v>
      </c>
      <c r="H82" s="52">
        <v>217.15</v>
      </c>
      <c r="I82" s="52">
        <v>151.82</v>
      </c>
      <c r="J82" s="52">
        <v>128.81</v>
      </c>
      <c r="K82" s="52">
        <v>185.67</v>
      </c>
      <c r="L82" s="52">
        <v>111.07</v>
      </c>
      <c r="M82" s="52">
        <v>145.83000000000001</v>
      </c>
      <c r="N82" s="52">
        <v>193.06</v>
      </c>
      <c r="O82" s="52">
        <v>244.71</v>
      </c>
      <c r="P82" s="52">
        <v>208.7</v>
      </c>
      <c r="Q82" s="52">
        <v>206.72</v>
      </c>
      <c r="R82" s="52">
        <v>174.79</v>
      </c>
      <c r="S82" s="52">
        <v>270.85000000000002</v>
      </c>
      <c r="T82" s="52">
        <v>291.52</v>
      </c>
      <c r="U82" s="52">
        <v>141.86000000000001</v>
      </c>
      <c r="V82" s="52">
        <v>147.96</v>
      </c>
      <c r="W82" s="52">
        <v>272.89999999999998</v>
      </c>
      <c r="X82" s="52">
        <v>159.52000000000001</v>
      </c>
      <c r="Y82" s="52">
        <v>190.91</v>
      </c>
      <c r="Z82" s="52">
        <v>211.72</v>
      </c>
      <c r="AA82" s="52">
        <v>165.58</v>
      </c>
      <c r="AB82" s="52">
        <v>157.33000000000001</v>
      </c>
      <c r="AC82" s="52">
        <v>126.41</v>
      </c>
      <c r="AD82" s="52">
        <v>165.15</v>
      </c>
      <c r="AE82" s="52">
        <v>178.04</v>
      </c>
      <c r="AF82" s="52">
        <v>146.34</v>
      </c>
      <c r="AG82" s="52">
        <v>95.38</v>
      </c>
      <c r="AH82" s="52">
        <v>156.74</v>
      </c>
      <c r="AI82" s="52">
        <v>175.19</v>
      </c>
      <c r="AJ82" s="52">
        <v>121.96</v>
      </c>
      <c r="AK82" s="52">
        <v>224.47</v>
      </c>
      <c r="AL82" s="52">
        <v>216.38</v>
      </c>
      <c r="AM82" s="52">
        <v>218.24</v>
      </c>
      <c r="AN82" s="52">
        <v>47.1</v>
      </c>
      <c r="AO82" s="52">
        <v>120.59</v>
      </c>
      <c r="AP82" s="52">
        <v>68.64</v>
      </c>
      <c r="AQ82" s="52">
        <v>149.16999999999999</v>
      </c>
      <c r="AR82" s="52">
        <v>191.84</v>
      </c>
      <c r="AS82" s="52">
        <v>191.94</v>
      </c>
      <c r="AT82" s="52">
        <v>215.91</v>
      </c>
      <c r="AU82" s="52">
        <v>196.41</v>
      </c>
      <c r="AV82" s="52">
        <v>222.03</v>
      </c>
      <c r="AW82" s="52">
        <v>210.53</v>
      </c>
      <c r="AX82" s="52">
        <v>198.75</v>
      </c>
      <c r="AY82" s="52">
        <v>158.05000000000001</v>
      </c>
      <c r="AZ82" s="52">
        <v>241.21</v>
      </c>
      <c r="BA82" s="52">
        <v>228.79</v>
      </c>
      <c r="BB82" s="52">
        <v>150.16999999999999</v>
      </c>
      <c r="BC82" s="52">
        <v>355.85</v>
      </c>
      <c r="BD82" s="52">
        <v>216.92</v>
      </c>
      <c r="BE82" s="52">
        <v>183.63</v>
      </c>
      <c r="BF82" s="52">
        <v>258.33999999999997</v>
      </c>
      <c r="BG82" s="52">
        <v>229.39</v>
      </c>
      <c r="BH82" s="52">
        <v>194.94</v>
      </c>
      <c r="BI82" s="52">
        <v>219.74</v>
      </c>
      <c r="BJ82" s="52">
        <v>197.79</v>
      </c>
      <c r="BK82" s="52">
        <v>169.37</v>
      </c>
      <c r="BL82" s="52">
        <v>176.87</v>
      </c>
      <c r="BM82" s="52">
        <v>287.51</v>
      </c>
      <c r="BN82" s="52">
        <v>207.25</v>
      </c>
      <c r="BO82" s="52">
        <v>160.91</v>
      </c>
      <c r="BP82" s="52">
        <v>186.26</v>
      </c>
      <c r="BQ82" s="52">
        <v>199.64</v>
      </c>
      <c r="BR82" s="52">
        <v>153.6</v>
      </c>
      <c r="BS82" s="52">
        <v>280.99</v>
      </c>
      <c r="BT82" s="52">
        <v>211.31</v>
      </c>
      <c r="BU82" s="52">
        <v>261.42</v>
      </c>
      <c r="BV82" s="52">
        <v>291.52</v>
      </c>
      <c r="BW82" s="52">
        <v>140.96</v>
      </c>
      <c r="BX82" s="52">
        <v>141.83000000000001</v>
      </c>
      <c r="BY82" s="52">
        <v>194.24</v>
      </c>
      <c r="BZ82" s="52">
        <v>147.61000000000001</v>
      </c>
      <c r="CA82" s="52">
        <v>206.61</v>
      </c>
      <c r="CB82" s="53">
        <v>272.89999999999998</v>
      </c>
      <c r="CC82" s="52">
        <v>159.52000000000001</v>
      </c>
      <c r="CD82" s="52">
        <v>190.19</v>
      </c>
      <c r="CE82" s="52">
        <v>171.75</v>
      </c>
      <c r="CF82" s="52">
        <v>243.19</v>
      </c>
      <c r="CG82" s="52">
        <v>210.11</v>
      </c>
      <c r="CH82" s="52">
        <v>170.25</v>
      </c>
      <c r="CI82" s="52">
        <v>149.29</v>
      </c>
      <c r="CJ82" s="52">
        <v>157.33000000000001</v>
      </c>
      <c r="CK82" s="52">
        <v>118.05</v>
      </c>
      <c r="CL82" s="52">
        <v>113.88</v>
      </c>
      <c r="CM82" s="52">
        <v>238.75</v>
      </c>
      <c r="CN82" s="52">
        <v>165.15</v>
      </c>
      <c r="CO82" s="52">
        <v>178.04</v>
      </c>
      <c r="CP82" s="52">
        <v>118.3</v>
      </c>
      <c r="CQ82" s="52">
        <v>264.89999999999998</v>
      </c>
      <c r="CR82" s="52">
        <v>92.25</v>
      </c>
      <c r="CS82" s="52">
        <v>143.6</v>
      </c>
      <c r="CT82" s="52">
        <v>110.1</v>
      </c>
      <c r="CU82" s="52">
        <v>199.07</v>
      </c>
      <c r="CV82" s="52">
        <v>146.85</v>
      </c>
      <c r="CW82" s="52">
        <v>95.66</v>
      </c>
      <c r="CX82" s="52">
        <v>175.19</v>
      </c>
      <c r="CY82" s="52">
        <v>122.2</v>
      </c>
      <c r="CZ82" s="52">
        <v>100.59</v>
      </c>
      <c r="DA82" s="52">
        <v>132.27000000000001</v>
      </c>
      <c r="DB82" s="52">
        <v>175.33</v>
      </c>
      <c r="DC82" s="52">
        <v>228.99</v>
      </c>
      <c r="DD82" s="52">
        <v>225.37</v>
      </c>
      <c r="DE82" s="52">
        <v>175.29</v>
      </c>
      <c r="DF82" s="52">
        <v>202.14</v>
      </c>
      <c r="DG82" s="52">
        <v>219.97</v>
      </c>
      <c r="DH82" s="52">
        <v>133.74</v>
      </c>
      <c r="DI82" s="52">
        <v>166.27</v>
      </c>
      <c r="DJ82" s="52">
        <v>240.06</v>
      </c>
      <c r="DK82" s="52">
        <v>218.24</v>
      </c>
      <c r="DL82" s="52">
        <v>47.1</v>
      </c>
      <c r="DM82" s="52">
        <v>120.59</v>
      </c>
      <c r="DN82" s="52">
        <v>50.77</v>
      </c>
      <c r="DO82" s="52">
        <v>86.36</v>
      </c>
      <c r="DP82" s="52">
        <v>140.61000000000001</v>
      </c>
      <c r="DQ82" s="52">
        <v>149.16999999999999</v>
      </c>
      <c r="DR82" s="52">
        <v>207.44</v>
      </c>
      <c r="DS82" s="52">
        <v>151.77000000000001</v>
      </c>
      <c r="DT82" s="52"/>
      <c r="DU82" s="52">
        <v>189.04</v>
      </c>
      <c r="DV82" s="52">
        <v>229.49</v>
      </c>
      <c r="DW82" s="52">
        <v>160.22999999999999</v>
      </c>
      <c r="DX82" s="52">
        <v>187.61</v>
      </c>
      <c r="DY82" s="52">
        <v>292.64</v>
      </c>
      <c r="DZ82" s="52">
        <v>194.02</v>
      </c>
      <c r="EA82" s="52">
        <v>156.21</v>
      </c>
      <c r="EB82" s="52">
        <v>196.41</v>
      </c>
      <c r="EC82" s="52">
        <v>222.03</v>
      </c>
      <c r="ED82" s="52">
        <v>210.53</v>
      </c>
      <c r="EE82" s="52">
        <v>198.75</v>
      </c>
      <c r="EF82" s="52">
        <v>158.05000000000001</v>
      </c>
      <c r="EG82" s="52">
        <v>241.21</v>
      </c>
      <c r="EH82" s="52">
        <v>228.79</v>
      </c>
      <c r="EI82" s="52">
        <v>223.22</v>
      </c>
      <c r="EJ82" s="52">
        <v>103.66</v>
      </c>
      <c r="EK82" s="52">
        <v>130.52000000000001</v>
      </c>
      <c r="EL82" s="52">
        <v>425.14</v>
      </c>
      <c r="EM82" s="52">
        <v>193.34</v>
      </c>
      <c r="EN82" s="52">
        <v>216.92</v>
      </c>
      <c r="EO82" s="52">
        <v>230.27</v>
      </c>
      <c r="EP82" s="52">
        <v>155.30000000000001</v>
      </c>
      <c r="EQ82" s="52">
        <v>171.35</v>
      </c>
      <c r="ER82" s="52">
        <v>258.33999999999997</v>
      </c>
      <c r="ES82" s="52">
        <v>229.39</v>
      </c>
      <c r="ET82" s="52">
        <v>222.62</v>
      </c>
      <c r="EU82" s="52">
        <v>184.61</v>
      </c>
      <c r="EV82" s="52">
        <v>196.54</v>
      </c>
      <c r="EW82" s="52">
        <v>187.63</v>
      </c>
      <c r="EX82" s="52">
        <v>186.32</v>
      </c>
      <c r="EY82" s="52">
        <v>134.94999999999999</v>
      </c>
      <c r="EZ82" s="52">
        <v>213.7</v>
      </c>
      <c r="FA82" s="52">
        <v>271.26</v>
      </c>
      <c r="FB82" s="52">
        <v>198.35</v>
      </c>
      <c r="FC82" s="52">
        <v>302.86</v>
      </c>
      <c r="FD82" s="52">
        <v>180.92</v>
      </c>
      <c r="FE82" s="52">
        <v>197.79</v>
      </c>
      <c r="FF82" s="52"/>
      <c r="FG82" s="52">
        <v>141.08000000000001</v>
      </c>
      <c r="FH82" s="52">
        <v>155.71</v>
      </c>
      <c r="FI82" s="52">
        <v>189.5</v>
      </c>
      <c r="FJ82" s="52">
        <v>176.08</v>
      </c>
      <c r="FK82" s="52">
        <v>221.89</v>
      </c>
      <c r="FL82" s="52">
        <v>192.47</v>
      </c>
      <c r="FM82" s="52">
        <v>169.68</v>
      </c>
      <c r="FN82" s="52">
        <v>295.75</v>
      </c>
      <c r="FO82" s="52">
        <v>237.66</v>
      </c>
      <c r="FP82" s="52">
        <v>176.86</v>
      </c>
      <c r="FQ82" s="52">
        <v>333.49</v>
      </c>
      <c r="FR82" s="52">
        <v>244.18</v>
      </c>
      <c r="FS82" s="52">
        <v>225.32</v>
      </c>
      <c r="FT82" s="52">
        <v>147.58000000000001</v>
      </c>
      <c r="FU82" s="52">
        <v>208.75</v>
      </c>
      <c r="FV82" s="52">
        <v>176.99</v>
      </c>
      <c r="FW82" s="52">
        <v>111.55</v>
      </c>
      <c r="FX82" s="52">
        <v>186.26</v>
      </c>
      <c r="FY82" s="52">
        <v>201.94</v>
      </c>
      <c r="FZ82" s="52">
        <v>199.9</v>
      </c>
      <c r="GA82" s="52">
        <v>160.44</v>
      </c>
      <c r="GB82" s="52">
        <v>161.56</v>
      </c>
      <c r="GC82" s="52">
        <v>153.6</v>
      </c>
      <c r="GD82" s="52">
        <v>136.03</v>
      </c>
      <c r="GE82" s="52">
        <v>280.99</v>
      </c>
      <c r="GF82" s="52">
        <v>211.31</v>
      </c>
      <c r="GG82" s="52">
        <v>261.42</v>
      </c>
      <c r="GH82" s="52">
        <v>291.02999999999997</v>
      </c>
      <c r="GI82" s="52">
        <v>146.6</v>
      </c>
      <c r="GJ82" s="52">
        <v>139.68</v>
      </c>
      <c r="GK82" s="52">
        <v>129.69999999999999</v>
      </c>
      <c r="GL82" s="52">
        <v>156.12</v>
      </c>
      <c r="GM82" s="52">
        <v>141.83000000000001</v>
      </c>
      <c r="GN82" s="52">
        <v>194.24</v>
      </c>
      <c r="GO82" s="52">
        <v>144.76</v>
      </c>
      <c r="GP82" s="52">
        <v>151.69</v>
      </c>
      <c r="GQ82" s="52">
        <v>146.34</v>
      </c>
      <c r="GR82" s="52">
        <v>206.61</v>
      </c>
      <c r="GS82" s="52">
        <v>272.89999999999998</v>
      </c>
      <c r="GT82" s="52">
        <v>159.52000000000001</v>
      </c>
      <c r="GU82" s="52">
        <v>190.19</v>
      </c>
      <c r="GV82" s="52">
        <v>171.75</v>
      </c>
      <c r="GW82" s="52">
        <v>196.08</v>
      </c>
      <c r="GX82" s="52">
        <v>277.11</v>
      </c>
      <c r="GY82" s="52">
        <v>210.11</v>
      </c>
      <c r="GZ82" s="52">
        <v>195.99</v>
      </c>
      <c r="HA82" s="52">
        <v>173.81</v>
      </c>
      <c r="HB82" s="52">
        <v>166.42</v>
      </c>
      <c r="HC82" s="52">
        <v>149.29</v>
      </c>
      <c r="HD82" s="52">
        <v>157.33000000000001</v>
      </c>
      <c r="HE82" s="52">
        <v>108.91</v>
      </c>
      <c r="HF82" s="52">
        <v>112.06</v>
      </c>
      <c r="HG82" s="52">
        <v>128.24</v>
      </c>
      <c r="HH82" s="52">
        <v>145.37</v>
      </c>
      <c r="HI82" s="52">
        <v>74.95</v>
      </c>
      <c r="HJ82" s="52">
        <v>113.88</v>
      </c>
      <c r="HK82" s="52">
        <v>238.75</v>
      </c>
      <c r="HL82" s="52">
        <v>144.6</v>
      </c>
      <c r="HM82" s="52">
        <v>185.05</v>
      </c>
      <c r="HN82" s="52">
        <v>180.1</v>
      </c>
      <c r="HO82" s="52">
        <v>154.1</v>
      </c>
      <c r="HP82" s="52">
        <v>200.62</v>
      </c>
      <c r="HQ82" s="52">
        <v>113.06</v>
      </c>
      <c r="HR82" s="52">
        <v>161.5</v>
      </c>
      <c r="HS82" s="52">
        <v>267.61</v>
      </c>
      <c r="HT82" s="52">
        <v>189.33</v>
      </c>
      <c r="HU82" s="52">
        <v>92.25</v>
      </c>
      <c r="HV82" s="52">
        <v>143.6</v>
      </c>
      <c r="HW82" s="52">
        <v>114.74</v>
      </c>
      <c r="HX82" s="52">
        <v>95.18</v>
      </c>
      <c r="HY82" s="52">
        <v>199.07</v>
      </c>
      <c r="HZ82" s="52">
        <v>146.85</v>
      </c>
      <c r="IA82" s="52">
        <v>87.37</v>
      </c>
      <c r="IB82" s="52">
        <v>175.19</v>
      </c>
      <c r="IC82" s="52">
        <v>110.37</v>
      </c>
      <c r="ID82" s="52">
        <v>124.22</v>
      </c>
      <c r="IE82" s="52">
        <v>100.59</v>
      </c>
      <c r="IF82" s="52">
        <v>132.27000000000001</v>
      </c>
      <c r="IG82" s="52">
        <v>175.33</v>
      </c>
      <c r="IH82" s="52">
        <v>228.99</v>
      </c>
      <c r="II82" s="52">
        <v>225.37</v>
      </c>
      <c r="IJ82" s="52">
        <v>175.29</v>
      </c>
      <c r="IK82" s="52">
        <v>217</v>
      </c>
      <c r="IL82" s="52">
        <v>170.67</v>
      </c>
      <c r="IM82" s="52">
        <v>233.95</v>
      </c>
      <c r="IN82" s="52">
        <v>224.91</v>
      </c>
      <c r="IO82" s="52">
        <v>170.33</v>
      </c>
      <c r="IP82" s="52">
        <v>133.74</v>
      </c>
      <c r="IQ82" s="52">
        <v>166.27</v>
      </c>
      <c r="IR82" s="52">
        <v>240.06</v>
      </c>
      <c r="IS82" s="52">
        <v>218.24</v>
      </c>
      <c r="IT82" s="52">
        <v>47.1</v>
      </c>
      <c r="IU82" s="52">
        <v>120.59</v>
      </c>
      <c r="IV82" s="52">
        <v>51.3</v>
      </c>
      <c r="IW82" s="52">
        <v>86.36</v>
      </c>
      <c r="IX82" s="52">
        <v>140.61000000000001</v>
      </c>
      <c r="IY82" s="52">
        <v>149.16999999999999</v>
      </c>
      <c r="IZ82" s="52">
        <v>207.44</v>
      </c>
      <c r="JA82" s="52">
        <v>151.77000000000001</v>
      </c>
      <c r="JB82" s="52"/>
      <c r="JC82" s="52">
        <v>189.04</v>
      </c>
      <c r="JD82" s="52">
        <v>229.49</v>
      </c>
      <c r="JE82" s="52">
        <v>169.39</v>
      </c>
      <c r="JF82" s="52">
        <v>157.19999999999999</v>
      </c>
      <c r="JG82" s="52">
        <v>187.61</v>
      </c>
      <c r="JH82" s="52">
        <v>292.64</v>
      </c>
      <c r="JI82" s="52">
        <v>194.02</v>
      </c>
      <c r="JJ82" s="52">
        <v>156.21</v>
      </c>
      <c r="JK82" s="52">
        <v>196.41</v>
      </c>
      <c r="JL82" s="52">
        <v>222.03</v>
      </c>
      <c r="JM82" s="52">
        <v>210.53</v>
      </c>
      <c r="JN82" s="52">
        <v>198.75</v>
      </c>
      <c r="JO82" s="52">
        <v>158.05000000000001</v>
      </c>
      <c r="JP82" s="52">
        <v>253.5</v>
      </c>
      <c r="JQ82" s="52">
        <v>212.1</v>
      </c>
      <c r="JR82" s="52">
        <v>207.55</v>
      </c>
      <c r="JS82" s="52">
        <v>261.88</v>
      </c>
      <c r="JT82" s="52">
        <v>246.14</v>
      </c>
      <c r="JU82" s="52">
        <v>200.88</v>
      </c>
      <c r="JV82" s="52">
        <v>103.66</v>
      </c>
      <c r="JW82" s="52">
        <v>130.52000000000001</v>
      </c>
      <c r="JX82" s="52">
        <v>425.14</v>
      </c>
      <c r="JY82" s="52">
        <v>196.9</v>
      </c>
      <c r="JZ82" s="52">
        <v>185.11</v>
      </c>
      <c r="KA82" s="52">
        <v>216.92</v>
      </c>
      <c r="KB82" s="52">
        <v>230.27</v>
      </c>
      <c r="KC82" s="52">
        <v>155.30000000000001</v>
      </c>
      <c r="KD82" s="52">
        <v>171.35</v>
      </c>
      <c r="KE82" s="52">
        <v>258.33999999999997</v>
      </c>
      <c r="KF82" s="52">
        <v>229.39</v>
      </c>
    </row>
    <row r="83" spans="1:292" s="41" customFormat="1" ht="12">
      <c r="A83" s="41">
        <v>2011</v>
      </c>
      <c r="B83" s="54" t="s">
        <v>987</v>
      </c>
      <c r="C83" s="55" t="s">
        <v>988</v>
      </c>
      <c r="D83" s="52">
        <v>188.08</v>
      </c>
      <c r="E83" s="52">
        <v>191.47</v>
      </c>
      <c r="F83" s="52">
        <v>290.39999999999998</v>
      </c>
      <c r="G83" s="52">
        <v>144.81</v>
      </c>
      <c r="H83" s="52">
        <v>217.67</v>
      </c>
      <c r="I83" s="52">
        <v>152.66</v>
      </c>
      <c r="J83" s="52">
        <v>128.86000000000001</v>
      </c>
      <c r="K83" s="52">
        <v>186.27</v>
      </c>
      <c r="L83" s="52">
        <v>111.86</v>
      </c>
      <c r="M83" s="52">
        <v>147.56</v>
      </c>
      <c r="N83" s="52">
        <v>195.78</v>
      </c>
      <c r="O83" s="52">
        <v>245.89</v>
      </c>
      <c r="P83" s="52">
        <v>210.94</v>
      </c>
      <c r="Q83" s="52">
        <v>192.48</v>
      </c>
      <c r="R83" s="52">
        <v>175.88</v>
      </c>
      <c r="S83" s="52">
        <v>270.97000000000003</v>
      </c>
      <c r="T83" s="52">
        <v>291.52</v>
      </c>
      <c r="U83" s="52">
        <v>143.16</v>
      </c>
      <c r="V83" s="52">
        <v>147.46</v>
      </c>
      <c r="W83" s="52">
        <v>273.89</v>
      </c>
      <c r="X83" s="52">
        <v>159.97999999999999</v>
      </c>
      <c r="Y83" s="52">
        <v>192.91</v>
      </c>
      <c r="Z83" s="52">
        <v>211.48</v>
      </c>
      <c r="AA83" s="52">
        <v>167.05</v>
      </c>
      <c r="AB83" s="52">
        <v>158.33000000000001</v>
      </c>
      <c r="AC83" s="52">
        <v>126.31</v>
      </c>
      <c r="AD83" s="52">
        <v>165.44</v>
      </c>
      <c r="AE83" s="52">
        <v>178.55</v>
      </c>
      <c r="AF83" s="52">
        <v>147.72</v>
      </c>
      <c r="AG83" s="52">
        <v>95.37</v>
      </c>
      <c r="AH83" s="52">
        <v>156.83000000000001</v>
      </c>
      <c r="AI83" s="52">
        <v>175.31</v>
      </c>
      <c r="AJ83" s="52">
        <v>122.75</v>
      </c>
      <c r="AK83" s="52">
        <v>223.41</v>
      </c>
      <c r="AL83" s="52">
        <v>218.8</v>
      </c>
      <c r="AM83" s="52">
        <v>218.24</v>
      </c>
      <c r="AN83" s="52">
        <v>47.32</v>
      </c>
      <c r="AO83" s="52">
        <v>121.49</v>
      </c>
      <c r="AP83" s="52">
        <v>68.48</v>
      </c>
      <c r="AQ83" s="52">
        <v>150.12</v>
      </c>
      <c r="AR83" s="52">
        <v>192.35</v>
      </c>
      <c r="AS83" s="52">
        <v>191.36</v>
      </c>
      <c r="AT83" s="52">
        <v>213.8</v>
      </c>
      <c r="AU83" s="52">
        <v>226.94</v>
      </c>
      <c r="AV83" s="52">
        <v>228.25</v>
      </c>
      <c r="AW83" s="52">
        <v>214.3</v>
      </c>
      <c r="AX83" s="52">
        <v>198.75</v>
      </c>
      <c r="AY83" s="52">
        <v>158.18</v>
      </c>
      <c r="AZ83" s="52">
        <v>242.34</v>
      </c>
      <c r="BA83" s="52">
        <v>230.38</v>
      </c>
      <c r="BB83" s="52">
        <v>150.68</v>
      </c>
      <c r="BC83" s="52">
        <v>365.97</v>
      </c>
      <c r="BD83" s="52">
        <v>217.42</v>
      </c>
      <c r="BE83" s="52">
        <v>184.4</v>
      </c>
      <c r="BF83" s="52">
        <v>273.64</v>
      </c>
      <c r="BG83" s="52">
        <v>229.35</v>
      </c>
      <c r="BH83" s="52">
        <v>195.44</v>
      </c>
      <c r="BI83" s="52">
        <v>217.53</v>
      </c>
      <c r="BJ83" s="52">
        <v>196.41</v>
      </c>
      <c r="BK83" s="52">
        <v>169.62</v>
      </c>
      <c r="BL83" s="52">
        <v>180.36</v>
      </c>
      <c r="BM83" s="52">
        <v>202.89</v>
      </c>
      <c r="BN83" s="52">
        <v>183.23</v>
      </c>
      <c r="BO83" s="52">
        <v>160.91999999999999</v>
      </c>
      <c r="BP83" s="52">
        <v>188.26</v>
      </c>
      <c r="BQ83" s="52">
        <v>201.95</v>
      </c>
      <c r="BR83" s="52">
        <v>153.99</v>
      </c>
      <c r="BS83" s="52">
        <v>280.99</v>
      </c>
      <c r="BT83" s="52">
        <v>212.64</v>
      </c>
      <c r="BU83" s="52">
        <v>261.49</v>
      </c>
      <c r="BV83" s="52">
        <v>291.52</v>
      </c>
      <c r="BW83" s="52">
        <v>142.35</v>
      </c>
      <c r="BX83" s="52">
        <v>141.43</v>
      </c>
      <c r="BY83" s="52">
        <v>195.06</v>
      </c>
      <c r="BZ83" s="52">
        <v>147.1</v>
      </c>
      <c r="CA83" s="52">
        <v>206.96</v>
      </c>
      <c r="CB83" s="53">
        <v>273.89</v>
      </c>
      <c r="CC83" s="52">
        <v>159.97999999999999</v>
      </c>
      <c r="CD83" s="52">
        <v>192.18</v>
      </c>
      <c r="CE83" s="52">
        <v>171.75</v>
      </c>
      <c r="CF83" s="52">
        <v>242.59</v>
      </c>
      <c r="CG83" s="52">
        <v>209.99</v>
      </c>
      <c r="CH83" s="52">
        <v>171.69</v>
      </c>
      <c r="CI83" s="52">
        <v>151.01</v>
      </c>
      <c r="CJ83" s="52">
        <v>158.33000000000001</v>
      </c>
      <c r="CK83" s="52">
        <v>117.9</v>
      </c>
      <c r="CL83" s="52">
        <v>114.66</v>
      </c>
      <c r="CM83" s="52">
        <v>238.08</v>
      </c>
      <c r="CN83" s="52">
        <v>165.44</v>
      </c>
      <c r="CO83" s="52">
        <v>178.55</v>
      </c>
      <c r="CP83" s="52">
        <v>119.73</v>
      </c>
      <c r="CQ83" s="52">
        <v>265.67</v>
      </c>
      <c r="CR83" s="52">
        <v>92.25</v>
      </c>
      <c r="CS83" s="52">
        <v>143.71</v>
      </c>
      <c r="CT83" s="52">
        <v>110.02</v>
      </c>
      <c r="CU83" s="52">
        <v>199.21</v>
      </c>
      <c r="CV83" s="52">
        <v>146.88999999999999</v>
      </c>
      <c r="CW83" s="52">
        <v>95.72</v>
      </c>
      <c r="CX83" s="52">
        <v>175.31</v>
      </c>
      <c r="CY83" s="52">
        <v>122.99</v>
      </c>
      <c r="CZ83" s="52">
        <v>100.92</v>
      </c>
      <c r="DA83" s="52">
        <v>133.28</v>
      </c>
      <c r="DB83" s="52">
        <v>176.06</v>
      </c>
      <c r="DC83" s="52">
        <v>227.62</v>
      </c>
      <c r="DD83" s="52">
        <v>222.78</v>
      </c>
      <c r="DE83" s="52">
        <v>182.31</v>
      </c>
      <c r="DF83" s="52">
        <v>202.14</v>
      </c>
      <c r="DG83" s="52">
        <v>222.34</v>
      </c>
      <c r="DH83" s="52">
        <v>136.13999999999999</v>
      </c>
      <c r="DI83" s="52">
        <v>166.27</v>
      </c>
      <c r="DJ83" s="52">
        <v>244.45</v>
      </c>
      <c r="DK83" s="52">
        <v>218.24</v>
      </c>
      <c r="DL83" s="52">
        <v>47.32</v>
      </c>
      <c r="DM83" s="52">
        <v>121.49</v>
      </c>
      <c r="DN83" s="52">
        <v>49.33</v>
      </c>
      <c r="DO83" s="52">
        <v>87.78</v>
      </c>
      <c r="DP83" s="52">
        <v>140.74</v>
      </c>
      <c r="DQ83" s="52">
        <v>150.12</v>
      </c>
      <c r="DR83" s="52">
        <v>207.78</v>
      </c>
      <c r="DS83" s="52">
        <v>152.47</v>
      </c>
      <c r="DT83" s="52"/>
      <c r="DU83" s="52">
        <v>189.66</v>
      </c>
      <c r="DV83" s="52">
        <v>228.23</v>
      </c>
      <c r="DW83" s="52">
        <v>160.1</v>
      </c>
      <c r="DX83" s="52">
        <v>187.61</v>
      </c>
      <c r="DY83" s="52">
        <v>285.88</v>
      </c>
      <c r="DZ83" s="52">
        <v>194.02</v>
      </c>
      <c r="EA83" s="52">
        <v>156.52000000000001</v>
      </c>
      <c r="EB83" s="52">
        <v>226.94</v>
      </c>
      <c r="EC83" s="52">
        <v>228.25</v>
      </c>
      <c r="ED83" s="52">
        <v>214.3</v>
      </c>
      <c r="EE83" s="52">
        <v>198.75</v>
      </c>
      <c r="EF83" s="52">
        <v>158.18</v>
      </c>
      <c r="EG83" s="52">
        <v>242.34</v>
      </c>
      <c r="EH83" s="52">
        <v>230.38</v>
      </c>
      <c r="EI83" s="52">
        <v>225.29</v>
      </c>
      <c r="EJ83" s="52">
        <v>103.27</v>
      </c>
      <c r="EK83" s="52">
        <v>130.68</v>
      </c>
      <c r="EL83" s="52">
        <v>440.98</v>
      </c>
      <c r="EM83" s="52">
        <v>194.1</v>
      </c>
      <c r="EN83" s="52">
        <v>217.42</v>
      </c>
      <c r="EO83" s="52">
        <v>231.03</v>
      </c>
      <c r="EP83" s="52">
        <v>155.30000000000001</v>
      </c>
      <c r="EQ83" s="52">
        <v>172.33</v>
      </c>
      <c r="ER83" s="52">
        <v>273.64</v>
      </c>
      <c r="ES83" s="52">
        <v>229.35</v>
      </c>
      <c r="ET83" s="52">
        <v>222</v>
      </c>
      <c r="EU83" s="52">
        <v>185.48</v>
      </c>
      <c r="EV83" s="52">
        <v>196.88</v>
      </c>
      <c r="EW83" s="52">
        <v>188.43</v>
      </c>
      <c r="EX83" s="52">
        <v>187.76</v>
      </c>
      <c r="EY83" s="52">
        <v>135.58000000000001</v>
      </c>
      <c r="EZ83" s="52">
        <v>213.39</v>
      </c>
      <c r="FA83" s="52">
        <v>275.88</v>
      </c>
      <c r="FB83" s="52">
        <v>187.5</v>
      </c>
      <c r="FC83" s="52">
        <v>286.89999999999998</v>
      </c>
      <c r="FD83" s="52">
        <v>179.19</v>
      </c>
      <c r="FE83" s="52">
        <v>196.41</v>
      </c>
      <c r="FF83" s="52"/>
      <c r="FG83" s="52">
        <v>137.9</v>
      </c>
      <c r="FH83" s="52">
        <v>155.47</v>
      </c>
      <c r="FI83" s="52">
        <v>188.6</v>
      </c>
      <c r="FJ83" s="52">
        <v>185.92</v>
      </c>
      <c r="FK83" s="52">
        <v>221.29</v>
      </c>
      <c r="FL83" s="52">
        <v>196.16</v>
      </c>
      <c r="FM83" s="52">
        <v>173.65</v>
      </c>
      <c r="FN83" s="52">
        <v>195.41</v>
      </c>
      <c r="FO83" s="52">
        <v>240.75</v>
      </c>
      <c r="FP83" s="52">
        <v>155.16999999999999</v>
      </c>
      <c r="FQ83" s="52">
        <v>230.66</v>
      </c>
      <c r="FR83" s="52">
        <v>241.67</v>
      </c>
      <c r="FS83" s="52">
        <v>224.44</v>
      </c>
      <c r="FT83" s="52">
        <v>149.15</v>
      </c>
      <c r="FU83" s="52">
        <v>209.53</v>
      </c>
      <c r="FV83" s="52">
        <v>176.53</v>
      </c>
      <c r="FW83" s="52">
        <v>105.97</v>
      </c>
      <c r="FX83" s="52">
        <v>188.26</v>
      </c>
      <c r="FY83" s="52">
        <v>209.42</v>
      </c>
      <c r="FZ83" s="52">
        <v>201.4</v>
      </c>
      <c r="GA83" s="52">
        <v>164.41</v>
      </c>
      <c r="GB83" s="52">
        <v>162.69</v>
      </c>
      <c r="GC83" s="52">
        <v>154.26</v>
      </c>
      <c r="GD83" s="52">
        <v>134.26</v>
      </c>
      <c r="GE83" s="52">
        <v>280.99</v>
      </c>
      <c r="GF83" s="52">
        <v>212.64</v>
      </c>
      <c r="GG83" s="52">
        <v>261.49</v>
      </c>
      <c r="GH83" s="52">
        <v>291.02999999999997</v>
      </c>
      <c r="GI83" s="52">
        <v>148.06</v>
      </c>
      <c r="GJ83" s="52">
        <v>139.80000000000001</v>
      </c>
      <c r="GK83" s="52">
        <v>134.24</v>
      </c>
      <c r="GL83" s="52">
        <v>156.26</v>
      </c>
      <c r="GM83" s="52">
        <v>141.43</v>
      </c>
      <c r="GN83" s="52">
        <v>195.06</v>
      </c>
      <c r="GO83" s="52">
        <v>143.72999999999999</v>
      </c>
      <c r="GP83" s="52">
        <v>151.44</v>
      </c>
      <c r="GQ83" s="52">
        <v>146.57</v>
      </c>
      <c r="GR83" s="52">
        <v>206.96</v>
      </c>
      <c r="GS83" s="52">
        <v>273.89</v>
      </c>
      <c r="GT83" s="52">
        <v>159.97999999999999</v>
      </c>
      <c r="GU83" s="52">
        <v>192.18</v>
      </c>
      <c r="GV83" s="52">
        <v>171.75</v>
      </c>
      <c r="GW83" s="52">
        <v>196.21</v>
      </c>
      <c r="GX83" s="52">
        <v>275.86</v>
      </c>
      <c r="GY83" s="52">
        <v>209.99</v>
      </c>
      <c r="GZ83" s="52">
        <v>196.96</v>
      </c>
      <c r="HA83" s="52">
        <v>175.93</v>
      </c>
      <c r="HB83" s="52">
        <v>167.58</v>
      </c>
      <c r="HC83" s="52">
        <v>151.01</v>
      </c>
      <c r="HD83" s="52">
        <v>158.33000000000001</v>
      </c>
      <c r="HE83" s="52">
        <v>108.91</v>
      </c>
      <c r="HF83" s="52">
        <v>112.06</v>
      </c>
      <c r="HG83" s="52">
        <v>125.49</v>
      </c>
      <c r="HH83" s="52">
        <v>145.93</v>
      </c>
      <c r="HI83" s="52">
        <v>74.89</v>
      </c>
      <c r="HJ83" s="52">
        <v>114.66</v>
      </c>
      <c r="HK83" s="52">
        <v>238.08</v>
      </c>
      <c r="HL83" s="52">
        <v>144.28</v>
      </c>
      <c r="HM83" s="52">
        <v>185.62</v>
      </c>
      <c r="HN83" s="52">
        <v>181.01</v>
      </c>
      <c r="HO83" s="52">
        <v>154.58000000000001</v>
      </c>
      <c r="HP83" s="52">
        <v>201.14</v>
      </c>
      <c r="HQ83" s="52">
        <v>114.61</v>
      </c>
      <c r="HR83" s="52">
        <v>162.02000000000001</v>
      </c>
      <c r="HS83" s="52">
        <v>268.39999999999998</v>
      </c>
      <c r="HT83" s="52">
        <v>189.8</v>
      </c>
      <c r="HU83" s="52">
        <v>92.25</v>
      </c>
      <c r="HV83" s="52">
        <v>143.71</v>
      </c>
      <c r="HW83" s="52">
        <v>114.75</v>
      </c>
      <c r="HX83" s="52">
        <v>94.94</v>
      </c>
      <c r="HY83" s="52">
        <v>199.21</v>
      </c>
      <c r="HZ83" s="52">
        <v>146.88999999999999</v>
      </c>
      <c r="IA83" s="52">
        <v>87.43</v>
      </c>
      <c r="IB83" s="52">
        <v>175.31</v>
      </c>
      <c r="IC83" s="52">
        <v>110.97</v>
      </c>
      <c r="ID83" s="52">
        <v>125.14</v>
      </c>
      <c r="IE83" s="52">
        <v>100.92</v>
      </c>
      <c r="IF83" s="52">
        <v>133.28</v>
      </c>
      <c r="IG83" s="52">
        <v>176.06</v>
      </c>
      <c r="IH83" s="52">
        <v>227.62</v>
      </c>
      <c r="II83" s="52">
        <v>222.78</v>
      </c>
      <c r="IJ83" s="52">
        <v>182.31</v>
      </c>
      <c r="IK83" s="52">
        <v>217</v>
      </c>
      <c r="IL83" s="52">
        <v>170.67</v>
      </c>
      <c r="IM83" s="52">
        <v>234.2</v>
      </c>
      <c r="IN83" s="52">
        <v>224.91</v>
      </c>
      <c r="IO83" s="52">
        <v>178.95</v>
      </c>
      <c r="IP83" s="52">
        <v>136.13999999999999</v>
      </c>
      <c r="IQ83" s="52">
        <v>166.27</v>
      </c>
      <c r="IR83" s="52">
        <v>244.45</v>
      </c>
      <c r="IS83" s="52">
        <v>218.24</v>
      </c>
      <c r="IT83" s="52">
        <v>47.32</v>
      </c>
      <c r="IU83" s="52">
        <v>121.49</v>
      </c>
      <c r="IV83" s="52">
        <v>49.75</v>
      </c>
      <c r="IW83" s="52">
        <v>87.78</v>
      </c>
      <c r="IX83" s="52">
        <v>140.74</v>
      </c>
      <c r="IY83" s="52">
        <v>150.12</v>
      </c>
      <c r="IZ83" s="52">
        <v>207.78</v>
      </c>
      <c r="JA83" s="52">
        <v>152.47</v>
      </c>
      <c r="JB83" s="52"/>
      <c r="JC83" s="52">
        <v>189.66</v>
      </c>
      <c r="JD83" s="52">
        <v>228.23</v>
      </c>
      <c r="JE83" s="52">
        <v>169.53</v>
      </c>
      <c r="JF83" s="52">
        <v>157.03</v>
      </c>
      <c r="JG83" s="52">
        <v>187.61</v>
      </c>
      <c r="JH83" s="52">
        <v>285.88</v>
      </c>
      <c r="JI83" s="52">
        <v>194.02</v>
      </c>
      <c r="JJ83" s="52">
        <v>156.52000000000001</v>
      </c>
      <c r="JK83" s="52">
        <v>226.94</v>
      </c>
      <c r="JL83" s="52">
        <v>228.25</v>
      </c>
      <c r="JM83" s="52">
        <v>214.3</v>
      </c>
      <c r="JN83" s="52">
        <v>198.75</v>
      </c>
      <c r="JO83" s="52">
        <v>158.18</v>
      </c>
      <c r="JP83" s="52">
        <v>254.92</v>
      </c>
      <c r="JQ83" s="52">
        <v>212.51</v>
      </c>
      <c r="JR83" s="52">
        <v>209.78</v>
      </c>
      <c r="JS83" s="52">
        <v>262.06</v>
      </c>
      <c r="JT83" s="52">
        <v>247.46</v>
      </c>
      <c r="JU83" s="52">
        <v>203.54</v>
      </c>
      <c r="JV83" s="52">
        <v>103.27</v>
      </c>
      <c r="JW83" s="52">
        <v>130.68</v>
      </c>
      <c r="JX83" s="52">
        <v>440.98</v>
      </c>
      <c r="JY83" s="52">
        <v>198.1</v>
      </c>
      <c r="JZ83" s="52">
        <v>185.07</v>
      </c>
      <c r="KA83" s="52">
        <v>217.42</v>
      </c>
      <c r="KB83" s="52">
        <v>231.03</v>
      </c>
      <c r="KC83" s="52">
        <v>155.30000000000001</v>
      </c>
      <c r="KD83" s="52">
        <v>172.33</v>
      </c>
      <c r="KE83" s="52">
        <v>273.64</v>
      </c>
      <c r="KF83" s="52">
        <v>229.35</v>
      </c>
    </row>
    <row r="84" spans="1:292" s="41" customFormat="1" ht="12">
      <c r="A84" s="41">
        <v>2011</v>
      </c>
      <c r="B84" s="54" t="s">
        <v>989</v>
      </c>
      <c r="C84" s="55" t="s">
        <v>990</v>
      </c>
      <c r="D84" s="52">
        <v>187.31</v>
      </c>
      <c r="E84" s="52">
        <v>189.22</v>
      </c>
      <c r="F84" s="52">
        <v>290.42</v>
      </c>
      <c r="G84" s="52">
        <v>137.80000000000001</v>
      </c>
      <c r="H84" s="52">
        <v>217.79</v>
      </c>
      <c r="I84" s="52">
        <v>153.08000000000001</v>
      </c>
      <c r="J84" s="52">
        <v>127.93</v>
      </c>
      <c r="K84" s="52">
        <v>187.72</v>
      </c>
      <c r="L84" s="52">
        <v>112.07</v>
      </c>
      <c r="M84" s="52">
        <v>148.94</v>
      </c>
      <c r="N84" s="52">
        <v>197.2</v>
      </c>
      <c r="O84" s="52">
        <v>247.39</v>
      </c>
      <c r="P84" s="52">
        <v>214.04</v>
      </c>
      <c r="Q84" s="52">
        <v>189.91</v>
      </c>
      <c r="R84" s="52">
        <v>177.56</v>
      </c>
      <c r="S84" s="52">
        <v>271.39999999999998</v>
      </c>
      <c r="T84" s="52">
        <v>291.52</v>
      </c>
      <c r="U84" s="52">
        <v>136.13999999999999</v>
      </c>
      <c r="V84" s="52">
        <v>140.66</v>
      </c>
      <c r="W84" s="52">
        <v>275.05</v>
      </c>
      <c r="X84" s="52">
        <v>160.56</v>
      </c>
      <c r="Y84" s="52">
        <v>192.17</v>
      </c>
      <c r="Z84" s="52">
        <v>211.2</v>
      </c>
      <c r="AA84" s="52">
        <v>168.77</v>
      </c>
      <c r="AB84" s="52">
        <v>158.19999999999999</v>
      </c>
      <c r="AC84" s="52">
        <v>124.6</v>
      </c>
      <c r="AD84" s="52">
        <v>165.63</v>
      </c>
      <c r="AE84" s="52">
        <v>179.23</v>
      </c>
      <c r="AF84" s="52">
        <v>149.6</v>
      </c>
      <c r="AG84" s="52">
        <v>93.42</v>
      </c>
      <c r="AH84" s="52">
        <v>156.93</v>
      </c>
      <c r="AI84" s="52">
        <v>175.37</v>
      </c>
      <c r="AJ84" s="52">
        <v>122.77</v>
      </c>
      <c r="AK84" s="52">
        <v>226.74</v>
      </c>
      <c r="AL84" s="52">
        <v>220.49</v>
      </c>
      <c r="AM84" s="52">
        <v>218.24</v>
      </c>
      <c r="AN84" s="52">
        <v>46.65</v>
      </c>
      <c r="AO84" s="52">
        <v>121.92</v>
      </c>
      <c r="AP84" s="52">
        <v>68.58</v>
      </c>
      <c r="AQ84" s="52">
        <v>150.02000000000001</v>
      </c>
      <c r="AR84" s="52">
        <v>192.66</v>
      </c>
      <c r="AS84" s="52">
        <v>191.39</v>
      </c>
      <c r="AT84" s="52">
        <v>208.92</v>
      </c>
      <c r="AU84" s="52">
        <v>255.02</v>
      </c>
      <c r="AV84" s="52">
        <v>231.92</v>
      </c>
      <c r="AW84" s="52">
        <v>216.8</v>
      </c>
      <c r="AX84" s="52">
        <v>198.75</v>
      </c>
      <c r="AY84" s="52">
        <v>157.57</v>
      </c>
      <c r="AZ84" s="52">
        <v>243.72</v>
      </c>
      <c r="BA84" s="52">
        <v>232.84</v>
      </c>
      <c r="BB84" s="52">
        <v>151.27000000000001</v>
      </c>
      <c r="BC84" s="52">
        <v>380.33</v>
      </c>
      <c r="BD84" s="52">
        <v>217.62</v>
      </c>
      <c r="BE84" s="52">
        <v>187.25</v>
      </c>
      <c r="BF84" s="52">
        <v>273.64</v>
      </c>
      <c r="BG84" s="52">
        <v>229.37</v>
      </c>
      <c r="BH84" s="52">
        <v>196.72</v>
      </c>
      <c r="BI84" s="52">
        <v>222.39</v>
      </c>
      <c r="BJ84" s="52">
        <v>189.14</v>
      </c>
      <c r="BK84" s="52">
        <v>170.7</v>
      </c>
      <c r="BL84" s="52">
        <v>184.98</v>
      </c>
      <c r="BM84" s="52">
        <v>157.61000000000001</v>
      </c>
      <c r="BN84" s="52">
        <v>190.77</v>
      </c>
      <c r="BO84" s="52">
        <v>162.91</v>
      </c>
      <c r="BP84" s="52">
        <v>189.89</v>
      </c>
      <c r="BQ84" s="52">
        <v>204.13</v>
      </c>
      <c r="BR84" s="52">
        <v>155.34</v>
      </c>
      <c r="BS84" s="52">
        <v>281.01</v>
      </c>
      <c r="BT84" s="52">
        <v>215.55</v>
      </c>
      <c r="BU84" s="52">
        <v>261.95</v>
      </c>
      <c r="BV84" s="52">
        <v>291.52</v>
      </c>
      <c r="BW84" s="52">
        <v>134.9</v>
      </c>
      <c r="BX84" s="52">
        <v>139.41</v>
      </c>
      <c r="BY84" s="52">
        <v>196.44</v>
      </c>
      <c r="BZ84" s="52">
        <v>140.27000000000001</v>
      </c>
      <c r="CA84" s="52">
        <v>207.8</v>
      </c>
      <c r="CB84" s="53">
        <v>275.05</v>
      </c>
      <c r="CC84" s="52">
        <v>160.56</v>
      </c>
      <c r="CD84" s="52">
        <v>191.44</v>
      </c>
      <c r="CE84" s="52">
        <v>171.68</v>
      </c>
      <c r="CF84" s="52">
        <v>241.52</v>
      </c>
      <c r="CG84" s="52">
        <v>210.79</v>
      </c>
      <c r="CH84" s="52">
        <v>173.55</v>
      </c>
      <c r="CI84" s="52">
        <v>151.96</v>
      </c>
      <c r="CJ84" s="52">
        <v>158.19999999999999</v>
      </c>
      <c r="CK84" s="52">
        <v>115.8</v>
      </c>
      <c r="CL84" s="52">
        <v>115.13</v>
      </c>
      <c r="CM84" s="52">
        <v>242.43</v>
      </c>
      <c r="CN84" s="52">
        <v>165.63</v>
      </c>
      <c r="CO84" s="52">
        <v>179.23</v>
      </c>
      <c r="CP84" s="52">
        <v>121.38</v>
      </c>
      <c r="CQ84" s="52">
        <v>268.39999999999998</v>
      </c>
      <c r="CR84" s="52">
        <v>89.85</v>
      </c>
      <c r="CS84" s="52">
        <v>144.03</v>
      </c>
      <c r="CT84" s="52">
        <v>110.11</v>
      </c>
      <c r="CU84" s="52">
        <v>199.35</v>
      </c>
      <c r="CV84" s="52">
        <v>146.94</v>
      </c>
      <c r="CW84" s="52">
        <v>95.8</v>
      </c>
      <c r="CX84" s="52">
        <v>175.37</v>
      </c>
      <c r="CY84" s="52">
        <v>122.97</v>
      </c>
      <c r="CZ84" s="52">
        <v>102.9</v>
      </c>
      <c r="DA84" s="52">
        <v>133.61000000000001</v>
      </c>
      <c r="DB84" s="52">
        <v>179.03</v>
      </c>
      <c r="DC84" s="52">
        <v>230.39</v>
      </c>
      <c r="DD84" s="52">
        <v>232.05</v>
      </c>
      <c r="DE84" s="52">
        <v>184.04</v>
      </c>
      <c r="DF84" s="52">
        <v>202.31</v>
      </c>
      <c r="DG84" s="52">
        <v>223.84</v>
      </c>
      <c r="DH84" s="52">
        <v>139.30000000000001</v>
      </c>
      <c r="DI84" s="52">
        <v>166.27</v>
      </c>
      <c r="DJ84" s="52">
        <v>246.98</v>
      </c>
      <c r="DK84" s="52">
        <v>218.24</v>
      </c>
      <c r="DL84" s="52">
        <v>46.65</v>
      </c>
      <c r="DM84" s="52">
        <v>121.92</v>
      </c>
      <c r="DN84" s="52">
        <v>48.92</v>
      </c>
      <c r="DO84" s="52">
        <v>88.45</v>
      </c>
      <c r="DP84" s="52">
        <v>142.22999999999999</v>
      </c>
      <c r="DQ84" s="52">
        <v>150.02000000000001</v>
      </c>
      <c r="DR84" s="52">
        <v>207.56</v>
      </c>
      <c r="DS84" s="52">
        <v>153.56</v>
      </c>
      <c r="DT84" s="52"/>
      <c r="DU84" s="52">
        <v>189.94</v>
      </c>
      <c r="DV84" s="52">
        <v>228.17</v>
      </c>
      <c r="DW84" s="52">
        <v>160.21</v>
      </c>
      <c r="DX84" s="52">
        <v>187.61</v>
      </c>
      <c r="DY84" s="52">
        <v>270.20999999999998</v>
      </c>
      <c r="DZ84" s="52">
        <v>194.48</v>
      </c>
      <c r="EA84" s="52">
        <v>156.9</v>
      </c>
      <c r="EB84" s="52">
        <v>255.02</v>
      </c>
      <c r="EC84" s="52">
        <v>231.92</v>
      </c>
      <c r="ED84" s="52">
        <v>216.8</v>
      </c>
      <c r="EE84" s="52">
        <v>198.75</v>
      </c>
      <c r="EF84" s="52">
        <v>157.57</v>
      </c>
      <c r="EG84" s="52">
        <v>243.72</v>
      </c>
      <c r="EH84" s="52">
        <v>232.84</v>
      </c>
      <c r="EI84" s="52">
        <v>226.31</v>
      </c>
      <c r="EJ84" s="52">
        <v>103.54</v>
      </c>
      <c r="EK84" s="52">
        <v>131.15</v>
      </c>
      <c r="EL84" s="52">
        <v>464.28</v>
      </c>
      <c r="EM84" s="52">
        <v>194.15</v>
      </c>
      <c r="EN84" s="52">
        <v>217.62</v>
      </c>
      <c r="EO84" s="52">
        <v>231.53</v>
      </c>
      <c r="EP84" s="52">
        <v>155.30000000000001</v>
      </c>
      <c r="EQ84" s="52">
        <v>176.66</v>
      </c>
      <c r="ER84" s="52">
        <v>273.64</v>
      </c>
      <c r="ES84" s="52">
        <v>229.37</v>
      </c>
      <c r="ET84" s="52">
        <v>221.69</v>
      </c>
      <c r="EU84" s="52">
        <v>185.29</v>
      </c>
      <c r="EV84" s="52">
        <v>198.4</v>
      </c>
      <c r="EW84" s="52">
        <v>189.96</v>
      </c>
      <c r="EX84" s="52">
        <v>193.23</v>
      </c>
      <c r="EY84" s="52">
        <v>137.47999999999999</v>
      </c>
      <c r="EZ84" s="52">
        <v>218.49</v>
      </c>
      <c r="FA84" s="52">
        <v>283.04000000000002</v>
      </c>
      <c r="FB84" s="52">
        <v>191.09</v>
      </c>
      <c r="FC84" s="52">
        <v>277.18</v>
      </c>
      <c r="FD84" s="52">
        <v>182.77</v>
      </c>
      <c r="FE84" s="52">
        <v>189.14</v>
      </c>
      <c r="FF84" s="52"/>
      <c r="FG84" s="52">
        <v>136.68</v>
      </c>
      <c r="FH84" s="52">
        <v>155.08000000000001</v>
      </c>
      <c r="FI84" s="52">
        <v>189.1</v>
      </c>
      <c r="FJ84" s="52">
        <v>194.58</v>
      </c>
      <c r="FK84" s="52">
        <v>221.66</v>
      </c>
      <c r="FL84" s="52">
        <v>200.01</v>
      </c>
      <c r="FM84" s="52">
        <v>178.95</v>
      </c>
      <c r="FN84" s="52">
        <v>141.44999999999999</v>
      </c>
      <c r="FO84" s="52">
        <v>243.95</v>
      </c>
      <c r="FP84" s="52">
        <v>166.86</v>
      </c>
      <c r="FQ84" s="52">
        <v>222.82</v>
      </c>
      <c r="FR84" s="52">
        <v>244.96</v>
      </c>
      <c r="FS84" s="52">
        <v>225.1</v>
      </c>
      <c r="FT84" s="52">
        <v>152.97999999999999</v>
      </c>
      <c r="FU84" s="52">
        <v>209.15</v>
      </c>
      <c r="FV84" s="52">
        <v>177.56</v>
      </c>
      <c r="FW84" s="52">
        <v>106.49</v>
      </c>
      <c r="FX84" s="52">
        <v>189.89</v>
      </c>
      <c r="FY84" s="52">
        <v>216.53</v>
      </c>
      <c r="FZ84" s="52">
        <v>202.84</v>
      </c>
      <c r="GA84" s="52">
        <v>167.27</v>
      </c>
      <c r="GB84" s="52">
        <v>163.54</v>
      </c>
      <c r="GC84" s="52">
        <v>156.55000000000001</v>
      </c>
      <c r="GD84" s="52">
        <v>134.32</v>
      </c>
      <c r="GE84" s="52">
        <v>281.01</v>
      </c>
      <c r="GF84" s="52">
        <v>215.55</v>
      </c>
      <c r="GG84" s="52">
        <v>261.95</v>
      </c>
      <c r="GH84" s="52">
        <v>291.02999999999997</v>
      </c>
      <c r="GI84" s="52">
        <v>141.05000000000001</v>
      </c>
      <c r="GJ84" s="52">
        <v>131.19999999999999</v>
      </c>
      <c r="GK84" s="52">
        <v>128.24</v>
      </c>
      <c r="GL84" s="52">
        <v>154.96</v>
      </c>
      <c r="GM84" s="52">
        <v>139.41</v>
      </c>
      <c r="GN84" s="52">
        <v>196.44</v>
      </c>
      <c r="GO84" s="52">
        <v>137.97999999999999</v>
      </c>
      <c r="GP84" s="52">
        <v>142.5</v>
      </c>
      <c r="GQ84" s="52">
        <v>141.22</v>
      </c>
      <c r="GR84" s="52">
        <v>207.8</v>
      </c>
      <c r="GS84" s="52">
        <v>275.05</v>
      </c>
      <c r="GT84" s="52">
        <v>160.56</v>
      </c>
      <c r="GU84" s="52">
        <v>191.44</v>
      </c>
      <c r="GV84" s="52">
        <v>171.68</v>
      </c>
      <c r="GW84" s="52">
        <v>196.45</v>
      </c>
      <c r="GX84" s="52">
        <v>273.60000000000002</v>
      </c>
      <c r="GY84" s="52">
        <v>210.79</v>
      </c>
      <c r="GZ84" s="52">
        <v>198.03</v>
      </c>
      <c r="HA84" s="52">
        <v>179.24</v>
      </c>
      <c r="HB84" s="52">
        <v>168.8</v>
      </c>
      <c r="HC84" s="52">
        <v>151.96</v>
      </c>
      <c r="HD84" s="52">
        <v>158.19999999999999</v>
      </c>
      <c r="HE84" s="52">
        <v>103.02</v>
      </c>
      <c r="HF84" s="52">
        <v>112.06</v>
      </c>
      <c r="HG84" s="52">
        <v>124.38</v>
      </c>
      <c r="HH84" s="52">
        <v>146.54</v>
      </c>
      <c r="HI84" s="52">
        <v>75.040000000000006</v>
      </c>
      <c r="HJ84" s="52">
        <v>115.13</v>
      </c>
      <c r="HK84" s="52">
        <v>242.43</v>
      </c>
      <c r="HL84" s="52">
        <v>143.94</v>
      </c>
      <c r="HM84" s="52">
        <v>186</v>
      </c>
      <c r="HN84" s="52">
        <v>181.76</v>
      </c>
      <c r="HO84" s="52">
        <v>155.62</v>
      </c>
      <c r="HP84" s="52">
        <v>201.26</v>
      </c>
      <c r="HQ84" s="52">
        <v>116.52</v>
      </c>
      <c r="HR84" s="52">
        <v>161.72999999999999</v>
      </c>
      <c r="HS84" s="52">
        <v>271.22000000000003</v>
      </c>
      <c r="HT84" s="52">
        <v>190.95</v>
      </c>
      <c r="HU84" s="52">
        <v>89.85</v>
      </c>
      <c r="HV84" s="52">
        <v>144.03</v>
      </c>
      <c r="HW84" s="52">
        <v>114.76</v>
      </c>
      <c r="HX84" s="52">
        <v>95.16</v>
      </c>
      <c r="HY84" s="52">
        <v>199.35</v>
      </c>
      <c r="HZ84" s="52">
        <v>146.94</v>
      </c>
      <c r="IA84" s="52">
        <v>87.5</v>
      </c>
      <c r="IB84" s="52">
        <v>175.37</v>
      </c>
      <c r="IC84" s="52">
        <v>110.94</v>
      </c>
      <c r="ID84" s="52">
        <v>125.15</v>
      </c>
      <c r="IE84" s="52">
        <v>102.9</v>
      </c>
      <c r="IF84" s="52">
        <v>133.61000000000001</v>
      </c>
      <c r="IG84" s="52">
        <v>179.03</v>
      </c>
      <c r="IH84" s="52">
        <v>230.39</v>
      </c>
      <c r="II84" s="52">
        <v>232.05</v>
      </c>
      <c r="IJ84" s="52">
        <v>184.04</v>
      </c>
      <c r="IK84" s="52">
        <v>217.31</v>
      </c>
      <c r="IL84" s="52">
        <v>170.67</v>
      </c>
      <c r="IM84" s="52">
        <v>234.72</v>
      </c>
      <c r="IN84" s="52">
        <v>225.54</v>
      </c>
      <c r="IO84" s="52">
        <v>183.25</v>
      </c>
      <c r="IP84" s="52">
        <v>139.30000000000001</v>
      </c>
      <c r="IQ84" s="52">
        <v>166.27</v>
      </c>
      <c r="IR84" s="52">
        <v>246.98</v>
      </c>
      <c r="IS84" s="52">
        <v>218.24</v>
      </c>
      <c r="IT84" s="52">
        <v>46.65</v>
      </c>
      <c r="IU84" s="52">
        <v>121.92</v>
      </c>
      <c r="IV84" s="52">
        <v>49.33</v>
      </c>
      <c r="IW84" s="52">
        <v>88.45</v>
      </c>
      <c r="IX84" s="52">
        <v>142.22999999999999</v>
      </c>
      <c r="IY84" s="52">
        <v>150.02000000000001</v>
      </c>
      <c r="IZ84" s="52">
        <v>207.56</v>
      </c>
      <c r="JA84" s="52">
        <v>153.56</v>
      </c>
      <c r="JB84" s="52"/>
      <c r="JC84" s="52">
        <v>189.94</v>
      </c>
      <c r="JD84" s="52">
        <v>228.17</v>
      </c>
      <c r="JE84" s="52">
        <v>170.09</v>
      </c>
      <c r="JF84" s="52">
        <v>157.03</v>
      </c>
      <c r="JG84" s="52">
        <v>187.61</v>
      </c>
      <c r="JH84" s="52">
        <v>270.20999999999998</v>
      </c>
      <c r="JI84" s="52">
        <v>194.48</v>
      </c>
      <c r="JJ84" s="52">
        <v>156.9</v>
      </c>
      <c r="JK84" s="52">
        <v>255.02</v>
      </c>
      <c r="JL84" s="52">
        <v>231.92</v>
      </c>
      <c r="JM84" s="52">
        <v>216.8</v>
      </c>
      <c r="JN84" s="52">
        <v>198.75</v>
      </c>
      <c r="JO84" s="52">
        <v>157.57</v>
      </c>
      <c r="JP84" s="52">
        <v>256.27999999999997</v>
      </c>
      <c r="JQ84" s="52">
        <v>213.97</v>
      </c>
      <c r="JR84" s="52">
        <v>213.33</v>
      </c>
      <c r="JS84" s="52">
        <v>262.19</v>
      </c>
      <c r="JT84" s="52">
        <v>248.72</v>
      </c>
      <c r="JU84" s="52">
        <v>204.34</v>
      </c>
      <c r="JV84" s="52">
        <v>103.54</v>
      </c>
      <c r="JW84" s="52">
        <v>131.15</v>
      </c>
      <c r="JX84" s="52">
        <v>464.28</v>
      </c>
      <c r="JY84" s="52">
        <v>198.1</v>
      </c>
      <c r="JZ84" s="52">
        <v>185.22</v>
      </c>
      <c r="KA84" s="52">
        <v>217.62</v>
      </c>
      <c r="KB84" s="52">
        <v>231.53</v>
      </c>
      <c r="KC84" s="52">
        <v>155.30000000000001</v>
      </c>
      <c r="KD84" s="52">
        <v>176.66</v>
      </c>
      <c r="KE84" s="52">
        <v>273.64</v>
      </c>
      <c r="KF84" s="52">
        <v>229.37</v>
      </c>
    </row>
    <row r="85" spans="1:292" s="41" customFormat="1" ht="12">
      <c r="A85" s="41">
        <v>2011</v>
      </c>
      <c r="B85" s="54" t="s">
        <v>991</v>
      </c>
      <c r="C85" s="55" t="s">
        <v>992</v>
      </c>
      <c r="D85" s="52">
        <v>188.67</v>
      </c>
      <c r="E85" s="52">
        <v>191.83</v>
      </c>
      <c r="F85" s="52">
        <v>290.45</v>
      </c>
      <c r="G85" s="52">
        <v>131.81</v>
      </c>
      <c r="H85" s="52">
        <v>218.96</v>
      </c>
      <c r="I85" s="52">
        <v>154.35</v>
      </c>
      <c r="J85" s="52">
        <v>128.01</v>
      </c>
      <c r="K85" s="52">
        <v>191.28</v>
      </c>
      <c r="L85" s="52">
        <v>111.97</v>
      </c>
      <c r="M85" s="52">
        <v>150.16999999999999</v>
      </c>
      <c r="N85" s="52">
        <v>197.81</v>
      </c>
      <c r="O85" s="52">
        <v>248.98</v>
      </c>
      <c r="P85" s="52">
        <v>223.78</v>
      </c>
      <c r="Q85" s="52">
        <v>192.64</v>
      </c>
      <c r="R85" s="52">
        <v>178.54</v>
      </c>
      <c r="S85" s="52">
        <v>271.8</v>
      </c>
      <c r="T85" s="52">
        <v>291.52</v>
      </c>
      <c r="U85" s="52">
        <v>129.68</v>
      </c>
      <c r="V85" s="52">
        <v>136.49</v>
      </c>
      <c r="W85" s="52">
        <v>275.93</v>
      </c>
      <c r="X85" s="52">
        <v>161.35</v>
      </c>
      <c r="Y85" s="52">
        <v>192.14</v>
      </c>
      <c r="Z85" s="52">
        <v>213.07</v>
      </c>
      <c r="AA85" s="52">
        <v>171.19</v>
      </c>
      <c r="AB85" s="52">
        <v>158.12</v>
      </c>
      <c r="AC85" s="52">
        <v>125.25</v>
      </c>
      <c r="AD85" s="52">
        <v>165.8</v>
      </c>
      <c r="AE85" s="52">
        <v>180.14</v>
      </c>
      <c r="AF85" s="52">
        <v>151.18</v>
      </c>
      <c r="AG85" s="52">
        <v>93.4</v>
      </c>
      <c r="AH85" s="52">
        <v>157.12</v>
      </c>
      <c r="AI85" s="52">
        <v>175.49</v>
      </c>
      <c r="AJ85" s="52">
        <v>125.79</v>
      </c>
      <c r="AK85" s="52">
        <v>231.72</v>
      </c>
      <c r="AL85" s="52">
        <v>221.8</v>
      </c>
      <c r="AM85" s="52">
        <v>218.24</v>
      </c>
      <c r="AN85" s="52">
        <v>46.2</v>
      </c>
      <c r="AO85" s="52">
        <v>121.92</v>
      </c>
      <c r="AP85" s="52">
        <v>69.459999999999994</v>
      </c>
      <c r="AQ85" s="52">
        <v>150.63</v>
      </c>
      <c r="AR85" s="52">
        <v>193.61</v>
      </c>
      <c r="AS85" s="52">
        <v>191.79</v>
      </c>
      <c r="AT85" s="52">
        <v>212.54</v>
      </c>
      <c r="AU85" s="52">
        <v>254.3</v>
      </c>
      <c r="AV85" s="52">
        <v>231.22</v>
      </c>
      <c r="AW85" s="52">
        <v>217.57</v>
      </c>
      <c r="AX85" s="52">
        <v>198.75</v>
      </c>
      <c r="AY85" s="52">
        <v>158.44999999999999</v>
      </c>
      <c r="AZ85" s="52">
        <v>245.19</v>
      </c>
      <c r="BA85" s="52">
        <v>235.52</v>
      </c>
      <c r="BB85" s="52">
        <v>152.1</v>
      </c>
      <c r="BC85" s="52">
        <v>430.84</v>
      </c>
      <c r="BD85" s="52">
        <v>218.68</v>
      </c>
      <c r="BE85" s="52">
        <v>189.67</v>
      </c>
      <c r="BF85" s="52">
        <v>273.64</v>
      </c>
      <c r="BG85" s="52">
        <v>229.4</v>
      </c>
      <c r="BH85" s="52">
        <v>197.84</v>
      </c>
      <c r="BI85" s="52">
        <v>229.58</v>
      </c>
      <c r="BJ85" s="52">
        <v>186.57</v>
      </c>
      <c r="BK85" s="52">
        <v>172.53</v>
      </c>
      <c r="BL85" s="52">
        <v>189.02</v>
      </c>
      <c r="BM85" s="52">
        <v>154.27000000000001</v>
      </c>
      <c r="BN85" s="52">
        <v>195.8</v>
      </c>
      <c r="BO85" s="52">
        <v>167.17</v>
      </c>
      <c r="BP85" s="52">
        <v>188.6</v>
      </c>
      <c r="BQ85" s="52">
        <v>204.18</v>
      </c>
      <c r="BR85" s="52">
        <v>156.77000000000001</v>
      </c>
      <c r="BS85" s="52">
        <v>280.98</v>
      </c>
      <c r="BT85" s="52">
        <v>219.83</v>
      </c>
      <c r="BU85" s="52">
        <v>262.2</v>
      </c>
      <c r="BV85" s="52">
        <v>291.52</v>
      </c>
      <c r="BW85" s="52">
        <v>128.07</v>
      </c>
      <c r="BX85" s="52">
        <v>137.22999999999999</v>
      </c>
      <c r="BY85" s="52">
        <v>197.17</v>
      </c>
      <c r="BZ85" s="52">
        <v>136.07</v>
      </c>
      <c r="CA85" s="52">
        <v>209.05</v>
      </c>
      <c r="CB85" s="53">
        <v>275.93</v>
      </c>
      <c r="CC85" s="52">
        <v>161.35</v>
      </c>
      <c r="CD85" s="52">
        <v>191.41</v>
      </c>
      <c r="CE85" s="52">
        <v>171.68</v>
      </c>
      <c r="CF85" s="52">
        <v>245.8</v>
      </c>
      <c r="CG85" s="52">
        <v>212.31</v>
      </c>
      <c r="CH85" s="52">
        <v>176.16</v>
      </c>
      <c r="CI85" s="52">
        <v>153.35</v>
      </c>
      <c r="CJ85" s="52">
        <v>158.12</v>
      </c>
      <c r="CK85" s="52">
        <v>116.39</v>
      </c>
      <c r="CL85" s="52">
        <v>115.41</v>
      </c>
      <c r="CM85" s="52">
        <v>244.47</v>
      </c>
      <c r="CN85" s="52">
        <v>165.8</v>
      </c>
      <c r="CO85" s="52">
        <v>180.14</v>
      </c>
      <c r="CP85" s="52">
        <v>122.68</v>
      </c>
      <c r="CQ85" s="52">
        <v>271.17</v>
      </c>
      <c r="CR85" s="52">
        <v>89.85</v>
      </c>
      <c r="CS85" s="52">
        <v>144</v>
      </c>
      <c r="CT85" s="52">
        <v>109.98</v>
      </c>
      <c r="CU85" s="52">
        <v>199.79</v>
      </c>
      <c r="CV85" s="52">
        <v>146.94999999999999</v>
      </c>
      <c r="CW85" s="52">
        <v>95.84</v>
      </c>
      <c r="CX85" s="52">
        <v>175.49</v>
      </c>
      <c r="CY85" s="52">
        <v>126.05</v>
      </c>
      <c r="CZ85" s="52">
        <v>104.28</v>
      </c>
      <c r="DA85" s="52">
        <v>133.01</v>
      </c>
      <c r="DB85" s="52">
        <v>181.58</v>
      </c>
      <c r="DC85" s="52">
        <v>236.06</v>
      </c>
      <c r="DD85" s="52">
        <v>233.71</v>
      </c>
      <c r="DE85" s="52">
        <v>184.69</v>
      </c>
      <c r="DF85" s="52">
        <v>205.74</v>
      </c>
      <c r="DG85" s="52">
        <v>225.1</v>
      </c>
      <c r="DH85" s="52">
        <v>139.21</v>
      </c>
      <c r="DI85" s="52">
        <v>172.95</v>
      </c>
      <c r="DJ85" s="52">
        <v>252.14</v>
      </c>
      <c r="DK85" s="52">
        <v>218.24</v>
      </c>
      <c r="DL85" s="52">
        <v>46.2</v>
      </c>
      <c r="DM85" s="52">
        <v>121.92</v>
      </c>
      <c r="DN85" s="52">
        <v>49.56</v>
      </c>
      <c r="DO85" s="52">
        <v>89.85</v>
      </c>
      <c r="DP85" s="52">
        <v>142.6</v>
      </c>
      <c r="DQ85" s="52">
        <v>150.63</v>
      </c>
      <c r="DR85" s="52">
        <v>208.67</v>
      </c>
      <c r="DS85" s="52">
        <v>154.22999999999999</v>
      </c>
      <c r="DT85" s="52"/>
      <c r="DU85" s="52">
        <v>190.24</v>
      </c>
      <c r="DV85" s="52">
        <v>228.92</v>
      </c>
      <c r="DW85" s="52">
        <v>160.41</v>
      </c>
      <c r="DX85" s="52">
        <v>187.61</v>
      </c>
      <c r="DY85" s="52">
        <v>280.32</v>
      </c>
      <c r="DZ85" s="52">
        <v>194.48</v>
      </c>
      <c r="EA85" s="52">
        <v>157.6</v>
      </c>
      <c r="EB85" s="52">
        <v>254.3</v>
      </c>
      <c r="EC85" s="52">
        <v>231.22</v>
      </c>
      <c r="ED85" s="52">
        <v>217.57</v>
      </c>
      <c r="EE85" s="52">
        <v>198.75</v>
      </c>
      <c r="EF85" s="52">
        <v>158.44999999999999</v>
      </c>
      <c r="EG85" s="52">
        <v>245.19</v>
      </c>
      <c r="EH85" s="52">
        <v>235.52</v>
      </c>
      <c r="EI85" s="52">
        <v>227.15</v>
      </c>
      <c r="EJ85" s="52">
        <v>103.57</v>
      </c>
      <c r="EK85" s="52">
        <v>132</v>
      </c>
      <c r="EL85" s="52">
        <v>546.26</v>
      </c>
      <c r="EM85" s="52">
        <v>194.29</v>
      </c>
      <c r="EN85" s="52">
        <v>218.68</v>
      </c>
      <c r="EO85" s="52">
        <v>231.12</v>
      </c>
      <c r="EP85" s="52">
        <v>160.29</v>
      </c>
      <c r="EQ85" s="52">
        <v>178.99</v>
      </c>
      <c r="ER85" s="52">
        <v>273.64</v>
      </c>
      <c r="ES85" s="52">
        <v>229.4</v>
      </c>
      <c r="ET85" s="52">
        <v>221.75</v>
      </c>
      <c r="EU85" s="52">
        <v>184.5</v>
      </c>
      <c r="EV85" s="52">
        <v>200.44</v>
      </c>
      <c r="EW85" s="52">
        <v>191.01</v>
      </c>
      <c r="EX85" s="52">
        <v>192.13</v>
      </c>
      <c r="EY85" s="52">
        <v>138.47</v>
      </c>
      <c r="EZ85" s="52">
        <v>223.86</v>
      </c>
      <c r="FA85" s="52">
        <v>289.33</v>
      </c>
      <c r="FB85" s="52">
        <v>208.89</v>
      </c>
      <c r="FC85" s="52">
        <v>273.56</v>
      </c>
      <c r="FD85" s="52">
        <v>179.05</v>
      </c>
      <c r="FE85" s="52">
        <v>186.57</v>
      </c>
      <c r="FF85" s="52"/>
      <c r="FG85" s="52">
        <v>136.28</v>
      </c>
      <c r="FH85" s="52">
        <v>155.30000000000001</v>
      </c>
      <c r="FI85" s="52">
        <v>189</v>
      </c>
      <c r="FJ85" s="52">
        <v>207.73</v>
      </c>
      <c r="FK85" s="52">
        <v>221.6</v>
      </c>
      <c r="FL85" s="52">
        <v>203</v>
      </c>
      <c r="FM85" s="52">
        <v>183.72</v>
      </c>
      <c r="FN85" s="52">
        <v>137.08000000000001</v>
      </c>
      <c r="FO85" s="52">
        <v>246.31</v>
      </c>
      <c r="FP85" s="52">
        <v>173.91</v>
      </c>
      <c r="FQ85" s="52">
        <v>225.5</v>
      </c>
      <c r="FR85" s="52">
        <v>245.81</v>
      </c>
      <c r="FS85" s="52">
        <v>224.94</v>
      </c>
      <c r="FT85" s="52">
        <v>159.41</v>
      </c>
      <c r="FU85" s="52">
        <v>209.8</v>
      </c>
      <c r="FV85" s="52">
        <v>178.71</v>
      </c>
      <c r="FW85" s="52">
        <v>114.57</v>
      </c>
      <c r="FX85" s="52">
        <v>188.6</v>
      </c>
      <c r="FY85" s="52">
        <v>219.78</v>
      </c>
      <c r="FZ85" s="52">
        <v>202.4</v>
      </c>
      <c r="GA85" s="52">
        <v>168.37</v>
      </c>
      <c r="GB85" s="52">
        <v>163.63999999999999</v>
      </c>
      <c r="GC85" s="52">
        <v>158.43</v>
      </c>
      <c r="GD85" s="52">
        <v>137.29</v>
      </c>
      <c r="GE85" s="52">
        <v>280.98</v>
      </c>
      <c r="GF85" s="52">
        <v>219.83</v>
      </c>
      <c r="GG85" s="52">
        <v>262.2</v>
      </c>
      <c r="GH85" s="52">
        <v>291.02999999999997</v>
      </c>
      <c r="GI85" s="52">
        <v>134.25</v>
      </c>
      <c r="GJ85" s="52">
        <v>123.73</v>
      </c>
      <c r="GK85" s="52">
        <v>122.6</v>
      </c>
      <c r="GL85" s="52">
        <v>153.43</v>
      </c>
      <c r="GM85" s="52">
        <v>137.22999999999999</v>
      </c>
      <c r="GN85" s="52">
        <v>197.17</v>
      </c>
      <c r="GO85" s="52">
        <v>134.65</v>
      </c>
      <c r="GP85" s="52">
        <v>136.52000000000001</v>
      </c>
      <c r="GQ85" s="52">
        <v>138.38</v>
      </c>
      <c r="GR85" s="52">
        <v>209.05</v>
      </c>
      <c r="GS85" s="52">
        <v>275.93</v>
      </c>
      <c r="GT85" s="52">
        <v>161.35</v>
      </c>
      <c r="GU85" s="52">
        <v>191.41</v>
      </c>
      <c r="GV85" s="52">
        <v>171.68</v>
      </c>
      <c r="GW85" s="52">
        <v>196.64</v>
      </c>
      <c r="GX85" s="52">
        <v>281.52</v>
      </c>
      <c r="GY85" s="52">
        <v>212.31</v>
      </c>
      <c r="GZ85" s="52">
        <v>198.47</v>
      </c>
      <c r="HA85" s="52">
        <v>180.08</v>
      </c>
      <c r="HB85" s="52">
        <v>172.88</v>
      </c>
      <c r="HC85" s="52">
        <v>153.35</v>
      </c>
      <c r="HD85" s="52">
        <v>158.12</v>
      </c>
      <c r="HE85" s="52">
        <v>104.02</v>
      </c>
      <c r="HF85" s="52">
        <v>111.88</v>
      </c>
      <c r="HG85" s="52">
        <v>124.49</v>
      </c>
      <c r="HH85" s="52">
        <v>147.81</v>
      </c>
      <c r="HI85" s="52">
        <v>75.34</v>
      </c>
      <c r="HJ85" s="52">
        <v>115.41</v>
      </c>
      <c r="HK85" s="52">
        <v>244.47</v>
      </c>
      <c r="HL85" s="52">
        <v>143.35</v>
      </c>
      <c r="HM85" s="52">
        <v>186.49</v>
      </c>
      <c r="HN85" s="52">
        <v>182.72</v>
      </c>
      <c r="HO85" s="52">
        <v>156.88</v>
      </c>
      <c r="HP85" s="52">
        <v>201.61</v>
      </c>
      <c r="HQ85" s="52">
        <v>118.01</v>
      </c>
      <c r="HR85" s="52">
        <v>161.56</v>
      </c>
      <c r="HS85" s="52">
        <v>274.12</v>
      </c>
      <c r="HT85" s="52">
        <v>191.56</v>
      </c>
      <c r="HU85" s="52">
        <v>89.85</v>
      </c>
      <c r="HV85" s="52">
        <v>144</v>
      </c>
      <c r="HW85" s="52">
        <v>114.76</v>
      </c>
      <c r="HX85" s="52">
        <v>94.82</v>
      </c>
      <c r="HY85" s="52">
        <v>199.79</v>
      </c>
      <c r="HZ85" s="52">
        <v>146.94999999999999</v>
      </c>
      <c r="IA85" s="52">
        <v>87.54</v>
      </c>
      <c r="IB85" s="52">
        <v>175.49</v>
      </c>
      <c r="IC85" s="52">
        <v>113.76</v>
      </c>
      <c r="ID85" s="52">
        <v>128.22999999999999</v>
      </c>
      <c r="IE85" s="52">
        <v>104.28</v>
      </c>
      <c r="IF85" s="52">
        <v>133.01</v>
      </c>
      <c r="IG85" s="52">
        <v>181.58</v>
      </c>
      <c r="IH85" s="52">
        <v>236.06</v>
      </c>
      <c r="II85" s="52">
        <v>233.71</v>
      </c>
      <c r="IJ85" s="52">
        <v>184.69</v>
      </c>
      <c r="IK85" s="52">
        <v>223.49</v>
      </c>
      <c r="IL85" s="52">
        <v>170.67</v>
      </c>
      <c r="IM85" s="52">
        <v>236.06</v>
      </c>
      <c r="IN85" s="52">
        <v>226.61</v>
      </c>
      <c r="IO85" s="52">
        <v>184.29</v>
      </c>
      <c r="IP85" s="52">
        <v>139.21</v>
      </c>
      <c r="IQ85" s="52">
        <v>172.95</v>
      </c>
      <c r="IR85" s="52">
        <v>252.14</v>
      </c>
      <c r="IS85" s="52">
        <v>218.24</v>
      </c>
      <c r="IT85" s="52">
        <v>46.2</v>
      </c>
      <c r="IU85" s="52">
        <v>121.92</v>
      </c>
      <c r="IV85" s="52">
        <v>50</v>
      </c>
      <c r="IW85" s="52">
        <v>89.85</v>
      </c>
      <c r="IX85" s="52">
        <v>142.6</v>
      </c>
      <c r="IY85" s="52">
        <v>150.63</v>
      </c>
      <c r="IZ85" s="52">
        <v>208.67</v>
      </c>
      <c r="JA85" s="52">
        <v>154.22999999999999</v>
      </c>
      <c r="JB85" s="52"/>
      <c r="JC85" s="52">
        <v>190.24</v>
      </c>
      <c r="JD85" s="52">
        <v>228.92</v>
      </c>
      <c r="JE85" s="52">
        <v>170.45</v>
      </c>
      <c r="JF85" s="52">
        <v>157.19999999999999</v>
      </c>
      <c r="JG85" s="52">
        <v>187.61</v>
      </c>
      <c r="JH85" s="52">
        <v>280.32</v>
      </c>
      <c r="JI85" s="52">
        <v>194.48</v>
      </c>
      <c r="JJ85" s="52">
        <v>157.6</v>
      </c>
      <c r="JK85" s="52">
        <v>254.3</v>
      </c>
      <c r="JL85" s="52">
        <v>231.22</v>
      </c>
      <c r="JM85" s="52">
        <v>217.57</v>
      </c>
      <c r="JN85" s="52">
        <v>198.75</v>
      </c>
      <c r="JO85" s="52">
        <v>158.44999999999999</v>
      </c>
      <c r="JP85" s="52">
        <v>258.06</v>
      </c>
      <c r="JQ85" s="52">
        <v>214.65</v>
      </c>
      <c r="JR85" s="52">
        <v>217.15</v>
      </c>
      <c r="JS85" s="52">
        <v>262.41000000000003</v>
      </c>
      <c r="JT85" s="52">
        <v>249.98</v>
      </c>
      <c r="JU85" s="52">
        <v>204.82</v>
      </c>
      <c r="JV85" s="52">
        <v>103.57</v>
      </c>
      <c r="JW85" s="52">
        <v>132</v>
      </c>
      <c r="JX85" s="52">
        <v>546.26</v>
      </c>
      <c r="JY85" s="52">
        <v>198.47</v>
      </c>
      <c r="JZ85" s="52">
        <v>184.94</v>
      </c>
      <c r="KA85" s="52">
        <v>218.68</v>
      </c>
      <c r="KB85" s="52">
        <v>231.12</v>
      </c>
      <c r="KC85" s="52">
        <v>160.29</v>
      </c>
      <c r="KD85" s="52">
        <v>178.99</v>
      </c>
      <c r="KE85" s="52">
        <v>273.64</v>
      </c>
      <c r="KF85" s="52">
        <v>229.4</v>
      </c>
    </row>
    <row r="86" spans="1:292" s="41" customFormat="1" ht="12">
      <c r="A86" s="41">
        <v>2011</v>
      </c>
      <c r="B86" s="54" t="s">
        <v>993</v>
      </c>
      <c r="C86" s="55" t="s">
        <v>994</v>
      </c>
      <c r="D86" s="52">
        <v>190.09</v>
      </c>
      <c r="E86" s="52">
        <v>193.73</v>
      </c>
      <c r="F86" s="52">
        <v>290.77</v>
      </c>
      <c r="G86" s="52">
        <v>127.54</v>
      </c>
      <c r="H86" s="52">
        <v>220.34</v>
      </c>
      <c r="I86" s="52">
        <v>155.77000000000001</v>
      </c>
      <c r="J86" s="52">
        <v>128.05000000000001</v>
      </c>
      <c r="K86" s="52">
        <v>194.95</v>
      </c>
      <c r="L86" s="52">
        <v>112.17</v>
      </c>
      <c r="M86" s="52">
        <v>150.82</v>
      </c>
      <c r="N86" s="52">
        <v>201.35</v>
      </c>
      <c r="O86" s="52">
        <v>251.72</v>
      </c>
      <c r="P86" s="52">
        <v>229.99</v>
      </c>
      <c r="Q86" s="52">
        <v>194.55</v>
      </c>
      <c r="R86" s="52">
        <v>180.29</v>
      </c>
      <c r="S86" s="52">
        <v>277.48</v>
      </c>
      <c r="T86" s="52">
        <v>291.52</v>
      </c>
      <c r="U86" s="52">
        <v>123.99</v>
      </c>
      <c r="V86" s="52">
        <v>137.52000000000001</v>
      </c>
      <c r="W86" s="52">
        <v>277.58999999999997</v>
      </c>
      <c r="X86" s="52">
        <v>162.49</v>
      </c>
      <c r="Y86" s="52">
        <v>193.04</v>
      </c>
      <c r="Z86" s="52">
        <v>214.52</v>
      </c>
      <c r="AA86" s="52">
        <v>171.87</v>
      </c>
      <c r="AB86" s="52">
        <v>158.41999999999999</v>
      </c>
      <c r="AC86" s="52">
        <v>127.26</v>
      </c>
      <c r="AD86" s="52">
        <v>166.94</v>
      </c>
      <c r="AE86" s="52">
        <v>181.97</v>
      </c>
      <c r="AF86" s="52">
        <v>152.97</v>
      </c>
      <c r="AG86" s="52">
        <v>93.45</v>
      </c>
      <c r="AH86" s="52">
        <v>157.13999999999999</v>
      </c>
      <c r="AI86" s="52">
        <v>175.51</v>
      </c>
      <c r="AJ86" s="52">
        <v>129.66999999999999</v>
      </c>
      <c r="AK86" s="52">
        <v>234.02</v>
      </c>
      <c r="AL86" s="52">
        <v>225.51</v>
      </c>
      <c r="AM86" s="52">
        <v>218.24</v>
      </c>
      <c r="AN86" s="52">
        <v>47.08</v>
      </c>
      <c r="AO86" s="52">
        <v>121.92</v>
      </c>
      <c r="AP86" s="52">
        <v>69.23</v>
      </c>
      <c r="AQ86" s="52">
        <v>152.49</v>
      </c>
      <c r="AR86" s="52">
        <v>197.3</v>
      </c>
      <c r="AS86" s="52">
        <v>195.01</v>
      </c>
      <c r="AT86" s="52">
        <v>213.74</v>
      </c>
      <c r="AU86" s="52">
        <v>249.52</v>
      </c>
      <c r="AV86" s="52">
        <v>229.6</v>
      </c>
      <c r="AW86" s="52">
        <v>218.38</v>
      </c>
      <c r="AX86" s="52">
        <v>210.01</v>
      </c>
      <c r="AY86" s="52">
        <v>163.57</v>
      </c>
      <c r="AZ86" s="52">
        <v>247.94</v>
      </c>
      <c r="BA86" s="52">
        <v>237.48</v>
      </c>
      <c r="BB86" s="52">
        <v>153.51</v>
      </c>
      <c r="BC86" s="52">
        <v>458.33</v>
      </c>
      <c r="BD86" s="52">
        <v>226.87</v>
      </c>
      <c r="BE86" s="52">
        <v>189.93</v>
      </c>
      <c r="BF86" s="52">
        <v>273.64</v>
      </c>
      <c r="BG86" s="52">
        <v>230.46</v>
      </c>
      <c r="BH86" s="52">
        <v>198.88</v>
      </c>
      <c r="BI86" s="52">
        <v>235.42</v>
      </c>
      <c r="BJ86" s="52">
        <v>177.72</v>
      </c>
      <c r="BK86" s="52">
        <v>184.99</v>
      </c>
      <c r="BL86" s="52">
        <v>190.1</v>
      </c>
      <c r="BM86" s="52">
        <v>148.99</v>
      </c>
      <c r="BN86" s="52">
        <v>192</v>
      </c>
      <c r="BO86" s="52">
        <v>168.8</v>
      </c>
      <c r="BP86" s="52">
        <v>195.55</v>
      </c>
      <c r="BQ86" s="52">
        <v>207.14</v>
      </c>
      <c r="BR86" s="52">
        <v>157.80000000000001</v>
      </c>
      <c r="BS86" s="52">
        <v>292.77999999999997</v>
      </c>
      <c r="BT86" s="52">
        <v>222.85</v>
      </c>
      <c r="BU86" s="52">
        <v>262.52</v>
      </c>
      <c r="BV86" s="52">
        <v>291.52</v>
      </c>
      <c r="BW86" s="52">
        <v>121.83</v>
      </c>
      <c r="BX86" s="52">
        <v>140.1</v>
      </c>
      <c r="BY86" s="52">
        <v>198.03</v>
      </c>
      <c r="BZ86" s="52">
        <v>137.1</v>
      </c>
      <c r="CA86" s="52">
        <v>210.72</v>
      </c>
      <c r="CB86" s="53">
        <v>277.58999999999997</v>
      </c>
      <c r="CC86" s="52">
        <v>162.49</v>
      </c>
      <c r="CD86" s="52">
        <v>192.31</v>
      </c>
      <c r="CE86" s="52">
        <v>171.68</v>
      </c>
      <c r="CF86" s="52">
        <v>247.18</v>
      </c>
      <c r="CG86" s="52">
        <v>217.16</v>
      </c>
      <c r="CH86" s="52">
        <v>176.63</v>
      </c>
      <c r="CI86" s="52">
        <v>155.53</v>
      </c>
      <c r="CJ86" s="52">
        <v>158.41999999999999</v>
      </c>
      <c r="CK86" s="52">
        <v>118.21</v>
      </c>
      <c r="CL86" s="52">
        <v>118.27</v>
      </c>
      <c r="CM86" s="52">
        <v>247.67</v>
      </c>
      <c r="CN86" s="52">
        <v>166.94</v>
      </c>
      <c r="CO86" s="52">
        <v>181.97</v>
      </c>
      <c r="CP86" s="52">
        <v>124.41</v>
      </c>
      <c r="CQ86" s="52">
        <v>272.88</v>
      </c>
      <c r="CR86" s="52">
        <v>89.85</v>
      </c>
      <c r="CS86" s="52">
        <v>144.21</v>
      </c>
      <c r="CT86" s="52">
        <v>110.28</v>
      </c>
      <c r="CU86" s="52">
        <v>199.77</v>
      </c>
      <c r="CV86" s="52">
        <v>147.02000000000001</v>
      </c>
      <c r="CW86" s="52">
        <v>95.86</v>
      </c>
      <c r="CX86" s="52">
        <v>175.51</v>
      </c>
      <c r="CY86" s="52">
        <v>129.96</v>
      </c>
      <c r="CZ86" s="52">
        <v>107.26</v>
      </c>
      <c r="DA86" s="52">
        <v>133.32</v>
      </c>
      <c r="DB86" s="52">
        <v>185.83</v>
      </c>
      <c r="DC86" s="52">
        <v>238.24</v>
      </c>
      <c r="DD86" s="52">
        <v>236.93</v>
      </c>
      <c r="DE86" s="52">
        <v>184.72</v>
      </c>
      <c r="DF86" s="52">
        <v>217.08</v>
      </c>
      <c r="DG86" s="52">
        <v>229.07</v>
      </c>
      <c r="DH86" s="52">
        <v>138.82</v>
      </c>
      <c r="DI86" s="52">
        <v>179.56</v>
      </c>
      <c r="DJ86" s="52">
        <v>253.44</v>
      </c>
      <c r="DK86" s="52">
        <v>218.24</v>
      </c>
      <c r="DL86" s="52">
        <v>47.08</v>
      </c>
      <c r="DM86" s="52">
        <v>121.92</v>
      </c>
      <c r="DN86" s="52">
        <v>48.79</v>
      </c>
      <c r="DO86" s="52">
        <v>90.43</v>
      </c>
      <c r="DP86" s="52">
        <v>142.78</v>
      </c>
      <c r="DQ86" s="52">
        <v>152.49</v>
      </c>
      <c r="DR86" s="52">
        <v>211.67</v>
      </c>
      <c r="DS86" s="52">
        <v>158.69</v>
      </c>
      <c r="DT86" s="52"/>
      <c r="DU86" s="52">
        <v>192.72</v>
      </c>
      <c r="DV86" s="52">
        <v>235.92</v>
      </c>
      <c r="DW86" s="52">
        <v>161.12</v>
      </c>
      <c r="DX86" s="52">
        <v>187.61</v>
      </c>
      <c r="DY86" s="52">
        <v>280.14999999999998</v>
      </c>
      <c r="DZ86" s="52">
        <v>194.48</v>
      </c>
      <c r="EA86" s="52">
        <v>160.65</v>
      </c>
      <c r="EB86" s="52">
        <v>249.52</v>
      </c>
      <c r="EC86" s="52">
        <v>229.6</v>
      </c>
      <c r="ED86" s="52">
        <v>218.38</v>
      </c>
      <c r="EE86" s="52">
        <v>210.01</v>
      </c>
      <c r="EF86" s="52">
        <v>163.57</v>
      </c>
      <c r="EG86" s="52">
        <v>247.94</v>
      </c>
      <c r="EH86" s="52">
        <v>237.48</v>
      </c>
      <c r="EI86" s="52">
        <v>230.08</v>
      </c>
      <c r="EJ86" s="52">
        <v>104.54</v>
      </c>
      <c r="EK86" s="52">
        <v>133.02000000000001</v>
      </c>
      <c r="EL86" s="52">
        <v>586.04999999999995</v>
      </c>
      <c r="EM86" s="52">
        <v>200.47</v>
      </c>
      <c r="EN86" s="52">
        <v>226.87</v>
      </c>
      <c r="EO86" s="52">
        <v>230.85</v>
      </c>
      <c r="EP86" s="52">
        <v>160.29</v>
      </c>
      <c r="EQ86" s="52">
        <v>179.48</v>
      </c>
      <c r="ER86" s="52">
        <v>273.64</v>
      </c>
      <c r="ES86" s="52">
        <v>230.46</v>
      </c>
      <c r="ET86" s="52">
        <v>219.58</v>
      </c>
      <c r="EU86" s="52">
        <v>185.56</v>
      </c>
      <c r="EV86" s="52">
        <v>201.86</v>
      </c>
      <c r="EW86" s="52">
        <v>191.7</v>
      </c>
      <c r="EX86" s="52">
        <v>195.83</v>
      </c>
      <c r="EY86" s="52">
        <v>139.58000000000001</v>
      </c>
      <c r="EZ86" s="52">
        <v>232.37</v>
      </c>
      <c r="FA86" s="52">
        <v>294.17</v>
      </c>
      <c r="FB86" s="52">
        <v>212.17</v>
      </c>
      <c r="FC86" s="52">
        <v>275.01</v>
      </c>
      <c r="FD86" s="52">
        <v>182.46</v>
      </c>
      <c r="FE86" s="52">
        <v>177.72</v>
      </c>
      <c r="FF86" s="52"/>
      <c r="FG86" s="52">
        <v>146.47</v>
      </c>
      <c r="FH86" s="52">
        <v>163.71</v>
      </c>
      <c r="FI86" s="52">
        <v>196.81</v>
      </c>
      <c r="FJ86" s="52">
        <v>241.98</v>
      </c>
      <c r="FK86" s="52">
        <v>229.76</v>
      </c>
      <c r="FL86" s="52">
        <v>205.2</v>
      </c>
      <c r="FM86" s="52">
        <v>183.74</v>
      </c>
      <c r="FN86" s="52">
        <v>129.27000000000001</v>
      </c>
      <c r="FO86" s="52">
        <v>255</v>
      </c>
      <c r="FP86" s="52">
        <v>169.3</v>
      </c>
      <c r="FQ86" s="52">
        <v>219.49</v>
      </c>
      <c r="FR86" s="52">
        <v>247.67</v>
      </c>
      <c r="FS86" s="52">
        <v>223.75</v>
      </c>
      <c r="FT86" s="52">
        <v>160.96</v>
      </c>
      <c r="FU86" s="52">
        <v>213.67</v>
      </c>
      <c r="FV86" s="52">
        <v>179.54</v>
      </c>
      <c r="FW86" s="52">
        <v>115.43</v>
      </c>
      <c r="FX86" s="52">
        <v>195.55</v>
      </c>
      <c r="FY86" s="52">
        <v>223.77</v>
      </c>
      <c r="FZ86" s="52">
        <v>205.17</v>
      </c>
      <c r="GA86" s="52">
        <v>172.35</v>
      </c>
      <c r="GB86" s="52">
        <v>164.25</v>
      </c>
      <c r="GC86" s="52">
        <v>159.71</v>
      </c>
      <c r="GD86" s="52">
        <v>138.53</v>
      </c>
      <c r="GE86" s="52">
        <v>292.77999999999997</v>
      </c>
      <c r="GF86" s="52">
        <v>222.85</v>
      </c>
      <c r="GG86" s="52">
        <v>262.52</v>
      </c>
      <c r="GH86" s="52">
        <v>291.02999999999997</v>
      </c>
      <c r="GI86" s="52">
        <v>126.27</v>
      </c>
      <c r="GJ86" s="52">
        <v>117.48</v>
      </c>
      <c r="GK86" s="52">
        <v>119.66</v>
      </c>
      <c r="GL86" s="52">
        <v>155.72999999999999</v>
      </c>
      <c r="GM86" s="52">
        <v>140.1</v>
      </c>
      <c r="GN86" s="52">
        <v>198.03</v>
      </c>
      <c r="GO86" s="52">
        <v>135.31</v>
      </c>
      <c r="GP86" s="52">
        <v>135.58000000000001</v>
      </c>
      <c r="GQ86" s="52">
        <v>144.07</v>
      </c>
      <c r="GR86" s="52">
        <v>210.72</v>
      </c>
      <c r="GS86" s="52">
        <v>277.58999999999997</v>
      </c>
      <c r="GT86" s="52">
        <v>162.49</v>
      </c>
      <c r="GU86" s="52">
        <v>192.31</v>
      </c>
      <c r="GV86" s="52">
        <v>171.68</v>
      </c>
      <c r="GW86" s="52">
        <v>197.04</v>
      </c>
      <c r="GX86" s="52">
        <v>283.77</v>
      </c>
      <c r="GY86" s="52">
        <v>217.16</v>
      </c>
      <c r="GZ86" s="52">
        <v>200.58</v>
      </c>
      <c r="HA86" s="52">
        <v>180.45</v>
      </c>
      <c r="HB86" s="52">
        <v>173.11</v>
      </c>
      <c r="HC86" s="52">
        <v>155.53</v>
      </c>
      <c r="HD86" s="52">
        <v>158.41999999999999</v>
      </c>
      <c r="HE86" s="52">
        <v>106.99</v>
      </c>
      <c r="HF86" s="52">
        <v>112.67</v>
      </c>
      <c r="HG86" s="52">
        <v>126.56</v>
      </c>
      <c r="HH86" s="52">
        <v>148.52000000000001</v>
      </c>
      <c r="HI86" s="52">
        <v>76.94</v>
      </c>
      <c r="HJ86" s="52">
        <v>118.27</v>
      </c>
      <c r="HK86" s="52">
        <v>247.67</v>
      </c>
      <c r="HL86" s="52">
        <v>143.91999999999999</v>
      </c>
      <c r="HM86" s="52">
        <v>187.04</v>
      </c>
      <c r="HN86" s="52">
        <v>184.53</v>
      </c>
      <c r="HO86" s="52">
        <v>158.29</v>
      </c>
      <c r="HP86" s="52">
        <v>203.91</v>
      </c>
      <c r="HQ86" s="52">
        <v>119.69</v>
      </c>
      <c r="HR86" s="52">
        <v>163.72999999999999</v>
      </c>
      <c r="HS86" s="52">
        <v>275.85000000000002</v>
      </c>
      <c r="HT86" s="52">
        <v>192.82</v>
      </c>
      <c r="HU86" s="52">
        <v>89.85</v>
      </c>
      <c r="HV86" s="52">
        <v>144.21</v>
      </c>
      <c r="HW86" s="52">
        <v>114.8</v>
      </c>
      <c r="HX86" s="52">
        <v>95.57</v>
      </c>
      <c r="HY86" s="52">
        <v>199.77</v>
      </c>
      <c r="HZ86" s="52">
        <v>147.02000000000001</v>
      </c>
      <c r="IA86" s="52">
        <v>87.56</v>
      </c>
      <c r="IB86" s="52">
        <v>175.51</v>
      </c>
      <c r="IC86" s="52">
        <v>117.5</v>
      </c>
      <c r="ID86" s="52">
        <v>131.96</v>
      </c>
      <c r="IE86" s="52">
        <v>107.26</v>
      </c>
      <c r="IF86" s="52">
        <v>133.32</v>
      </c>
      <c r="IG86" s="52">
        <v>185.83</v>
      </c>
      <c r="IH86" s="52">
        <v>238.24</v>
      </c>
      <c r="II86" s="52">
        <v>236.93</v>
      </c>
      <c r="IJ86" s="52">
        <v>184.72</v>
      </c>
      <c r="IK86" s="52">
        <v>229.85</v>
      </c>
      <c r="IL86" s="52">
        <v>186.94</v>
      </c>
      <c r="IM86" s="52">
        <v>241.22</v>
      </c>
      <c r="IN86" s="52">
        <v>226.74</v>
      </c>
      <c r="IO86" s="52">
        <v>186.03</v>
      </c>
      <c r="IP86" s="52">
        <v>138.82</v>
      </c>
      <c r="IQ86" s="52">
        <v>179.56</v>
      </c>
      <c r="IR86" s="52">
        <v>253.44</v>
      </c>
      <c r="IS86" s="52">
        <v>218.24</v>
      </c>
      <c r="IT86" s="52">
        <v>47.08</v>
      </c>
      <c r="IU86" s="52">
        <v>121.92</v>
      </c>
      <c r="IV86" s="52">
        <v>49.2</v>
      </c>
      <c r="IW86" s="52">
        <v>90.43</v>
      </c>
      <c r="IX86" s="52">
        <v>142.78</v>
      </c>
      <c r="IY86" s="52">
        <v>152.49</v>
      </c>
      <c r="IZ86" s="52">
        <v>211.67</v>
      </c>
      <c r="JA86" s="52">
        <v>158.69</v>
      </c>
      <c r="JB86" s="52"/>
      <c r="JC86" s="52">
        <v>192.72</v>
      </c>
      <c r="JD86" s="52">
        <v>235.92</v>
      </c>
      <c r="JE86" s="52">
        <v>171.54</v>
      </c>
      <c r="JF86" s="52">
        <v>157.82</v>
      </c>
      <c r="JG86" s="52">
        <v>187.61</v>
      </c>
      <c r="JH86" s="52">
        <v>280.14999999999998</v>
      </c>
      <c r="JI86" s="52">
        <v>194.48</v>
      </c>
      <c r="JJ86" s="52">
        <v>160.65</v>
      </c>
      <c r="JK86" s="52">
        <v>249.52</v>
      </c>
      <c r="JL86" s="52">
        <v>229.6</v>
      </c>
      <c r="JM86" s="52">
        <v>218.38</v>
      </c>
      <c r="JN86" s="52">
        <v>210.01</v>
      </c>
      <c r="JO86" s="52">
        <v>163.57</v>
      </c>
      <c r="JP86" s="52">
        <v>261.12</v>
      </c>
      <c r="JQ86" s="52">
        <v>216.64</v>
      </c>
      <c r="JR86" s="52">
        <v>217.7</v>
      </c>
      <c r="JS86" s="52">
        <v>267.17</v>
      </c>
      <c r="JT86" s="52">
        <v>253.39</v>
      </c>
      <c r="JU86" s="52">
        <v>207.31</v>
      </c>
      <c r="JV86" s="52">
        <v>104.54</v>
      </c>
      <c r="JW86" s="52">
        <v>133.02000000000001</v>
      </c>
      <c r="JX86" s="52">
        <v>586.04999999999995</v>
      </c>
      <c r="JY86" s="52">
        <v>207.95</v>
      </c>
      <c r="JZ86" s="52">
        <v>185.24</v>
      </c>
      <c r="KA86" s="52">
        <v>226.87</v>
      </c>
      <c r="KB86" s="52">
        <v>230.85</v>
      </c>
      <c r="KC86" s="52">
        <v>160.29</v>
      </c>
      <c r="KD86" s="52">
        <v>179.48</v>
      </c>
      <c r="KE86" s="52">
        <v>273.64</v>
      </c>
      <c r="KF86" s="52">
        <v>230.46</v>
      </c>
    </row>
    <row r="87" spans="1:292" s="41" customFormat="1" ht="12">
      <c r="A87" s="41">
        <v>2011</v>
      </c>
      <c r="B87" s="54" t="s">
        <v>995</v>
      </c>
      <c r="C87" s="55" t="s">
        <v>996</v>
      </c>
      <c r="D87" s="52">
        <v>196.31</v>
      </c>
      <c r="E87" s="52">
        <v>201.56</v>
      </c>
      <c r="F87" s="52">
        <v>331.8</v>
      </c>
      <c r="G87" s="52">
        <v>137.72999999999999</v>
      </c>
      <c r="H87" s="52">
        <v>228.25</v>
      </c>
      <c r="I87" s="52">
        <v>158.28</v>
      </c>
      <c r="J87" s="52">
        <v>128.09</v>
      </c>
      <c r="K87" s="52">
        <v>196.14</v>
      </c>
      <c r="L87" s="52">
        <v>112.81</v>
      </c>
      <c r="M87" s="52">
        <v>152.44999999999999</v>
      </c>
      <c r="N87" s="52">
        <v>201.83</v>
      </c>
      <c r="O87" s="52">
        <v>254.23</v>
      </c>
      <c r="P87" s="52">
        <v>227.78</v>
      </c>
      <c r="Q87" s="52">
        <v>202.83</v>
      </c>
      <c r="R87" s="52">
        <v>182.48</v>
      </c>
      <c r="S87" s="52">
        <v>301.47000000000003</v>
      </c>
      <c r="T87" s="52">
        <v>333.58</v>
      </c>
      <c r="U87" s="52">
        <v>133.72</v>
      </c>
      <c r="V87" s="52">
        <v>149.16999999999999</v>
      </c>
      <c r="W87" s="52">
        <v>279.02999999999997</v>
      </c>
      <c r="X87" s="52">
        <v>163.65</v>
      </c>
      <c r="Y87" s="52">
        <v>194.04</v>
      </c>
      <c r="Z87" s="52">
        <v>230.36</v>
      </c>
      <c r="AA87" s="52">
        <v>176.4</v>
      </c>
      <c r="AB87" s="52">
        <v>161.88999999999999</v>
      </c>
      <c r="AC87" s="52">
        <v>128.01</v>
      </c>
      <c r="AD87" s="52">
        <v>168.72</v>
      </c>
      <c r="AE87" s="52">
        <v>185.74</v>
      </c>
      <c r="AF87" s="52">
        <v>154.96</v>
      </c>
      <c r="AG87" s="52">
        <v>93.48</v>
      </c>
      <c r="AH87" s="52">
        <v>157.19</v>
      </c>
      <c r="AI87" s="52">
        <v>175.55</v>
      </c>
      <c r="AJ87" s="52">
        <v>130.94999999999999</v>
      </c>
      <c r="AK87" s="52">
        <v>233.87</v>
      </c>
      <c r="AL87" s="52">
        <v>228.03</v>
      </c>
      <c r="AM87" s="52">
        <v>218.24</v>
      </c>
      <c r="AN87" s="52">
        <v>49.93</v>
      </c>
      <c r="AO87" s="52">
        <v>121.92</v>
      </c>
      <c r="AP87" s="52">
        <v>70.25</v>
      </c>
      <c r="AQ87" s="52">
        <v>155.02000000000001</v>
      </c>
      <c r="AR87" s="52">
        <v>201.28</v>
      </c>
      <c r="AS87" s="52">
        <v>196.13</v>
      </c>
      <c r="AT87" s="52">
        <v>219.09</v>
      </c>
      <c r="AU87" s="52">
        <v>244.03</v>
      </c>
      <c r="AV87" s="52">
        <v>229.77</v>
      </c>
      <c r="AW87" s="52">
        <v>218.38</v>
      </c>
      <c r="AX87" s="52">
        <v>210.01</v>
      </c>
      <c r="AY87" s="52">
        <v>165.03</v>
      </c>
      <c r="AZ87" s="52">
        <v>250.45</v>
      </c>
      <c r="BA87" s="52">
        <v>239.31</v>
      </c>
      <c r="BB87" s="52">
        <v>154.71</v>
      </c>
      <c r="BC87" s="52">
        <v>440.28</v>
      </c>
      <c r="BD87" s="52">
        <v>228.64</v>
      </c>
      <c r="BE87" s="52">
        <v>191.96</v>
      </c>
      <c r="BF87" s="52">
        <v>281.75</v>
      </c>
      <c r="BG87" s="52">
        <v>230.45</v>
      </c>
      <c r="BH87" s="52">
        <v>199.52</v>
      </c>
      <c r="BI87" s="52">
        <v>233.45</v>
      </c>
      <c r="BJ87" s="52">
        <v>182.66</v>
      </c>
      <c r="BK87" s="52">
        <v>199.38</v>
      </c>
      <c r="BL87" s="52">
        <v>192.61</v>
      </c>
      <c r="BM87" s="52">
        <v>171.47</v>
      </c>
      <c r="BN87" s="52">
        <v>210.91</v>
      </c>
      <c r="BO87" s="52">
        <v>169.17</v>
      </c>
      <c r="BP87" s="52">
        <v>207.47</v>
      </c>
      <c r="BQ87" s="52">
        <v>210.38</v>
      </c>
      <c r="BR87" s="52">
        <v>159.32</v>
      </c>
      <c r="BS87" s="52">
        <v>329.74</v>
      </c>
      <c r="BT87" s="52">
        <v>233.59</v>
      </c>
      <c r="BU87" s="52">
        <v>275.81</v>
      </c>
      <c r="BV87" s="52">
        <v>333.58</v>
      </c>
      <c r="BW87" s="52">
        <v>132.02000000000001</v>
      </c>
      <c r="BX87" s="52">
        <v>144.21</v>
      </c>
      <c r="BY87" s="52">
        <v>198.88</v>
      </c>
      <c r="BZ87" s="52">
        <v>148.80000000000001</v>
      </c>
      <c r="CA87" s="52">
        <v>211.8</v>
      </c>
      <c r="CB87" s="53">
        <v>279.02999999999997</v>
      </c>
      <c r="CC87" s="52">
        <v>163.65</v>
      </c>
      <c r="CD87" s="52">
        <v>193.31</v>
      </c>
      <c r="CE87" s="52">
        <v>191.85</v>
      </c>
      <c r="CF87" s="52">
        <v>260.57</v>
      </c>
      <c r="CG87" s="52">
        <v>223.99</v>
      </c>
      <c r="CH87" s="52">
        <v>181.27</v>
      </c>
      <c r="CI87" s="52">
        <v>159.69999999999999</v>
      </c>
      <c r="CJ87" s="52">
        <v>161.88999999999999</v>
      </c>
      <c r="CK87" s="52">
        <v>118.96</v>
      </c>
      <c r="CL87" s="52">
        <v>118.89</v>
      </c>
      <c r="CM87" s="52">
        <v>248.04</v>
      </c>
      <c r="CN87" s="52">
        <v>168.72</v>
      </c>
      <c r="CO87" s="52">
        <v>185.74</v>
      </c>
      <c r="CP87" s="52">
        <v>125.99</v>
      </c>
      <c r="CQ87" s="52">
        <v>276.63</v>
      </c>
      <c r="CR87" s="52">
        <v>89.85</v>
      </c>
      <c r="CS87" s="52">
        <v>144.62</v>
      </c>
      <c r="CT87" s="52">
        <v>110.44</v>
      </c>
      <c r="CU87" s="52">
        <v>199.87</v>
      </c>
      <c r="CV87" s="52">
        <v>147.05000000000001</v>
      </c>
      <c r="CW87" s="52">
        <v>95.88</v>
      </c>
      <c r="CX87" s="52">
        <v>175.55</v>
      </c>
      <c r="CY87" s="52">
        <v>131.22999999999999</v>
      </c>
      <c r="CZ87" s="52">
        <v>109.18</v>
      </c>
      <c r="DA87" s="52">
        <v>134.13</v>
      </c>
      <c r="DB87" s="52">
        <v>188.63</v>
      </c>
      <c r="DC87" s="52">
        <v>237.75</v>
      </c>
      <c r="DD87" s="52">
        <v>238.48</v>
      </c>
      <c r="DE87" s="52">
        <v>184.07</v>
      </c>
      <c r="DF87" s="52">
        <v>216.49</v>
      </c>
      <c r="DG87" s="52">
        <v>231.75</v>
      </c>
      <c r="DH87" s="52">
        <v>140.24</v>
      </c>
      <c r="DI87" s="52">
        <v>179.56</v>
      </c>
      <c r="DJ87" s="52">
        <v>254.52</v>
      </c>
      <c r="DK87" s="52">
        <v>218.24</v>
      </c>
      <c r="DL87" s="52">
        <v>49.93</v>
      </c>
      <c r="DM87" s="52">
        <v>121.92</v>
      </c>
      <c r="DN87" s="52">
        <v>48.95</v>
      </c>
      <c r="DO87" s="52">
        <v>92.67</v>
      </c>
      <c r="DP87" s="52">
        <v>143.01</v>
      </c>
      <c r="DQ87" s="52">
        <v>155.02000000000001</v>
      </c>
      <c r="DR87" s="52">
        <v>216.28</v>
      </c>
      <c r="DS87" s="52">
        <v>161.51</v>
      </c>
      <c r="DT87" s="52"/>
      <c r="DU87" s="52">
        <v>193.68</v>
      </c>
      <c r="DV87" s="52">
        <v>237.77</v>
      </c>
      <c r="DW87" s="52">
        <v>161.85</v>
      </c>
      <c r="DX87" s="52">
        <v>187.61</v>
      </c>
      <c r="DY87" s="52">
        <v>294.52</v>
      </c>
      <c r="DZ87" s="52">
        <v>194.48</v>
      </c>
      <c r="EA87" s="52">
        <v>162.12</v>
      </c>
      <c r="EB87" s="52">
        <v>244.03</v>
      </c>
      <c r="EC87" s="52">
        <v>229.77</v>
      </c>
      <c r="ED87" s="52">
        <v>218.38</v>
      </c>
      <c r="EE87" s="52">
        <v>210.01</v>
      </c>
      <c r="EF87" s="52">
        <v>165.03</v>
      </c>
      <c r="EG87" s="52">
        <v>250.45</v>
      </c>
      <c r="EH87" s="52">
        <v>239.31</v>
      </c>
      <c r="EI87" s="52">
        <v>231.5</v>
      </c>
      <c r="EJ87" s="52">
        <v>104.54</v>
      </c>
      <c r="EK87" s="52">
        <v>134.19</v>
      </c>
      <c r="EL87" s="52">
        <v>551.67999999999995</v>
      </c>
      <c r="EM87" s="52">
        <v>206.81</v>
      </c>
      <c r="EN87" s="52">
        <v>228.64</v>
      </c>
      <c r="EO87" s="52">
        <v>231.92</v>
      </c>
      <c r="EP87" s="52">
        <v>162.58000000000001</v>
      </c>
      <c r="EQ87" s="52">
        <v>181.61</v>
      </c>
      <c r="ER87" s="52">
        <v>281.75</v>
      </c>
      <c r="ES87" s="52">
        <v>230.45</v>
      </c>
      <c r="ET87" s="52">
        <v>218.96</v>
      </c>
      <c r="EU87" s="52">
        <v>186.58</v>
      </c>
      <c r="EV87" s="52">
        <v>202.46</v>
      </c>
      <c r="EW87" s="52">
        <v>192.82</v>
      </c>
      <c r="EX87" s="52">
        <v>194.83</v>
      </c>
      <c r="EY87" s="52">
        <v>139.63999999999999</v>
      </c>
      <c r="EZ87" s="52">
        <v>232.45</v>
      </c>
      <c r="FA87" s="52">
        <v>296.29000000000002</v>
      </c>
      <c r="FB87" s="52">
        <v>202.13</v>
      </c>
      <c r="FC87" s="52">
        <v>278.8</v>
      </c>
      <c r="FD87" s="52">
        <v>182.27</v>
      </c>
      <c r="FE87" s="52">
        <v>182.66</v>
      </c>
      <c r="FF87" s="52"/>
      <c r="FG87" s="52">
        <v>155.52000000000001</v>
      </c>
      <c r="FH87" s="52">
        <v>170.36</v>
      </c>
      <c r="FI87" s="52">
        <v>205.38</v>
      </c>
      <c r="FJ87" s="52">
        <v>292.01</v>
      </c>
      <c r="FK87" s="52">
        <v>241.03</v>
      </c>
      <c r="FL87" s="52">
        <v>211.47</v>
      </c>
      <c r="FM87" s="52">
        <v>184.49</v>
      </c>
      <c r="FN87" s="52">
        <v>154.15</v>
      </c>
      <c r="FO87" s="52">
        <v>263.99</v>
      </c>
      <c r="FP87" s="52">
        <v>198.5</v>
      </c>
      <c r="FQ87" s="52">
        <v>208.3</v>
      </c>
      <c r="FR87" s="52">
        <v>257.42</v>
      </c>
      <c r="FS87" s="52">
        <v>221.7</v>
      </c>
      <c r="FT87" s="52">
        <v>161.59</v>
      </c>
      <c r="FU87" s="52">
        <v>213.67</v>
      </c>
      <c r="FV87" s="52">
        <v>181.86</v>
      </c>
      <c r="FW87" s="52">
        <v>110.86</v>
      </c>
      <c r="FX87" s="52">
        <v>207.47</v>
      </c>
      <c r="FY87" s="52">
        <v>229.66</v>
      </c>
      <c r="FZ87" s="52">
        <v>207.88</v>
      </c>
      <c r="GA87" s="52">
        <v>179.93</v>
      </c>
      <c r="GB87" s="52">
        <v>165.24</v>
      </c>
      <c r="GC87" s="52">
        <v>160.94</v>
      </c>
      <c r="GD87" s="52">
        <v>141.86000000000001</v>
      </c>
      <c r="GE87" s="52">
        <v>329.74</v>
      </c>
      <c r="GF87" s="52">
        <v>233.59</v>
      </c>
      <c r="GG87" s="52">
        <v>275.81</v>
      </c>
      <c r="GH87" s="52">
        <v>333.02</v>
      </c>
      <c r="GI87" s="52">
        <v>135.87</v>
      </c>
      <c r="GJ87" s="52">
        <v>130.72</v>
      </c>
      <c r="GK87" s="52">
        <v>123.95</v>
      </c>
      <c r="GL87" s="52">
        <v>159.94999999999999</v>
      </c>
      <c r="GM87" s="52">
        <v>144.21</v>
      </c>
      <c r="GN87" s="52">
        <v>198.88</v>
      </c>
      <c r="GO87" s="52">
        <v>145.6</v>
      </c>
      <c r="GP87" s="52">
        <v>151.5</v>
      </c>
      <c r="GQ87" s="52">
        <v>151.02000000000001</v>
      </c>
      <c r="GR87" s="52">
        <v>211.8</v>
      </c>
      <c r="GS87" s="52">
        <v>279.02999999999997</v>
      </c>
      <c r="GT87" s="52">
        <v>163.65</v>
      </c>
      <c r="GU87" s="52">
        <v>193.31</v>
      </c>
      <c r="GV87" s="52">
        <v>191.85</v>
      </c>
      <c r="GW87" s="52">
        <v>221.35</v>
      </c>
      <c r="GX87" s="52">
        <v>286.45</v>
      </c>
      <c r="GY87" s="52">
        <v>223.99</v>
      </c>
      <c r="GZ87" s="52">
        <v>203.61</v>
      </c>
      <c r="HA87" s="52">
        <v>180.46</v>
      </c>
      <c r="HB87" s="52">
        <v>180.79</v>
      </c>
      <c r="HC87" s="52">
        <v>159.69999999999999</v>
      </c>
      <c r="HD87" s="52">
        <v>161.88999999999999</v>
      </c>
      <c r="HE87" s="52">
        <v>107.43</v>
      </c>
      <c r="HF87" s="52">
        <v>112.67</v>
      </c>
      <c r="HG87" s="52">
        <v>126.76</v>
      </c>
      <c r="HH87" s="52">
        <v>151.54</v>
      </c>
      <c r="HI87" s="52">
        <v>77.239999999999995</v>
      </c>
      <c r="HJ87" s="52">
        <v>118.89</v>
      </c>
      <c r="HK87" s="52">
        <v>248.04</v>
      </c>
      <c r="HL87" s="52">
        <v>145.02000000000001</v>
      </c>
      <c r="HM87" s="52">
        <v>189.27</v>
      </c>
      <c r="HN87" s="52">
        <v>186.96</v>
      </c>
      <c r="HO87" s="52">
        <v>159.99</v>
      </c>
      <c r="HP87" s="52">
        <v>210.43</v>
      </c>
      <c r="HQ87" s="52">
        <v>121.34</v>
      </c>
      <c r="HR87" s="52">
        <v>164.86</v>
      </c>
      <c r="HS87" s="52">
        <v>279.77</v>
      </c>
      <c r="HT87" s="52">
        <v>193.69</v>
      </c>
      <c r="HU87" s="52">
        <v>89.85</v>
      </c>
      <c r="HV87" s="52">
        <v>144.62</v>
      </c>
      <c r="HW87" s="52">
        <v>114.82</v>
      </c>
      <c r="HX87" s="52">
        <v>95.96</v>
      </c>
      <c r="HY87" s="52">
        <v>199.87</v>
      </c>
      <c r="HZ87" s="52">
        <v>147.05000000000001</v>
      </c>
      <c r="IA87" s="52">
        <v>87.58</v>
      </c>
      <c r="IB87" s="52">
        <v>175.55</v>
      </c>
      <c r="IC87" s="52">
        <v>118.61</v>
      </c>
      <c r="ID87" s="52">
        <v>133.31</v>
      </c>
      <c r="IE87" s="52">
        <v>109.18</v>
      </c>
      <c r="IF87" s="52">
        <v>134.13</v>
      </c>
      <c r="IG87" s="52">
        <v>188.63</v>
      </c>
      <c r="IH87" s="52">
        <v>237.75</v>
      </c>
      <c r="II87" s="52">
        <v>238.48</v>
      </c>
      <c r="IJ87" s="52">
        <v>184.07</v>
      </c>
      <c r="IK87" s="52">
        <v>228.78</v>
      </c>
      <c r="IL87" s="52">
        <v>186.94</v>
      </c>
      <c r="IM87" s="52">
        <v>245.19</v>
      </c>
      <c r="IN87" s="52">
        <v>227.13</v>
      </c>
      <c r="IO87" s="52">
        <v>185.81</v>
      </c>
      <c r="IP87" s="52">
        <v>140.24</v>
      </c>
      <c r="IQ87" s="52">
        <v>179.56</v>
      </c>
      <c r="IR87" s="52">
        <v>254.52</v>
      </c>
      <c r="IS87" s="52">
        <v>218.24</v>
      </c>
      <c r="IT87" s="52">
        <v>49.93</v>
      </c>
      <c r="IU87" s="52">
        <v>121.92</v>
      </c>
      <c r="IV87" s="52">
        <v>49.36</v>
      </c>
      <c r="IW87" s="52">
        <v>92.67</v>
      </c>
      <c r="IX87" s="52">
        <v>143.01</v>
      </c>
      <c r="IY87" s="52">
        <v>155.02000000000001</v>
      </c>
      <c r="IZ87" s="52">
        <v>216.28</v>
      </c>
      <c r="JA87" s="52">
        <v>161.51</v>
      </c>
      <c r="JB87" s="52"/>
      <c r="JC87" s="52">
        <v>193.68</v>
      </c>
      <c r="JD87" s="52">
        <v>237.77</v>
      </c>
      <c r="JE87" s="52">
        <v>174.82</v>
      </c>
      <c r="JF87" s="52">
        <v>157.99</v>
      </c>
      <c r="JG87" s="52">
        <v>187.61</v>
      </c>
      <c r="JH87" s="52">
        <v>294.52</v>
      </c>
      <c r="JI87" s="52">
        <v>194.48</v>
      </c>
      <c r="JJ87" s="52">
        <v>162.12</v>
      </c>
      <c r="JK87" s="52">
        <v>244.03</v>
      </c>
      <c r="JL87" s="52">
        <v>229.77</v>
      </c>
      <c r="JM87" s="52">
        <v>218.38</v>
      </c>
      <c r="JN87" s="52">
        <v>210.01</v>
      </c>
      <c r="JO87" s="52">
        <v>165.03</v>
      </c>
      <c r="JP87" s="52">
        <v>263.86</v>
      </c>
      <c r="JQ87" s="52">
        <v>218.6</v>
      </c>
      <c r="JR87" s="52">
        <v>220.03</v>
      </c>
      <c r="JS87" s="52">
        <v>267.89</v>
      </c>
      <c r="JT87" s="52">
        <v>255.05</v>
      </c>
      <c r="JU87" s="52">
        <v>208.5</v>
      </c>
      <c r="JV87" s="52">
        <v>104.54</v>
      </c>
      <c r="JW87" s="52">
        <v>134.19</v>
      </c>
      <c r="JX87" s="52">
        <v>551.67999999999995</v>
      </c>
      <c r="JY87" s="52">
        <v>209.92</v>
      </c>
      <c r="JZ87" s="52">
        <v>199.21</v>
      </c>
      <c r="KA87" s="52">
        <v>228.64</v>
      </c>
      <c r="KB87" s="52">
        <v>231.92</v>
      </c>
      <c r="KC87" s="52">
        <v>162.58000000000001</v>
      </c>
      <c r="KD87" s="52">
        <v>181.61</v>
      </c>
      <c r="KE87" s="52">
        <v>281.75</v>
      </c>
      <c r="KF87" s="52">
        <v>230.45</v>
      </c>
    </row>
    <row r="88" spans="1:292" s="41" customFormat="1" ht="12">
      <c r="A88" s="41">
        <v>2011</v>
      </c>
      <c r="B88" s="54" t="s">
        <v>997</v>
      </c>
      <c r="C88" s="55" t="s">
        <v>998</v>
      </c>
      <c r="D88" s="52">
        <v>199.7</v>
      </c>
      <c r="E88" s="52">
        <v>208.16</v>
      </c>
      <c r="F88" s="52">
        <v>344.03</v>
      </c>
      <c r="G88" s="52">
        <v>145.43</v>
      </c>
      <c r="H88" s="52">
        <v>229.64</v>
      </c>
      <c r="I88" s="52">
        <v>160.1</v>
      </c>
      <c r="J88" s="52">
        <v>128.38</v>
      </c>
      <c r="K88" s="52">
        <v>195.07</v>
      </c>
      <c r="L88" s="52">
        <v>113.82</v>
      </c>
      <c r="M88" s="52">
        <v>152.47</v>
      </c>
      <c r="N88" s="52">
        <v>201.97</v>
      </c>
      <c r="O88" s="52">
        <v>255.81</v>
      </c>
      <c r="P88" s="52">
        <v>231.64</v>
      </c>
      <c r="Q88" s="52">
        <v>209.76</v>
      </c>
      <c r="R88" s="52">
        <v>184.92</v>
      </c>
      <c r="S88" s="52">
        <v>314.45</v>
      </c>
      <c r="T88" s="52">
        <v>345.76</v>
      </c>
      <c r="U88" s="52">
        <v>141.77000000000001</v>
      </c>
      <c r="V88" s="52">
        <v>155.41</v>
      </c>
      <c r="W88" s="52">
        <v>280.20999999999998</v>
      </c>
      <c r="X88" s="52">
        <v>164.51</v>
      </c>
      <c r="Y88" s="52">
        <v>197.02</v>
      </c>
      <c r="Z88" s="52">
        <v>231.44</v>
      </c>
      <c r="AA88" s="52">
        <v>178.57</v>
      </c>
      <c r="AB88" s="52">
        <v>162.94</v>
      </c>
      <c r="AC88" s="52">
        <v>128.63</v>
      </c>
      <c r="AD88" s="52">
        <v>170.04</v>
      </c>
      <c r="AE88" s="52">
        <v>188.34</v>
      </c>
      <c r="AF88" s="52">
        <v>158.13</v>
      </c>
      <c r="AG88" s="52">
        <v>93.7</v>
      </c>
      <c r="AH88" s="52">
        <v>157.55000000000001</v>
      </c>
      <c r="AI88" s="52">
        <v>175.87</v>
      </c>
      <c r="AJ88" s="52">
        <v>130.49</v>
      </c>
      <c r="AK88" s="52">
        <v>230.53</v>
      </c>
      <c r="AL88" s="52">
        <v>229.25</v>
      </c>
      <c r="AM88" s="52">
        <v>262.27</v>
      </c>
      <c r="AN88" s="52">
        <v>54.28</v>
      </c>
      <c r="AO88" s="52">
        <v>121.92</v>
      </c>
      <c r="AP88" s="52">
        <v>70.23</v>
      </c>
      <c r="AQ88" s="52">
        <v>156.13</v>
      </c>
      <c r="AR88" s="52">
        <v>205.19</v>
      </c>
      <c r="AS88" s="52">
        <v>194.62</v>
      </c>
      <c r="AT88" s="52">
        <v>217.51</v>
      </c>
      <c r="AU88" s="52">
        <v>247.53</v>
      </c>
      <c r="AV88" s="52">
        <v>230.29</v>
      </c>
      <c r="AW88" s="52">
        <v>218.36</v>
      </c>
      <c r="AX88" s="52">
        <v>210.01</v>
      </c>
      <c r="AY88" s="52">
        <v>165.48</v>
      </c>
      <c r="AZ88" s="52">
        <v>252.3</v>
      </c>
      <c r="BA88" s="52">
        <v>237.43</v>
      </c>
      <c r="BB88" s="52">
        <v>157.91999999999999</v>
      </c>
      <c r="BC88" s="52">
        <v>447.83</v>
      </c>
      <c r="BD88" s="52">
        <v>229.38</v>
      </c>
      <c r="BE88" s="52">
        <v>194.1</v>
      </c>
      <c r="BF88" s="52">
        <v>307.01</v>
      </c>
      <c r="BG88" s="52">
        <v>230.53</v>
      </c>
      <c r="BH88" s="52">
        <v>200.51</v>
      </c>
      <c r="BI88" s="52">
        <v>232.49</v>
      </c>
      <c r="BJ88" s="52">
        <v>163.84</v>
      </c>
      <c r="BK88" s="52">
        <v>202.81</v>
      </c>
      <c r="BL88" s="52">
        <v>195.01</v>
      </c>
      <c r="BM88" s="52">
        <v>183.38</v>
      </c>
      <c r="BN88" s="52">
        <v>240.28</v>
      </c>
      <c r="BO88" s="52">
        <v>170.07</v>
      </c>
      <c r="BP88" s="52">
        <v>213.49</v>
      </c>
      <c r="BQ88" s="52">
        <v>212.33</v>
      </c>
      <c r="BR88" s="52">
        <v>161.91</v>
      </c>
      <c r="BS88" s="52">
        <v>338.67</v>
      </c>
      <c r="BT88" s="52">
        <v>239.52</v>
      </c>
      <c r="BU88" s="52">
        <v>293.02999999999997</v>
      </c>
      <c r="BV88" s="52">
        <v>345.76</v>
      </c>
      <c r="BW88" s="52">
        <v>140.51</v>
      </c>
      <c r="BX88" s="52">
        <v>146.25</v>
      </c>
      <c r="BY88" s="52">
        <v>200.25</v>
      </c>
      <c r="BZ88" s="52">
        <v>155.04</v>
      </c>
      <c r="CA88" s="52">
        <v>215.78</v>
      </c>
      <c r="CB88" s="53">
        <v>280.20999999999998</v>
      </c>
      <c r="CC88" s="52">
        <v>164.51</v>
      </c>
      <c r="CD88" s="52">
        <v>196.28</v>
      </c>
      <c r="CE88" s="52">
        <v>191.85</v>
      </c>
      <c r="CF88" s="52">
        <v>260.04000000000002</v>
      </c>
      <c r="CG88" s="52">
        <v>230.57</v>
      </c>
      <c r="CH88" s="52">
        <v>183.54</v>
      </c>
      <c r="CI88" s="52">
        <v>161.44</v>
      </c>
      <c r="CJ88" s="52">
        <v>162.94</v>
      </c>
      <c r="CK88" s="52">
        <v>119.58</v>
      </c>
      <c r="CL88" s="52">
        <v>119.4</v>
      </c>
      <c r="CM88" s="52">
        <v>248.24</v>
      </c>
      <c r="CN88" s="52">
        <v>170.04</v>
      </c>
      <c r="CO88" s="52">
        <v>188.34</v>
      </c>
      <c r="CP88" s="52">
        <v>129.25</v>
      </c>
      <c r="CQ88" s="52">
        <v>278.62</v>
      </c>
      <c r="CR88" s="52">
        <v>90.1</v>
      </c>
      <c r="CS88" s="52">
        <v>144.75</v>
      </c>
      <c r="CT88" s="52">
        <v>110.49</v>
      </c>
      <c r="CU88" s="52">
        <v>200.66</v>
      </c>
      <c r="CV88" s="52">
        <v>147.15</v>
      </c>
      <c r="CW88" s="52">
        <v>95.96</v>
      </c>
      <c r="CX88" s="52">
        <v>175.87</v>
      </c>
      <c r="CY88" s="52">
        <v>130.72999999999999</v>
      </c>
      <c r="CZ88" s="52">
        <v>110.74</v>
      </c>
      <c r="DA88" s="52">
        <v>134.29</v>
      </c>
      <c r="DB88" s="52">
        <v>191.79</v>
      </c>
      <c r="DC88" s="52">
        <v>233.43</v>
      </c>
      <c r="DD88" s="52">
        <v>239.74</v>
      </c>
      <c r="DE88" s="52">
        <v>182.6</v>
      </c>
      <c r="DF88" s="52">
        <v>216.49</v>
      </c>
      <c r="DG88" s="52">
        <v>233.39</v>
      </c>
      <c r="DH88" s="52">
        <v>138.01</v>
      </c>
      <c r="DI88" s="52">
        <v>179.56</v>
      </c>
      <c r="DJ88" s="52">
        <v>254.3</v>
      </c>
      <c r="DK88" s="52">
        <v>262.27</v>
      </c>
      <c r="DL88" s="52">
        <v>54.28</v>
      </c>
      <c r="DM88" s="52">
        <v>121.92</v>
      </c>
      <c r="DN88" s="52">
        <v>49.24</v>
      </c>
      <c r="DO88" s="52">
        <v>92.3</v>
      </c>
      <c r="DP88" s="52">
        <v>142.88</v>
      </c>
      <c r="DQ88" s="52">
        <v>156.13</v>
      </c>
      <c r="DR88" s="52">
        <v>221.68</v>
      </c>
      <c r="DS88" s="52">
        <v>162.97999999999999</v>
      </c>
      <c r="DT88" s="52"/>
      <c r="DU88" s="52">
        <v>194.1</v>
      </c>
      <c r="DV88" s="52">
        <v>233.66</v>
      </c>
      <c r="DW88" s="52">
        <v>162.21</v>
      </c>
      <c r="DX88" s="52">
        <v>187.61</v>
      </c>
      <c r="DY88" s="52">
        <v>288.38</v>
      </c>
      <c r="DZ88" s="52">
        <v>194.56</v>
      </c>
      <c r="EA88" s="52">
        <v>163.15</v>
      </c>
      <c r="EB88" s="52">
        <v>247.53</v>
      </c>
      <c r="EC88" s="52">
        <v>230.29</v>
      </c>
      <c r="ED88" s="52">
        <v>218.36</v>
      </c>
      <c r="EE88" s="52">
        <v>210.01</v>
      </c>
      <c r="EF88" s="52">
        <v>165.48</v>
      </c>
      <c r="EG88" s="52">
        <v>252.3</v>
      </c>
      <c r="EH88" s="52">
        <v>237.43</v>
      </c>
      <c r="EI88" s="52">
        <v>233.61</v>
      </c>
      <c r="EJ88" s="52">
        <v>104.39</v>
      </c>
      <c r="EK88" s="52">
        <v>137.72999999999999</v>
      </c>
      <c r="EL88" s="52">
        <v>559.94000000000005</v>
      </c>
      <c r="EM88" s="52">
        <v>211.89</v>
      </c>
      <c r="EN88" s="52">
        <v>229.38</v>
      </c>
      <c r="EO88" s="52">
        <v>231.55</v>
      </c>
      <c r="EP88" s="52">
        <v>162.58000000000001</v>
      </c>
      <c r="EQ88" s="52">
        <v>185.08</v>
      </c>
      <c r="ER88" s="52">
        <v>307.01</v>
      </c>
      <c r="ES88" s="52">
        <v>230.53</v>
      </c>
      <c r="ET88" s="52">
        <v>216.34</v>
      </c>
      <c r="EU88" s="52">
        <v>186.32</v>
      </c>
      <c r="EV88" s="52">
        <v>204.14</v>
      </c>
      <c r="EW88" s="52">
        <v>194.31</v>
      </c>
      <c r="EX88" s="52">
        <v>195.68</v>
      </c>
      <c r="EY88" s="52">
        <v>139.79</v>
      </c>
      <c r="EZ88" s="52">
        <v>233.49</v>
      </c>
      <c r="FA88" s="52">
        <v>296.61</v>
      </c>
      <c r="FB88" s="52">
        <v>194.66</v>
      </c>
      <c r="FC88" s="52">
        <v>284.89999999999998</v>
      </c>
      <c r="FD88" s="52">
        <v>184.12</v>
      </c>
      <c r="FE88" s="52">
        <v>163.84</v>
      </c>
      <c r="FF88" s="52"/>
      <c r="FG88" s="52">
        <v>165.13</v>
      </c>
      <c r="FH88" s="52">
        <v>177.63</v>
      </c>
      <c r="FI88" s="52">
        <v>212.93</v>
      </c>
      <c r="FJ88" s="52">
        <v>267.95999999999998</v>
      </c>
      <c r="FK88" s="52">
        <v>253.94</v>
      </c>
      <c r="FL88" s="52">
        <v>213.73</v>
      </c>
      <c r="FM88" s="52">
        <v>185.67</v>
      </c>
      <c r="FN88" s="52">
        <v>167.27</v>
      </c>
      <c r="FO88" s="52">
        <v>269.02999999999997</v>
      </c>
      <c r="FP88" s="52">
        <v>241.24</v>
      </c>
      <c r="FQ88" s="52">
        <v>203.66</v>
      </c>
      <c r="FR88" s="52">
        <v>263.69</v>
      </c>
      <c r="FS88" s="52">
        <v>223.97</v>
      </c>
      <c r="FT88" s="52">
        <v>161.71</v>
      </c>
      <c r="FU88" s="52">
        <v>216.87</v>
      </c>
      <c r="FV88" s="52">
        <v>182.47</v>
      </c>
      <c r="FW88" s="52">
        <v>112.35</v>
      </c>
      <c r="FX88" s="52">
        <v>213.49</v>
      </c>
      <c r="FY88" s="52">
        <v>234.09</v>
      </c>
      <c r="FZ88" s="52">
        <v>209.42</v>
      </c>
      <c r="GA88" s="52">
        <v>183.43</v>
      </c>
      <c r="GB88" s="52">
        <v>165.96</v>
      </c>
      <c r="GC88" s="52">
        <v>163.11000000000001</v>
      </c>
      <c r="GD88" s="52">
        <v>149.21</v>
      </c>
      <c r="GE88" s="52">
        <v>338.67</v>
      </c>
      <c r="GF88" s="52">
        <v>239.52</v>
      </c>
      <c r="GG88" s="52">
        <v>293.02999999999997</v>
      </c>
      <c r="GH88" s="52">
        <v>345.18</v>
      </c>
      <c r="GI88" s="52">
        <v>144.07</v>
      </c>
      <c r="GJ88" s="52">
        <v>140.32</v>
      </c>
      <c r="GK88" s="52">
        <v>130.57</v>
      </c>
      <c r="GL88" s="52">
        <v>164.45</v>
      </c>
      <c r="GM88" s="52">
        <v>146.25</v>
      </c>
      <c r="GN88" s="52">
        <v>200.25</v>
      </c>
      <c r="GO88" s="52">
        <v>150.27000000000001</v>
      </c>
      <c r="GP88" s="52">
        <v>160.1</v>
      </c>
      <c r="GQ88" s="52">
        <v>156.46</v>
      </c>
      <c r="GR88" s="52">
        <v>215.78</v>
      </c>
      <c r="GS88" s="52">
        <v>280.20999999999998</v>
      </c>
      <c r="GT88" s="52">
        <v>164.51</v>
      </c>
      <c r="GU88" s="52">
        <v>196.28</v>
      </c>
      <c r="GV88" s="52">
        <v>191.85</v>
      </c>
      <c r="GW88" s="52">
        <v>221.98</v>
      </c>
      <c r="GX88" s="52">
        <v>284.87</v>
      </c>
      <c r="GY88" s="52">
        <v>230.57</v>
      </c>
      <c r="GZ88" s="52">
        <v>206.4</v>
      </c>
      <c r="HA88" s="52">
        <v>182.69</v>
      </c>
      <c r="HB88" s="52">
        <v>183.02</v>
      </c>
      <c r="HC88" s="52">
        <v>161.44</v>
      </c>
      <c r="HD88" s="52">
        <v>162.94</v>
      </c>
      <c r="HE88" s="52">
        <v>108.26</v>
      </c>
      <c r="HF88" s="52">
        <v>112.67</v>
      </c>
      <c r="HG88" s="52">
        <v>127.15</v>
      </c>
      <c r="HH88" s="52">
        <v>152.84</v>
      </c>
      <c r="HI88" s="52">
        <v>77.62</v>
      </c>
      <c r="HJ88" s="52">
        <v>119.4</v>
      </c>
      <c r="HK88" s="52">
        <v>248.24</v>
      </c>
      <c r="HL88" s="52">
        <v>145.24</v>
      </c>
      <c r="HM88" s="52">
        <v>191.72</v>
      </c>
      <c r="HN88" s="52">
        <v>189.3</v>
      </c>
      <c r="HO88" s="52">
        <v>161.79</v>
      </c>
      <c r="HP88" s="52">
        <v>214.02</v>
      </c>
      <c r="HQ88" s="52">
        <v>124.71</v>
      </c>
      <c r="HR88" s="52">
        <v>167.33</v>
      </c>
      <c r="HS88" s="52">
        <v>281.83</v>
      </c>
      <c r="HT88" s="52">
        <v>194.51</v>
      </c>
      <c r="HU88" s="52">
        <v>90.1</v>
      </c>
      <c r="HV88" s="52">
        <v>144.75</v>
      </c>
      <c r="HW88" s="52">
        <v>114.82</v>
      </c>
      <c r="HX88" s="52">
        <v>96.1</v>
      </c>
      <c r="HY88" s="52">
        <v>200.66</v>
      </c>
      <c r="HZ88" s="52">
        <v>147.15</v>
      </c>
      <c r="IA88" s="52">
        <v>87.65</v>
      </c>
      <c r="IB88" s="52">
        <v>175.87</v>
      </c>
      <c r="IC88" s="52">
        <v>118.24</v>
      </c>
      <c r="ID88" s="52">
        <v>132.68</v>
      </c>
      <c r="IE88" s="52">
        <v>110.74</v>
      </c>
      <c r="IF88" s="52">
        <v>134.29</v>
      </c>
      <c r="IG88" s="52">
        <v>191.79</v>
      </c>
      <c r="IH88" s="52">
        <v>233.43</v>
      </c>
      <c r="II88" s="52">
        <v>239.74</v>
      </c>
      <c r="IJ88" s="52">
        <v>182.6</v>
      </c>
      <c r="IK88" s="52">
        <v>228.78</v>
      </c>
      <c r="IL88" s="52">
        <v>186.94</v>
      </c>
      <c r="IM88" s="52">
        <v>246</v>
      </c>
      <c r="IN88" s="52">
        <v>227.32</v>
      </c>
      <c r="IO88" s="52">
        <v>190.04</v>
      </c>
      <c r="IP88" s="52">
        <v>138.01</v>
      </c>
      <c r="IQ88" s="52">
        <v>179.56</v>
      </c>
      <c r="IR88" s="52">
        <v>254.3</v>
      </c>
      <c r="IS88" s="52">
        <v>262.27</v>
      </c>
      <c r="IT88" s="52">
        <v>54.28</v>
      </c>
      <c r="IU88" s="52">
        <v>121.92</v>
      </c>
      <c r="IV88" s="52">
        <v>49.69</v>
      </c>
      <c r="IW88" s="52">
        <v>92.3</v>
      </c>
      <c r="IX88" s="52">
        <v>142.88</v>
      </c>
      <c r="IY88" s="52">
        <v>156.13</v>
      </c>
      <c r="IZ88" s="52">
        <v>221.68</v>
      </c>
      <c r="JA88" s="52">
        <v>162.97999999999999</v>
      </c>
      <c r="JB88" s="52"/>
      <c r="JC88" s="52">
        <v>194.1</v>
      </c>
      <c r="JD88" s="52">
        <v>233.66</v>
      </c>
      <c r="JE88" s="52">
        <v>176.93</v>
      </c>
      <c r="JF88" s="52">
        <v>157.97</v>
      </c>
      <c r="JG88" s="52">
        <v>187.61</v>
      </c>
      <c r="JH88" s="52">
        <v>288.38</v>
      </c>
      <c r="JI88" s="52">
        <v>194.56</v>
      </c>
      <c r="JJ88" s="52">
        <v>163.15</v>
      </c>
      <c r="JK88" s="52">
        <v>247.53</v>
      </c>
      <c r="JL88" s="52">
        <v>230.29</v>
      </c>
      <c r="JM88" s="52">
        <v>218.36</v>
      </c>
      <c r="JN88" s="52">
        <v>210.01</v>
      </c>
      <c r="JO88" s="52">
        <v>165.48</v>
      </c>
      <c r="JP88" s="52">
        <v>265.38</v>
      </c>
      <c r="JQ88" s="52">
        <v>221.31</v>
      </c>
      <c r="JR88" s="52">
        <v>217.2</v>
      </c>
      <c r="JS88" s="52">
        <v>268.05</v>
      </c>
      <c r="JT88" s="52">
        <v>257.86</v>
      </c>
      <c r="JU88" s="52">
        <v>210</v>
      </c>
      <c r="JV88" s="52">
        <v>104.39</v>
      </c>
      <c r="JW88" s="52">
        <v>137.72999999999999</v>
      </c>
      <c r="JX88" s="52">
        <v>559.94000000000005</v>
      </c>
      <c r="JY88" s="52">
        <v>212.79</v>
      </c>
      <c r="JZ88" s="52">
        <v>208.13</v>
      </c>
      <c r="KA88" s="52">
        <v>229.38</v>
      </c>
      <c r="KB88" s="52">
        <v>231.55</v>
      </c>
      <c r="KC88" s="52">
        <v>162.58000000000001</v>
      </c>
      <c r="KD88" s="52">
        <v>185.08</v>
      </c>
      <c r="KE88" s="52">
        <v>307.01</v>
      </c>
      <c r="KF88" s="52">
        <v>230.53</v>
      </c>
    </row>
    <row r="89" spans="1:292" s="41" customFormat="1" ht="12">
      <c r="A89" s="41">
        <v>2011</v>
      </c>
      <c r="B89" s="54" t="s">
        <v>999</v>
      </c>
      <c r="C89" s="55" t="s">
        <v>1000</v>
      </c>
      <c r="D89" s="52">
        <v>200.85</v>
      </c>
      <c r="E89" s="52">
        <v>212.26</v>
      </c>
      <c r="F89" s="52">
        <v>344</v>
      </c>
      <c r="G89" s="52">
        <v>142.28</v>
      </c>
      <c r="H89" s="52">
        <v>230.86</v>
      </c>
      <c r="I89" s="52">
        <v>160.56</v>
      </c>
      <c r="J89" s="52">
        <v>128.27000000000001</v>
      </c>
      <c r="K89" s="52">
        <v>195.42</v>
      </c>
      <c r="L89" s="52">
        <v>114.22</v>
      </c>
      <c r="M89" s="52">
        <v>153.68</v>
      </c>
      <c r="N89" s="52">
        <v>201.79</v>
      </c>
      <c r="O89" s="52">
        <v>257.12</v>
      </c>
      <c r="P89" s="52">
        <v>232.38</v>
      </c>
      <c r="Q89" s="52">
        <v>214.03</v>
      </c>
      <c r="R89" s="52">
        <v>186.96</v>
      </c>
      <c r="S89" s="52">
        <v>313.89999999999998</v>
      </c>
      <c r="T89" s="52">
        <v>345.76</v>
      </c>
      <c r="U89" s="52">
        <v>138.06</v>
      </c>
      <c r="V89" s="52">
        <v>154.36000000000001</v>
      </c>
      <c r="W89" s="52">
        <v>280.95999999999998</v>
      </c>
      <c r="X89" s="52">
        <v>165.67</v>
      </c>
      <c r="Y89" s="52">
        <v>198.6</v>
      </c>
      <c r="Z89" s="52">
        <v>232.81</v>
      </c>
      <c r="AA89" s="52">
        <v>178.92</v>
      </c>
      <c r="AB89" s="52">
        <v>163.44</v>
      </c>
      <c r="AC89" s="52">
        <v>128.66</v>
      </c>
      <c r="AD89" s="52">
        <v>171.12</v>
      </c>
      <c r="AE89" s="52">
        <v>190.35</v>
      </c>
      <c r="AF89" s="52">
        <v>158.87</v>
      </c>
      <c r="AG89" s="52">
        <v>93.55</v>
      </c>
      <c r="AH89" s="52">
        <v>157.47999999999999</v>
      </c>
      <c r="AI89" s="52">
        <v>175.8</v>
      </c>
      <c r="AJ89" s="52">
        <v>130.35</v>
      </c>
      <c r="AK89" s="52">
        <v>231.75</v>
      </c>
      <c r="AL89" s="52">
        <v>229.4</v>
      </c>
      <c r="AM89" s="52">
        <v>262.27</v>
      </c>
      <c r="AN89" s="52">
        <v>54.1</v>
      </c>
      <c r="AO89" s="52">
        <v>122.45</v>
      </c>
      <c r="AP89" s="52">
        <v>69.97</v>
      </c>
      <c r="AQ89" s="52">
        <v>157.54</v>
      </c>
      <c r="AR89" s="52">
        <v>207.91</v>
      </c>
      <c r="AS89" s="52">
        <v>196.34</v>
      </c>
      <c r="AT89" s="52">
        <v>224.8</v>
      </c>
      <c r="AU89" s="52">
        <v>242.74</v>
      </c>
      <c r="AV89" s="52">
        <v>229.88</v>
      </c>
      <c r="AW89" s="52">
        <v>218.37</v>
      </c>
      <c r="AX89" s="52">
        <v>210.01</v>
      </c>
      <c r="AY89" s="52">
        <v>165.31</v>
      </c>
      <c r="AZ89" s="52">
        <v>253.75</v>
      </c>
      <c r="BA89" s="52">
        <v>236.79</v>
      </c>
      <c r="BB89" s="52">
        <v>159.16999999999999</v>
      </c>
      <c r="BC89" s="52">
        <v>446.38</v>
      </c>
      <c r="BD89" s="52">
        <v>229.65</v>
      </c>
      <c r="BE89" s="52">
        <v>195.14</v>
      </c>
      <c r="BF89" s="52">
        <v>307.01</v>
      </c>
      <c r="BG89" s="52">
        <v>230.73</v>
      </c>
      <c r="BH89" s="52">
        <v>201.47</v>
      </c>
      <c r="BI89" s="52">
        <v>229.08</v>
      </c>
      <c r="BJ89" s="52">
        <v>179.99</v>
      </c>
      <c r="BK89" s="52">
        <v>203.58</v>
      </c>
      <c r="BL89" s="52">
        <v>196.54</v>
      </c>
      <c r="BM89" s="52">
        <v>179.41</v>
      </c>
      <c r="BN89" s="52">
        <v>266.86</v>
      </c>
      <c r="BO89" s="52">
        <v>170.95</v>
      </c>
      <c r="BP89" s="52">
        <v>215.86</v>
      </c>
      <c r="BQ89" s="52">
        <v>212.85</v>
      </c>
      <c r="BR89" s="52">
        <v>164.67</v>
      </c>
      <c r="BS89" s="52">
        <v>338.7</v>
      </c>
      <c r="BT89" s="52">
        <v>233.38</v>
      </c>
      <c r="BU89" s="52">
        <v>292.74</v>
      </c>
      <c r="BV89" s="52">
        <v>345.76</v>
      </c>
      <c r="BW89" s="52">
        <v>136.56</v>
      </c>
      <c r="BX89" s="52">
        <v>145.51</v>
      </c>
      <c r="BY89" s="52">
        <v>201.2</v>
      </c>
      <c r="BZ89" s="52">
        <v>153.97999999999999</v>
      </c>
      <c r="CA89" s="52">
        <v>217.66</v>
      </c>
      <c r="CB89" s="53">
        <v>280.95999999999998</v>
      </c>
      <c r="CC89" s="52">
        <v>165.67</v>
      </c>
      <c r="CD89" s="52">
        <v>197.85</v>
      </c>
      <c r="CE89" s="52">
        <v>191.85</v>
      </c>
      <c r="CF89" s="52">
        <v>260.87</v>
      </c>
      <c r="CG89" s="52">
        <v>236.1</v>
      </c>
      <c r="CH89" s="52">
        <v>183.72</v>
      </c>
      <c r="CI89" s="52">
        <v>162.88999999999999</v>
      </c>
      <c r="CJ89" s="52">
        <v>163.44</v>
      </c>
      <c r="CK89" s="52">
        <v>119.57</v>
      </c>
      <c r="CL89" s="52">
        <v>120</v>
      </c>
      <c r="CM89" s="52">
        <v>248.29</v>
      </c>
      <c r="CN89" s="52">
        <v>171.12</v>
      </c>
      <c r="CO89" s="52">
        <v>190.35</v>
      </c>
      <c r="CP89" s="52">
        <v>129.88999999999999</v>
      </c>
      <c r="CQ89" s="52">
        <v>279.73</v>
      </c>
      <c r="CR89" s="52">
        <v>89.91</v>
      </c>
      <c r="CS89" s="52">
        <v>144.9</v>
      </c>
      <c r="CT89" s="52">
        <v>110.5</v>
      </c>
      <c r="CU89" s="52">
        <v>200.5</v>
      </c>
      <c r="CV89" s="52">
        <v>147.24</v>
      </c>
      <c r="CW89" s="52">
        <v>95.87</v>
      </c>
      <c r="CX89" s="52">
        <v>175.8</v>
      </c>
      <c r="CY89" s="52">
        <v>130.55000000000001</v>
      </c>
      <c r="CZ89" s="52">
        <v>112.42</v>
      </c>
      <c r="DA89" s="52">
        <v>134.58000000000001</v>
      </c>
      <c r="DB89" s="52">
        <v>195.46</v>
      </c>
      <c r="DC89" s="52">
        <v>234.34</v>
      </c>
      <c r="DD89" s="52">
        <v>243.08</v>
      </c>
      <c r="DE89" s="52">
        <v>182.12</v>
      </c>
      <c r="DF89" s="52">
        <v>216.49</v>
      </c>
      <c r="DG89" s="52">
        <v>233.59</v>
      </c>
      <c r="DH89" s="52">
        <v>137.91</v>
      </c>
      <c r="DI89" s="52">
        <v>180.16</v>
      </c>
      <c r="DJ89" s="52">
        <v>253.55</v>
      </c>
      <c r="DK89" s="52">
        <v>262.27</v>
      </c>
      <c r="DL89" s="52">
        <v>54.1</v>
      </c>
      <c r="DM89" s="52">
        <v>122.45</v>
      </c>
      <c r="DN89" s="52">
        <v>48.58</v>
      </c>
      <c r="DO89" s="52">
        <v>92.37</v>
      </c>
      <c r="DP89" s="52">
        <v>143.07</v>
      </c>
      <c r="DQ89" s="52">
        <v>157.54</v>
      </c>
      <c r="DR89" s="52">
        <v>225.2</v>
      </c>
      <c r="DS89" s="52">
        <v>164.4</v>
      </c>
      <c r="DT89" s="52"/>
      <c r="DU89" s="52">
        <v>193.95</v>
      </c>
      <c r="DV89" s="52">
        <v>237.05</v>
      </c>
      <c r="DW89" s="52">
        <v>162.88</v>
      </c>
      <c r="DX89" s="52">
        <v>187.61</v>
      </c>
      <c r="DY89" s="52">
        <v>298.61</v>
      </c>
      <c r="DZ89" s="52">
        <v>207.45</v>
      </c>
      <c r="EA89" s="52">
        <v>163.76</v>
      </c>
      <c r="EB89" s="52">
        <v>242.74</v>
      </c>
      <c r="EC89" s="52">
        <v>229.88</v>
      </c>
      <c r="ED89" s="52">
        <v>218.37</v>
      </c>
      <c r="EE89" s="52">
        <v>210.01</v>
      </c>
      <c r="EF89" s="52">
        <v>165.31</v>
      </c>
      <c r="EG89" s="52">
        <v>253.75</v>
      </c>
      <c r="EH89" s="52">
        <v>236.79</v>
      </c>
      <c r="EI89" s="52">
        <v>234.88</v>
      </c>
      <c r="EJ89" s="52">
        <v>104.65</v>
      </c>
      <c r="EK89" s="52">
        <v>138.97999999999999</v>
      </c>
      <c r="EL89" s="52">
        <v>556.84</v>
      </c>
      <c r="EM89" s="52">
        <v>212.83</v>
      </c>
      <c r="EN89" s="52">
        <v>229.65</v>
      </c>
      <c r="EO89" s="52">
        <v>231.74</v>
      </c>
      <c r="EP89" s="52">
        <v>162.58000000000001</v>
      </c>
      <c r="EQ89" s="52">
        <v>186.66</v>
      </c>
      <c r="ER89" s="52">
        <v>307.01</v>
      </c>
      <c r="ES89" s="52">
        <v>230.73</v>
      </c>
      <c r="ET89" s="52">
        <v>214.64</v>
      </c>
      <c r="EU89" s="52">
        <v>184.91</v>
      </c>
      <c r="EV89" s="52">
        <v>206.06</v>
      </c>
      <c r="EW89" s="52">
        <v>195.45</v>
      </c>
      <c r="EX89" s="52">
        <v>197.52</v>
      </c>
      <c r="EY89" s="52">
        <v>140.16999999999999</v>
      </c>
      <c r="EZ89" s="52">
        <v>232.36</v>
      </c>
      <c r="FA89" s="52">
        <v>288.26</v>
      </c>
      <c r="FB89" s="52">
        <v>187.58</v>
      </c>
      <c r="FC89" s="52">
        <v>279.77999999999997</v>
      </c>
      <c r="FD89" s="52">
        <v>187.15</v>
      </c>
      <c r="FE89" s="52">
        <v>179.99</v>
      </c>
      <c r="FF89" s="52"/>
      <c r="FG89" s="52">
        <v>168.33</v>
      </c>
      <c r="FH89" s="52">
        <v>180.06</v>
      </c>
      <c r="FI89" s="52">
        <v>215.35</v>
      </c>
      <c r="FJ89" s="52">
        <v>257.70999999999998</v>
      </c>
      <c r="FK89" s="52">
        <v>258.02999999999997</v>
      </c>
      <c r="FL89" s="52">
        <v>214.76</v>
      </c>
      <c r="FM89" s="52">
        <v>187</v>
      </c>
      <c r="FN89" s="52">
        <v>161.96</v>
      </c>
      <c r="FO89" s="52">
        <v>272.51</v>
      </c>
      <c r="FP89" s="52">
        <v>280.55</v>
      </c>
      <c r="FQ89" s="52">
        <v>203.82</v>
      </c>
      <c r="FR89" s="52">
        <v>266.39999999999998</v>
      </c>
      <c r="FS89" s="52">
        <v>222.81</v>
      </c>
      <c r="FT89" s="52">
        <v>161.94999999999999</v>
      </c>
      <c r="FU89" s="52">
        <v>217.43</v>
      </c>
      <c r="FV89" s="52">
        <v>184.23</v>
      </c>
      <c r="FW89" s="52">
        <v>113.94</v>
      </c>
      <c r="FX89" s="52">
        <v>215.86</v>
      </c>
      <c r="FY89" s="52">
        <v>236.57</v>
      </c>
      <c r="FZ89" s="52">
        <v>209.55</v>
      </c>
      <c r="GA89" s="52">
        <v>187.12</v>
      </c>
      <c r="GB89" s="52">
        <v>167.05</v>
      </c>
      <c r="GC89" s="52">
        <v>167.06</v>
      </c>
      <c r="GD89" s="52">
        <v>152.4</v>
      </c>
      <c r="GE89" s="52">
        <v>338.7</v>
      </c>
      <c r="GF89" s="52">
        <v>233.38</v>
      </c>
      <c r="GG89" s="52">
        <v>292.74</v>
      </c>
      <c r="GH89" s="52">
        <v>345.18</v>
      </c>
      <c r="GI89" s="52">
        <v>140.55000000000001</v>
      </c>
      <c r="GJ89" s="52">
        <v>134.55000000000001</v>
      </c>
      <c r="GK89" s="52">
        <v>129.86000000000001</v>
      </c>
      <c r="GL89" s="52">
        <v>164.88</v>
      </c>
      <c r="GM89" s="52">
        <v>145.51</v>
      </c>
      <c r="GN89" s="52">
        <v>201.2</v>
      </c>
      <c r="GO89" s="52">
        <v>149.86000000000001</v>
      </c>
      <c r="GP89" s="52">
        <v>157.82</v>
      </c>
      <c r="GQ89" s="52">
        <v>156.19999999999999</v>
      </c>
      <c r="GR89" s="52">
        <v>217.66</v>
      </c>
      <c r="GS89" s="52">
        <v>280.95999999999998</v>
      </c>
      <c r="GT89" s="52">
        <v>165.67</v>
      </c>
      <c r="GU89" s="52">
        <v>197.85</v>
      </c>
      <c r="GV89" s="52">
        <v>191.85</v>
      </c>
      <c r="GW89" s="52">
        <v>222.06</v>
      </c>
      <c r="GX89" s="52">
        <v>286.35000000000002</v>
      </c>
      <c r="GY89" s="52">
        <v>236.1</v>
      </c>
      <c r="GZ89" s="52">
        <v>207.1</v>
      </c>
      <c r="HA89" s="52">
        <v>182.88</v>
      </c>
      <c r="HB89" s="52">
        <v>183.1</v>
      </c>
      <c r="HC89" s="52">
        <v>162.88999999999999</v>
      </c>
      <c r="HD89" s="52">
        <v>163.44</v>
      </c>
      <c r="HE89" s="52">
        <v>108.65</v>
      </c>
      <c r="HF89" s="52">
        <v>111.63</v>
      </c>
      <c r="HG89" s="52">
        <v>127.59</v>
      </c>
      <c r="HH89" s="52">
        <v>152.94999999999999</v>
      </c>
      <c r="HI89" s="52">
        <v>78.22</v>
      </c>
      <c r="HJ89" s="52">
        <v>120</v>
      </c>
      <c r="HK89" s="52">
        <v>248.29</v>
      </c>
      <c r="HL89" s="52">
        <v>145.71</v>
      </c>
      <c r="HM89" s="52">
        <v>193.08</v>
      </c>
      <c r="HN89" s="52">
        <v>190.97</v>
      </c>
      <c r="HO89" s="52">
        <v>164.74</v>
      </c>
      <c r="HP89" s="52">
        <v>214.52</v>
      </c>
      <c r="HQ89" s="52">
        <v>125.13</v>
      </c>
      <c r="HR89" s="52">
        <v>169.67</v>
      </c>
      <c r="HS89" s="52">
        <v>283</v>
      </c>
      <c r="HT89" s="52">
        <v>194.73</v>
      </c>
      <c r="HU89" s="52">
        <v>89.91</v>
      </c>
      <c r="HV89" s="52">
        <v>144.9</v>
      </c>
      <c r="HW89" s="52">
        <v>114.78</v>
      </c>
      <c r="HX89" s="52">
        <v>96.2</v>
      </c>
      <c r="HY89" s="52">
        <v>200.5</v>
      </c>
      <c r="HZ89" s="52">
        <v>147.24</v>
      </c>
      <c r="IA89" s="52">
        <v>87.57</v>
      </c>
      <c r="IB89" s="52">
        <v>175.8</v>
      </c>
      <c r="IC89" s="52">
        <v>118.09</v>
      </c>
      <c r="ID89" s="52">
        <v>132.51</v>
      </c>
      <c r="IE89" s="52">
        <v>112.42</v>
      </c>
      <c r="IF89" s="52">
        <v>134.58000000000001</v>
      </c>
      <c r="IG89" s="52">
        <v>195.46</v>
      </c>
      <c r="IH89" s="52">
        <v>234.34</v>
      </c>
      <c r="II89" s="52">
        <v>243.08</v>
      </c>
      <c r="IJ89" s="52">
        <v>182.12</v>
      </c>
      <c r="IK89" s="52">
        <v>228.78</v>
      </c>
      <c r="IL89" s="52">
        <v>186.94</v>
      </c>
      <c r="IM89" s="52">
        <v>246.28</v>
      </c>
      <c r="IN89" s="52">
        <v>233.41</v>
      </c>
      <c r="IO89" s="52">
        <v>188.24</v>
      </c>
      <c r="IP89" s="52">
        <v>137.91</v>
      </c>
      <c r="IQ89" s="52">
        <v>180.16</v>
      </c>
      <c r="IR89" s="52">
        <v>253.55</v>
      </c>
      <c r="IS89" s="52">
        <v>262.27</v>
      </c>
      <c r="IT89" s="52">
        <v>54.1</v>
      </c>
      <c r="IU89" s="52">
        <v>122.45</v>
      </c>
      <c r="IV89" s="52">
        <v>48.95</v>
      </c>
      <c r="IW89" s="52">
        <v>92.37</v>
      </c>
      <c r="IX89" s="52">
        <v>143.07</v>
      </c>
      <c r="IY89" s="52">
        <v>157.54</v>
      </c>
      <c r="IZ89" s="52">
        <v>225.2</v>
      </c>
      <c r="JA89" s="52">
        <v>164.4</v>
      </c>
      <c r="JB89" s="52"/>
      <c r="JC89" s="52">
        <v>193.95</v>
      </c>
      <c r="JD89" s="52">
        <v>237.05</v>
      </c>
      <c r="JE89" s="52">
        <v>178.78</v>
      </c>
      <c r="JF89" s="52">
        <v>158.37</v>
      </c>
      <c r="JG89" s="52">
        <v>187.61</v>
      </c>
      <c r="JH89" s="52">
        <v>298.61</v>
      </c>
      <c r="JI89" s="52">
        <v>207.45</v>
      </c>
      <c r="JJ89" s="52">
        <v>163.76</v>
      </c>
      <c r="JK89" s="52">
        <v>242.74</v>
      </c>
      <c r="JL89" s="52">
        <v>229.88</v>
      </c>
      <c r="JM89" s="52">
        <v>218.37</v>
      </c>
      <c r="JN89" s="52">
        <v>210.01</v>
      </c>
      <c r="JO89" s="52">
        <v>165.31</v>
      </c>
      <c r="JP89" s="52">
        <v>266.88</v>
      </c>
      <c r="JQ89" s="52">
        <v>222.64</v>
      </c>
      <c r="JR89" s="52">
        <v>216.3</v>
      </c>
      <c r="JS89" s="52">
        <v>267.95999999999998</v>
      </c>
      <c r="JT89" s="52">
        <v>259.51</v>
      </c>
      <c r="JU89" s="52">
        <v>210.95</v>
      </c>
      <c r="JV89" s="52">
        <v>104.65</v>
      </c>
      <c r="JW89" s="52">
        <v>138.97999999999999</v>
      </c>
      <c r="JX89" s="52">
        <v>556.84</v>
      </c>
      <c r="JY89" s="52">
        <v>213.92</v>
      </c>
      <c r="JZ89" s="52">
        <v>208.73</v>
      </c>
      <c r="KA89" s="52">
        <v>229.65</v>
      </c>
      <c r="KB89" s="52">
        <v>231.74</v>
      </c>
      <c r="KC89" s="52">
        <v>162.58000000000001</v>
      </c>
      <c r="KD89" s="52">
        <v>186.66</v>
      </c>
      <c r="KE89" s="52">
        <v>307.01</v>
      </c>
      <c r="KF89" s="52">
        <v>230.73</v>
      </c>
    </row>
    <row r="90" spans="1:292" s="41" customFormat="1" ht="12">
      <c r="A90" s="41">
        <v>2012</v>
      </c>
      <c r="B90" s="54" t="s">
        <v>977</v>
      </c>
      <c r="C90" s="50" t="s">
        <v>978</v>
      </c>
      <c r="D90" s="52">
        <v>201.98</v>
      </c>
      <c r="E90" s="52">
        <v>214.65</v>
      </c>
      <c r="F90" s="52">
        <v>344.08</v>
      </c>
      <c r="G90" s="52">
        <v>131.07</v>
      </c>
      <c r="H90" s="52">
        <v>233.9</v>
      </c>
      <c r="I90" s="52">
        <v>163.1</v>
      </c>
      <c r="J90" s="52">
        <v>128.38999999999999</v>
      </c>
      <c r="K90" s="52">
        <v>199.44</v>
      </c>
      <c r="L90" s="52">
        <v>114.21</v>
      </c>
      <c r="M90" s="52">
        <v>154.94999999999999</v>
      </c>
      <c r="N90" s="52">
        <v>201.69</v>
      </c>
      <c r="O90" s="52">
        <v>259.06</v>
      </c>
      <c r="P90" s="52">
        <v>236.55</v>
      </c>
      <c r="Q90" s="52">
        <v>216.51</v>
      </c>
      <c r="R90" s="52">
        <v>188.29</v>
      </c>
      <c r="S90" s="52">
        <v>315.14</v>
      </c>
      <c r="T90" s="52">
        <v>345.76</v>
      </c>
      <c r="U90" s="52">
        <v>127.07</v>
      </c>
      <c r="V90" s="52">
        <v>142.61000000000001</v>
      </c>
      <c r="W90" s="52">
        <v>281.93</v>
      </c>
      <c r="X90" s="52">
        <v>166.65</v>
      </c>
      <c r="Y90" s="52">
        <v>206.08</v>
      </c>
      <c r="Z90" s="52">
        <v>236.1</v>
      </c>
      <c r="AA90" s="52">
        <v>184.2</v>
      </c>
      <c r="AB90" s="52">
        <v>164.47</v>
      </c>
      <c r="AC90" s="52">
        <v>130.16999999999999</v>
      </c>
      <c r="AD90" s="52">
        <v>172.5</v>
      </c>
      <c r="AE90" s="52">
        <v>192.53</v>
      </c>
      <c r="AF90" s="52">
        <v>160.58000000000001</v>
      </c>
      <c r="AG90" s="52">
        <v>93.12</v>
      </c>
      <c r="AH90" s="52">
        <v>158.13</v>
      </c>
      <c r="AI90" s="52">
        <v>176.42</v>
      </c>
      <c r="AJ90" s="52">
        <v>132.71</v>
      </c>
      <c r="AK90" s="52">
        <v>237.61</v>
      </c>
      <c r="AL90" s="52">
        <v>233.4</v>
      </c>
      <c r="AM90" s="52">
        <v>262.27</v>
      </c>
      <c r="AN90" s="52">
        <v>54.04</v>
      </c>
      <c r="AO90" s="52">
        <v>122.45</v>
      </c>
      <c r="AP90" s="52">
        <v>69.02</v>
      </c>
      <c r="AQ90" s="52">
        <v>158.6</v>
      </c>
      <c r="AR90" s="52">
        <v>211</v>
      </c>
      <c r="AS90" s="52">
        <v>204.59</v>
      </c>
      <c r="AT90" s="52">
        <v>225.04</v>
      </c>
      <c r="AU90" s="52">
        <v>242.27</v>
      </c>
      <c r="AV90" s="52">
        <v>229.02</v>
      </c>
      <c r="AW90" s="52">
        <v>218.26</v>
      </c>
      <c r="AX90" s="52">
        <v>210.11</v>
      </c>
      <c r="AY90" s="52">
        <v>165.27</v>
      </c>
      <c r="AZ90" s="52">
        <v>255.52</v>
      </c>
      <c r="BA90" s="52">
        <v>239.92</v>
      </c>
      <c r="BB90" s="52">
        <v>161.08000000000001</v>
      </c>
      <c r="BC90" s="52">
        <v>440.66</v>
      </c>
      <c r="BD90" s="52">
        <v>230.07</v>
      </c>
      <c r="BE90" s="52">
        <v>199.24</v>
      </c>
      <c r="BF90" s="52">
        <v>307.01</v>
      </c>
      <c r="BG90" s="52">
        <v>258.82</v>
      </c>
      <c r="BH90" s="52">
        <v>204.29</v>
      </c>
      <c r="BI90" s="52">
        <v>225.81</v>
      </c>
      <c r="BJ90" s="52">
        <v>189.75</v>
      </c>
      <c r="BK90" s="52">
        <v>206.33</v>
      </c>
      <c r="BL90" s="52">
        <v>197.61</v>
      </c>
      <c r="BM90" s="52">
        <v>183.37</v>
      </c>
      <c r="BN90" s="52">
        <v>272.58</v>
      </c>
      <c r="BO90" s="52">
        <v>172.93</v>
      </c>
      <c r="BP90" s="52">
        <v>217.1</v>
      </c>
      <c r="BQ90" s="52">
        <v>214.47</v>
      </c>
      <c r="BR90" s="52">
        <v>165.8</v>
      </c>
      <c r="BS90" s="52">
        <v>338.87</v>
      </c>
      <c r="BT90" s="52">
        <v>241.4</v>
      </c>
      <c r="BU90" s="52">
        <v>294.05</v>
      </c>
      <c r="BV90" s="52">
        <v>345.76</v>
      </c>
      <c r="BW90" s="52">
        <v>124.96</v>
      </c>
      <c r="BX90" s="52">
        <v>139.96</v>
      </c>
      <c r="BY90" s="52">
        <v>203.02</v>
      </c>
      <c r="BZ90" s="52">
        <v>142.15</v>
      </c>
      <c r="CA90" s="52">
        <v>219.41</v>
      </c>
      <c r="CB90" s="53">
        <v>281.93</v>
      </c>
      <c r="CC90" s="52">
        <v>166.65</v>
      </c>
      <c r="CD90" s="52">
        <v>205.3</v>
      </c>
      <c r="CE90" s="52">
        <v>193.8</v>
      </c>
      <c r="CF90" s="52">
        <v>265.37</v>
      </c>
      <c r="CG90" s="52">
        <v>239.98</v>
      </c>
      <c r="CH90" s="52">
        <v>189.73</v>
      </c>
      <c r="CI90" s="52">
        <v>162.49</v>
      </c>
      <c r="CJ90" s="52">
        <v>164.47</v>
      </c>
      <c r="CK90" s="52">
        <v>120.83</v>
      </c>
      <c r="CL90" s="52">
        <v>123.43</v>
      </c>
      <c r="CM90" s="52">
        <v>249.99</v>
      </c>
      <c r="CN90" s="52">
        <v>172.5</v>
      </c>
      <c r="CO90" s="52">
        <v>192.53</v>
      </c>
      <c r="CP90" s="52">
        <v>130.96</v>
      </c>
      <c r="CQ90" s="52">
        <v>284.37</v>
      </c>
      <c r="CR90" s="52">
        <v>89.31</v>
      </c>
      <c r="CS90" s="52">
        <v>145.13</v>
      </c>
      <c r="CT90" s="52">
        <v>110.81</v>
      </c>
      <c r="CU90" s="52">
        <v>201.65</v>
      </c>
      <c r="CV90" s="52">
        <v>147.41</v>
      </c>
      <c r="CW90" s="52">
        <v>96.27</v>
      </c>
      <c r="CX90" s="52">
        <v>176.42</v>
      </c>
      <c r="CY90" s="52">
        <v>132.94</v>
      </c>
      <c r="CZ90" s="52">
        <v>113.58</v>
      </c>
      <c r="DA90" s="52">
        <v>135.61000000000001</v>
      </c>
      <c r="DB90" s="52">
        <v>200.2</v>
      </c>
      <c r="DC90" s="52">
        <v>240.57</v>
      </c>
      <c r="DD90" s="52">
        <v>248.55</v>
      </c>
      <c r="DE90" s="52">
        <v>183.12</v>
      </c>
      <c r="DF90" s="52">
        <v>216.95</v>
      </c>
      <c r="DG90" s="52">
        <v>238.11</v>
      </c>
      <c r="DH90" s="52">
        <v>137.47</v>
      </c>
      <c r="DI90" s="52">
        <v>180.43</v>
      </c>
      <c r="DJ90" s="52">
        <v>256.14</v>
      </c>
      <c r="DK90" s="52">
        <v>262.27</v>
      </c>
      <c r="DL90" s="52">
        <v>54.04</v>
      </c>
      <c r="DM90" s="52">
        <v>122.45</v>
      </c>
      <c r="DN90" s="52">
        <v>47.68</v>
      </c>
      <c r="DO90" s="52">
        <v>90.74</v>
      </c>
      <c r="DP90" s="52">
        <v>143.54</v>
      </c>
      <c r="DQ90" s="52">
        <v>158.6</v>
      </c>
      <c r="DR90" s="52">
        <v>229.5</v>
      </c>
      <c r="DS90" s="52">
        <v>165.36</v>
      </c>
      <c r="DT90" s="52"/>
      <c r="DU90" s="52">
        <v>195.07</v>
      </c>
      <c r="DV90" s="52">
        <v>233.76</v>
      </c>
      <c r="DW90" s="52">
        <v>174.13</v>
      </c>
      <c r="DX90" s="52">
        <v>227.3</v>
      </c>
      <c r="DY90" s="52">
        <v>298.27</v>
      </c>
      <c r="DZ90" s="52">
        <v>208.62</v>
      </c>
      <c r="EA90" s="52">
        <v>163.80000000000001</v>
      </c>
      <c r="EB90" s="52">
        <v>242.27</v>
      </c>
      <c r="EC90" s="52">
        <v>229.02</v>
      </c>
      <c r="ED90" s="52">
        <v>218.26</v>
      </c>
      <c r="EE90" s="52">
        <v>210.11</v>
      </c>
      <c r="EF90" s="52">
        <v>165.27</v>
      </c>
      <c r="EG90" s="52">
        <v>255.52</v>
      </c>
      <c r="EH90" s="52">
        <v>239.92</v>
      </c>
      <c r="EI90" s="52">
        <v>237.06</v>
      </c>
      <c r="EJ90" s="52">
        <v>111.48</v>
      </c>
      <c r="EK90" s="52">
        <v>140.56</v>
      </c>
      <c r="EL90" s="52">
        <v>548.11</v>
      </c>
      <c r="EM90" s="52">
        <v>211.68</v>
      </c>
      <c r="EN90" s="52">
        <v>230.07</v>
      </c>
      <c r="EO90" s="52">
        <v>240.03</v>
      </c>
      <c r="EP90" s="52">
        <v>162.58000000000001</v>
      </c>
      <c r="EQ90" s="52">
        <v>191.62</v>
      </c>
      <c r="ER90" s="52">
        <v>307.01</v>
      </c>
      <c r="ES90" s="52">
        <v>258.82</v>
      </c>
      <c r="ET90" s="52">
        <v>212.31</v>
      </c>
      <c r="EU90" s="52">
        <v>186.35</v>
      </c>
      <c r="EV90" s="52">
        <v>210.77</v>
      </c>
      <c r="EW90" s="52">
        <v>196.04</v>
      </c>
      <c r="EX90" s="52">
        <v>201.5</v>
      </c>
      <c r="EY90" s="52">
        <v>139.97</v>
      </c>
      <c r="EZ90" s="52">
        <v>228.15</v>
      </c>
      <c r="FA90" s="52">
        <v>280.48</v>
      </c>
      <c r="FB90" s="52">
        <v>185.77</v>
      </c>
      <c r="FC90" s="52">
        <v>276.76</v>
      </c>
      <c r="FD90" s="52">
        <v>188.98</v>
      </c>
      <c r="FE90" s="52">
        <v>189.75</v>
      </c>
      <c r="FF90" s="52"/>
      <c r="FG90" s="52">
        <v>169.73</v>
      </c>
      <c r="FH90" s="52">
        <v>180.33</v>
      </c>
      <c r="FI90" s="52">
        <v>217.69</v>
      </c>
      <c r="FJ90" s="52">
        <v>266.75</v>
      </c>
      <c r="FK90" s="52">
        <v>255.78</v>
      </c>
      <c r="FL90" s="52">
        <v>216.73</v>
      </c>
      <c r="FM90" s="52">
        <v>188.27</v>
      </c>
      <c r="FN90" s="52">
        <v>166.11</v>
      </c>
      <c r="FO90" s="52">
        <v>275.48</v>
      </c>
      <c r="FP90" s="52">
        <v>289.14999999999998</v>
      </c>
      <c r="FQ90" s="52">
        <v>200.94</v>
      </c>
      <c r="FR90" s="52">
        <v>270.85000000000002</v>
      </c>
      <c r="FS90" s="52">
        <v>223.45</v>
      </c>
      <c r="FT90" s="52">
        <v>161.94999999999999</v>
      </c>
      <c r="FU90" s="52">
        <v>222.11</v>
      </c>
      <c r="FV90" s="52">
        <v>186.61</v>
      </c>
      <c r="FW90" s="52">
        <v>117.61</v>
      </c>
      <c r="FX90" s="52">
        <v>217.1</v>
      </c>
      <c r="FY90" s="52">
        <v>237.32</v>
      </c>
      <c r="FZ90" s="52">
        <v>211.33</v>
      </c>
      <c r="GA90" s="52">
        <v>187.73</v>
      </c>
      <c r="GB90" s="52">
        <v>168.39</v>
      </c>
      <c r="GC90" s="52">
        <v>167.78</v>
      </c>
      <c r="GD90" s="52">
        <v>154.07</v>
      </c>
      <c r="GE90" s="52">
        <v>338.87</v>
      </c>
      <c r="GF90" s="52">
        <v>241.4</v>
      </c>
      <c r="GG90" s="52">
        <v>294.05</v>
      </c>
      <c r="GH90" s="52">
        <v>345.18</v>
      </c>
      <c r="GI90" s="52">
        <v>129.09</v>
      </c>
      <c r="GJ90" s="52">
        <v>121.24</v>
      </c>
      <c r="GK90" s="52">
        <v>121.38</v>
      </c>
      <c r="GL90" s="52">
        <v>162.85</v>
      </c>
      <c r="GM90" s="52">
        <v>139.96</v>
      </c>
      <c r="GN90" s="52">
        <v>203.02</v>
      </c>
      <c r="GO90" s="52">
        <v>139.74</v>
      </c>
      <c r="GP90" s="52">
        <v>142.59</v>
      </c>
      <c r="GQ90" s="52">
        <v>147.13999999999999</v>
      </c>
      <c r="GR90" s="52">
        <v>219.41</v>
      </c>
      <c r="GS90" s="52">
        <v>281.93</v>
      </c>
      <c r="GT90" s="52">
        <v>166.65</v>
      </c>
      <c r="GU90" s="52">
        <v>205.3</v>
      </c>
      <c r="GV90" s="52">
        <v>193.8</v>
      </c>
      <c r="GW90" s="52">
        <v>223.18</v>
      </c>
      <c r="GX90" s="52">
        <v>294.55</v>
      </c>
      <c r="GY90" s="52">
        <v>239.98</v>
      </c>
      <c r="GZ90" s="52">
        <v>207.93</v>
      </c>
      <c r="HA90" s="52">
        <v>190.22</v>
      </c>
      <c r="HB90" s="52">
        <v>189.72</v>
      </c>
      <c r="HC90" s="52">
        <v>162.49</v>
      </c>
      <c r="HD90" s="52">
        <v>164.47</v>
      </c>
      <c r="HE90" s="52">
        <v>111.25</v>
      </c>
      <c r="HF90" s="52">
        <v>107.58</v>
      </c>
      <c r="HG90" s="52">
        <v>131.35</v>
      </c>
      <c r="HH90" s="52">
        <v>157.6</v>
      </c>
      <c r="HI90" s="52">
        <v>81.22</v>
      </c>
      <c r="HJ90" s="52">
        <v>123.43</v>
      </c>
      <c r="HK90" s="52">
        <v>249.99</v>
      </c>
      <c r="HL90" s="52">
        <v>146.71</v>
      </c>
      <c r="HM90" s="52">
        <v>194.93</v>
      </c>
      <c r="HN90" s="52">
        <v>192.64</v>
      </c>
      <c r="HO90" s="52">
        <v>168.16</v>
      </c>
      <c r="HP90" s="52">
        <v>214.8</v>
      </c>
      <c r="HQ90" s="52">
        <v>126.3</v>
      </c>
      <c r="HR90" s="52">
        <v>170.01</v>
      </c>
      <c r="HS90" s="52">
        <v>287.82</v>
      </c>
      <c r="HT90" s="52">
        <v>196.6</v>
      </c>
      <c r="HU90" s="52">
        <v>89.31</v>
      </c>
      <c r="HV90" s="52">
        <v>145.13</v>
      </c>
      <c r="HW90" s="52">
        <v>114.84</v>
      </c>
      <c r="HX90" s="52">
        <v>96.92</v>
      </c>
      <c r="HY90" s="52">
        <v>201.65</v>
      </c>
      <c r="HZ90" s="52">
        <v>147.41</v>
      </c>
      <c r="IA90" s="52">
        <v>87.93</v>
      </c>
      <c r="IB90" s="52">
        <v>176.42</v>
      </c>
      <c r="IC90" s="52">
        <v>120.26</v>
      </c>
      <c r="ID90" s="52">
        <v>134.94</v>
      </c>
      <c r="IE90" s="52">
        <v>113.58</v>
      </c>
      <c r="IF90" s="52">
        <v>135.61000000000001</v>
      </c>
      <c r="IG90" s="52">
        <v>200.2</v>
      </c>
      <c r="IH90" s="52">
        <v>240.57</v>
      </c>
      <c r="II90" s="52">
        <v>248.55</v>
      </c>
      <c r="IJ90" s="52">
        <v>183.12</v>
      </c>
      <c r="IK90" s="52">
        <v>229.64</v>
      </c>
      <c r="IL90" s="52">
        <v>186.94</v>
      </c>
      <c r="IM90" s="52">
        <v>252.65</v>
      </c>
      <c r="IN90" s="52">
        <v>239.38</v>
      </c>
      <c r="IO90" s="52">
        <v>187.67</v>
      </c>
      <c r="IP90" s="52">
        <v>137.47</v>
      </c>
      <c r="IQ90" s="52">
        <v>180.43</v>
      </c>
      <c r="IR90" s="52">
        <v>256.14</v>
      </c>
      <c r="IS90" s="52">
        <v>262.27</v>
      </c>
      <c r="IT90" s="52">
        <v>54.04</v>
      </c>
      <c r="IU90" s="52">
        <v>122.45</v>
      </c>
      <c r="IV90" s="52">
        <v>48.01</v>
      </c>
      <c r="IW90" s="52">
        <v>90.74</v>
      </c>
      <c r="IX90" s="52">
        <v>143.54</v>
      </c>
      <c r="IY90" s="52">
        <v>158.6</v>
      </c>
      <c r="IZ90" s="52">
        <v>229.5</v>
      </c>
      <c r="JA90" s="52">
        <v>165.36</v>
      </c>
      <c r="JB90" s="52"/>
      <c r="JC90" s="52">
        <v>195.07</v>
      </c>
      <c r="JD90" s="52">
        <v>233.76</v>
      </c>
      <c r="JE90" s="52">
        <v>181.37</v>
      </c>
      <c r="JF90" s="52">
        <v>171.09</v>
      </c>
      <c r="JG90" s="52">
        <v>227.3</v>
      </c>
      <c r="JH90" s="52">
        <v>298.27</v>
      </c>
      <c r="JI90" s="52">
        <v>208.62</v>
      </c>
      <c r="JJ90" s="52">
        <v>163.80000000000001</v>
      </c>
      <c r="JK90" s="52">
        <v>242.27</v>
      </c>
      <c r="JL90" s="52">
        <v>229.02</v>
      </c>
      <c r="JM90" s="52">
        <v>218.26</v>
      </c>
      <c r="JN90" s="52">
        <v>210.11</v>
      </c>
      <c r="JO90" s="52">
        <v>165.27</v>
      </c>
      <c r="JP90" s="52">
        <v>268.58</v>
      </c>
      <c r="JQ90" s="52">
        <v>224.63</v>
      </c>
      <c r="JR90" s="52">
        <v>216.44</v>
      </c>
      <c r="JS90" s="52">
        <v>276.39</v>
      </c>
      <c r="JT90" s="52">
        <v>261.17</v>
      </c>
      <c r="JU90" s="52">
        <v>213.57</v>
      </c>
      <c r="JV90" s="52">
        <v>111.48</v>
      </c>
      <c r="JW90" s="52">
        <v>140.56</v>
      </c>
      <c r="JX90" s="52">
        <v>548.11</v>
      </c>
      <c r="JY90" s="52">
        <v>213.13</v>
      </c>
      <c r="JZ90" s="52">
        <v>207</v>
      </c>
      <c r="KA90" s="52">
        <v>230.07</v>
      </c>
      <c r="KB90" s="52">
        <v>240.03</v>
      </c>
      <c r="KC90" s="52">
        <v>162.58000000000001</v>
      </c>
      <c r="KD90" s="52">
        <v>191.62</v>
      </c>
      <c r="KE90" s="52">
        <v>307.01</v>
      </c>
      <c r="KF90" s="52">
        <v>258.82</v>
      </c>
    </row>
    <row r="91" spans="1:292" s="41" customFormat="1" ht="12">
      <c r="A91" s="41">
        <v>2012</v>
      </c>
      <c r="B91" s="54" t="s">
        <v>979</v>
      </c>
      <c r="C91" s="55" t="s">
        <v>980</v>
      </c>
      <c r="D91" s="52">
        <v>203.12</v>
      </c>
      <c r="E91" s="52">
        <v>219.12</v>
      </c>
      <c r="F91" s="52">
        <v>344.08</v>
      </c>
      <c r="G91" s="52">
        <v>125.74</v>
      </c>
      <c r="H91" s="52">
        <v>235.3</v>
      </c>
      <c r="I91" s="52">
        <v>164.8</v>
      </c>
      <c r="J91" s="52">
        <v>129.24</v>
      </c>
      <c r="K91" s="52">
        <v>200.1</v>
      </c>
      <c r="L91" s="52">
        <v>113.99</v>
      </c>
      <c r="M91" s="52">
        <v>154.41999999999999</v>
      </c>
      <c r="N91" s="52">
        <v>201.91</v>
      </c>
      <c r="O91" s="52">
        <v>260.24</v>
      </c>
      <c r="P91" s="52">
        <v>237.43</v>
      </c>
      <c r="Q91" s="52">
        <v>221.34</v>
      </c>
      <c r="R91" s="52">
        <v>188.57</v>
      </c>
      <c r="S91" s="52">
        <v>315.13</v>
      </c>
      <c r="T91" s="52">
        <v>345.76</v>
      </c>
      <c r="U91" s="52">
        <v>121.74</v>
      </c>
      <c r="V91" s="52">
        <v>137.35</v>
      </c>
      <c r="W91" s="52">
        <v>282.91000000000003</v>
      </c>
      <c r="X91" s="52">
        <v>168.37</v>
      </c>
      <c r="Y91" s="52">
        <v>206.66</v>
      </c>
      <c r="Z91" s="52">
        <v>237.97</v>
      </c>
      <c r="AA91" s="52">
        <v>184.91</v>
      </c>
      <c r="AB91" s="52">
        <v>164.38</v>
      </c>
      <c r="AC91" s="52">
        <v>132.38</v>
      </c>
      <c r="AD91" s="52">
        <v>173</v>
      </c>
      <c r="AE91" s="52">
        <v>194.31</v>
      </c>
      <c r="AF91" s="52">
        <v>163.4</v>
      </c>
      <c r="AG91" s="52">
        <v>94.43</v>
      </c>
      <c r="AH91" s="52">
        <v>158.54</v>
      </c>
      <c r="AI91" s="52">
        <v>176.78</v>
      </c>
      <c r="AJ91" s="52">
        <v>132.4</v>
      </c>
      <c r="AK91" s="52">
        <v>239.97</v>
      </c>
      <c r="AL91" s="52">
        <v>233.95</v>
      </c>
      <c r="AM91" s="52">
        <v>262.27</v>
      </c>
      <c r="AN91" s="52">
        <v>53.02</v>
      </c>
      <c r="AO91" s="52">
        <v>122.45</v>
      </c>
      <c r="AP91" s="52">
        <v>68.22</v>
      </c>
      <c r="AQ91" s="52">
        <v>160.69999999999999</v>
      </c>
      <c r="AR91" s="52">
        <v>211.79</v>
      </c>
      <c r="AS91" s="52">
        <v>205.64</v>
      </c>
      <c r="AT91" s="52">
        <v>223.96</v>
      </c>
      <c r="AU91" s="52">
        <v>240.66</v>
      </c>
      <c r="AV91" s="52">
        <v>229.01</v>
      </c>
      <c r="AW91" s="52">
        <v>218.8</v>
      </c>
      <c r="AX91" s="52">
        <v>210.11</v>
      </c>
      <c r="AY91" s="52">
        <v>166.03</v>
      </c>
      <c r="AZ91" s="52">
        <v>256.86</v>
      </c>
      <c r="BA91" s="52">
        <v>239.35</v>
      </c>
      <c r="BB91" s="52">
        <v>162.26</v>
      </c>
      <c r="BC91" s="52">
        <v>439.24</v>
      </c>
      <c r="BD91" s="52">
        <v>231.27</v>
      </c>
      <c r="BE91" s="52">
        <v>201.7</v>
      </c>
      <c r="BF91" s="52">
        <v>307.01</v>
      </c>
      <c r="BG91" s="52">
        <v>258.81</v>
      </c>
      <c r="BH91" s="52">
        <v>207.13</v>
      </c>
      <c r="BI91" s="52">
        <v>230.19</v>
      </c>
      <c r="BJ91" s="52">
        <v>196.14</v>
      </c>
      <c r="BK91" s="52">
        <v>206.3</v>
      </c>
      <c r="BL91" s="52">
        <v>199.41</v>
      </c>
      <c r="BM91" s="52">
        <v>187.54</v>
      </c>
      <c r="BN91" s="52">
        <v>289.52999999999997</v>
      </c>
      <c r="BO91" s="52">
        <v>173.85</v>
      </c>
      <c r="BP91" s="52">
        <v>217.98</v>
      </c>
      <c r="BQ91" s="52">
        <v>213.75</v>
      </c>
      <c r="BR91" s="52">
        <v>166.53</v>
      </c>
      <c r="BS91" s="52">
        <v>338.83</v>
      </c>
      <c r="BT91" s="52">
        <v>242.53</v>
      </c>
      <c r="BU91" s="52">
        <v>293.93</v>
      </c>
      <c r="BV91" s="52">
        <v>345.76</v>
      </c>
      <c r="BW91" s="52">
        <v>119.3</v>
      </c>
      <c r="BX91" s="52">
        <v>137.96</v>
      </c>
      <c r="BY91" s="52">
        <v>204.1</v>
      </c>
      <c r="BZ91" s="52">
        <v>136.86000000000001</v>
      </c>
      <c r="CA91" s="52">
        <v>220.18</v>
      </c>
      <c r="CB91" s="53">
        <v>282.91000000000003</v>
      </c>
      <c r="CC91" s="52">
        <v>168.37</v>
      </c>
      <c r="CD91" s="52">
        <v>205.88</v>
      </c>
      <c r="CE91" s="52">
        <v>193.8</v>
      </c>
      <c r="CF91" s="52">
        <v>267.44</v>
      </c>
      <c r="CG91" s="52">
        <v>245.86</v>
      </c>
      <c r="CH91" s="52">
        <v>190.43</v>
      </c>
      <c r="CI91" s="52">
        <v>163.36000000000001</v>
      </c>
      <c r="CJ91" s="52">
        <v>164.38</v>
      </c>
      <c r="CK91" s="52">
        <v>123.13</v>
      </c>
      <c r="CL91" s="52">
        <v>124.05</v>
      </c>
      <c r="CM91" s="52">
        <v>251.57</v>
      </c>
      <c r="CN91" s="52">
        <v>173</v>
      </c>
      <c r="CO91" s="52">
        <v>194.31</v>
      </c>
      <c r="CP91" s="52">
        <v>133.47999999999999</v>
      </c>
      <c r="CQ91" s="52">
        <v>288.3</v>
      </c>
      <c r="CR91" s="52">
        <v>90.87</v>
      </c>
      <c r="CS91" s="52">
        <v>145.81</v>
      </c>
      <c r="CT91" s="52">
        <v>111.06</v>
      </c>
      <c r="CU91" s="52">
        <v>202.35</v>
      </c>
      <c r="CV91" s="52">
        <v>147.72</v>
      </c>
      <c r="CW91" s="52">
        <v>96.41</v>
      </c>
      <c r="CX91" s="52">
        <v>176.78</v>
      </c>
      <c r="CY91" s="52">
        <v>132.59</v>
      </c>
      <c r="CZ91" s="52">
        <v>114.66</v>
      </c>
      <c r="DA91" s="52">
        <v>137.72999999999999</v>
      </c>
      <c r="DB91" s="52">
        <v>200.53</v>
      </c>
      <c r="DC91" s="52">
        <v>242.97</v>
      </c>
      <c r="DD91" s="52">
        <v>252.23</v>
      </c>
      <c r="DE91" s="52">
        <v>183.98</v>
      </c>
      <c r="DF91" s="52">
        <v>217.98</v>
      </c>
      <c r="DG91" s="52">
        <v>238.66</v>
      </c>
      <c r="DH91" s="52">
        <v>137.22</v>
      </c>
      <c r="DI91" s="52">
        <v>182.99</v>
      </c>
      <c r="DJ91" s="52">
        <v>258.41000000000003</v>
      </c>
      <c r="DK91" s="52">
        <v>262.27</v>
      </c>
      <c r="DL91" s="52">
        <v>53.02</v>
      </c>
      <c r="DM91" s="52">
        <v>122.45</v>
      </c>
      <c r="DN91" s="52">
        <v>47.49</v>
      </c>
      <c r="DO91" s="52">
        <v>88.94</v>
      </c>
      <c r="DP91" s="52">
        <v>143.71</v>
      </c>
      <c r="DQ91" s="52">
        <v>160.69999999999999</v>
      </c>
      <c r="DR91" s="52">
        <v>230.87</v>
      </c>
      <c r="DS91" s="52">
        <v>165.12</v>
      </c>
      <c r="DT91" s="52"/>
      <c r="DU91" s="52">
        <v>195.48</v>
      </c>
      <c r="DV91" s="52">
        <v>235.95</v>
      </c>
      <c r="DW91" s="52">
        <v>174.45</v>
      </c>
      <c r="DX91" s="52">
        <v>227.3</v>
      </c>
      <c r="DY91" s="52">
        <v>292.45</v>
      </c>
      <c r="DZ91" s="52">
        <v>210.24</v>
      </c>
      <c r="EA91" s="52">
        <v>164.56</v>
      </c>
      <c r="EB91" s="52">
        <v>240.66</v>
      </c>
      <c r="EC91" s="52">
        <v>229.01</v>
      </c>
      <c r="ED91" s="52">
        <v>218.8</v>
      </c>
      <c r="EE91" s="52">
        <v>210.11</v>
      </c>
      <c r="EF91" s="52">
        <v>166.03</v>
      </c>
      <c r="EG91" s="52">
        <v>256.86</v>
      </c>
      <c r="EH91" s="52">
        <v>239.35</v>
      </c>
      <c r="EI91" s="52">
        <v>237.5</v>
      </c>
      <c r="EJ91" s="52">
        <v>112.39</v>
      </c>
      <c r="EK91" s="52">
        <v>141.91</v>
      </c>
      <c r="EL91" s="52">
        <v>546.15</v>
      </c>
      <c r="EM91" s="52">
        <v>211.19</v>
      </c>
      <c r="EN91" s="52">
        <v>231.27</v>
      </c>
      <c r="EO91" s="52">
        <v>242.91</v>
      </c>
      <c r="EP91" s="52">
        <v>162.58000000000001</v>
      </c>
      <c r="EQ91" s="52">
        <v>195.13</v>
      </c>
      <c r="ER91" s="52">
        <v>307.01</v>
      </c>
      <c r="ES91" s="52">
        <v>258.81</v>
      </c>
      <c r="ET91" s="52">
        <v>210.92</v>
      </c>
      <c r="EU91" s="52">
        <v>186.33</v>
      </c>
      <c r="EV91" s="52">
        <v>215.77</v>
      </c>
      <c r="EW91" s="52">
        <v>197.33</v>
      </c>
      <c r="EX91" s="52">
        <v>202.28</v>
      </c>
      <c r="EY91" s="52">
        <v>140.19999999999999</v>
      </c>
      <c r="EZ91" s="52">
        <v>226.42</v>
      </c>
      <c r="FA91" s="52">
        <v>271.62</v>
      </c>
      <c r="FB91" s="52">
        <v>206.44</v>
      </c>
      <c r="FC91" s="52">
        <v>281.41000000000003</v>
      </c>
      <c r="FD91" s="52">
        <v>188.78</v>
      </c>
      <c r="FE91" s="52">
        <v>196.14</v>
      </c>
      <c r="FF91" s="52"/>
      <c r="FG91" s="52">
        <v>166.18</v>
      </c>
      <c r="FH91" s="52">
        <v>179.82</v>
      </c>
      <c r="FI91" s="52">
        <v>217.21</v>
      </c>
      <c r="FJ91" s="52">
        <v>273.58999999999997</v>
      </c>
      <c r="FK91" s="52">
        <v>255.79</v>
      </c>
      <c r="FL91" s="52">
        <v>218.12</v>
      </c>
      <c r="FM91" s="52">
        <v>190.33</v>
      </c>
      <c r="FN91" s="52">
        <v>170.91</v>
      </c>
      <c r="FO91" s="52">
        <v>276.39999999999998</v>
      </c>
      <c r="FP91" s="52">
        <v>314.85000000000002</v>
      </c>
      <c r="FQ91" s="52">
        <v>200.55</v>
      </c>
      <c r="FR91" s="52">
        <v>270.07</v>
      </c>
      <c r="FS91" s="52">
        <v>224.67</v>
      </c>
      <c r="FT91" s="52">
        <v>160.35</v>
      </c>
      <c r="FU91" s="52">
        <v>225.74</v>
      </c>
      <c r="FV91" s="52">
        <v>188.05</v>
      </c>
      <c r="FW91" s="52">
        <v>121.52</v>
      </c>
      <c r="FX91" s="52">
        <v>217.98</v>
      </c>
      <c r="FY91" s="52">
        <v>241.12</v>
      </c>
      <c r="FZ91" s="52">
        <v>209.85</v>
      </c>
      <c r="GA91" s="52">
        <v>189.37</v>
      </c>
      <c r="GB91" s="52">
        <v>169.47</v>
      </c>
      <c r="GC91" s="52">
        <v>167.7</v>
      </c>
      <c r="GD91" s="52">
        <v>156.07</v>
      </c>
      <c r="GE91" s="52">
        <v>338.83</v>
      </c>
      <c r="GF91" s="52">
        <v>242.53</v>
      </c>
      <c r="GG91" s="52">
        <v>293.93</v>
      </c>
      <c r="GH91" s="52">
        <v>345.18</v>
      </c>
      <c r="GI91" s="52">
        <v>124.02</v>
      </c>
      <c r="GJ91" s="52">
        <v>115.01</v>
      </c>
      <c r="GK91" s="52">
        <v>115.59</v>
      </c>
      <c r="GL91" s="52">
        <v>161.69999999999999</v>
      </c>
      <c r="GM91" s="52">
        <v>137.96</v>
      </c>
      <c r="GN91" s="52">
        <v>204.1</v>
      </c>
      <c r="GO91" s="52">
        <v>136.16</v>
      </c>
      <c r="GP91" s="52">
        <v>135.71</v>
      </c>
      <c r="GQ91" s="52">
        <v>140.91</v>
      </c>
      <c r="GR91" s="52">
        <v>220.18</v>
      </c>
      <c r="GS91" s="52">
        <v>282.91000000000003</v>
      </c>
      <c r="GT91" s="52">
        <v>168.37</v>
      </c>
      <c r="GU91" s="52">
        <v>205.88</v>
      </c>
      <c r="GV91" s="52">
        <v>193.8</v>
      </c>
      <c r="GW91" s="52">
        <v>223.49</v>
      </c>
      <c r="GX91" s="52">
        <v>298.56</v>
      </c>
      <c r="GY91" s="52">
        <v>245.86</v>
      </c>
      <c r="GZ91" s="52">
        <v>207.73</v>
      </c>
      <c r="HA91" s="52">
        <v>189.5</v>
      </c>
      <c r="HB91" s="52">
        <v>191.53</v>
      </c>
      <c r="HC91" s="52">
        <v>163.36000000000001</v>
      </c>
      <c r="HD91" s="52">
        <v>164.38</v>
      </c>
      <c r="HE91" s="52">
        <v>115.98</v>
      </c>
      <c r="HF91" s="52">
        <v>108.33</v>
      </c>
      <c r="HG91" s="52">
        <v>131.5</v>
      </c>
      <c r="HH91" s="52">
        <v>159.27000000000001</v>
      </c>
      <c r="HI91" s="52">
        <v>81.91</v>
      </c>
      <c r="HJ91" s="52">
        <v>124.05</v>
      </c>
      <c r="HK91" s="52">
        <v>251.57</v>
      </c>
      <c r="HL91" s="52">
        <v>146.9</v>
      </c>
      <c r="HM91" s="52">
        <v>195.54</v>
      </c>
      <c r="HN91" s="52">
        <v>193.42</v>
      </c>
      <c r="HO91" s="52">
        <v>170.96</v>
      </c>
      <c r="HP91" s="52">
        <v>215.01</v>
      </c>
      <c r="HQ91" s="52">
        <v>128.88</v>
      </c>
      <c r="HR91" s="52">
        <v>171.97</v>
      </c>
      <c r="HS91" s="52">
        <v>291.89999999999998</v>
      </c>
      <c r="HT91" s="52">
        <v>198.1</v>
      </c>
      <c r="HU91" s="52">
        <v>90.87</v>
      </c>
      <c r="HV91" s="52">
        <v>145.81</v>
      </c>
      <c r="HW91" s="52">
        <v>114.92</v>
      </c>
      <c r="HX91" s="52">
        <v>97.48</v>
      </c>
      <c r="HY91" s="52">
        <v>202.35</v>
      </c>
      <c r="HZ91" s="52">
        <v>147.72</v>
      </c>
      <c r="IA91" s="52">
        <v>88.06</v>
      </c>
      <c r="IB91" s="52">
        <v>176.78</v>
      </c>
      <c r="IC91" s="52">
        <v>120.4</v>
      </c>
      <c r="ID91" s="52">
        <v>134.06</v>
      </c>
      <c r="IE91" s="52">
        <v>114.66</v>
      </c>
      <c r="IF91" s="52">
        <v>137.72999999999999</v>
      </c>
      <c r="IG91" s="52">
        <v>200.53</v>
      </c>
      <c r="IH91" s="52">
        <v>242.97</v>
      </c>
      <c r="II91" s="52">
        <v>252.23</v>
      </c>
      <c r="IJ91" s="52">
        <v>183.98</v>
      </c>
      <c r="IK91" s="52">
        <v>231.58</v>
      </c>
      <c r="IL91" s="52">
        <v>186.94</v>
      </c>
      <c r="IM91" s="52">
        <v>253.66</v>
      </c>
      <c r="IN91" s="52">
        <v>239.88</v>
      </c>
      <c r="IO91" s="52">
        <v>187.1</v>
      </c>
      <c r="IP91" s="52">
        <v>137.22</v>
      </c>
      <c r="IQ91" s="52">
        <v>182.99</v>
      </c>
      <c r="IR91" s="52">
        <v>258.41000000000003</v>
      </c>
      <c r="IS91" s="52">
        <v>262.27</v>
      </c>
      <c r="IT91" s="52">
        <v>53.02</v>
      </c>
      <c r="IU91" s="52">
        <v>122.45</v>
      </c>
      <c r="IV91" s="52">
        <v>47.8</v>
      </c>
      <c r="IW91" s="52">
        <v>88.94</v>
      </c>
      <c r="IX91" s="52">
        <v>143.71</v>
      </c>
      <c r="IY91" s="52">
        <v>160.69999999999999</v>
      </c>
      <c r="IZ91" s="52">
        <v>230.87</v>
      </c>
      <c r="JA91" s="52">
        <v>165.12</v>
      </c>
      <c r="JB91" s="52"/>
      <c r="JC91" s="52">
        <v>195.48</v>
      </c>
      <c r="JD91" s="52">
        <v>235.95</v>
      </c>
      <c r="JE91" s="52">
        <v>183.69</v>
      </c>
      <c r="JF91" s="52">
        <v>171.04</v>
      </c>
      <c r="JG91" s="52">
        <v>227.3</v>
      </c>
      <c r="JH91" s="52">
        <v>292.45</v>
      </c>
      <c r="JI91" s="52">
        <v>210.24</v>
      </c>
      <c r="JJ91" s="52">
        <v>164.56</v>
      </c>
      <c r="JK91" s="52">
        <v>240.66</v>
      </c>
      <c r="JL91" s="52">
        <v>229.01</v>
      </c>
      <c r="JM91" s="52">
        <v>218.8</v>
      </c>
      <c r="JN91" s="52">
        <v>210.11</v>
      </c>
      <c r="JO91" s="52">
        <v>166.03</v>
      </c>
      <c r="JP91" s="52">
        <v>270</v>
      </c>
      <c r="JQ91" s="52">
        <v>225.79</v>
      </c>
      <c r="JR91" s="52">
        <v>215.57</v>
      </c>
      <c r="JS91" s="52">
        <v>276.37</v>
      </c>
      <c r="JT91" s="52">
        <v>261.89</v>
      </c>
      <c r="JU91" s="52">
        <v>213.76</v>
      </c>
      <c r="JV91" s="52">
        <v>112.39</v>
      </c>
      <c r="JW91" s="52">
        <v>141.91</v>
      </c>
      <c r="JX91" s="52">
        <v>546.15</v>
      </c>
      <c r="JY91" s="52">
        <v>212.26</v>
      </c>
      <c r="JZ91" s="52">
        <v>207.15</v>
      </c>
      <c r="KA91" s="52">
        <v>231.27</v>
      </c>
      <c r="KB91" s="52">
        <v>242.91</v>
      </c>
      <c r="KC91" s="52">
        <v>162.58000000000001</v>
      </c>
      <c r="KD91" s="52">
        <v>195.13</v>
      </c>
      <c r="KE91" s="52">
        <v>307.01</v>
      </c>
      <c r="KF91" s="52">
        <v>258.81</v>
      </c>
    </row>
    <row r="92" spans="1:292" s="41" customFormat="1" ht="12">
      <c r="A92" s="41">
        <v>2012</v>
      </c>
      <c r="B92" s="54" t="s">
        <v>981</v>
      </c>
      <c r="C92" s="55" t="s">
        <v>982</v>
      </c>
      <c r="D92" s="52">
        <v>203.96</v>
      </c>
      <c r="E92" s="52">
        <v>218.39</v>
      </c>
      <c r="F92" s="52">
        <v>344.07</v>
      </c>
      <c r="G92" s="52">
        <v>127.08</v>
      </c>
      <c r="H92" s="52">
        <v>236.84</v>
      </c>
      <c r="I92" s="52">
        <v>166.3</v>
      </c>
      <c r="J92" s="52">
        <v>129.63999999999999</v>
      </c>
      <c r="K92" s="52">
        <v>202.4</v>
      </c>
      <c r="L92" s="52">
        <v>113.62</v>
      </c>
      <c r="M92" s="52">
        <v>154.81</v>
      </c>
      <c r="N92" s="52">
        <v>202.26</v>
      </c>
      <c r="O92" s="52">
        <v>262.23</v>
      </c>
      <c r="P92" s="52">
        <v>239.03</v>
      </c>
      <c r="Q92" s="52">
        <v>220.36</v>
      </c>
      <c r="R92" s="52">
        <v>190.68</v>
      </c>
      <c r="S92" s="52">
        <v>315.05</v>
      </c>
      <c r="T92" s="52">
        <v>345.76</v>
      </c>
      <c r="U92" s="52">
        <v>122.4</v>
      </c>
      <c r="V92" s="52">
        <v>141.06</v>
      </c>
      <c r="W92" s="52">
        <v>283.45999999999998</v>
      </c>
      <c r="X92" s="52">
        <v>169.56</v>
      </c>
      <c r="Y92" s="52">
        <v>207.2</v>
      </c>
      <c r="Z92" s="52">
        <v>240.55</v>
      </c>
      <c r="AA92" s="52">
        <v>184.26</v>
      </c>
      <c r="AB92" s="52">
        <v>163.89</v>
      </c>
      <c r="AC92" s="52">
        <v>134.24</v>
      </c>
      <c r="AD92" s="52">
        <v>173.83</v>
      </c>
      <c r="AE92" s="52">
        <v>196.52</v>
      </c>
      <c r="AF92" s="52">
        <v>167.19</v>
      </c>
      <c r="AG92" s="52">
        <v>95.03</v>
      </c>
      <c r="AH92" s="52">
        <v>158.71</v>
      </c>
      <c r="AI92" s="52">
        <v>177.23</v>
      </c>
      <c r="AJ92" s="52">
        <v>131.80000000000001</v>
      </c>
      <c r="AK92" s="52">
        <v>248.31</v>
      </c>
      <c r="AL92" s="52">
        <v>234.27</v>
      </c>
      <c r="AM92" s="52">
        <v>262.27</v>
      </c>
      <c r="AN92" s="52">
        <v>51.04</v>
      </c>
      <c r="AO92" s="52">
        <v>122.52</v>
      </c>
      <c r="AP92" s="52">
        <v>68.510000000000005</v>
      </c>
      <c r="AQ92" s="52">
        <v>162.66</v>
      </c>
      <c r="AR92" s="52">
        <v>215.41</v>
      </c>
      <c r="AS92" s="52">
        <v>206.23</v>
      </c>
      <c r="AT92" s="52">
        <v>222.37</v>
      </c>
      <c r="AU92" s="52">
        <v>240.75</v>
      </c>
      <c r="AV92" s="52">
        <v>229</v>
      </c>
      <c r="AW92" s="52">
        <v>219.27</v>
      </c>
      <c r="AX92" s="52">
        <v>210.11</v>
      </c>
      <c r="AY92" s="52">
        <v>166.73</v>
      </c>
      <c r="AZ92" s="52">
        <v>258.88</v>
      </c>
      <c r="BA92" s="52">
        <v>240.65</v>
      </c>
      <c r="BB92" s="52">
        <v>164.56</v>
      </c>
      <c r="BC92" s="52">
        <v>435.88</v>
      </c>
      <c r="BD92" s="52">
        <v>231.65</v>
      </c>
      <c r="BE92" s="52">
        <v>200.39</v>
      </c>
      <c r="BF92" s="52">
        <v>307.01</v>
      </c>
      <c r="BG92" s="52">
        <v>260.23</v>
      </c>
      <c r="BH92" s="52">
        <v>207.91</v>
      </c>
      <c r="BI92" s="52">
        <v>235.26</v>
      </c>
      <c r="BJ92" s="52">
        <v>196.78</v>
      </c>
      <c r="BK92" s="52">
        <v>205.05</v>
      </c>
      <c r="BL92" s="52">
        <v>200.48</v>
      </c>
      <c r="BM92" s="52">
        <v>189.03</v>
      </c>
      <c r="BN92" s="52">
        <v>276.08</v>
      </c>
      <c r="BO92" s="52">
        <v>174.55</v>
      </c>
      <c r="BP92" s="52">
        <v>219.27</v>
      </c>
      <c r="BQ92" s="52">
        <v>217.64</v>
      </c>
      <c r="BR92" s="52">
        <v>167.68</v>
      </c>
      <c r="BS92" s="52">
        <v>338.81</v>
      </c>
      <c r="BT92" s="52">
        <v>246.24</v>
      </c>
      <c r="BU92" s="52">
        <v>293.33999999999997</v>
      </c>
      <c r="BV92" s="52">
        <v>345.76</v>
      </c>
      <c r="BW92" s="52">
        <v>119.92</v>
      </c>
      <c r="BX92" s="52">
        <v>139.68</v>
      </c>
      <c r="BY92" s="52">
        <v>204.83</v>
      </c>
      <c r="BZ92" s="52">
        <v>140.58000000000001</v>
      </c>
      <c r="CA92" s="52">
        <v>221.05</v>
      </c>
      <c r="CB92" s="53">
        <v>283.45999999999998</v>
      </c>
      <c r="CC92" s="52">
        <v>169.56</v>
      </c>
      <c r="CD92" s="52">
        <v>206.41</v>
      </c>
      <c r="CE92" s="52">
        <v>193.8</v>
      </c>
      <c r="CF92" s="52">
        <v>273.08999999999997</v>
      </c>
      <c r="CG92" s="52">
        <v>249.2</v>
      </c>
      <c r="CH92" s="52">
        <v>189.58</v>
      </c>
      <c r="CI92" s="52">
        <v>164.36</v>
      </c>
      <c r="CJ92" s="52">
        <v>163.89</v>
      </c>
      <c r="CK92" s="52">
        <v>125.1</v>
      </c>
      <c r="CL92" s="52">
        <v>124.62</v>
      </c>
      <c r="CM92" s="52">
        <v>251.89</v>
      </c>
      <c r="CN92" s="52">
        <v>173.83</v>
      </c>
      <c r="CO92" s="52">
        <v>196.52</v>
      </c>
      <c r="CP92" s="52">
        <v>137.34</v>
      </c>
      <c r="CQ92" s="52">
        <v>291.02</v>
      </c>
      <c r="CR92" s="52">
        <v>91.49</v>
      </c>
      <c r="CS92" s="52">
        <v>147.74</v>
      </c>
      <c r="CT92" s="52">
        <v>111.16</v>
      </c>
      <c r="CU92" s="52">
        <v>202.43</v>
      </c>
      <c r="CV92" s="52">
        <v>148</v>
      </c>
      <c r="CW92" s="52">
        <v>96.54</v>
      </c>
      <c r="CX92" s="52">
        <v>177.23</v>
      </c>
      <c r="CY92" s="52">
        <v>131.94999999999999</v>
      </c>
      <c r="CZ92" s="52">
        <v>115.83</v>
      </c>
      <c r="DA92" s="52">
        <v>140.28</v>
      </c>
      <c r="DB92" s="52">
        <v>200.97</v>
      </c>
      <c r="DC92" s="52">
        <v>253.24</v>
      </c>
      <c r="DD92" s="52">
        <v>253.36</v>
      </c>
      <c r="DE92" s="52">
        <v>184.61</v>
      </c>
      <c r="DF92" s="52">
        <v>217.84</v>
      </c>
      <c r="DG92" s="52">
        <v>238.86</v>
      </c>
      <c r="DH92" s="52">
        <v>139.43</v>
      </c>
      <c r="DI92" s="52">
        <v>181.86</v>
      </c>
      <c r="DJ92" s="52">
        <v>256.06</v>
      </c>
      <c r="DK92" s="52">
        <v>262.27</v>
      </c>
      <c r="DL92" s="52">
        <v>51.04</v>
      </c>
      <c r="DM92" s="52">
        <v>122.52</v>
      </c>
      <c r="DN92" s="52">
        <v>47.7</v>
      </c>
      <c r="DO92" s="52">
        <v>89.67</v>
      </c>
      <c r="DP92" s="52">
        <v>143.9</v>
      </c>
      <c r="DQ92" s="52">
        <v>162.66</v>
      </c>
      <c r="DR92" s="52">
        <v>234.46</v>
      </c>
      <c r="DS92" s="52">
        <v>168.61</v>
      </c>
      <c r="DT92" s="52"/>
      <c r="DU92" s="52">
        <v>198.3</v>
      </c>
      <c r="DV92" s="52">
        <v>237.13</v>
      </c>
      <c r="DW92" s="52">
        <v>174.67</v>
      </c>
      <c r="DX92" s="52">
        <v>227.3</v>
      </c>
      <c r="DY92" s="52">
        <v>286.31</v>
      </c>
      <c r="DZ92" s="52">
        <v>210.45</v>
      </c>
      <c r="EA92" s="52">
        <v>165.34</v>
      </c>
      <c r="EB92" s="52">
        <v>240.75</v>
      </c>
      <c r="EC92" s="52">
        <v>229</v>
      </c>
      <c r="ED92" s="52">
        <v>219.27</v>
      </c>
      <c r="EE92" s="52">
        <v>210.11</v>
      </c>
      <c r="EF92" s="52">
        <v>166.73</v>
      </c>
      <c r="EG92" s="52">
        <v>258.88</v>
      </c>
      <c r="EH92" s="52">
        <v>240.65</v>
      </c>
      <c r="EI92" s="52">
        <v>238.09</v>
      </c>
      <c r="EJ92" s="52">
        <v>113.07</v>
      </c>
      <c r="EK92" s="52">
        <v>144.65</v>
      </c>
      <c r="EL92" s="52">
        <v>539.45000000000005</v>
      </c>
      <c r="EM92" s="52">
        <v>212.07</v>
      </c>
      <c r="EN92" s="52">
        <v>231.65</v>
      </c>
      <c r="EO92" s="52">
        <v>241.77</v>
      </c>
      <c r="EP92" s="52">
        <v>166.8</v>
      </c>
      <c r="EQ92" s="52">
        <v>190.78</v>
      </c>
      <c r="ER92" s="52">
        <v>307.01</v>
      </c>
      <c r="ES92" s="52">
        <v>260.23</v>
      </c>
      <c r="ET92" s="52">
        <v>210.28</v>
      </c>
      <c r="EU92" s="52">
        <v>185.63</v>
      </c>
      <c r="EV92" s="52">
        <v>216.68</v>
      </c>
      <c r="EW92" s="52">
        <v>198.9</v>
      </c>
      <c r="EX92" s="52">
        <v>205.64</v>
      </c>
      <c r="EY92" s="52">
        <v>140.35</v>
      </c>
      <c r="EZ92" s="52">
        <v>224.96</v>
      </c>
      <c r="FA92" s="52">
        <v>271.26</v>
      </c>
      <c r="FB92" s="52">
        <v>222.58</v>
      </c>
      <c r="FC92" s="52">
        <v>281.93</v>
      </c>
      <c r="FD92" s="52">
        <v>192.52</v>
      </c>
      <c r="FE92" s="52">
        <v>196.78</v>
      </c>
      <c r="FF92" s="52"/>
      <c r="FG92" s="52">
        <v>162.08000000000001</v>
      </c>
      <c r="FH92" s="52">
        <v>179.33</v>
      </c>
      <c r="FI92" s="52">
        <v>215.14</v>
      </c>
      <c r="FJ92" s="52">
        <v>277.39</v>
      </c>
      <c r="FK92" s="52">
        <v>257.42</v>
      </c>
      <c r="FL92" s="52">
        <v>217.96</v>
      </c>
      <c r="FM92" s="52">
        <v>191.54</v>
      </c>
      <c r="FN92" s="52">
        <v>172.05</v>
      </c>
      <c r="FO92" s="52">
        <v>279.72000000000003</v>
      </c>
      <c r="FP92" s="52">
        <v>292.75</v>
      </c>
      <c r="FQ92" s="52">
        <v>208.97</v>
      </c>
      <c r="FR92" s="52">
        <v>271.58999999999997</v>
      </c>
      <c r="FS92" s="52">
        <v>224.81</v>
      </c>
      <c r="FT92" s="52">
        <v>159.76</v>
      </c>
      <c r="FU92" s="52">
        <v>226.28</v>
      </c>
      <c r="FV92" s="52">
        <v>190.04</v>
      </c>
      <c r="FW92" s="52">
        <v>123.54</v>
      </c>
      <c r="FX92" s="52">
        <v>219.27</v>
      </c>
      <c r="FY92" s="52">
        <v>246.32</v>
      </c>
      <c r="FZ92" s="52">
        <v>213.59</v>
      </c>
      <c r="GA92" s="52">
        <v>191.51</v>
      </c>
      <c r="GB92" s="52">
        <v>170.37</v>
      </c>
      <c r="GC92" s="52">
        <v>168.24</v>
      </c>
      <c r="GD92" s="52">
        <v>159.22999999999999</v>
      </c>
      <c r="GE92" s="52">
        <v>338.81</v>
      </c>
      <c r="GF92" s="52">
        <v>246.24</v>
      </c>
      <c r="GG92" s="52">
        <v>293.33999999999997</v>
      </c>
      <c r="GH92" s="52">
        <v>345.18</v>
      </c>
      <c r="GI92" s="52">
        <v>124.95</v>
      </c>
      <c r="GJ92" s="52">
        <v>115.54</v>
      </c>
      <c r="GK92" s="52">
        <v>115.8</v>
      </c>
      <c r="GL92" s="52">
        <v>161.93</v>
      </c>
      <c r="GM92" s="52">
        <v>139.68</v>
      </c>
      <c r="GN92" s="52">
        <v>204.83</v>
      </c>
      <c r="GO92" s="52">
        <v>140.13999999999999</v>
      </c>
      <c r="GP92" s="52">
        <v>140.22999999999999</v>
      </c>
      <c r="GQ92" s="52">
        <v>142.38999999999999</v>
      </c>
      <c r="GR92" s="52">
        <v>221.05</v>
      </c>
      <c r="GS92" s="52">
        <v>283.45999999999998</v>
      </c>
      <c r="GT92" s="52">
        <v>169.56</v>
      </c>
      <c r="GU92" s="52">
        <v>206.41</v>
      </c>
      <c r="GV92" s="52">
        <v>193.8</v>
      </c>
      <c r="GW92" s="52">
        <v>223.12</v>
      </c>
      <c r="GX92" s="52">
        <v>310.95999999999998</v>
      </c>
      <c r="GY92" s="52">
        <v>249.2</v>
      </c>
      <c r="GZ92" s="52">
        <v>207.6</v>
      </c>
      <c r="HA92" s="52">
        <v>189.37</v>
      </c>
      <c r="HB92" s="52">
        <v>190.04</v>
      </c>
      <c r="HC92" s="52">
        <v>164.36</v>
      </c>
      <c r="HD92" s="52">
        <v>163.89</v>
      </c>
      <c r="HE92" s="52">
        <v>118</v>
      </c>
      <c r="HF92" s="52">
        <v>112</v>
      </c>
      <c r="HG92" s="52">
        <v>132.9</v>
      </c>
      <c r="HH92" s="52">
        <v>159.21</v>
      </c>
      <c r="HI92" s="52">
        <v>82.34</v>
      </c>
      <c r="HJ92" s="52">
        <v>124.62</v>
      </c>
      <c r="HK92" s="52">
        <v>251.89</v>
      </c>
      <c r="HL92" s="52">
        <v>147.34</v>
      </c>
      <c r="HM92" s="52">
        <v>196.74</v>
      </c>
      <c r="HN92" s="52">
        <v>194.59</v>
      </c>
      <c r="HO92" s="52">
        <v>174.2</v>
      </c>
      <c r="HP92" s="52">
        <v>215.61</v>
      </c>
      <c r="HQ92" s="52">
        <v>133.13</v>
      </c>
      <c r="HR92" s="52">
        <v>172.71</v>
      </c>
      <c r="HS92" s="52">
        <v>294.77</v>
      </c>
      <c r="HT92" s="52">
        <v>198.75</v>
      </c>
      <c r="HU92" s="52">
        <v>91.49</v>
      </c>
      <c r="HV92" s="52">
        <v>147.74</v>
      </c>
      <c r="HW92" s="52">
        <v>114.96</v>
      </c>
      <c r="HX92" s="52">
        <v>97.67</v>
      </c>
      <c r="HY92" s="52">
        <v>202.43</v>
      </c>
      <c r="HZ92" s="52">
        <v>148</v>
      </c>
      <c r="IA92" s="52">
        <v>88.18</v>
      </c>
      <c r="IB92" s="52">
        <v>177.23</v>
      </c>
      <c r="IC92" s="52">
        <v>119.43</v>
      </c>
      <c r="ID92" s="52">
        <v>133.59</v>
      </c>
      <c r="IE92" s="52">
        <v>115.83</v>
      </c>
      <c r="IF92" s="52">
        <v>140.28</v>
      </c>
      <c r="IG92" s="52">
        <v>200.97</v>
      </c>
      <c r="IH92" s="52">
        <v>253.24</v>
      </c>
      <c r="II92" s="52">
        <v>253.36</v>
      </c>
      <c r="IJ92" s="52">
        <v>184.61</v>
      </c>
      <c r="IK92" s="52">
        <v>231.31</v>
      </c>
      <c r="IL92" s="52">
        <v>186.94</v>
      </c>
      <c r="IM92" s="52">
        <v>254.24</v>
      </c>
      <c r="IN92" s="52">
        <v>240.51</v>
      </c>
      <c r="IO92" s="52">
        <v>186.24</v>
      </c>
      <c r="IP92" s="52">
        <v>139.43</v>
      </c>
      <c r="IQ92" s="52">
        <v>181.86</v>
      </c>
      <c r="IR92" s="52">
        <v>256.06</v>
      </c>
      <c r="IS92" s="52">
        <v>262.27</v>
      </c>
      <c r="IT92" s="52">
        <v>51.04</v>
      </c>
      <c r="IU92" s="52">
        <v>122.52</v>
      </c>
      <c r="IV92" s="52">
        <v>48.05</v>
      </c>
      <c r="IW92" s="52">
        <v>89.67</v>
      </c>
      <c r="IX92" s="52">
        <v>143.9</v>
      </c>
      <c r="IY92" s="52">
        <v>162.66</v>
      </c>
      <c r="IZ92" s="52">
        <v>234.46</v>
      </c>
      <c r="JA92" s="52">
        <v>168.61</v>
      </c>
      <c r="JB92" s="52"/>
      <c r="JC92" s="52">
        <v>198.3</v>
      </c>
      <c r="JD92" s="52">
        <v>237.13</v>
      </c>
      <c r="JE92" s="52">
        <v>184.44</v>
      </c>
      <c r="JF92" s="52">
        <v>171.16</v>
      </c>
      <c r="JG92" s="52">
        <v>227.3</v>
      </c>
      <c r="JH92" s="52">
        <v>286.31</v>
      </c>
      <c r="JI92" s="52">
        <v>210.45</v>
      </c>
      <c r="JJ92" s="52">
        <v>165.34</v>
      </c>
      <c r="JK92" s="52">
        <v>240.75</v>
      </c>
      <c r="JL92" s="52">
        <v>229</v>
      </c>
      <c r="JM92" s="52">
        <v>219.27</v>
      </c>
      <c r="JN92" s="52">
        <v>210.11</v>
      </c>
      <c r="JO92" s="52">
        <v>166.73</v>
      </c>
      <c r="JP92" s="52">
        <v>272.36</v>
      </c>
      <c r="JQ92" s="52">
        <v>226.92</v>
      </c>
      <c r="JR92" s="52">
        <v>217.59</v>
      </c>
      <c r="JS92" s="52">
        <v>276.35000000000002</v>
      </c>
      <c r="JT92" s="52">
        <v>262.98</v>
      </c>
      <c r="JU92" s="52">
        <v>213.9</v>
      </c>
      <c r="JV92" s="52">
        <v>113.07</v>
      </c>
      <c r="JW92" s="52">
        <v>144.65</v>
      </c>
      <c r="JX92" s="52">
        <v>539.45000000000005</v>
      </c>
      <c r="JY92" s="52">
        <v>213.75</v>
      </c>
      <c r="JZ92" s="52">
        <v>207.02</v>
      </c>
      <c r="KA92" s="52">
        <v>231.65</v>
      </c>
      <c r="KB92" s="52">
        <v>241.77</v>
      </c>
      <c r="KC92" s="52">
        <v>166.8</v>
      </c>
      <c r="KD92" s="52">
        <v>190.78</v>
      </c>
      <c r="KE92" s="52">
        <v>307.01</v>
      </c>
      <c r="KF92" s="52">
        <v>260.23</v>
      </c>
    </row>
    <row r="93" spans="1:292" s="41" customFormat="1" ht="12">
      <c r="A93" s="41">
        <v>2012</v>
      </c>
      <c r="B93" s="54" t="s">
        <v>983</v>
      </c>
      <c r="C93" s="55" t="s">
        <v>984</v>
      </c>
      <c r="D93" s="52">
        <v>207.05</v>
      </c>
      <c r="E93" s="52">
        <v>218.12</v>
      </c>
      <c r="F93" s="52">
        <v>344.23</v>
      </c>
      <c r="G93" s="52">
        <v>143.86000000000001</v>
      </c>
      <c r="H93" s="52">
        <v>244.29</v>
      </c>
      <c r="I93" s="52">
        <v>167.64</v>
      </c>
      <c r="J93" s="52">
        <v>130.32</v>
      </c>
      <c r="K93" s="52">
        <v>202.94</v>
      </c>
      <c r="L93" s="52">
        <v>113.58</v>
      </c>
      <c r="M93" s="52">
        <v>155.77000000000001</v>
      </c>
      <c r="N93" s="52">
        <v>203.32</v>
      </c>
      <c r="O93" s="52">
        <v>265.36</v>
      </c>
      <c r="P93" s="52">
        <v>239.75</v>
      </c>
      <c r="Q93" s="52">
        <v>219.95</v>
      </c>
      <c r="R93" s="52">
        <v>191.97</v>
      </c>
      <c r="S93" s="52">
        <v>317.61</v>
      </c>
      <c r="T93" s="52">
        <v>345.76</v>
      </c>
      <c r="U93" s="52">
        <v>139.15</v>
      </c>
      <c r="V93" s="52">
        <v>157.62</v>
      </c>
      <c r="W93" s="52">
        <v>284.55</v>
      </c>
      <c r="X93" s="52">
        <v>171.37</v>
      </c>
      <c r="Y93" s="52">
        <v>208.1</v>
      </c>
      <c r="Z93" s="52">
        <v>255.7</v>
      </c>
      <c r="AA93" s="52">
        <v>187.64</v>
      </c>
      <c r="AB93" s="52">
        <v>164.38</v>
      </c>
      <c r="AC93" s="52">
        <v>133.78</v>
      </c>
      <c r="AD93" s="52">
        <v>174.31</v>
      </c>
      <c r="AE93" s="52">
        <v>198.04</v>
      </c>
      <c r="AF93" s="52">
        <v>169.06</v>
      </c>
      <c r="AG93" s="52">
        <v>96.19</v>
      </c>
      <c r="AH93" s="52">
        <v>158.88999999999999</v>
      </c>
      <c r="AI93" s="52">
        <v>177.56</v>
      </c>
      <c r="AJ93" s="52">
        <v>132.34</v>
      </c>
      <c r="AK93" s="52">
        <v>247.6</v>
      </c>
      <c r="AL93" s="52">
        <v>236.4</v>
      </c>
      <c r="AM93" s="52">
        <v>262.27</v>
      </c>
      <c r="AN93" s="52">
        <v>50.65</v>
      </c>
      <c r="AO93" s="52">
        <v>122.58</v>
      </c>
      <c r="AP93" s="52">
        <v>68.680000000000007</v>
      </c>
      <c r="AQ93" s="52">
        <v>164.29</v>
      </c>
      <c r="AR93" s="52">
        <v>217.56</v>
      </c>
      <c r="AS93" s="52">
        <v>207.08</v>
      </c>
      <c r="AT93" s="52">
        <v>225.01</v>
      </c>
      <c r="AU93" s="52">
        <v>242.4</v>
      </c>
      <c r="AV93" s="52">
        <v>230.51</v>
      </c>
      <c r="AW93" s="52">
        <v>221.03</v>
      </c>
      <c r="AX93" s="52">
        <v>210.11</v>
      </c>
      <c r="AY93" s="52">
        <v>168.07</v>
      </c>
      <c r="AZ93" s="52">
        <v>261.83</v>
      </c>
      <c r="BA93" s="52">
        <v>244.84</v>
      </c>
      <c r="BB93" s="52">
        <v>166.04</v>
      </c>
      <c r="BC93" s="52">
        <v>431.86</v>
      </c>
      <c r="BD93" s="52">
        <v>231.93</v>
      </c>
      <c r="BE93" s="52">
        <v>201.93</v>
      </c>
      <c r="BF93" s="52">
        <v>307.01</v>
      </c>
      <c r="BG93" s="52">
        <v>260.27999999999997</v>
      </c>
      <c r="BH93" s="52">
        <v>208.87</v>
      </c>
      <c r="BI93" s="52">
        <v>234.52</v>
      </c>
      <c r="BJ93" s="52">
        <v>205.88</v>
      </c>
      <c r="BK93" s="52">
        <v>201.65</v>
      </c>
      <c r="BL93" s="52">
        <v>201</v>
      </c>
      <c r="BM93" s="52">
        <v>192.4</v>
      </c>
      <c r="BN93" s="52">
        <v>271.08999999999997</v>
      </c>
      <c r="BO93" s="52">
        <v>175.25</v>
      </c>
      <c r="BP93" s="52">
        <v>222.24</v>
      </c>
      <c r="BQ93" s="52">
        <v>219.33</v>
      </c>
      <c r="BR93" s="52">
        <v>168.71</v>
      </c>
      <c r="BS93" s="52">
        <v>338.94</v>
      </c>
      <c r="BT93" s="52">
        <v>239.64</v>
      </c>
      <c r="BU93" s="52">
        <v>299.01</v>
      </c>
      <c r="BV93" s="52">
        <v>345.76</v>
      </c>
      <c r="BW93" s="52">
        <v>137.53</v>
      </c>
      <c r="BX93" s="52">
        <v>147.93</v>
      </c>
      <c r="BY93" s="52">
        <v>205.57</v>
      </c>
      <c r="BZ93" s="52">
        <v>157.24</v>
      </c>
      <c r="CA93" s="52">
        <v>221.86</v>
      </c>
      <c r="CB93" s="53">
        <v>284.55</v>
      </c>
      <c r="CC93" s="52">
        <v>171.37</v>
      </c>
      <c r="CD93" s="52">
        <v>207.31</v>
      </c>
      <c r="CE93" s="52">
        <v>211.78</v>
      </c>
      <c r="CF93" s="52">
        <v>290.33</v>
      </c>
      <c r="CG93" s="52">
        <v>250.2</v>
      </c>
      <c r="CH93" s="52">
        <v>193.11</v>
      </c>
      <c r="CI93" s="52">
        <v>166.99</v>
      </c>
      <c r="CJ93" s="52">
        <v>164.38</v>
      </c>
      <c r="CK93" s="52">
        <v>124.54</v>
      </c>
      <c r="CL93" s="52">
        <v>124.89</v>
      </c>
      <c r="CM93" s="52">
        <v>252.52</v>
      </c>
      <c r="CN93" s="52">
        <v>174.31</v>
      </c>
      <c r="CO93" s="52">
        <v>198.04</v>
      </c>
      <c r="CP93" s="52">
        <v>138.96</v>
      </c>
      <c r="CQ93" s="52">
        <v>293.88</v>
      </c>
      <c r="CR93" s="52">
        <v>92.7</v>
      </c>
      <c r="CS93" s="52">
        <v>148.34</v>
      </c>
      <c r="CT93" s="52">
        <v>112.38</v>
      </c>
      <c r="CU93" s="52">
        <v>202.68</v>
      </c>
      <c r="CV93" s="52">
        <v>148.26</v>
      </c>
      <c r="CW93" s="52">
        <v>96.58</v>
      </c>
      <c r="CX93" s="52">
        <v>177.56</v>
      </c>
      <c r="CY93" s="52">
        <v>132.46</v>
      </c>
      <c r="CZ93" s="52">
        <v>117.37</v>
      </c>
      <c r="DA93" s="52">
        <v>144.28</v>
      </c>
      <c r="DB93" s="52">
        <v>202.37</v>
      </c>
      <c r="DC93" s="52">
        <v>252.04</v>
      </c>
      <c r="DD93" s="52">
        <v>254.71</v>
      </c>
      <c r="DE93" s="52">
        <v>185.03</v>
      </c>
      <c r="DF93" s="52">
        <v>217.84</v>
      </c>
      <c r="DG93" s="52">
        <v>240.6</v>
      </c>
      <c r="DH93" s="52">
        <v>145.38</v>
      </c>
      <c r="DI93" s="52">
        <v>181.86</v>
      </c>
      <c r="DJ93" s="52">
        <v>257.63</v>
      </c>
      <c r="DK93" s="52">
        <v>262.27</v>
      </c>
      <c r="DL93" s="52">
        <v>50.65</v>
      </c>
      <c r="DM93" s="52">
        <v>122.58</v>
      </c>
      <c r="DN93" s="52">
        <v>47.97</v>
      </c>
      <c r="DO93" s="52">
        <v>89.71</v>
      </c>
      <c r="DP93" s="52">
        <v>143.88999999999999</v>
      </c>
      <c r="DQ93" s="52">
        <v>164.29</v>
      </c>
      <c r="DR93" s="52">
        <v>235.43</v>
      </c>
      <c r="DS93" s="52">
        <v>172.71</v>
      </c>
      <c r="DT93" s="52"/>
      <c r="DU93" s="52">
        <v>199.33</v>
      </c>
      <c r="DV93" s="52">
        <v>238.84</v>
      </c>
      <c r="DW93" s="52">
        <v>174.96</v>
      </c>
      <c r="DX93" s="52">
        <v>227.3</v>
      </c>
      <c r="DY93" s="52">
        <v>293.37</v>
      </c>
      <c r="DZ93" s="52">
        <v>210.45</v>
      </c>
      <c r="EA93" s="52">
        <v>166.19</v>
      </c>
      <c r="EB93" s="52">
        <v>242.4</v>
      </c>
      <c r="EC93" s="52">
        <v>230.51</v>
      </c>
      <c r="ED93" s="52">
        <v>221.03</v>
      </c>
      <c r="EE93" s="52">
        <v>210.11</v>
      </c>
      <c r="EF93" s="52">
        <v>168.07</v>
      </c>
      <c r="EG93" s="52">
        <v>261.83</v>
      </c>
      <c r="EH93" s="52">
        <v>244.84</v>
      </c>
      <c r="EI93" s="52">
        <v>238.93</v>
      </c>
      <c r="EJ93" s="52">
        <v>112.63</v>
      </c>
      <c r="EK93" s="52">
        <v>146.34</v>
      </c>
      <c r="EL93" s="52">
        <v>529.32000000000005</v>
      </c>
      <c r="EM93" s="52">
        <v>215.21</v>
      </c>
      <c r="EN93" s="52">
        <v>231.93</v>
      </c>
      <c r="EO93" s="52">
        <v>239.89</v>
      </c>
      <c r="EP93" s="52">
        <v>166.8</v>
      </c>
      <c r="EQ93" s="52">
        <v>193.94</v>
      </c>
      <c r="ER93" s="52">
        <v>307.01</v>
      </c>
      <c r="ES93" s="52">
        <v>260.27999999999997</v>
      </c>
      <c r="ET93" s="52">
        <v>208.87</v>
      </c>
      <c r="EU93" s="52">
        <v>187.06</v>
      </c>
      <c r="EV93" s="52">
        <v>217.87</v>
      </c>
      <c r="EW93" s="52">
        <v>200.36</v>
      </c>
      <c r="EX93" s="52">
        <v>202.85</v>
      </c>
      <c r="EY93" s="52">
        <v>140.79</v>
      </c>
      <c r="EZ93" s="52">
        <v>225.13</v>
      </c>
      <c r="FA93" s="52">
        <v>272.12</v>
      </c>
      <c r="FB93" s="52">
        <v>218.88</v>
      </c>
      <c r="FC93" s="52">
        <v>281.77999999999997</v>
      </c>
      <c r="FD93" s="52">
        <v>194.01</v>
      </c>
      <c r="FE93" s="52">
        <v>205.88</v>
      </c>
      <c r="FF93" s="52"/>
      <c r="FG93" s="52">
        <v>158.94</v>
      </c>
      <c r="FH93" s="52">
        <v>179.82</v>
      </c>
      <c r="FI93" s="52">
        <v>214.36</v>
      </c>
      <c r="FJ93" s="52">
        <v>262.45999999999998</v>
      </c>
      <c r="FK93" s="52">
        <v>256.68</v>
      </c>
      <c r="FL93" s="52">
        <v>216.78</v>
      </c>
      <c r="FM93" s="52">
        <v>192.48</v>
      </c>
      <c r="FN93" s="52">
        <v>175.97</v>
      </c>
      <c r="FO93" s="52">
        <v>280.23</v>
      </c>
      <c r="FP93" s="52">
        <v>283.64</v>
      </c>
      <c r="FQ93" s="52">
        <v>214.5</v>
      </c>
      <c r="FR93" s="52">
        <v>274.37</v>
      </c>
      <c r="FS93" s="52">
        <v>225.87</v>
      </c>
      <c r="FT93" s="52">
        <v>159.29</v>
      </c>
      <c r="FU93" s="52">
        <v>227.61</v>
      </c>
      <c r="FV93" s="52">
        <v>191.75</v>
      </c>
      <c r="FW93" s="52">
        <v>124.91</v>
      </c>
      <c r="FX93" s="52">
        <v>222.24</v>
      </c>
      <c r="FY93" s="52">
        <v>248.67</v>
      </c>
      <c r="FZ93" s="52">
        <v>215.18</v>
      </c>
      <c r="GA93" s="52">
        <v>192.77</v>
      </c>
      <c r="GB93" s="52">
        <v>172.31</v>
      </c>
      <c r="GC93" s="52">
        <v>167.88</v>
      </c>
      <c r="GD93" s="52">
        <v>161.75</v>
      </c>
      <c r="GE93" s="52">
        <v>338.94</v>
      </c>
      <c r="GF93" s="52">
        <v>239.64</v>
      </c>
      <c r="GG93" s="52">
        <v>299.01</v>
      </c>
      <c r="GH93" s="52">
        <v>345.18</v>
      </c>
      <c r="GI93" s="52">
        <v>145.19999999999999</v>
      </c>
      <c r="GJ93" s="52">
        <v>131.12</v>
      </c>
      <c r="GK93" s="52">
        <v>133.54</v>
      </c>
      <c r="GL93" s="52">
        <v>165.48</v>
      </c>
      <c r="GM93" s="52">
        <v>147.93</v>
      </c>
      <c r="GN93" s="52">
        <v>205.57</v>
      </c>
      <c r="GO93" s="52">
        <v>155.99</v>
      </c>
      <c r="GP93" s="52">
        <v>159.58000000000001</v>
      </c>
      <c r="GQ93" s="52">
        <v>155.56</v>
      </c>
      <c r="GR93" s="52">
        <v>221.86</v>
      </c>
      <c r="GS93" s="52">
        <v>284.55</v>
      </c>
      <c r="GT93" s="52">
        <v>171.37</v>
      </c>
      <c r="GU93" s="52">
        <v>207.31</v>
      </c>
      <c r="GV93" s="52">
        <v>211.78</v>
      </c>
      <c r="GW93" s="52">
        <v>259.36</v>
      </c>
      <c r="GX93" s="52">
        <v>304.02999999999997</v>
      </c>
      <c r="GY93" s="52">
        <v>250.2</v>
      </c>
      <c r="GZ93" s="52">
        <v>209.63</v>
      </c>
      <c r="HA93" s="52">
        <v>192.95</v>
      </c>
      <c r="HB93" s="52">
        <v>194</v>
      </c>
      <c r="HC93" s="52">
        <v>166.99</v>
      </c>
      <c r="HD93" s="52">
        <v>164.38</v>
      </c>
      <c r="HE93" s="52">
        <v>116.59</v>
      </c>
      <c r="HF93" s="52">
        <v>112</v>
      </c>
      <c r="HG93" s="52">
        <v>132.78</v>
      </c>
      <c r="HH93" s="52">
        <v>158.99</v>
      </c>
      <c r="HI93" s="52">
        <v>82.29</v>
      </c>
      <c r="HJ93" s="52">
        <v>124.89</v>
      </c>
      <c r="HK93" s="52">
        <v>252.52</v>
      </c>
      <c r="HL93" s="52">
        <v>146.97</v>
      </c>
      <c r="HM93" s="52">
        <v>199.05</v>
      </c>
      <c r="HN93" s="52">
        <v>195.63</v>
      </c>
      <c r="HO93" s="52">
        <v>176.63</v>
      </c>
      <c r="HP93" s="52">
        <v>215.72</v>
      </c>
      <c r="HQ93" s="52">
        <v>134.91</v>
      </c>
      <c r="HR93" s="52">
        <v>172.99</v>
      </c>
      <c r="HS93" s="52">
        <v>297.72000000000003</v>
      </c>
      <c r="HT93" s="52">
        <v>200.07</v>
      </c>
      <c r="HU93" s="52">
        <v>92.7</v>
      </c>
      <c r="HV93" s="52">
        <v>148.34</v>
      </c>
      <c r="HW93" s="52">
        <v>116.29</v>
      </c>
      <c r="HX93" s="52">
        <v>98.61</v>
      </c>
      <c r="HY93" s="52">
        <v>202.68</v>
      </c>
      <c r="HZ93" s="52">
        <v>148.26</v>
      </c>
      <c r="IA93" s="52">
        <v>88.22</v>
      </c>
      <c r="IB93" s="52">
        <v>177.56</v>
      </c>
      <c r="IC93" s="52">
        <v>119.74</v>
      </c>
      <c r="ID93" s="52">
        <v>134.08000000000001</v>
      </c>
      <c r="IE93" s="52">
        <v>117.37</v>
      </c>
      <c r="IF93" s="52">
        <v>144.28</v>
      </c>
      <c r="IG93" s="52">
        <v>202.37</v>
      </c>
      <c r="IH93" s="52">
        <v>252.04</v>
      </c>
      <c r="II93" s="52">
        <v>254.71</v>
      </c>
      <c r="IJ93" s="52">
        <v>185.03</v>
      </c>
      <c r="IK93" s="52">
        <v>231.31</v>
      </c>
      <c r="IL93" s="52">
        <v>186.94</v>
      </c>
      <c r="IM93" s="52">
        <v>254.71</v>
      </c>
      <c r="IN93" s="52">
        <v>242.88</v>
      </c>
      <c r="IO93" s="52">
        <v>190.74</v>
      </c>
      <c r="IP93" s="52">
        <v>145.38</v>
      </c>
      <c r="IQ93" s="52">
        <v>181.86</v>
      </c>
      <c r="IR93" s="52">
        <v>257.63</v>
      </c>
      <c r="IS93" s="52">
        <v>262.27</v>
      </c>
      <c r="IT93" s="52">
        <v>50.65</v>
      </c>
      <c r="IU93" s="52">
        <v>122.58</v>
      </c>
      <c r="IV93" s="52">
        <v>48.34</v>
      </c>
      <c r="IW93" s="52">
        <v>89.71</v>
      </c>
      <c r="IX93" s="52">
        <v>143.88999999999999</v>
      </c>
      <c r="IY93" s="52">
        <v>164.29</v>
      </c>
      <c r="IZ93" s="52">
        <v>235.43</v>
      </c>
      <c r="JA93" s="52">
        <v>172.71</v>
      </c>
      <c r="JB93" s="52"/>
      <c r="JC93" s="52">
        <v>199.33</v>
      </c>
      <c r="JD93" s="52">
        <v>238.84</v>
      </c>
      <c r="JE93" s="52">
        <v>185.25</v>
      </c>
      <c r="JF93" s="52">
        <v>171.35</v>
      </c>
      <c r="JG93" s="52">
        <v>227.3</v>
      </c>
      <c r="JH93" s="52">
        <v>293.37</v>
      </c>
      <c r="JI93" s="52">
        <v>210.45</v>
      </c>
      <c r="JJ93" s="52">
        <v>166.19</v>
      </c>
      <c r="JK93" s="52">
        <v>242.4</v>
      </c>
      <c r="JL93" s="52">
        <v>230.51</v>
      </c>
      <c r="JM93" s="52">
        <v>221.03</v>
      </c>
      <c r="JN93" s="52">
        <v>210.11</v>
      </c>
      <c r="JO93" s="52">
        <v>168.07</v>
      </c>
      <c r="JP93" s="52">
        <v>274.48</v>
      </c>
      <c r="JQ93" s="52">
        <v>232.17</v>
      </c>
      <c r="JR93" s="52">
        <v>224.06</v>
      </c>
      <c r="JS93" s="52">
        <v>276.35000000000002</v>
      </c>
      <c r="JT93" s="52">
        <v>263.36</v>
      </c>
      <c r="JU93" s="52">
        <v>215.13</v>
      </c>
      <c r="JV93" s="52">
        <v>112.63</v>
      </c>
      <c r="JW93" s="52">
        <v>146.34</v>
      </c>
      <c r="JX93" s="52">
        <v>529.32000000000005</v>
      </c>
      <c r="JY93" s="52">
        <v>219.15</v>
      </c>
      <c r="JZ93" s="52">
        <v>206.42</v>
      </c>
      <c r="KA93" s="52">
        <v>231.93</v>
      </c>
      <c r="KB93" s="52">
        <v>239.89</v>
      </c>
      <c r="KC93" s="52">
        <v>166.8</v>
      </c>
      <c r="KD93" s="52">
        <v>193.94</v>
      </c>
      <c r="KE93" s="52">
        <v>307.01</v>
      </c>
      <c r="KF93" s="52">
        <v>260.27999999999997</v>
      </c>
    </row>
    <row r="94" spans="1:292" s="41" customFormat="1" ht="12">
      <c r="A94" s="41">
        <v>2012</v>
      </c>
      <c r="B94" s="54" t="s">
        <v>985</v>
      </c>
      <c r="C94" s="55" t="s">
        <v>986</v>
      </c>
      <c r="D94" s="52">
        <v>206.61</v>
      </c>
      <c r="E94" s="52">
        <v>212.89</v>
      </c>
      <c r="F94" s="52">
        <v>344.7</v>
      </c>
      <c r="G94" s="52">
        <v>156.22999999999999</v>
      </c>
      <c r="H94" s="52">
        <v>244.39</v>
      </c>
      <c r="I94" s="52">
        <v>166.84</v>
      </c>
      <c r="J94" s="52">
        <v>130.44999999999999</v>
      </c>
      <c r="K94" s="52">
        <v>200.18</v>
      </c>
      <c r="L94" s="52">
        <v>113.35</v>
      </c>
      <c r="M94" s="52">
        <v>156.29</v>
      </c>
      <c r="N94" s="52">
        <v>205.55</v>
      </c>
      <c r="O94" s="52">
        <v>267.79000000000002</v>
      </c>
      <c r="P94" s="52">
        <v>240.31</v>
      </c>
      <c r="Q94" s="52">
        <v>214.22</v>
      </c>
      <c r="R94" s="52">
        <v>192.56</v>
      </c>
      <c r="S94" s="52">
        <v>324.89999999999998</v>
      </c>
      <c r="T94" s="52">
        <v>345.76</v>
      </c>
      <c r="U94" s="52">
        <v>153.43</v>
      </c>
      <c r="V94" s="52">
        <v>163.13999999999999</v>
      </c>
      <c r="W94" s="52">
        <v>285.5</v>
      </c>
      <c r="X94" s="52">
        <v>172.57</v>
      </c>
      <c r="Y94" s="52">
        <v>209.2</v>
      </c>
      <c r="Z94" s="52">
        <v>254.64</v>
      </c>
      <c r="AA94" s="52">
        <v>187.56</v>
      </c>
      <c r="AB94" s="52">
        <v>164.36</v>
      </c>
      <c r="AC94" s="52">
        <v>130.66999999999999</v>
      </c>
      <c r="AD94" s="52">
        <v>174.81</v>
      </c>
      <c r="AE94" s="52">
        <v>198.91</v>
      </c>
      <c r="AF94" s="52">
        <v>169.66</v>
      </c>
      <c r="AG94" s="52">
        <v>96.31</v>
      </c>
      <c r="AH94" s="52">
        <v>159.05000000000001</v>
      </c>
      <c r="AI94" s="52">
        <v>177.67</v>
      </c>
      <c r="AJ94" s="52">
        <v>132.32</v>
      </c>
      <c r="AK94" s="52">
        <v>236.92</v>
      </c>
      <c r="AL94" s="52">
        <v>239.1</v>
      </c>
      <c r="AM94" s="52">
        <v>248.81</v>
      </c>
      <c r="AN94" s="52">
        <v>49.61</v>
      </c>
      <c r="AO94" s="52">
        <v>122.58</v>
      </c>
      <c r="AP94" s="52">
        <v>67.38</v>
      </c>
      <c r="AQ94" s="52">
        <v>166.39</v>
      </c>
      <c r="AR94" s="52">
        <v>219.01</v>
      </c>
      <c r="AS94" s="52">
        <v>207.38</v>
      </c>
      <c r="AT94" s="52">
        <v>230.42</v>
      </c>
      <c r="AU94" s="52">
        <v>247.77</v>
      </c>
      <c r="AV94" s="52">
        <v>236.82</v>
      </c>
      <c r="AW94" s="52">
        <v>223.95</v>
      </c>
      <c r="AX94" s="52">
        <v>210.11</v>
      </c>
      <c r="AY94" s="52">
        <v>167.21</v>
      </c>
      <c r="AZ94" s="52">
        <v>264.54000000000002</v>
      </c>
      <c r="BA94" s="52">
        <v>244.03</v>
      </c>
      <c r="BB94" s="52">
        <v>167.76</v>
      </c>
      <c r="BC94" s="52">
        <v>425.3</v>
      </c>
      <c r="BD94" s="52">
        <v>232.22</v>
      </c>
      <c r="BE94" s="52">
        <v>202.1</v>
      </c>
      <c r="BF94" s="52">
        <v>307.01</v>
      </c>
      <c r="BG94" s="52">
        <v>260.42</v>
      </c>
      <c r="BH94" s="52">
        <v>210.3</v>
      </c>
      <c r="BI94" s="52">
        <v>233.14</v>
      </c>
      <c r="BJ94" s="52">
        <v>210.74</v>
      </c>
      <c r="BK94" s="52">
        <v>191.93</v>
      </c>
      <c r="BL94" s="52">
        <v>205.17</v>
      </c>
      <c r="BM94" s="52">
        <v>187.71</v>
      </c>
      <c r="BN94" s="52">
        <v>242.13</v>
      </c>
      <c r="BO94" s="52">
        <v>176.87</v>
      </c>
      <c r="BP94" s="52">
        <v>225.22</v>
      </c>
      <c r="BQ94" s="52">
        <v>219.54</v>
      </c>
      <c r="BR94" s="52">
        <v>169.46</v>
      </c>
      <c r="BS94" s="52">
        <v>350.31</v>
      </c>
      <c r="BT94" s="52">
        <v>243.39</v>
      </c>
      <c r="BU94" s="52">
        <v>303</v>
      </c>
      <c r="BV94" s="52">
        <v>345.76</v>
      </c>
      <c r="BW94" s="52">
        <v>152.66</v>
      </c>
      <c r="BX94" s="52">
        <v>152.16999999999999</v>
      </c>
      <c r="BY94" s="52">
        <v>206.66</v>
      </c>
      <c r="BZ94" s="52">
        <v>162.77000000000001</v>
      </c>
      <c r="CA94" s="52">
        <v>223.95</v>
      </c>
      <c r="CB94" s="53">
        <v>285.5</v>
      </c>
      <c r="CC94" s="52">
        <v>172.57</v>
      </c>
      <c r="CD94" s="52">
        <v>208.41</v>
      </c>
      <c r="CE94" s="52">
        <v>211.78</v>
      </c>
      <c r="CF94" s="52">
        <v>287.33</v>
      </c>
      <c r="CG94" s="52">
        <v>249.96</v>
      </c>
      <c r="CH94" s="52">
        <v>192.8</v>
      </c>
      <c r="CI94" s="52">
        <v>168.88</v>
      </c>
      <c r="CJ94" s="52">
        <v>164.36</v>
      </c>
      <c r="CK94" s="52">
        <v>120.84</v>
      </c>
      <c r="CL94" s="52">
        <v>128.37</v>
      </c>
      <c r="CM94" s="52">
        <v>251.8</v>
      </c>
      <c r="CN94" s="52">
        <v>174.81</v>
      </c>
      <c r="CO94" s="52">
        <v>198.91</v>
      </c>
      <c r="CP94" s="52">
        <v>139.16999999999999</v>
      </c>
      <c r="CQ94" s="52">
        <v>296.39999999999998</v>
      </c>
      <c r="CR94" s="52">
        <v>92.7</v>
      </c>
      <c r="CS94" s="52">
        <v>149.15</v>
      </c>
      <c r="CT94" s="52">
        <v>112.98</v>
      </c>
      <c r="CU94" s="52">
        <v>202.92</v>
      </c>
      <c r="CV94" s="52">
        <v>148.4</v>
      </c>
      <c r="CW94" s="52">
        <v>96.64</v>
      </c>
      <c r="CX94" s="52">
        <v>177.67</v>
      </c>
      <c r="CY94" s="52">
        <v>132.41</v>
      </c>
      <c r="CZ94" s="52">
        <v>117.9</v>
      </c>
      <c r="DA94" s="52">
        <v>148.24</v>
      </c>
      <c r="DB94" s="52">
        <v>203.67</v>
      </c>
      <c r="DC94" s="52">
        <v>238.79</v>
      </c>
      <c r="DD94" s="52">
        <v>252.34</v>
      </c>
      <c r="DE94" s="52">
        <v>185.67</v>
      </c>
      <c r="DF94" s="52">
        <v>223.89</v>
      </c>
      <c r="DG94" s="52">
        <v>243.58</v>
      </c>
      <c r="DH94" s="52">
        <v>144.22</v>
      </c>
      <c r="DI94" s="52">
        <v>181.09</v>
      </c>
      <c r="DJ94" s="52">
        <v>262.55</v>
      </c>
      <c r="DK94" s="52">
        <v>248.81</v>
      </c>
      <c r="DL94" s="52">
        <v>49.61</v>
      </c>
      <c r="DM94" s="52">
        <v>122.58</v>
      </c>
      <c r="DN94" s="52">
        <v>46.27</v>
      </c>
      <c r="DO94" s="52">
        <v>88.54</v>
      </c>
      <c r="DP94" s="52">
        <v>143.91</v>
      </c>
      <c r="DQ94" s="52">
        <v>166.39</v>
      </c>
      <c r="DR94" s="52">
        <v>236.47</v>
      </c>
      <c r="DS94" s="52">
        <v>174.87</v>
      </c>
      <c r="DT94" s="52"/>
      <c r="DU94" s="52">
        <v>199.43</v>
      </c>
      <c r="DV94" s="52">
        <v>238.56</v>
      </c>
      <c r="DW94" s="52">
        <v>175.81</v>
      </c>
      <c r="DX94" s="52">
        <v>227.3</v>
      </c>
      <c r="DY94" s="52">
        <v>309.13</v>
      </c>
      <c r="DZ94" s="52">
        <v>210.45</v>
      </c>
      <c r="EA94" s="52">
        <v>167.02</v>
      </c>
      <c r="EB94" s="52">
        <v>247.77</v>
      </c>
      <c r="EC94" s="52">
        <v>236.82</v>
      </c>
      <c r="ED94" s="52">
        <v>223.95</v>
      </c>
      <c r="EE94" s="52">
        <v>210.11</v>
      </c>
      <c r="EF94" s="52">
        <v>167.21</v>
      </c>
      <c r="EG94" s="52">
        <v>264.54000000000002</v>
      </c>
      <c r="EH94" s="52">
        <v>244.03</v>
      </c>
      <c r="EI94" s="52">
        <v>240.04</v>
      </c>
      <c r="EJ94" s="52">
        <v>114.64</v>
      </c>
      <c r="EK94" s="52">
        <v>148.16</v>
      </c>
      <c r="EL94" s="52">
        <v>516.36</v>
      </c>
      <c r="EM94" s="52">
        <v>216.83</v>
      </c>
      <c r="EN94" s="52">
        <v>232.22</v>
      </c>
      <c r="EO94" s="52">
        <v>241.71</v>
      </c>
      <c r="EP94" s="52">
        <v>166.8</v>
      </c>
      <c r="EQ94" s="52">
        <v>193.75</v>
      </c>
      <c r="ER94" s="52">
        <v>307.01</v>
      </c>
      <c r="ES94" s="52">
        <v>260.42</v>
      </c>
      <c r="ET94" s="52">
        <v>208.21</v>
      </c>
      <c r="EU94" s="52">
        <v>186.3</v>
      </c>
      <c r="EV94" s="52">
        <v>220.04</v>
      </c>
      <c r="EW94" s="52">
        <v>201.58</v>
      </c>
      <c r="EX94" s="52">
        <v>207.94</v>
      </c>
      <c r="EY94" s="52">
        <v>141.69999999999999</v>
      </c>
      <c r="EZ94" s="52">
        <v>226.25</v>
      </c>
      <c r="FA94" s="52">
        <v>276.77999999999997</v>
      </c>
      <c r="FB94" s="52">
        <v>211.52</v>
      </c>
      <c r="FC94" s="52">
        <v>278.77999999999997</v>
      </c>
      <c r="FD94" s="52">
        <v>192.38</v>
      </c>
      <c r="FE94" s="52">
        <v>210.74</v>
      </c>
      <c r="FF94" s="52"/>
      <c r="FG94" s="52">
        <v>153.44</v>
      </c>
      <c r="FH94" s="52">
        <v>177.52</v>
      </c>
      <c r="FI94" s="52">
        <v>213.44</v>
      </c>
      <c r="FJ94" s="52">
        <v>216.63</v>
      </c>
      <c r="FK94" s="52">
        <v>258.02999999999997</v>
      </c>
      <c r="FL94" s="52">
        <v>216.32</v>
      </c>
      <c r="FM94" s="52">
        <v>197.7</v>
      </c>
      <c r="FN94" s="52">
        <v>170.33</v>
      </c>
      <c r="FO94" s="52">
        <v>280.48</v>
      </c>
      <c r="FP94" s="52">
        <v>239.57</v>
      </c>
      <c r="FQ94" s="52">
        <v>208.29</v>
      </c>
      <c r="FR94" s="52">
        <v>277.02</v>
      </c>
      <c r="FS94" s="52">
        <v>227.17</v>
      </c>
      <c r="FT94" s="52">
        <v>160.18</v>
      </c>
      <c r="FU94" s="52">
        <v>238.01</v>
      </c>
      <c r="FV94" s="52">
        <v>192.93</v>
      </c>
      <c r="FW94" s="52">
        <v>120.55</v>
      </c>
      <c r="FX94" s="52">
        <v>225.22</v>
      </c>
      <c r="FY94" s="52">
        <v>248.47</v>
      </c>
      <c r="FZ94" s="52">
        <v>215.4</v>
      </c>
      <c r="GA94" s="52">
        <v>194.69</v>
      </c>
      <c r="GB94" s="52">
        <v>173.12</v>
      </c>
      <c r="GC94" s="52">
        <v>168.66</v>
      </c>
      <c r="GD94" s="52">
        <v>162.29</v>
      </c>
      <c r="GE94" s="52">
        <v>350.31</v>
      </c>
      <c r="GF94" s="52">
        <v>243.39</v>
      </c>
      <c r="GG94" s="52">
        <v>303</v>
      </c>
      <c r="GH94" s="52">
        <v>345.18</v>
      </c>
      <c r="GI94" s="52">
        <v>157.80000000000001</v>
      </c>
      <c r="GJ94" s="52">
        <v>149.01</v>
      </c>
      <c r="GK94" s="52">
        <v>148.11000000000001</v>
      </c>
      <c r="GL94" s="52">
        <v>167.87</v>
      </c>
      <c r="GM94" s="52">
        <v>152.16999999999999</v>
      </c>
      <c r="GN94" s="52">
        <v>206.66</v>
      </c>
      <c r="GO94" s="52">
        <v>160.22</v>
      </c>
      <c r="GP94" s="52">
        <v>167.45</v>
      </c>
      <c r="GQ94" s="52">
        <v>159.52000000000001</v>
      </c>
      <c r="GR94" s="52">
        <v>223.95</v>
      </c>
      <c r="GS94" s="52">
        <v>285.5</v>
      </c>
      <c r="GT94" s="52">
        <v>172.57</v>
      </c>
      <c r="GU94" s="52">
        <v>208.41</v>
      </c>
      <c r="GV94" s="52">
        <v>211.78</v>
      </c>
      <c r="GW94" s="52">
        <v>259.51</v>
      </c>
      <c r="GX94" s="52">
        <v>297.48</v>
      </c>
      <c r="GY94" s="52">
        <v>249.96</v>
      </c>
      <c r="GZ94" s="52">
        <v>212.08</v>
      </c>
      <c r="HA94" s="52">
        <v>192.77</v>
      </c>
      <c r="HB94" s="52">
        <v>192.91</v>
      </c>
      <c r="HC94" s="52">
        <v>168.88</v>
      </c>
      <c r="HD94" s="52">
        <v>164.36</v>
      </c>
      <c r="HE94" s="52">
        <v>108.8</v>
      </c>
      <c r="HF94" s="52">
        <v>108.47</v>
      </c>
      <c r="HG94" s="52">
        <v>135.93</v>
      </c>
      <c r="HH94" s="52">
        <v>159.6</v>
      </c>
      <c r="HI94" s="52">
        <v>80.709999999999994</v>
      </c>
      <c r="HJ94" s="52">
        <v>128.37</v>
      </c>
      <c r="HK94" s="52">
        <v>251.8</v>
      </c>
      <c r="HL94" s="52">
        <v>147.37</v>
      </c>
      <c r="HM94" s="52">
        <v>200.04</v>
      </c>
      <c r="HN94" s="52">
        <v>196.15</v>
      </c>
      <c r="HO94" s="52">
        <v>177.85</v>
      </c>
      <c r="HP94" s="52">
        <v>216.05</v>
      </c>
      <c r="HQ94" s="52">
        <v>135.05000000000001</v>
      </c>
      <c r="HR94" s="52">
        <v>173.77</v>
      </c>
      <c r="HS94" s="52">
        <v>300.27999999999997</v>
      </c>
      <c r="HT94" s="52">
        <v>201.71</v>
      </c>
      <c r="HU94" s="52">
        <v>92.7</v>
      </c>
      <c r="HV94" s="52">
        <v>149.15</v>
      </c>
      <c r="HW94" s="52">
        <v>117.64</v>
      </c>
      <c r="HX94" s="52">
        <v>97.85</v>
      </c>
      <c r="HY94" s="52">
        <v>202.92</v>
      </c>
      <c r="HZ94" s="52">
        <v>148.4</v>
      </c>
      <c r="IA94" s="52">
        <v>88.28</v>
      </c>
      <c r="IB94" s="52">
        <v>177.67</v>
      </c>
      <c r="IC94" s="52">
        <v>120.03</v>
      </c>
      <c r="ID94" s="52">
        <v>134.13</v>
      </c>
      <c r="IE94" s="52">
        <v>117.9</v>
      </c>
      <c r="IF94" s="52">
        <v>148.24</v>
      </c>
      <c r="IG94" s="52">
        <v>203.67</v>
      </c>
      <c r="IH94" s="52">
        <v>238.79</v>
      </c>
      <c r="II94" s="52">
        <v>252.34</v>
      </c>
      <c r="IJ94" s="52">
        <v>185.67</v>
      </c>
      <c r="IK94" s="52">
        <v>231.31</v>
      </c>
      <c r="IL94" s="52">
        <v>198.93</v>
      </c>
      <c r="IM94" s="52">
        <v>257.25</v>
      </c>
      <c r="IN94" s="52">
        <v>243.72</v>
      </c>
      <c r="IO94" s="52">
        <v>195.16</v>
      </c>
      <c r="IP94" s="52">
        <v>144.22</v>
      </c>
      <c r="IQ94" s="52">
        <v>181.09</v>
      </c>
      <c r="IR94" s="52">
        <v>262.55</v>
      </c>
      <c r="IS94" s="52">
        <v>248.81</v>
      </c>
      <c r="IT94" s="52">
        <v>49.61</v>
      </c>
      <c r="IU94" s="52">
        <v>122.58</v>
      </c>
      <c r="IV94" s="52">
        <v>46.55</v>
      </c>
      <c r="IW94" s="52">
        <v>88.54</v>
      </c>
      <c r="IX94" s="52">
        <v>143.91</v>
      </c>
      <c r="IY94" s="52">
        <v>166.39</v>
      </c>
      <c r="IZ94" s="52">
        <v>236.47</v>
      </c>
      <c r="JA94" s="52">
        <v>174.87</v>
      </c>
      <c r="JB94" s="52"/>
      <c r="JC94" s="52">
        <v>199.43</v>
      </c>
      <c r="JD94" s="52">
        <v>238.56</v>
      </c>
      <c r="JE94" s="52">
        <v>186.86</v>
      </c>
      <c r="JF94" s="52">
        <v>172.06</v>
      </c>
      <c r="JG94" s="52">
        <v>227.3</v>
      </c>
      <c r="JH94" s="52">
        <v>309.13</v>
      </c>
      <c r="JI94" s="52">
        <v>210.45</v>
      </c>
      <c r="JJ94" s="52">
        <v>167.02</v>
      </c>
      <c r="JK94" s="52">
        <v>247.77</v>
      </c>
      <c r="JL94" s="52">
        <v>236.82</v>
      </c>
      <c r="JM94" s="52">
        <v>223.95</v>
      </c>
      <c r="JN94" s="52">
        <v>210.11</v>
      </c>
      <c r="JO94" s="52">
        <v>167.21</v>
      </c>
      <c r="JP94" s="52">
        <v>276.48</v>
      </c>
      <c r="JQ94" s="52">
        <v>236.84</v>
      </c>
      <c r="JR94" s="52">
        <v>222.8</v>
      </c>
      <c r="JS94" s="52">
        <v>276.36</v>
      </c>
      <c r="JT94" s="52">
        <v>264.26</v>
      </c>
      <c r="JU94" s="52">
        <v>216.41</v>
      </c>
      <c r="JV94" s="52">
        <v>114.64</v>
      </c>
      <c r="JW94" s="52">
        <v>148.16</v>
      </c>
      <c r="JX94" s="52">
        <v>516.36</v>
      </c>
      <c r="JY94" s="52">
        <v>221.09</v>
      </c>
      <c r="JZ94" s="52">
        <v>207.5</v>
      </c>
      <c r="KA94" s="52">
        <v>232.22</v>
      </c>
      <c r="KB94" s="52">
        <v>241.71</v>
      </c>
      <c r="KC94" s="52">
        <v>166.8</v>
      </c>
      <c r="KD94" s="52">
        <v>193.75</v>
      </c>
      <c r="KE94" s="52">
        <v>307.01</v>
      </c>
      <c r="KF94" s="52">
        <v>260.42</v>
      </c>
    </row>
    <row r="95" spans="1:292" s="41" customFormat="1" ht="12">
      <c r="A95" s="41">
        <v>2012</v>
      </c>
      <c r="B95" s="54" t="s">
        <v>987</v>
      </c>
      <c r="C95" s="55" t="s">
        <v>988</v>
      </c>
      <c r="D95" s="52">
        <v>204.76</v>
      </c>
      <c r="E95" s="52">
        <v>205.61</v>
      </c>
      <c r="F95" s="52">
        <v>344.69</v>
      </c>
      <c r="G95" s="52">
        <v>154.94999999999999</v>
      </c>
      <c r="H95" s="52">
        <v>244.72</v>
      </c>
      <c r="I95" s="52">
        <v>167.66</v>
      </c>
      <c r="J95" s="52">
        <v>130.62</v>
      </c>
      <c r="K95" s="52">
        <v>197.4</v>
      </c>
      <c r="L95" s="52">
        <v>115.53</v>
      </c>
      <c r="M95" s="52">
        <v>157.69999999999999</v>
      </c>
      <c r="N95" s="52">
        <v>208.99</v>
      </c>
      <c r="O95" s="52">
        <v>269.08999999999997</v>
      </c>
      <c r="P95" s="52">
        <v>242.42</v>
      </c>
      <c r="Q95" s="52">
        <v>206.24</v>
      </c>
      <c r="R95" s="52">
        <v>193.25</v>
      </c>
      <c r="S95" s="52">
        <v>324.74</v>
      </c>
      <c r="T95" s="52">
        <v>345.76</v>
      </c>
      <c r="U95" s="52">
        <v>151.74</v>
      </c>
      <c r="V95" s="52">
        <v>163.31</v>
      </c>
      <c r="W95" s="52">
        <v>287.05</v>
      </c>
      <c r="X95" s="52">
        <v>173.36</v>
      </c>
      <c r="Y95" s="52">
        <v>213.91</v>
      </c>
      <c r="Z95" s="52">
        <v>252.59</v>
      </c>
      <c r="AA95" s="52">
        <v>187.8</v>
      </c>
      <c r="AB95" s="52">
        <v>165.39</v>
      </c>
      <c r="AC95" s="52">
        <v>131.16999999999999</v>
      </c>
      <c r="AD95" s="52">
        <v>175.66</v>
      </c>
      <c r="AE95" s="52">
        <v>199.63</v>
      </c>
      <c r="AF95" s="52">
        <v>171.27</v>
      </c>
      <c r="AG95" s="52">
        <v>96.33</v>
      </c>
      <c r="AH95" s="52">
        <v>159.35</v>
      </c>
      <c r="AI95" s="52">
        <v>178.03</v>
      </c>
      <c r="AJ95" s="52">
        <v>132.38999999999999</v>
      </c>
      <c r="AK95" s="52">
        <v>228.25</v>
      </c>
      <c r="AL95" s="52">
        <v>238.47</v>
      </c>
      <c r="AM95" s="52">
        <v>248.81</v>
      </c>
      <c r="AN95" s="52">
        <v>50.04</v>
      </c>
      <c r="AO95" s="52">
        <v>125.07</v>
      </c>
      <c r="AP95" s="52">
        <v>67.27</v>
      </c>
      <c r="AQ95" s="52">
        <v>167.16</v>
      </c>
      <c r="AR95" s="52">
        <v>221.89</v>
      </c>
      <c r="AS95" s="52">
        <v>208.6</v>
      </c>
      <c r="AT95" s="52">
        <v>232.49</v>
      </c>
      <c r="AU95" s="52">
        <v>256.69</v>
      </c>
      <c r="AV95" s="52">
        <v>241.86</v>
      </c>
      <c r="AW95" s="52">
        <v>229.33</v>
      </c>
      <c r="AX95" s="52">
        <v>210.11</v>
      </c>
      <c r="AY95" s="52">
        <v>167.56</v>
      </c>
      <c r="AZ95" s="52">
        <v>265.86</v>
      </c>
      <c r="BA95" s="52">
        <v>244.98</v>
      </c>
      <c r="BB95" s="52">
        <v>169.36</v>
      </c>
      <c r="BC95" s="52">
        <v>430.35</v>
      </c>
      <c r="BD95" s="52">
        <v>232.65</v>
      </c>
      <c r="BE95" s="52">
        <v>203.95</v>
      </c>
      <c r="BF95" s="52">
        <v>307.01</v>
      </c>
      <c r="BG95" s="52">
        <v>260.58999999999997</v>
      </c>
      <c r="BH95" s="52">
        <v>211.99</v>
      </c>
      <c r="BI95" s="52">
        <v>232.17</v>
      </c>
      <c r="BJ95" s="52">
        <v>210.31</v>
      </c>
      <c r="BK95" s="52">
        <v>190.96</v>
      </c>
      <c r="BL95" s="52">
        <v>207.87</v>
      </c>
      <c r="BM95" s="52">
        <v>181.2</v>
      </c>
      <c r="BN95" s="52">
        <v>193.48</v>
      </c>
      <c r="BO95" s="52">
        <v>177</v>
      </c>
      <c r="BP95" s="52">
        <v>226.95</v>
      </c>
      <c r="BQ95" s="52">
        <v>219.97</v>
      </c>
      <c r="BR95" s="52">
        <v>170.22</v>
      </c>
      <c r="BS95" s="52">
        <v>350.36</v>
      </c>
      <c r="BT95" s="52">
        <v>234.67</v>
      </c>
      <c r="BU95" s="52">
        <v>303.68</v>
      </c>
      <c r="BV95" s="52">
        <v>345.76</v>
      </c>
      <c r="BW95" s="52">
        <v>150.79</v>
      </c>
      <c r="BX95" s="52">
        <v>152.81</v>
      </c>
      <c r="BY95" s="52">
        <v>207.79</v>
      </c>
      <c r="BZ95" s="52">
        <v>162.94</v>
      </c>
      <c r="CA95" s="52">
        <v>224.77</v>
      </c>
      <c r="CB95" s="53">
        <v>287.05</v>
      </c>
      <c r="CC95" s="52">
        <v>173.36</v>
      </c>
      <c r="CD95" s="52">
        <v>213.1</v>
      </c>
      <c r="CE95" s="52">
        <v>211.78</v>
      </c>
      <c r="CF95" s="52">
        <v>281.01</v>
      </c>
      <c r="CG95" s="52">
        <v>250.36</v>
      </c>
      <c r="CH95" s="52">
        <v>192.92</v>
      </c>
      <c r="CI95" s="52">
        <v>170.27</v>
      </c>
      <c r="CJ95" s="52">
        <v>165.39</v>
      </c>
      <c r="CK95" s="52">
        <v>121.06</v>
      </c>
      <c r="CL95" s="52">
        <v>129.77000000000001</v>
      </c>
      <c r="CM95" s="52">
        <v>256.63</v>
      </c>
      <c r="CN95" s="52">
        <v>175.66</v>
      </c>
      <c r="CO95" s="52">
        <v>199.63</v>
      </c>
      <c r="CP95" s="52">
        <v>140.29</v>
      </c>
      <c r="CQ95" s="52">
        <v>300.20999999999998</v>
      </c>
      <c r="CR95" s="52">
        <v>92.7</v>
      </c>
      <c r="CS95" s="52">
        <v>149.4</v>
      </c>
      <c r="CT95" s="52">
        <v>113.07</v>
      </c>
      <c r="CU95" s="52">
        <v>203.13</v>
      </c>
      <c r="CV95" s="52">
        <v>148.5</v>
      </c>
      <c r="CW95" s="52">
        <v>97.11</v>
      </c>
      <c r="CX95" s="52">
        <v>178.03</v>
      </c>
      <c r="CY95" s="52">
        <v>132.47</v>
      </c>
      <c r="CZ95" s="52">
        <v>117.89</v>
      </c>
      <c r="DA95" s="52">
        <v>148.44</v>
      </c>
      <c r="DB95" s="52">
        <v>203.5</v>
      </c>
      <c r="DC95" s="52">
        <v>227.22</v>
      </c>
      <c r="DD95" s="52">
        <v>256.83999999999997</v>
      </c>
      <c r="DE95" s="52">
        <v>186.34</v>
      </c>
      <c r="DF95" s="52">
        <v>220.02</v>
      </c>
      <c r="DG95" s="52">
        <v>242.52</v>
      </c>
      <c r="DH95" s="52">
        <v>146.62</v>
      </c>
      <c r="DI95" s="52">
        <v>181.66</v>
      </c>
      <c r="DJ95" s="52">
        <v>268.19</v>
      </c>
      <c r="DK95" s="52">
        <v>248.81</v>
      </c>
      <c r="DL95" s="52">
        <v>50.04</v>
      </c>
      <c r="DM95" s="52">
        <v>125.07</v>
      </c>
      <c r="DN95" s="52">
        <v>45.65</v>
      </c>
      <c r="DO95" s="52">
        <v>89.05</v>
      </c>
      <c r="DP95" s="52">
        <v>143.88999999999999</v>
      </c>
      <c r="DQ95" s="52">
        <v>167.16</v>
      </c>
      <c r="DR95" s="52">
        <v>240.21</v>
      </c>
      <c r="DS95" s="52">
        <v>176.22</v>
      </c>
      <c r="DT95" s="52"/>
      <c r="DU95" s="52">
        <v>200.49</v>
      </c>
      <c r="DV95" s="52">
        <v>241.18</v>
      </c>
      <c r="DW95" s="52">
        <v>176.11</v>
      </c>
      <c r="DX95" s="52">
        <v>227.3</v>
      </c>
      <c r="DY95" s="52">
        <v>314.76</v>
      </c>
      <c r="DZ95" s="52">
        <v>210.45</v>
      </c>
      <c r="EA95" s="52">
        <v>167.63</v>
      </c>
      <c r="EB95" s="52">
        <v>256.69</v>
      </c>
      <c r="EC95" s="52">
        <v>241.86</v>
      </c>
      <c r="ED95" s="52">
        <v>229.33</v>
      </c>
      <c r="EE95" s="52">
        <v>210.11</v>
      </c>
      <c r="EF95" s="52">
        <v>167.56</v>
      </c>
      <c r="EG95" s="52">
        <v>265.86</v>
      </c>
      <c r="EH95" s="52">
        <v>244.98</v>
      </c>
      <c r="EI95" s="52">
        <v>240.86</v>
      </c>
      <c r="EJ95" s="52">
        <v>115.67</v>
      </c>
      <c r="EK95" s="52">
        <v>149.94</v>
      </c>
      <c r="EL95" s="52">
        <v>523.14</v>
      </c>
      <c r="EM95" s="52">
        <v>218.75</v>
      </c>
      <c r="EN95" s="52">
        <v>232.65</v>
      </c>
      <c r="EO95" s="52">
        <v>243.87</v>
      </c>
      <c r="EP95" s="52">
        <v>166.8</v>
      </c>
      <c r="EQ95" s="52">
        <v>196.42</v>
      </c>
      <c r="ER95" s="52">
        <v>307.01</v>
      </c>
      <c r="ES95" s="52">
        <v>260.58999999999997</v>
      </c>
      <c r="ET95" s="52">
        <v>208.74</v>
      </c>
      <c r="EU95" s="52">
        <v>187.3</v>
      </c>
      <c r="EV95" s="52">
        <v>222.29</v>
      </c>
      <c r="EW95" s="52">
        <v>202.5</v>
      </c>
      <c r="EX95" s="52">
        <v>209.91</v>
      </c>
      <c r="EY95" s="52">
        <v>147.68</v>
      </c>
      <c r="EZ95" s="52">
        <v>225.91</v>
      </c>
      <c r="FA95" s="52">
        <v>279.3</v>
      </c>
      <c r="FB95" s="52">
        <v>208.1</v>
      </c>
      <c r="FC95" s="52">
        <v>275.68</v>
      </c>
      <c r="FD95" s="52">
        <v>191.3</v>
      </c>
      <c r="FE95" s="52">
        <v>210.31</v>
      </c>
      <c r="FF95" s="52"/>
      <c r="FG95" s="52">
        <v>150.72</v>
      </c>
      <c r="FH95" s="52">
        <v>175.13</v>
      </c>
      <c r="FI95" s="52">
        <v>214.06</v>
      </c>
      <c r="FJ95" s="52">
        <v>216.63</v>
      </c>
      <c r="FK95" s="52">
        <v>255.12</v>
      </c>
      <c r="FL95" s="52">
        <v>217.59</v>
      </c>
      <c r="FM95" s="52">
        <v>201.23</v>
      </c>
      <c r="FN95" s="52">
        <v>162.58000000000001</v>
      </c>
      <c r="FO95" s="52">
        <v>280.49</v>
      </c>
      <c r="FP95" s="52">
        <v>167.73</v>
      </c>
      <c r="FQ95" s="52">
        <v>191.65</v>
      </c>
      <c r="FR95" s="52">
        <v>275.69</v>
      </c>
      <c r="FS95" s="52">
        <v>227.18</v>
      </c>
      <c r="FT95" s="52">
        <v>161.1</v>
      </c>
      <c r="FU95" s="52">
        <v>240.53</v>
      </c>
      <c r="FV95" s="52">
        <v>192.49</v>
      </c>
      <c r="FW95" s="52">
        <v>117.22</v>
      </c>
      <c r="FX95" s="52">
        <v>226.95</v>
      </c>
      <c r="FY95" s="52">
        <v>250.44</v>
      </c>
      <c r="FZ95" s="52">
        <v>215.55</v>
      </c>
      <c r="GA95" s="52">
        <v>196.18</v>
      </c>
      <c r="GB95" s="52">
        <v>173.83</v>
      </c>
      <c r="GC95" s="52">
        <v>168.89</v>
      </c>
      <c r="GD95" s="52">
        <v>164.51</v>
      </c>
      <c r="GE95" s="52">
        <v>350.36</v>
      </c>
      <c r="GF95" s="52">
        <v>234.67</v>
      </c>
      <c r="GG95" s="52">
        <v>303.68</v>
      </c>
      <c r="GH95" s="52">
        <v>345.18</v>
      </c>
      <c r="GI95" s="52">
        <v>156.9</v>
      </c>
      <c r="GJ95" s="52">
        <v>145.38999999999999</v>
      </c>
      <c r="GK95" s="52">
        <v>148.26</v>
      </c>
      <c r="GL95" s="52">
        <v>166.66</v>
      </c>
      <c r="GM95" s="52">
        <v>152.81</v>
      </c>
      <c r="GN95" s="52">
        <v>207.79</v>
      </c>
      <c r="GO95" s="52">
        <v>160.31</v>
      </c>
      <c r="GP95" s="52">
        <v>167.15</v>
      </c>
      <c r="GQ95" s="52">
        <v>160.79</v>
      </c>
      <c r="GR95" s="52">
        <v>224.77</v>
      </c>
      <c r="GS95" s="52">
        <v>287.05</v>
      </c>
      <c r="GT95" s="52">
        <v>173.36</v>
      </c>
      <c r="GU95" s="52">
        <v>213.1</v>
      </c>
      <c r="GV95" s="52">
        <v>211.78</v>
      </c>
      <c r="GW95" s="52">
        <v>259.49</v>
      </c>
      <c r="GX95" s="52">
        <v>284.13</v>
      </c>
      <c r="GY95" s="52">
        <v>250.36</v>
      </c>
      <c r="GZ95" s="52">
        <v>212.54</v>
      </c>
      <c r="HA95" s="52">
        <v>192.69</v>
      </c>
      <c r="HB95" s="52">
        <v>193.09</v>
      </c>
      <c r="HC95" s="52">
        <v>170.27</v>
      </c>
      <c r="HD95" s="52">
        <v>165.39</v>
      </c>
      <c r="HE95" s="52">
        <v>108.98</v>
      </c>
      <c r="HF95" s="52">
        <v>108.39</v>
      </c>
      <c r="HG95" s="52">
        <v>135.26</v>
      </c>
      <c r="HH95" s="52">
        <v>158.46</v>
      </c>
      <c r="HI95" s="52">
        <v>83.5</v>
      </c>
      <c r="HJ95" s="52">
        <v>129.77000000000001</v>
      </c>
      <c r="HK95" s="52">
        <v>256.63</v>
      </c>
      <c r="HL95" s="52">
        <v>147.88999999999999</v>
      </c>
      <c r="HM95" s="52">
        <v>200.89</v>
      </c>
      <c r="HN95" s="52">
        <v>197.32</v>
      </c>
      <c r="HO95" s="52">
        <v>178.89</v>
      </c>
      <c r="HP95" s="52">
        <v>216.29</v>
      </c>
      <c r="HQ95" s="52">
        <v>136.19999999999999</v>
      </c>
      <c r="HR95" s="52">
        <v>174.68</v>
      </c>
      <c r="HS95" s="52">
        <v>304.27999999999997</v>
      </c>
      <c r="HT95" s="52">
        <v>202.7</v>
      </c>
      <c r="HU95" s="52">
        <v>92.7</v>
      </c>
      <c r="HV95" s="52">
        <v>149.4</v>
      </c>
      <c r="HW95" s="52">
        <v>117.67</v>
      </c>
      <c r="HX95" s="52">
        <v>98.05</v>
      </c>
      <c r="HY95" s="52">
        <v>203.13</v>
      </c>
      <c r="HZ95" s="52">
        <v>148.5</v>
      </c>
      <c r="IA95" s="52">
        <v>88.71</v>
      </c>
      <c r="IB95" s="52">
        <v>178.03</v>
      </c>
      <c r="IC95" s="52">
        <v>120.01</v>
      </c>
      <c r="ID95" s="52">
        <v>134.66999999999999</v>
      </c>
      <c r="IE95" s="52">
        <v>117.89</v>
      </c>
      <c r="IF95" s="52">
        <v>148.44</v>
      </c>
      <c r="IG95" s="52">
        <v>203.5</v>
      </c>
      <c r="IH95" s="52">
        <v>227.22</v>
      </c>
      <c r="II95" s="52">
        <v>256.83999999999997</v>
      </c>
      <c r="IJ95" s="52">
        <v>186.34</v>
      </c>
      <c r="IK95" s="52">
        <v>231.31</v>
      </c>
      <c r="IL95" s="52">
        <v>191.27</v>
      </c>
      <c r="IM95" s="52">
        <v>252.72</v>
      </c>
      <c r="IN95" s="52">
        <v>243.94</v>
      </c>
      <c r="IO95" s="52">
        <v>202.11</v>
      </c>
      <c r="IP95" s="52">
        <v>146.62</v>
      </c>
      <c r="IQ95" s="52">
        <v>181.66</v>
      </c>
      <c r="IR95" s="52">
        <v>268.19</v>
      </c>
      <c r="IS95" s="52">
        <v>248.81</v>
      </c>
      <c r="IT95" s="52">
        <v>50.04</v>
      </c>
      <c r="IU95" s="52">
        <v>125.07</v>
      </c>
      <c r="IV95" s="52">
        <v>45.9</v>
      </c>
      <c r="IW95" s="52">
        <v>89.05</v>
      </c>
      <c r="IX95" s="52">
        <v>143.88999999999999</v>
      </c>
      <c r="IY95" s="52">
        <v>167.16</v>
      </c>
      <c r="IZ95" s="52">
        <v>240.21</v>
      </c>
      <c r="JA95" s="52">
        <v>176.22</v>
      </c>
      <c r="JB95" s="52"/>
      <c r="JC95" s="52">
        <v>200.49</v>
      </c>
      <c r="JD95" s="52">
        <v>241.18</v>
      </c>
      <c r="JE95" s="52">
        <v>187.92</v>
      </c>
      <c r="JF95" s="52">
        <v>172.21</v>
      </c>
      <c r="JG95" s="52">
        <v>227.3</v>
      </c>
      <c r="JH95" s="52">
        <v>314.76</v>
      </c>
      <c r="JI95" s="52">
        <v>210.45</v>
      </c>
      <c r="JJ95" s="52">
        <v>167.63</v>
      </c>
      <c r="JK95" s="52">
        <v>256.69</v>
      </c>
      <c r="JL95" s="52">
        <v>241.86</v>
      </c>
      <c r="JM95" s="52">
        <v>229.33</v>
      </c>
      <c r="JN95" s="52">
        <v>210.11</v>
      </c>
      <c r="JO95" s="52">
        <v>167.56</v>
      </c>
      <c r="JP95" s="52">
        <v>278.14</v>
      </c>
      <c r="JQ95" s="52">
        <v>237.25</v>
      </c>
      <c r="JR95" s="52">
        <v>224.15</v>
      </c>
      <c r="JS95" s="52">
        <v>276.55</v>
      </c>
      <c r="JT95" s="52">
        <v>265.52</v>
      </c>
      <c r="JU95" s="52">
        <v>216.84</v>
      </c>
      <c r="JV95" s="52">
        <v>115.67</v>
      </c>
      <c r="JW95" s="52">
        <v>149.94</v>
      </c>
      <c r="JX95" s="52">
        <v>523.14</v>
      </c>
      <c r="JY95" s="52">
        <v>223.95</v>
      </c>
      <c r="JZ95" s="52">
        <v>207.85</v>
      </c>
      <c r="KA95" s="52">
        <v>232.65</v>
      </c>
      <c r="KB95" s="52">
        <v>243.87</v>
      </c>
      <c r="KC95" s="52">
        <v>166.8</v>
      </c>
      <c r="KD95" s="52">
        <v>196.42</v>
      </c>
      <c r="KE95" s="52">
        <v>307.01</v>
      </c>
      <c r="KF95" s="52">
        <v>260.58999999999997</v>
      </c>
    </row>
    <row r="96" spans="1:292" s="41" customFormat="1" ht="12">
      <c r="A96" s="41">
        <v>2012</v>
      </c>
      <c r="B96" s="54" t="s">
        <v>989</v>
      </c>
      <c r="C96" s="55" t="s">
        <v>990</v>
      </c>
      <c r="D96" s="52">
        <v>204.29</v>
      </c>
      <c r="E96" s="52">
        <v>206.36</v>
      </c>
      <c r="F96" s="52">
        <v>344.69</v>
      </c>
      <c r="G96" s="52">
        <v>148.16</v>
      </c>
      <c r="H96" s="52">
        <v>243.22</v>
      </c>
      <c r="I96" s="52">
        <v>166.87</v>
      </c>
      <c r="J96" s="52">
        <v>130.65</v>
      </c>
      <c r="K96" s="52">
        <v>198.13</v>
      </c>
      <c r="L96" s="52">
        <v>116.21</v>
      </c>
      <c r="M96" s="52">
        <v>156.72</v>
      </c>
      <c r="N96" s="52">
        <v>211.26</v>
      </c>
      <c r="O96" s="52">
        <v>270.56</v>
      </c>
      <c r="P96" s="52">
        <v>243.5</v>
      </c>
      <c r="Q96" s="52">
        <v>207</v>
      </c>
      <c r="R96" s="52">
        <v>193.85</v>
      </c>
      <c r="S96" s="52">
        <v>324.75</v>
      </c>
      <c r="T96" s="52">
        <v>345.76</v>
      </c>
      <c r="U96" s="52">
        <v>145.22999999999999</v>
      </c>
      <c r="V96" s="52">
        <v>155.66</v>
      </c>
      <c r="W96" s="52">
        <v>288.48</v>
      </c>
      <c r="X96" s="52">
        <v>173.86</v>
      </c>
      <c r="Y96" s="52">
        <v>204.35</v>
      </c>
      <c r="Z96" s="52">
        <v>251.63</v>
      </c>
      <c r="AA96" s="52">
        <v>183.97</v>
      </c>
      <c r="AB96" s="52">
        <v>164.49</v>
      </c>
      <c r="AC96" s="52">
        <v>131.53</v>
      </c>
      <c r="AD96" s="52">
        <v>176.07</v>
      </c>
      <c r="AE96" s="52">
        <v>199.97</v>
      </c>
      <c r="AF96" s="52">
        <v>171.78</v>
      </c>
      <c r="AG96" s="52">
        <v>96.34</v>
      </c>
      <c r="AH96" s="52">
        <v>159.41</v>
      </c>
      <c r="AI96" s="52">
        <v>178.03</v>
      </c>
      <c r="AJ96" s="52">
        <v>132.32</v>
      </c>
      <c r="AK96" s="52">
        <v>228.09</v>
      </c>
      <c r="AL96" s="52">
        <v>242.4</v>
      </c>
      <c r="AM96" s="52">
        <v>262.27</v>
      </c>
      <c r="AN96" s="52">
        <v>51.62</v>
      </c>
      <c r="AO96" s="52">
        <v>125.47</v>
      </c>
      <c r="AP96" s="52">
        <v>65.510000000000005</v>
      </c>
      <c r="AQ96" s="52">
        <v>167.56</v>
      </c>
      <c r="AR96" s="52">
        <v>222.61</v>
      </c>
      <c r="AS96" s="52">
        <v>208.69</v>
      </c>
      <c r="AT96" s="52">
        <v>231.25</v>
      </c>
      <c r="AU96" s="52">
        <v>260.08</v>
      </c>
      <c r="AV96" s="52">
        <v>247.04</v>
      </c>
      <c r="AW96" s="52">
        <v>232.54</v>
      </c>
      <c r="AX96" s="52">
        <v>210.11</v>
      </c>
      <c r="AY96" s="52">
        <v>168.34</v>
      </c>
      <c r="AZ96" s="52">
        <v>267.33</v>
      </c>
      <c r="BA96" s="52">
        <v>246.08</v>
      </c>
      <c r="BB96" s="52">
        <v>170.95</v>
      </c>
      <c r="BC96" s="52">
        <v>426.68</v>
      </c>
      <c r="BD96" s="52">
        <v>234</v>
      </c>
      <c r="BE96" s="52">
        <v>210.94</v>
      </c>
      <c r="BF96" s="52">
        <v>332.94</v>
      </c>
      <c r="BG96" s="52">
        <v>260.70999999999998</v>
      </c>
      <c r="BH96" s="52">
        <v>213.5</v>
      </c>
      <c r="BI96" s="52">
        <v>235.02</v>
      </c>
      <c r="BJ96" s="52">
        <v>208.68</v>
      </c>
      <c r="BK96" s="52">
        <v>191.09</v>
      </c>
      <c r="BL96" s="52">
        <v>207.36</v>
      </c>
      <c r="BM96" s="52">
        <v>175.74</v>
      </c>
      <c r="BN96" s="52">
        <v>196.78</v>
      </c>
      <c r="BO96" s="52">
        <v>178.81</v>
      </c>
      <c r="BP96" s="52">
        <v>227.44</v>
      </c>
      <c r="BQ96" s="52">
        <v>219.49</v>
      </c>
      <c r="BR96" s="52">
        <v>171.31</v>
      </c>
      <c r="BS96" s="52">
        <v>350.53</v>
      </c>
      <c r="BT96" s="52">
        <v>234.57</v>
      </c>
      <c r="BU96" s="52">
        <v>303.58999999999997</v>
      </c>
      <c r="BV96" s="52">
        <v>345.76</v>
      </c>
      <c r="BW96" s="52">
        <v>143.88999999999999</v>
      </c>
      <c r="BX96" s="52">
        <v>150.41999999999999</v>
      </c>
      <c r="BY96" s="52">
        <v>208.75</v>
      </c>
      <c r="BZ96" s="52">
        <v>155.24</v>
      </c>
      <c r="CA96" s="52">
        <v>225.4</v>
      </c>
      <c r="CB96" s="53">
        <v>288.48</v>
      </c>
      <c r="CC96" s="52">
        <v>173.86</v>
      </c>
      <c r="CD96" s="52">
        <v>203.57</v>
      </c>
      <c r="CE96" s="52">
        <v>211.78</v>
      </c>
      <c r="CF96" s="52">
        <v>278.13</v>
      </c>
      <c r="CG96" s="52">
        <v>250.38</v>
      </c>
      <c r="CH96" s="52">
        <v>188.64</v>
      </c>
      <c r="CI96" s="52">
        <v>169.86</v>
      </c>
      <c r="CJ96" s="52">
        <v>164.49</v>
      </c>
      <c r="CK96" s="52">
        <v>121.33</v>
      </c>
      <c r="CL96" s="52">
        <v>130.82</v>
      </c>
      <c r="CM96" s="52">
        <v>257.33</v>
      </c>
      <c r="CN96" s="52">
        <v>176.07</v>
      </c>
      <c r="CO96" s="52">
        <v>199.97</v>
      </c>
      <c r="CP96" s="52">
        <v>140.71</v>
      </c>
      <c r="CQ96" s="52">
        <v>301.14999999999998</v>
      </c>
      <c r="CR96" s="52">
        <v>92.7</v>
      </c>
      <c r="CS96" s="52">
        <v>149.4</v>
      </c>
      <c r="CT96" s="52">
        <v>113.16</v>
      </c>
      <c r="CU96" s="52">
        <v>203.25</v>
      </c>
      <c r="CV96" s="52">
        <v>148.52000000000001</v>
      </c>
      <c r="CW96" s="52">
        <v>97.14</v>
      </c>
      <c r="CX96" s="52">
        <v>178.03</v>
      </c>
      <c r="CY96" s="52">
        <v>132.41</v>
      </c>
      <c r="CZ96" s="52">
        <v>117.86</v>
      </c>
      <c r="DA96" s="52">
        <v>148.74</v>
      </c>
      <c r="DB96" s="52">
        <v>203.77</v>
      </c>
      <c r="DC96" s="52">
        <v>226.36</v>
      </c>
      <c r="DD96" s="52">
        <v>260.72000000000003</v>
      </c>
      <c r="DE96" s="52">
        <v>188.28</v>
      </c>
      <c r="DF96" s="52">
        <v>216.54</v>
      </c>
      <c r="DG96" s="52">
        <v>247</v>
      </c>
      <c r="DH96" s="52">
        <v>146.57</v>
      </c>
      <c r="DI96" s="52">
        <v>181.66</v>
      </c>
      <c r="DJ96" s="52">
        <v>271.36</v>
      </c>
      <c r="DK96" s="52">
        <v>262.27</v>
      </c>
      <c r="DL96" s="52">
        <v>51.62</v>
      </c>
      <c r="DM96" s="52">
        <v>125.47</v>
      </c>
      <c r="DN96" s="52">
        <v>43.5</v>
      </c>
      <c r="DO96" s="52">
        <v>87.12</v>
      </c>
      <c r="DP96" s="52">
        <v>143.91999999999999</v>
      </c>
      <c r="DQ96" s="52">
        <v>167.56</v>
      </c>
      <c r="DR96" s="52">
        <v>242.07</v>
      </c>
      <c r="DS96" s="52">
        <v>174.93</v>
      </c>
      <c r="DT96" s="52"/>
      <c r="DU96" s="52">
        <v>201.38</v>
      </c>
      <c r="DV96" s="52">
        <v>241.99</v>
      </c>
      <c r="DW96" s="52">
        <v>175.61</v>
      </c>
      <c r="DX96" s="52">
        <v>227.3</v>
      </c>
      <c r="DY96" s="52">
        <v>309.95</v>
      </c>
      <c r="DZ96" s="52">
        <v>210.45</v>
      </c>
      <c r="EA96" s="52">
        <v>168.34</v>
      </c>
      <c r="EB96" s="52">
        <v>260.08</v>
      </c>
      <c r="EC96" s="52">
        <v>247.04</v>
      </c>
      <c r="ED96" s="52">
        <v>232.54</v>
      </c>
      <c r="EE96" s="52">
        <v>210.11</v>
      </c>
      <c r="EF96" s="52">
        <v>168.34</v>
      </c>
      <c r="EG96" s="52">
        <v>267.33</v>
      </c>
      <c r="EH96" s="52">
        <v>246.08</v>
      </c>
      <c r="EI96" s="52">
        <v>241.78</v>
      </c>
      <c r="EJ96" s="52">
        <v>116.34</v>
      </c>
      <c r="EK96" s="52">
        <v>151.69999999999999</v>
      </c>
      <c r="EL96" s="52">
        <v>516.11</v>
      </c>
      <c r="EM96" s="52">
        <v>219.43</v>
      </c>
      <c r="EN96" s="52">
        <v>234</v>
      </c>
      <c r="EO96" s="52">
        <v>244.57</v>
      </c>
      <c r="EP96" s="52">
        <v>166.8</v>
      </c>
      <c r="EQ96" s="52">
        <v>208.39</v>
      </c>
      <c r="ER96" s="52">
        <v>332.94</v>
      </c>
      <c r="ES96" s="52">
        <v>260.70999999999998</v>
      </c>
      <c r="ET96" s="52">
        <v>209.05</v>
      </c>
      <c r="EU96" s="52">
        <v>187.69</v>
      </c>
      <c r="EV96" s="52">
        <v>225.44</v>
      </c>
      <c r="EW96" s="52">
        <v>202.19</v>
      </c>
      <c r="EX96" s="52">
        <v>205.23</v>
      </c>
      <c r="EY96" s="52">
        <v>150.16</v>
      </c>
      <c r="EZ96" s="52">
        <v>226.17</v>
      </c>
      <c r="FA96" s="52">
        <v>281.37</v>
      </c>
      <c r="FB96" s="52">
        <v>215.44</v>
      </c>
      <c r="FC96" s="52">
        <v>271.95999999999998</v>
      </c>
      <c r="FD96" s="52">
        <v>191.92</v>
      </c>
      <c r="FE96" s="52">
        <v>208.68</v>
      </c>
      <c r="FF96" s="52"/>
      <c r="FG96" s="52">
        <v>150.47</v>
      </c>
      <c r="FH96" s="52">
        <v>175.62</v>
      </c>
      <c r="FI96" s="52">
        <v>213.52</v>
      </c>
      <c r="FJ96" s="52">
        <v>218.35</v>
      </c>
      <c r="FK96" s="52">
        <v>252.98</v>
      </c>
      <c r="FL96" s="52">
        <v>217.05</v>
      </c>
      <c r="FM96" s="52">
        <v>200.9</v>
      </c>
      <c r="FN96" s="52">
        <v>156.71</v>
      </c>
      <c r="FO96" s="52">
        <v>277.14</v>
      </c>
      <c r="FP96" s="52">
        <v>174.35</v>
      </c>
      <c r="FQ96" s="52">
        <v>175.23</v>
      </c>
      <c r="FR96" s="52">
        <v>274.66000000000003</v>
      </c>
      <c r="FS96" s="52">
        <v>230.55</v>
      </c>
      <c r="FT96" s="52">
        <v>161.31</v>
      </c>
      <c r="FU96" s="52">
        <v>242.52</v>
      </c>
      <c r="FV96" s="52">
        <v>193.04</v>
      </c>
      <c r="FW96" s="52">
        <v>124.93</v>
      </c>
      <c r="FX96" s="52">
        <v>227.44</v>
      </c>
      <c r="FY96" s="52">
        <v>248.43</v>
      </c>
      <c r="FZ96" s="52">
        <v>215.29</v>
      </c>
      <c r="GA96" s="52">
        <v>196.57</v>
      </c>
      <c r="GB96" s="52">
        <v>174.81</v>
      </c>
      <c r="GC96" s="52">
        <v>169.88</v>
      </c>
      <c r="GD96" s="52">
        <v>166.02</v>
      </c>
      <c r="GE96" s="52">
        <v>350.53</v>
      </c>
      <c r="GF96" s="52">
        <v>234.57</v>
      </c>
      <c r="GG96" s="52">
        <v>303.58999999999997</v>
      </c>
      <c r="GH96" s="52">
        <v>345.18</v>
      </c>
      <c r="GI96" s="52">
        <v>150.21</v>
      </c>
      <c r="GJ96" s="52">
        <v>137.87</v>
      </c>
      <c r="GK96" s="52">
        <v>142.09</v>
      </c>
      <c r="GL96" s="52">
        <v>164.63</v>
      </c>
      <c r="GM96" s="52">
        <v>150.41999999999999</v>
      </c>
      <c r="GN96" s="52">
        <v>208.75</v>
      </c>
      <c r="GO96" s="52">
        <v>153.88</v>
      </c>
      <c r="GP96" s="52">
        <v>157.21</v>
      </c>
      <c r="GQ96" s="52">
        <v>154.56</v>
      </c>
      <c r="GR96" s="52">
        <v>225.4</v>
      </c>
      <c r="GS96" s="52">
        <v>288.48</v>
      </c>
      <c r="GT96" s="52">
        <v>173.86</v>
      </c>
      <c r="GU96" s="52">
        <v>203.57</v>
      </c>
      <c r="GV96" s="52">
        <v>211.78</v>
      </c>
      <c r="GW96" s="52">
        <v>259.83</v>
      </c>
      <c r="GX96" s="52">
        <v>277.61</v>
      </c>
      <c r="GY96" s="52">
        <v>250.38</v>
      </c>
      <c r="GZ96" s="52">
        <v>213.46</v>
      </c>
      <c r="HA96" s="52">
        <v>187.39</v>
      </c>
      <c r="HB96" s="52">
        <v>188.04</v>
      </c>
      <c r="HC96" s="52">
        <v>169.86</v>
      </c>
      <c r="HD96" s="52">
        <v>164.49</v>
      </c>
      <c r="HE96" s="52">
        <v>109.17</v>
      </c>
      <c r="HF96" s="52">
        <v>108.31</v>
      </c>
      <c r="HG96" s="52">
        <v>135.33000000000001</v>
      </c>
      <c r="HH96" s="52">
        <v>158.97</v>
      </c>
      <c r="HI96" s="52">
        <v>84.36</v>
      </c>
      <c r="HJ96" s="52">
        <v>130.82</v>
      </c>
      <c r="HK96" s="52">
        <v>257.33</v>
      </c>
      <c r="HL96" s="52">
        <v>148.37</v>
      </c>
      <c r="HM96" s="52">
        <v>201.61</v>
      </c>
      <c r="HN96" s="52">
        <v>197.61</v>
      </c>
      <c r="HO96" s="52">
        <v>179.48</v>
      </c>
      <c r="HP96" s="52">
        <v>216.23</v>
      </c>
      <c r="HQ96" s="52">
        <v>136.66</v>
      </c>
      <c r="HR96" s="52">
        <v>174.77</v>
      </c>
      <c r="HS96" s="52">
        <v>305.23</v>
      </c>
      <c r="HT96" s="52">
        <v>203.34</v>
      </c>
      <c r="HU96" s="52">
        <v>92.7</v>
      </c>
      <c r="HV96" s="52">
        <v>149.4</v>
      </c>
      <c r="HW96" s="52">
        <v>117.68</v>
      </c>
      <c r="HX96" s="52">
        <v>98.28</v>
      </c>
      <c r="HY96" s="52">
        <v>203.25</v>
      </c>
      <c r="HZ96" s="52">
        <v>148.52000000000001</v>
      </c>
      <c r="IA96" s="52">
        <v>88.73</v>
      </c>
      <c r="IB96" s="52">
        <v>178.03</v>
      </c>
      <c r="IC96" s="52">
        <v>119.37</v>
      </c>
      <c r="ID96" s="52">
        <v>134.47</v>
      </c>
      <c r="IE96" s="52">
        <v>117.86</v>
      </c>
      <c r="IF96" s="52">
        <v>148.74</v>
      </c>
      <c r="IG96" s="52">
        <v>203.77</v>
      </c>
      <c r="IH96" s="52">
        <v>226.36</v>
      </c>
      <c r="II96" s="52">
        <v>260.72000000000003</v>
      </c>
      <c r="IJ96" s="52">
        <v>188.28</v>
      </c>
      <c r="IK96" s="52">
        <v>231.31</v>
      </c>
      <c r="IL96" s="52">
        <v>184.36</v>
      </c>
      <c r="IM96" s="52">
        <v>256.49</v>
      </c>
      <c r="IN96" s="52">
        <v>244.43</v>
      </c>
      <c r="IO96" s="52">
        <v>209.03</v>
      </c>
      <c r="IP96" s="52">
        <v>146.57</v>
      </c>
      <c r="IQ96" s="52">
        <v>181.66</v>
      </c>
      <c r="IR96" s="52">
        <v>271.36</v>
      </c>
      <c r="IS96" s="52">
        <v>262.27</v>
      </c>
      <c r="IT96" s="52">
        <v>51.62</v>
      </c>
      <c r="IU96" s="52">
        <v>125.47</v>
      </c>
      <c r="IV96" s="52">
        <v>43.68</v>
      </c>
      <c r="IW96" s="52">
        <v>87.12</v>
      </c>
      <c r="IX96" s="52">
        <v>143.91999999999999</v>
      </c>
      <c r="IY96" s="52">
        <v>167.56</v>
      </c>
      <c r="IZ96" s="52">
        <v>242.07</v>
      </c>
      <c r="JA96" s="52">
        <v>174.93</v>
      </c>
      <c r="JB96" s="52"/>
      <c r="JC96" s="52">
        <v>201.38</v>
      </c>
      <c r="JD96" s="52">
        <v>241.99</v>
      </c>
      <c r="JE96" s="52">
        <v>188.21</v>
      </c>
      <c r="JF96" s="52">
        <v>171.58</v>
      </c>
      <c r="JG96" s="52">
        <v>227.3</v>
      </c>
      <c r="JH96" s="52">
        <v>309.95</v>
      </c>
      <c r="JI96" s="52">
        <v>210.45</v>
      </c>
      <c r="JJ96" s="52">
        <v>168.34</v>
      </c>
      <c r="JK96" s="52">
        <v>260.08</v>
      </c>
      <c r="JL96" s="52">
        <v>247.04</v>
      </c>
      <c r="JM96" s="52">
        <v>232.54</v>
      </c>
      <c r="JN96" s="52">
        <v>210.11</v>
      </c>
      <c r="JO96" s="52">
        <v>168.34</v>
      </c>
      <c r="JP96" s="52">
        <v>280.08999999999997</v>
      </c>
      <c r="JQ96" s="52">
        <v>237.45</v>
      </c>
      <c r="JR96" s="52">
        <v>225.82</v>
      </c>
      <c r="JS96" s="52">
        <v>276.58999999999997</v>
      </c>
      <c r="JT96" s="52">
        <v>267.04000000000002</v>
      </c>
      <c r="JU96" s="52">
        <v>217.22</v>
      </c>
      <c r="JV96" s="52">
        <v>116.34</v>
      </c>
      <c r="JW96" s="52">
        <v>151.69999999999999</v>
      </c>
      <c r="JX96" s="52">
        <v>516.11</v>
      </c>
      <c r="JY96" s="52">
        <v>224.78</v>
      </c>
      <c r="JZ96" s="52">
        <v>208.27</v>
      </c>
      <c r="KA96" s="52">
        <v>234</v>
      </c>
      <c r="KB96" s="52">
        <v>244.57</v>
      </c>
      <c r="KC96" s="52">
        <v>166.8</v>
      </c>
      <c r="KD96" s="52">
        <v>208.39</v>
      </c>
      <c r="KE96" s="52">
        <v>332.94</v>
      </c>
      <c r="KF96" s="52">
        <v>260.70999999999998</v>
      </c>
    </row>
    <row r="97" spans="1:292" s="41" customFormat="1" ht="12">
      <c r="A97" s="41">
        <v>2012</v>
      </c>
      <c r="B97" s="54" t="s">
        <v>991</v>
      </c>
      <c r="C97" s="55" t="s">
        <v>992</v>
      </c>
      <c r="D97" s="52">
        <v>205.43</v>
      </c>
      <c r="E97" s="52">
        <v>209.37</v>
      </c>
      <c r="F97" s="52">
        <v>344.68</v>
      </c>
      <c r="G97" s="52">
        <v>141.35</v>
      </c>
      <c r="H97" s="52">
        <v>244.88</v>
      </c>
      <c r="I97" s="52">
        <v>168.06</v>
      </c>
      <c r="J97" s="52">
        <v>130.32</v>
      </c>
      <c r="K97" s="52">
        <v>201.29</v>
      </c>
      <c r="L97" s="52">
        <v>116.05</v>
      </c>
      <c r="M97" s="52">
        <v>157.68</v>
      </c>
      <c r="N97" s="52">
        <v>213.27</v>
      </c>
      <c r="O97" s="52">
        <v>272.23</v>
      </c>
      <c r="P97" s="52">
        <v>244.69</v>
      </c>
      <c r="Q97" s="52">
        <v>210.2</v>
      </c>
      <c r="R97" s="52">
        <v>194.67</v>
      </c>
      <c r="S97" s="52">
        <v>324.64999999999998</v>
      </c>
      <c r="T97" s="52">
        <v>345.76</v>
      </c>
      <c r="U97" s="52">
        <v>138.91999999999999</v>
      </c>
      <c r="V97" s="52">
        <v>147.19</v>
      </c>
      <c r="W97" s="52">
        <v>290.20999999999998</v>
      </c>
      <c r="X97" s="52">
        <v>174.52</v>
      </c>
      <c r="Y97" s="52">
        <v>204.32</v>
      </c>
      <c r="Z97" s="52">
        <v>254.14</v>
      </c>
      <c r="AA97" s="52">
        <v>186.68</v>
      </c>
      <c r="AB97" s="52">
        <v>164.54</v>
      </c>
      <c r="AC97" s="52">
        <v>131.61000000000001</v>
      </c>
      <c r="AD97" s="52">
        <v>176.25</v>
      </c>
      <c r="AE97" s="52">
        <v>199.97</v>
      </c>
      <c r="AF97" s="52">
        <v>173.47</v>
      </c>
      <c r="AG97" s="52">
        <v>95.54</v>
      </c>
      <c r="AH97" s="52">
        <v>159.52000000000001</v>
      </c>
      <c r="AI97" s="52">
        <v>178.11</v>
      </c>
      <c r="AJ97" s="52">
        <v>132.22999999999999</v>
      </c>
      <c r="AK97" s="52">
        <v>238.2</v>
      </c>
      <c r="AL97" s="52">
        <v>242.81</v>
      </c>
      <c r="AM97" s="52">
        <v>262.27</v>
      </c>
      <c r="AN97" s="52">
        <v>50.47</v>
      </c>
      <c r="AO97" s="52">
        <v>125.57</v>
      </c>
      <c r="AP97" s="52">
        <v>65.7</v>
      </c>
      <c r="AQ97" s="52">
        <v>169.12</v>
      </c>
      <c r="AR97" s="52">
        <v>223.88</v>
      </c>
      <c r="AS97" s="52">
        <v>209.56</v>
      </c>
      <c r="AT97" s="52">
        <v>234.77</v>
      </c>
      <c r="AU97" s="52">
        <v>260.91000000000003</v>
      </c>
      <c r="AV97" s="52">
        <v>248.79</v>
      </c>
      <c r="AW97" s="52">
        <v>236.95</v>
      </c>
      <c r="AX97" s="52">
        <v>210.11</v>
      </c>
      <c r="AY97" s="52">
        <v>168.86</v>
      </c>
      <c r="AZ97" s="52">
        <v>269.10000000000002</v>
      </c>
      <c r="BA97" s="52">
        <v>246.51</v>
      </c>
      <c r="BB97" s="52">
        <v>171.77</v>
      </c>
      <c r="BC97" s="52">
        <v>428.91</v>
      </c>
      <c r="BD97" s="52">
        <v>236.24</v>
      </c>
      <c r="BE97" s="52">
        <v>216.24</v>
      </c>
      <c r="BF97" s="52">
        <v>332.94</v>
      </c>
      <c r="BG97" s="52">
        <v>260.8</v>
      </c>
      <c r="BH97" s="52">
        <v>214.99</v>
      </c>
      <c r="BI97" s="52">
        <v>241.08</v>
      </c>
      <c r="BJ97" s="52">
        <v>211.05</v>
      </c>
      <c r="BK97" s="52">
        <v>193.34</v>
      </c>
      <c r="BL97" s="52">
        <v>206.32</v>
      </c>
      <c r="BM97" s="52">
        <v>178.5</v>
      </c>
      <c r="BN97" s="52">
        <v>204.22</v>
      </c>
      <c r="BO97" s="52">
        <v>180.49</v>
      </c>
      <c r="BP97" s="52">
        <v>227.22</v>
      </c>
      <c r="BQ97" s="52">
        <v>219.96</v>
      </c>
      <c r="BR97" s="52">
        <v>172.26</v>
      </c>
      <c r="BS97" s="52">
        <v>350.5</v>
      </c>
      <c r="BT97" s="52">
        <v>232.41</v>
      </c>
      <c r="BU97" s="52">
        <v>303.67</v>
      </c>
      <c r="BV97" s="52">
        <v>345.76</v>
      </c>
      <c r="BW97" s="52">
        <v>137.22999999999999</v>
      </c>
      <c r="BX97" s="52">
        <v>147.36000000000001</v>
      </c>
      <c r="BY97" s="52">
        <v>209.24</v>
      </c>
      <c r="BZ97" s="52">
        <v>146.72999999999999</v>
      </c>
      <c r="CA97" s="52">
        <v>225.57</v>
      </c>
      <c r="CB97" s="53">
        <v>290.20999999999998</v>
      </c>
      <c r="CC97" s="52">
        <v>174.52</v>
      </c>
      <c r="CD97" s="52">
        <v>203.55</v>
      </c>
      <c r="CE97" s="52">
        <v>211.78</v>
      </c>
      <c r="CF97" s="52">
        <v>284.7</v>
      </c>
      <c r="CG97" s="52">
        <v>251.89</v>
      </c>
      <c r="CH97" s="52">
        <v>191.69</v>
      </c>
      <c r="CI97" s="52">
        <v>170.01</v>
      </c>
      <c r="CJ97" s="52">
        <v>164.54</v>
      </c>
      <c r="CK97" s="52">
        <v>121.37</v>
      </c>
      <c r="CL97" s="52">
        <v>130.94999999999999</v>
      </c>
      <c r="CM97" s="52">
        <v>258.25</v>
      </c>
      <c r="CN97" s="52">
        <v>176.25</v>
      </c>
      <c r="CO97" s="52">
        <v>199.97</v>
      </c>
      <c r="CP97" s="52">
        <v>142.47999999999999</v>
      </c>
      <c r="CQ97" s="52">
        <v>302.11</v>
      </c>
      <c r="CR97" s="52">
        <v>91.69</v>
      </c>
      <c r="CS97" s="52">
        <v>149.56</v>
      </c>
      <c r="CT97" s="52">
        <v>113.19</v>
      </c>
      <c r="CU97" s="52">
        <v>203.43</v>
      </c>
      <c r="CV97" s="52">
        <v>148.57</v>
      </c>
      <c r="CW97" s="52">
        <v>97.21</v>
      </c>
      <c r="CX97" s="52">
        <v>178.11</v>
      </c>
      <c r="CY97" s="52">
        <v>132.31</v>
      </c>
      <c r="CZ97" s="52">
        <v>118.17</v>
      </c>
      <c r="DA97" s="52">
        <v>149.01</v>
      </c>
      <c r="DB97" s="52">
        <v>204.08</v>
      </c>
      <c r="DC97" s="52">
        <v>239.01</v>
      </c>
      <c r="DD97" s="52">
        <v>260.69</v>
      </c>
      <c r="DE97" s="52">
        <v>189.4</v>
      </c>
      <c r="DF97" s="52">
        <v>222.11</v>
      </c>
      <c r="DG97" s="52">
        <v>247.53</v>
      </c>
      <c r="DH97" s="52">
        <v>145.69999999999999</v>
      </c>
      <c r="DI97" s="52">
        <v>170.48</v>
      </c>
      <c r="DJ97" s="52">
        <v>273.55</v>
      </c>
      <c r="DK97" s="52">
        <v>262.27</v>
      </c>
      <c r="DL97" s="52">
        <v>50.47</v>
      </c>
      <c r="DM97" s="52">
        <v>125.57</v>
      </c>
      <c r="DN97" s="52">
        <v>43.4</v>
      </c>
      <c r="DO97" s="52">
        <v>87.44</v>
      </c>
      <c r="DP97" s="52">
        <v>143.84</v>
      </c>
      <c r="DQ97" s="52">
        <v>169.12</v>
      </c>
      <c r="DR97" s="52">
        <v>243.91</v>
      </c>
      <c r="DS97" s="52">
        <v>175.2</v>
      </c>
      <c r="DT97" s="52"/>
      <c r="DU97" s="52">
        <v>201.81</v>
      </c>
      <c r="DV97" s="52">
        <v>244.11</v>
      </c>
      <c r="DW97" s="52">
        <v>175.62</v>
      </c>
      <c r="DX97" s="52">
        <v>227.3</v>
      </c>
      <c r="DY97" s="52">
        <v>320.20999999999998</v>
      </c>
      <c r="DZ97" s="52">
        <v>210.45</v>
      </c>
      <c r="EA97" s="52">
        <v>168.87</v>
      </c>
      <c r="EB97" s="52">
        <v>260.91000000000003</v>
      </c>
      <c r="EC97" s="52">
        <v>248.79</v>
      </c>
      <c r="ED97" s="52">
        <v>236.95</v>
      </c>
      <c r="EE97" s="52">
        <v>210.11</v>
      </c>
      <c r="EF97" s="52">
        <v>168.86</v>
      </c>
      <c r="EG97" s="52">
        <v>269.10000000000002</v>
      </c>
      <c r="EH97" s="52">
        <v>246.51</v>
      </c>
      <c r="EI97" s="52">
        <v>242.7</v>
      </c>
      <c r="EJ97" s="52">
        <v>115.54</v>
      </c>
      <c r="EK97" s="52">
        <v>152.55000000000001</v>
      </c>
      <c r="EL97" s="52">
        <v>519.12</v>
      </c>
      <c r="EM97" s="52">
        <v>220.27</v>
      </c>
      <c r="EN97" s="52">
        <v>236.24</v>
      </c>
      <c r="EO97" s="52">
        <v>244.49</v>
      </c>
      <c r="EP97" s="52">
        <v>166.8</v>
      </c>
      <c r="EQ97" s="52">
        <v>217.63</v>
      </c>
      <c r="ER97" s="52">
        <v>332.94</v>
      </c>
      <c r="ES97" s="52">
        <v>260.8</v>
      </c>
      <c r="ET97" s="52">
        <v>208.71</v>
      </c>
      <c r="EU97" s="52">
        <v>188.48</v>
      </c>
      <c r="EV97" s="52">
        <v>227.81</v>
      </c>
      <c r="EW97" s="52">
        <v>202.57</v>
      </c>
      <c r="EX97" s="52">
        <v>206.71</v>
      </c>
      <c r="EY97" s="52">
        <v>151.1</v>
      </c>
      <c r="EZ97" s="52">
        <v>231.02</v>
      </c>
      <c r="FA97" s="52">
        <v>282.81</v>
      </c>
      <c r="FB97" s="52">
        <v>228.82</v>
      </c>
      <c r="FC97" s="52">
        <v>265.82</v>
      </c>
      <c r="FD97" s="52">
        <v>190.1</v>
      </c>
      <c r="FE97" s="52">
        <v>211.05</v>
      </c>
      <c r="FF97" s="52"/>
      <c r="FG97" s="52">
        <v>155.52000000000001</v>
      </c>
      <c r="FH97" s="52">
        <v>176.19</v>
      </c>
      <c r="FI97" s="52">
        <v>214.65</v>
      </c>
      <c r="FJ97" s="52">
        <v>221.2</v>
      </c>
      <c r="FK97" s="52">
        <v>257.98</v>
      </c>
      <c r="FL97" s="52">
        <v>215.47</v>
      </c>
      <c r="FM97" s="52">
        <v>199.31</v>
      </c>
      <c r="FN97" s="52">
        <v>160.26</v>
      </c>
      <c r="FO97" s="52">
        <v>275.77999999999997</v>
      </c>
      <c r="FP97" s="52">
        <v>185.12</v>
      </c>
      <c r="FQ97" s="52">
        <v>176.67</v>
      </c>
      <c r="FR97" s="52">
        <v>272.83999999999997</v>
      </c>
      <c r="FS97" s="52">
        <v>232.32</v>
      </c>
      <c r="FT97" s="52">
        <v>162.82</v>
      </c>
      <c r="FU97" s="52">
        <v>243.49</v>
      </c>
      <c r="FV97" s="52">
        <v>193.5</v>
      </c>
      <c r="FW97" s="52">
        <v>129.65</v>
      </c>
      <c r="FX97" s="52">
        <v>227.22</v>
      </c>
      <c r="FY97" s="52">
        <v>248.18</v>
      </c>
      <c r="FZ97" s="52">
        <v>215.81</v>
      </c>
      <c r="GA97" s="52">
        <v>198.53</v>
      </c>
      <c r="GB97" s="52">
        <v>175.88</v>
      </c>
      <c r="GC97" s="52">
        <v>171.08</v>
      </c>
      <c r="GD97" s="52">
        <v>166.12</v>
      </c>
      <c r="GE97" s="52">
        <v>350.5</v>
      </c>
      <c r="GF97" s="52">
        <v>232.41</v>
      </c>
      <c r="GG97" s="52">
        <v>303.67</v>
      </c>
      <c r="GH97" s="52">
        <v>345.18</v>
      </c>
      <c r="GI97" s="52">
        <v>143.16</v>
      </c>
      <c r="GJ97" s="52">
        <v>131.29</v>
      </c>
      <c r="GK97" s="52">
        <v>135.66</v>
      </c>
      <c r="GL97" s="52">
        <v>163.94</v>
      </c>
      <c r="GM97" s="52">
        <v>147.36000000000001</v>
      </c>
      <c r="GN97" s="52">
        <v>209.24</v>
      </c>
      <c r="GO97" s="52">
        <v>147.83000000000001</v>
      </c>
      <c r="GP97" s="52">
        <v>144.53</v>
      </c>
      <c r="GQ97" s="52">
        <v>148.51</v>
      </c>
      <c r="GR97" s="52">
        <v>225.57</v>
      </c>
      <c r="GS97" s="52">
        <v>290.20999999999998</v>
      </c>
      <c r="GT97" s="52">
        <v>174.52</v>
      </c>
      <c r="GU97" s="52">
        <v>203.55</v>
      </c>
      <c r="GV97" s="52">
        <v>211.78</v>
      </c>
      <c r="GW97" s="52">
        <v>259.41000000000003</v>
      </c>
      <c r="GX97" s="52">
        <v>292.02999999999997</v>
      </c>
      <c r="GY97" s="52">
        <v>251.89</v>
      </c>
      <c r="GZ97" s="52">
        <v>214.07</v>
      </c>
      <c r="HA97" s="52">
        <v>190.6</v>
      </c>
      <c r="HB97" s="52">
        <v>191.66</v>
      </c>
      <c r="HC97" s="52">
        <v>170.01</v>
      </c>
      <c r="HD97" s="52">
        <v>164.54</v>
      </c>
      <c r="HE97" s="52">
        <v>109.17</v>
      </c>
      <c r="HF97" s="52">
        <v>108.31</v>
      </c>
      <c r="HG97" s="52">
        <v>135.37</v>
      </c>
      <c r="HH97" s="52">
        <v>158.93</v>
      </c>
      <c r="HI97" s="52">
        <v>84.65</v>
      </c>
      <c r="HJ97" s="52">
        <v>130.94999999999999</v>
      </c>
      <c r="HK97" s="52">
        <v>258.25</v>
      </c>
      <c r="HL97" s="52">
        <v>148.41</v>
      </c>
      <c r="HM97" s="52">
        <v>201.92</v>
      </c>
      <c r="HN97" s="52">
        <v>197.91</v>
      </c>
      <c r="HO97" s="52">
        <v>179.42</v>
      </c>
      <c r="HP97" s="52">
        <v>216.32</v>
      </c>
      <c r="HQ97" s="52">
        <v>138.6</v>
      </c>
      <c r="HR97" s="52">
        <v>175.17</v>
      </c>
      <c r="HS97" s="52">
        <v>306.25</v>
      </c>
      <c r="HT97" s="52">
        <v>203.5</v>
      </c>
      <c r="HU97" s="52">
        <v>91.69</v>
      </c>
      <c r="HV97" s="52">
        <v>149.56</v>
      </c>
      <c r="HW97" s="52">
        <v>117.68</v>
      </c>
      <c r="HX97" s="52">
        <v>98.36</v>
      </c>
      <c r="HY97" s="52">
        <v>203.43</v>
      </c>
      <c r="HZ97" s="52">
        <v>148.57</v>
      </c>
      <c r="IA97" s="52">
        <v>88.79</v>
      </c>
      <c r="IB97" s="52">
        <v>178.11</v>
      </c>
      <c r="IC97" s="52">
        <v>119.36</v>
      </c>
      <c r="ID97" s="52">
        <v>134.27000000000001</v>
      </c>
      <c r="IE97" s="52">
        <v>118.17</v>
      </c>
      <c r="IF97" s="52">
        <v>149.01</v>
      </c>
      <c r="IG97" s="52">
        <v>204.08</v>
      </c>
      <c r="IH97" s="52">
        <v>239.01</v>
      </c>
      <c r="II97" s="52">
        <v>260.69</v>
      </c>
      <c r="IJ97" s="52">
        <v>189.4</v>
      </c>
      <c r="IK97" s="52">
        <v>235.21</v>
      </c>
      <c r="IL97" s="52">
        <v>191.27</v>
      </c>
      <c r="IM97" s="52">
        <v>256.95</v>
      </c>
      <c r="IN97" s="52">
        <v>244.81</v>
      </c>
      <c r="IO97" s="52">
        <v>209.76</v>
      </c>
      <c r="IP97" s="52">
        <v>145.69999999999999</v>
      </c>
      <c r="IQ97" s="52">
        <v>170.48</v>
      </c>
      <c r="IR97" s="52">
        <v>273.55</v>
      </c>
      <c r="IS97" s="52">
        <v>262.27</v>
      </c>
      <c r="IT97" s="52">
        <v>50.47</v>
      </c>
      <c r="IU97" s="52">
        <v>125.57</v>
      </c>
      <c r="IV97" s="52">
        <v>43.61</v>
      </c>
      <c r="IW97" s="52">
        <v>87.44</v>
      </c>
      <c r="IX97" s="52">
        <v>143.84</v>
      </c>
      <c r="IY97" s="52">
        <v>169.12</v>
      </c>
      <c r="IZ97" s="52">
        <v>243.91</v>
      </c>
      <c r="JA97" s="52">
        <v>175.2</v>
      </c>
      <c r="JB97" s="52"/>
      <c r="JC97" s="52">
        <v>201.81</v>
      </c>
      <c r="JD97" s="52">
        <v>244.11</v>
      </c>
      <c r="JE97" s="52">
        <v>188.38</v>
      </c>
      <c r="JF97" s="52">
        <v>171.56</v>
      </c>
      <c r="JG97" s="52">
        <v>227.3</v>
      </c>
      <c r="JH97" s="52">
        <v>320.20999999999998</v>
      </c>
      <c r="JI97" s="52">
        <v>210.45</v>
      </c>
      <c r="JJ97" s="52">
        <v>168.87</v>
      </c>
      <c r="JK97" s="52">
        <v>260.91000000000003</v>
      </c>
      <c r="JL97" s="52">
        <v>248.79</v>
      </c>
      <c r="JM97" s="52">
        <v>236.95</v>
      </c>
      <c r="JN97" s="52">
        <v>210.11</v>
      </c>
      <c r="JO97" s="52">
        <v>168.86</v>
      </c>
      <c r="JP97" s="52">
        <v>281.86</v>
      </c>
      <c r="JQ97" s="52">
        <v>239.25</v>
      </c>
      <c r="JR97" s="52">
        <v>226.47</v>
      </c>
      <c r="JS97" s="52">
        <v>276.63</v>
      </c>
      <c r="JT97" s="52">
        <v>268.12</v>
      </c>
      <c r="JU97" s="52">
        <v>218</v>
      </c>
      <c r="JV97" s="52">
        <v>115.54</v>
      </c>
      <c r="JW97" s="52">
        <v>152.55000000000001</v>
      </c>
      <c r="JX97" s="52">
        <v>519.12</v>
      </c>
      <c r="JY97" s="52">
        <v>226.06</v>
      </c>
      <c r="JZ97" s="52">
        <v>208.38</v>
      </c>
      <c r="KA97" s="52">
        <v>236.24</v>
      </c>
      <c r="KB97" s="52">
        <v>244.49</v>
      </c>
      <c r="KC97" s="52">
        <v>166.8</v>
      </c>
      <c r="KD97" s="52">
        <v>217.63</v>
      </c>
      <c r="KE97" s="52">
        <v>332.94</v>
      </c>
      <c r="KF97" s="52">
        <v>260.8</v>
      </c>
    </row>
    <row r="98" spans="1:292" s="41" customFormat="1" ht="12">
      <c r="A98" s="41">
        <v>2012</v>
      </c>
      <c r="B98" s="54" t="s">
        <v>993</v>
      </c>
      <c r="C98" s="55" t="s">
        <v>994</v>
      </c>
      <c r="D98" s="52">
        <v>207.55</v>
      </c>
      <c r="E98" s="52">
        <v>213.86</v>
      </c>
      <c r="F98" s="52">
        <v>345.67</v>
      </c>
      <c r="G98" s="52">
        <v>137.63999999999999</v>
      </c>
      <c r="H98" s="52">
        <v>246.9</v>
      </c>
      <c r="I98" s="52">
        <v>168.47</v>
      </c>
      <c r="J98" s="52">
        <v>130.38999999999999</v>
      </c>
      <c r="K98" s="52">
        <v>204.61</v>
      </c>
      <c r="L98" s="52">
        <v>117.84</v>
      </c>
      <c r="M98" s="52">
        <v>157.82</v>
      </c>
      <c r="N98" s="52">
        <v>210.73</v>
      </c>
      <c r="O98" s="52">
        <v>276.25</v>
      </c>
      <c r="P98" s="52">
        <v>250.22</v>
      </c>
      <c r="Q98" s="52">
        <v>215.02</v>
      </c>
      <c r="R98" s="52">
        <v>195.31</v>
      </c>
      <c r="S98" s="52">
        <v>340.29</v>
      </c>
      <c r="T98" s="52">
        <v>345.76</v>
      </c>
      <c r="U98" s="52">
        <v>133.66</v>
      </c>
      <c r="V98" s="52">
        <v>148.97999999999999</v>
      </c>
      <c r="W98" s="52">
        <v>291.60000000000002</v>
      </c>
      <c r="X98" s="52">
        <v>175.04</v>
      </c>
      <c r="Y98" s="52">
        <v>204.26</v>
      </c>
      <c r="Z98" s="52">
        <v>257.69</v>
      </c>
      <c r="AA98" s="52">
        <v>186.97</v>
      </c>
      <c r="AB98" s="52">
        <v>164.69</v>
      </c>
      <c r="AC98" s="52">
        <v>130.75</v>
      </c>
      <c r="AD98" s="52">
        <v>177.1</v>
      </c>
      <c r="AE98" s="52">
        <v>200.77</v>
      </c>
      <c r="AF98" s="52">
        <v>175.4</v>
      </c>
      <c r="AG98" s="52">
        <v>95.57</v>
      </c>
      <c r="AH98" s="52">
        <v>159.66</v>
      </c>
      <c r="AI98" s="52">
        <v>178.15</v>
      </c>
      <c r="AJ98" s="52">
        <v>131.31</v>
      </c>
      <c r="AK98" s="52">
        <v>248.47</v>
      </c>
      <c r="AL98" s="52">
        <v>246.12</v>
      </c>
      <c r="AM98" s="52">
        <v>262.27</v>
      </c>
      <c r="AN98" s="52">
        <v>52.08</v>
      </c>
      <c r="AO98" s="52">
        <v>127.3</v>
      </c>
      <c r="AP98" s="52">
        <v>65.52</v>
      </c>
      <c r="AQ98" s="52">
        <v>174.72</v>
      </c>
      <c r="AR98" s="52">
        <v>227.33</v>
      </c>
      <c r="AS98" s="52">
        <v>213.52</v>
      </c>
      <c r="AT98" s="52">
        <v>232.59</v>
      </c>
      <c r="AU98" s="52">
        <v>254.34</v>
      </c>
      <c r="AV98" s="52">
        <v>253.07</v>
      </c>
      <c r="AW98" s="52">
        <v>238.65</v>
      </c>
      <c r="AX98" s="52">
        <v>186.8</v>
      </c>
      <c r="AY98" s="52">
        <v>170.53</v>
      </c>
      <c r="AZ98" s="52">
        <v>273.01</v>
      </c>
      <c r="BA98" s="52">
        <v>250.75</v>
      </c>
      <c r="BB98" s="52">
        <v>173.05</v>
      </c>
      <c r="BC98" s="52">
        <v>457.16</v>
      </c>
      <c r="BD98" s="52">
        <v>242.86</v>
      </c>
      <c r="BE98" s="52">
        <v>231.52</v>
      </c>
      <c r="BF98" s="52">
        <v>332.94</v>
      </c>
      <c r="BG98" s="52">
        <v>260.99</v>
      </c>
      <c r="BH98" s="52">
        <v>217.22</v>
      </c>
      <c r="BI98" s="52">
        <v>243.79</v>
      </c>
      <c r="BJ98" s="52">
        <v>169.96</v>
      </c>
      <c r="BK98" s="52">
        <v>207.8</v>
      </c>
      <c r="BL98" s="52">
        <v>205.8</v>
      </c>
      <c r="BM98" s="52">
        <v>180.26</v>
      </c>
      <c r="BN98" s="52">
        <v>217.17</v>
      </c>
      <c r="BO98" s="52">
        <v>183.48</v>
      </c>
      <c r="BP98" s="52">
        <v>229.6</v>
      </c>
      <c r="BQ98" s="52">
        <v>220.37</v>
      </c>
      <c r="BR98" s="52">
        <v>172.97</v>
      </c>
      <c r="BS98" s="52">
        <v>374.52</v>
      </c>
      <c r="BT98" s="52">
        <v>239.01</v>
      </c>
      <c r="BU98" s="52">
        <v>312.72000000000003</v>
      </c>
      <c r="BV98" s="52">
        <v>345.76</v>
      </c>
      <c r="BW98" s="52">
        <v>131.47</v>
      </c>
      <c r="BX98" s="52">
        <v>149.08000000000001</v>
      </c>
      <c r="BY98" s="52">
        <v>210.03</v>
      </c>
      <c r="BZ98" s="52">
        <v>148.52000000000001</v>
      </c>
      <c r="CA98" s="52">
        <v>226.94</v>
      </c>
      <c r="CB98" s="53">
        <v>291.60000000000002</v>
      </c>
      <c r="CC98" s="52">
        <v>175.04</v>
      </c>
      <c r="CD98" s="52">
        <v>203.49</v>
      </c>
      <c r="CE98" s="52">
        <v>211.78</v>
      </c>
      <c r="CF98" s="52">
        <v>293.02999999999997</v>
      </c>
      <c r="CG98" s="52">
        <v>255.61</v>
      </c>
      <c r="CH98" s="52">
        <v>191.81</v>
      </c>
      <c r="CI98" s="52">
        <v>171.76</v>
      </c>
      <c r="CJ98" s="52">
        <v>164.69</v>
      </c>
      <c r="CK98" s="52">
        <v>120.18</v>
      </c>
      <c r="CL98" s="52">
        <v>132.86000000000001</v>
      </c>
      <c r="CM98" s="52">
        <v>259.92</v>
      </c>
      <c r="CN98" s="52">
        <v>177.1</v>
      </c>
      <c r="CO98" s="52">
        <v>200.77</v>
      </c>
      <c r="CP98" s="52">
        <v>143.38</v>
      </c>
      <c r="CQ98" s="52">
        <v>308.97000000000003</v>
      </c>
      <c r="CR98" s="52">
        <v>91.69</v>
      </c>
      <c r="CS98" s="52">
        <v>150.25</v>
      </c>
      <c r="CT98" s="52">
        <v>113.21</v>
      </c>
      <c r="CU98" s="52">
        <v>203.54</v>
      </c>
      <c r="CV98" s="52">
        <v>148.85</v>
      </c>
      <c r="CW98" s="52">
        <v>97.25</v>
      </c>
      <c r="CX98" s="52">
        <v>178.15</v>
      </c>
      <c r="CY98" s="52">
        <v>131.37</v>
      </c>
      <c r="CZ98" s="52">
        <v>118.33</v>
      </c>
      <c r="DA98" s="52">
        <v>148.81</v>
      </c>
      <c r="DB98" s="52">
        <v>204.89</v>
      </c>
      <c r="DC98" s="52">
        <v>251.49</v>
      </c>
      <c r="DD98" s="52">
        <v>262.83</v>
      </c>
      <c r="DE98" s="52">
        <v>191.25</v>
      </c>
      <c r="DF98" s="52">
        <v>239.1</v>
      </c>
      <c r="DG98" s="52">
        <v>250.66</v>
      </c>
      <c r="DH98" s="52">
        <v>146.28</v>
      </c>
      <c r="DI98" s="52">
        <v>189.24</v>
      </c>
      <c r="DJ98" s="52">
        <v>274.58</v>
      </c>
      <c r="DK98" s="52">
        <v>262.27</v>
      </c>
      <c r="DL98" s="52">
        <v>52.08</v>
      </c>
      <c r="DM98" s="52">
        <v>127.3</v>
      </c>
      <c r="DN98" s="52">
        <v>42.23</v>
      </c>
      <c r="DO98" s="52">
        <v>88.81</v>
      </c>
      <c r="DP98" s="52">
        <v>144.72999999999999</v>
      </c>
      <c r="DQ98" s="52">
        <v>174.72</v>
      </c>
      <c r="DR98" s="52">
        <v>246.88</v>
      </c>
      <c r="DS98" s="52">
        <v>179.46</v>
      </c>
      <c r="DT98" s="52"/>
      <c r="DU98" s="52">
        <v>202.13</v>
      </c>
      <c r="DV98" s="52">
        <v>253.23</v>
      </c>
      <c r="DW98" s="52">
        <v>176.1</v>
      </c>
      <c r="DX98" s="52">
        <v>227.3</v>
      </c>
      <c r="DY98" s="52">
        <v>310.52999999999997</v>
      </c>
      <c r="DZ98" s="52">
        <v>210.45</v>
      </c>
      <c r="EA98" s="52">
        <v>171.06</v>
      </c>
      <c r="EB98" s="52">
        <v>254.34</v>
      </c>
      <c r="EC98" s="52">
        <v>253.07</v>
      </c>
      <c r="ED98" s="52">
        <v>238.65</v>
      </c>
      <c r="EE98" s="52">
        <v>186.8</v>
      </c>
      <c r="EF98" s="52">
        <v>170.53</v>
      </c>
      <c r="EG98" s="52">
        <v>273.01</v>
      </c>
      <c r="EH98" s="52">
        <v>250.75</v>
      </c>
      <c r="EI98" s="52">
        <v>243.37</v>
      </c>
      <c r="EJ98" s="52">
        <v>117.73</v>
      </c>
      <c r="EK98" s="52">
        <v>153.9</v>
      </c>
      <c r="EL98" s="52">
        <v>561.92999999999995</v>
      </c>
      <c r="EM98" s="52">
        <v>226.25</v>
      </c>
      <c r="EN98" s="52">
        <v>242.86</v>
      </c>
      <c r="EO98" s="52">
        <v>245.98</v>
      </c>
      <c r="EP98" s="52">
        <v>186.13</v>
      </c>
      <c r="EQ98" s="52">
        <v>232.88</v>
      </c>
      <c r="ER98" s="52">
        <v>332.94</v>
      </c>
      <c r="ES98" s="52">
        <v>260.99</v>
      </c>
      <c r="ET98" s="52">
        <v>209.53</v>
      </c>
      <c r="EU98" s="52">
        <v>192.97</v>
      </c>
      <c r="EV98" s="52">
        <v>229.76</v>
      </c>
      <c r="EW98" s="52">
        <v>203.19</v>
      </c>
      <c r="EX98" s="52">
        <v>214.51</v>
      </c>
      <c r="EY98" s="52">
        <v>152.66</v>
      </c>
      <c r="EZ98" s="52">
        <v>231.55</v>
      </c>
      <c r="FA98" s="52">
        <v>277.01</v>
      </c>
      <c r="FB98" s="52">
        <v>238.19</v>
      </c>
      <c r="FC98" s="52">
        <v>270.08999999999997</v>
      </c>
      <c r="FD98" s="52">
        <v>193.29</v>
      </c>
      <c r="FE98" s="52">
        <v>169.96</v>
      </c>
      <c r="FF98" s="52"/>
      <c r="FG98" s="52">
        <v>162.91</v>
      </c>
      <c r="FH98" s="52">
        <v>179.8</v>
      </c>
      <c r="FI98" s="52">
        <v>217.88</v>
      </c>
      <c r="FJ98" s="52">
        <v>286.10000000000002</v>
      </c>
      <c r="FK98" s="52">
        <v>254.45</v>
      </c>
      <c r="FL98" s="52">
        <v>213.26</v>
      </c>
      <c r="FM98" s="52">
        <v>199.39</v>
      </c>
      <c r="FN98" s="52">
        <v>162.38</v>
      </c>
      <c r="FO98" s="52">
        <v>275.63</v>
      </c>
      <c r="FP98" s="52">
        <v>206.29</v>
      </c>
      <c r="FQ98" s="52">
        <v>170.37</v>
      </c>
      <c r="FR98" s="52">
        <v>273.08999999999997</v>
      </c>
      <c r="FS98" s="52">
        <v>231.18</v>
      </c>
      <c r="FT98" s="52">
        <v>170.09</v>
      </c>
      <c r="FU98" s="52">
        <v>244.69</v>
      </c>
      <c r="FV98" s="52">
        <v>191.94</v>
      </c>
      <c r="FW98" s="52">
        <v>130.51</v>
      </c>
      <c r="FX98" s="52">
        <v>229.6</v>
      </c>
      <c r="FY98" s="52">
        <v>252.41</v>
      </c>
      <c r="FZ98" s="52">
        <v>215.58</v>
      </c>
      <c r="GA98" s="52">
        <v>200.92</v>
      </c>
      <c r="GB98" s="52">
        <v>177.26</v>
      </c>
      <c r="GC98" s="52">
        <v>172.1</v>
      </c>
      <c r="GD98" s="52">
        <v>164.62</v>
      </c>
      <c r="GE98" s="52">
        <v>374.52</v>
      </c>
      <c r="GF98" s="52">
        <v>239.01</v>
      </c>
      <c r="GG98" s="52">
        <v>312.72000000000003</v>
      </c>
      <c r="GH98" s="52">
        <v>345.18</v>
      </c>
      <c r="GI98" s="52">
        <v>135.31</v>
      </c>
      <c r="GJ98" s="52">
        <v>126.47</v>
      </c>
      <c r="GK98" s="52">
        <v>131.49</v>
      </c>
      <c r="GL98" s="52">
        <v>166.12</v>
      </c>
      <c r="GM98" s="52">
        <v>149.08000000000001</v>
      </c>
      <c r="GN98" s="52">
        <v>210.03</v>
      </c>
      <c r="GO98" s="52">
        <v>148.38999999999999</v>
      </c>
      <c r="GP98" s="52">
        <v>146.15</v>
      </c>
      <c r="GQ98" s="52">
        <v>153.63</v>
      </c>
      <c r="GR98" s="52">
        <v>226.94</v>
      </c>
      <c r="GS98" s="52">
        <v>291.60000000000002</v>
      </c>
      <c r="GT98" s="52">
        <v>175.04</v>
      </c>
      <c r="GU98" s="52">
        <v>203.49</v>
      </c>
      <c r="GV98" s="52">
        <v>211.78</v>
      </c>
      <c r="GW98" s="52">
        <v>259.33</v>
      </c>
      <c r="GX98" s="52">
        <v>309.77</v>
      </c>
      <c r="GY98" s="52">
        <v>255.61</v>
      </c>
      <c r="GZ98" s="52">
        <v>216.14</v>
      </c>
      <c r="HA98" s="52">
        <v>189</v>
      </c>
      <c r="HB98" s="52">
        <v>192.35</v>
      </c>
      <c r="HC98" s="52">
        <v>171.76</v>
      </c>
      <c r="HD98" s="52">
        <v>164.69</v>
      </c>
      <c r="HE98" s="52">
        <v>105.31</v>
      </c>
      <c r="HF98" s="52">
        <v>107.65</v>
      </c>
      <c r="HG98" s="52">
        <v>135.96</v>
      </c>
      <c r="HH98" s="52">
        <v>159.06</v>
      </c>
      <c r="HI98" s="52">
        <v>86.71</v>
      </c>
      <c r="HJ98" s="52">
        <v>132.86000000000001</v>
      </c>
      <c r="HK98" s="52">
        <v>259.92</v>
      </c>
      <c r="HL98" s="52">
        <v>148.93</v>
      </c>
      <c r="HM98" s="52">
        <v>202.91</v>
      </c>
      <c r="HN98" s="52">
        <v>199.07</v>
      </c>
      <c r="HO98" s="52">
        <v>180.06</v>
      </c>
      <c r="HP98" s="52">
        <v>217.29</v>
      </c>
      <c r="HQ98" s="52">
        <v>139.51</v>
      </c>
      <c r="HR98" s="52">
        <v>176.03</v>
      </c>
      <c r="HS98" s="52">
        <v>313.62</v>
      </c>
      <c r="HT98" s="52">
        <v>203.52</v>
      </c>
      <c r="HU98" s="52">
        <v>91.69</v>
      </c>
      <c r="HV98" s="52">
        <v>150.25</v>
      </c>
      <c r="HW98" s="52">
        <v>117.68</v>
      </c>
      <c r="HX98" s="52">
        <v>98.43</v>
      </c>
      <c r="HY98" s="52">
        <v>203.54</v>
      </c>
      <c r="HZ98" s="52">
        <v>148.85</v>
      </c>
      <c r="IA98" s="52">
        <v>88.83</v>
      </c>
      <c r="IB98" s="52">
        <v>178.15</v>
      </c>
      <c r="IC98" s="52">
        <v>118.91</v>
      </c>
      <c r="ID98" s="52">
        <v>132.72999999999999</v>
      </c>
      <c r="IE98" s="52">
        <v>118.33</v>
      </c>
      <c r="IF98" s="52">
        <v>148.81</v>
      </c>
      <c r="IG98" s="52">
        <v>204.89</v>
      </c>
      <c r="IH98" s="52">
        <v>251.49</v>
      </c>
      <c r="II98" s="52">
        <v>262.83</v>
      </c>
      <c r="IJ98" s="52">
        <v>191.25</v>
      </c>
      <c r="IK98" s="52">
        <v>259.79000000000002</v>
      </c>
      <c r="IL98" s="52">
        <v>198.93</v>
      </c>
      <c r="IM98" s="52">
        <v>261.04000000000002</v>
      </c>
      <c r="IN98" s="52">
        <v>245.44</v>
      </c>
      <c r="IO98" s="52">
        <v>211.06</v>
      </c>
      <c r="IP98" s="52">
        <v>146.28</v>
      </c>
      <c r="IQ98" s="52">
        <v>189.24</v>
      </c>
      <c r="IR98" s="52">
        <v>274.58</v>
      </c>
      <c r="IS98" s="52">
        <v>262.27</v>
      </c>
      <c r="IT98" s="52">
        <v>52.08</v>
      </c>
      <c r="IU98" s="52">
        <v>127.3</v>
      </c>
      <c r="IV98" s="52">
        <v>42.38</v>
      </c>
      <c r="IW98" s="52">
        <v>88.81</v>
      </c>
      <c r="IX98" s="52">
        <v>144.72999999999999</v>
      </c>
      <c r="IY98" s="52">
        <v>174.72</v>
      </c>
      <c r="IZ98" s="52">
        <v>246.88</v>
      </c>
      <c r="JA98" s="52">
        <v>179.46</v>
      </c>
      <c r="JB98" s="52"/>
      <c r="JC98" s="52">
        <v>202.13</v>
      </c>
      <c r="JD98" s="52">
        <v>253.23</v>
      </c>
      <c r="JE98" s="52">
        <v>188.47</v>
      </c>
      <c r="JF98" s="52">
        <v>172.1</v>
      </c>
      <c r="JG98" s="52">
        <v>227.3</v>
      </c>
      <c r="JH98" s="52">
        <v>310.52999999999997</v>
      </c>
      <c r="JI98" s="52">
        <v>210.45</v>
      </c>
      <c r="JJ98" s="52">
        <v>171.06</v>
      </c>
      <c r="JK98" s="52">
        <v>254.34</v>
      </c>
      <c r="JL98" s="52">
        <v>253.07</v>
      </c>
      <c r="JM98" s="52">
        <v>238.65</v>
      </c>
      <c r="JN98" s="52">
        <v>186.8</v>
      </c>
      <c r="JO98" s="52">
        <v>170.53</v>
      </c>
      <c r="JP98" s="52">
        <v>285.91000000000003</v>
      </c>
      <c r="JQ98" s="52">
        <v>242.86</v>
      </c>
      <c r="JR98" s="52">
        <v>229.98</v>
      </c>
      <c r="JS98" s="52">
        <v>282.08</v>
      </c>
      <c r="JT98" s="52">
        <v>269.29000000000002</v>
      </c>
      <c r="JU98" s="52">
        <v>218.23</v>
      </c>
      <c r="JV98" s="52">
        <v>117.73</v>
      </c>
      <c r="JW98" s="52">
        <v>153.9</v>
      </c>
      <c r="JX98" s="52">
        <v>561.92999999999995</v>
      </c>
      <c r="JY98" s="52">
        <v>235.38</v>
      </c>
      <c r="JZ98" s="52">
        <v>208.82</v>
      </c>
      <c r="KA98" s="52">
        <v>242.86</v>
      </c>
      <c r="KB98" s="52">
        <v>245.98</v>
      </c>
      <c r="KC98" s="52">
        <v>186.13</v>
      </c>
      <c r="KD98" s="52">
        <v>232.88</v>
      </c>
      <c r="KE98" s="52">
        <v>332.94</v>
      </c>
      <c r="KF98" s="52">
        <v>260.99</v>
      </c>
    </row>
    <row r="99" spans="1:292" s="41" customFormat="1" ht="12">
      <c r="A99" s="41">
        <v>2012</v>
      </c>
      <c r="B99" s="54" t="s">
        <v>995</v>
      </c>
      <c r="C99" s="55" t="s">
        <v>996</v>
      </c>
      <c r="D99" s="52">
        <v>211.62</v>
      </c>
      <c r="E99" s="52">
        <v>217.42</v>
      </c>
      <c r="F99" s="52">
        <v>347.32</v>
      </c>
      <c r="G99" s="52">
        <v>147.02000000000001</v>
      </c>
      <c r="H99" s="52">
        <v>255.07</v>
      </c>
      <c r="I99" s="52">
        <v>169.31</v>
      </c>
      <c r="J99" s="52">
        <v>130.44</v>
      </c>
      <c r="K99" s="52">
        <v>208.82</v>
      </c>
      <c r="L99" s="52">
        <v>119.37</v>
      </c>
      <c r="M99" s="52">
        <v>157.5</v>
      </c>
      <c r="N99" s="52">
        <v>211.31</v>
      </c>
      <c r="O99" s="52">
        <v>278.11</v>
      </c>
      <c r="P99" s="52">
        <v>252.16</v>
      </c>
      <c r="Q99" s="52">
        <v>218.76</v>
      </c>
      <c r="R99" s="52">
        <v>196.82</v>
      </c>
      <c r="S99" s="52">
        <v>366.22</v>
      </c>
      <c r="T99" s="52">
        <v>345.76</v>
      </c>
      <c r="U99" s="52">
        <v>142.77000000000001</v>
      </c>
      <c r="V99" s="52">
        <v>159.12</v>
      </c>
      <c r="W99" s="52">
        <v>293.54000000000002</v>
      </c>
      <c r="X99" s="52">
        <v>175.76</v>
      </c>
      <c r="Y99" s="52">
        <v>205.34</v>
      </c>
      <c r="Z99" s="52">
        <v>274.2</v>
      </c>
      <c r="AA99" s="52">
        <v>188.82</v>
      </c>
      <c r="AB99" s="52">
        <v>165.17</v>
      </c>
      <c r="AC99" s="52">
        <v>130.71</v>
      </c>
      <c r="AD99" s="52">
        <v>178.04</v>
      </c>
      <c r="AE99" s="52">
        <v>202.38</v>
      </c>
      <c r="AF99" s="52">
        <v>176.27</v>
      </c>
      <c r="AG99" s="52">
        <v>95.6</v>
      </c>
      <c r="AH99" s="52">
        <v>159.72</v>
      </c>
      <c r="AI99" s="52">
        <v>178.22</v>
      </c>
      <c r="AJ99" s="52">
        <v>131.36000000000001</v>
      </c>
      <c r="AK99" s="52">
        <v>260.55</v>
      </c>
      <c r="AL99" s="52">
        <v>248.24</v>
      </c>
      <c r="AM99" s="52">
        <v>262.27</v>
      </c>
      <c r="AN99" s="52">
        <v>51.47</v>
      </c>
      <c r="AO99" s="52">
        <v>129.29</v>
      </c>
      <c r="AP99" s="52">
        <v>64.489999999999995</v>
      </c>
      <c r="AQ99" s="52">
        <v>178.88</v>
      </c>
      <c r="AR99" s="52">
        <v>228.76</v>
      </c>
      <c r="AS99" s="52">
        <v>217.52</v>
      </c>
      <c r="AT99" s="52">
        <v>232.78</v>
      </c>
      <c r="AU99" s="52">
        <v>247.02</v>
      </c>
      <c r="AV99" s="52">
        <v>254.59</v>
      </c>
      <c r="AW99" s="52">
        <v>239.11</v>
      </c>
      <c r="AX99" s="52">
        <v>186.94</v>
      </c>
      <c r="AY99" s="52">
        <v>171.3</v>
      </c>
      <c r="AZ99" s="52">
        <v>274.83999999999997</v>
      </c>
      <c r="BA99" s="52">
        <v>252.42</v>
      </c>
      <c r="BB99" s="52">
        <v>174.03</v>
      </c>
      <c r="BC99" s="52">
        <v>463.3</v>
      </c>
      <c r="BD99" s="52">
        <v>245.55</v>
      </c>
      <c r="BE99" s="52">
        <v>239.8</v>
      </c>
      <c r="BF99" s="52">
        <v>332.94</v>
      </c>
      <c r="BG99" s="52">
        <v>261.08999999999997</v>
      </c>
      <c r="BH99" s="52">
        <v>218.86</v>
      </c>
      <c r="BI99" s="52">
        <v>240.6</v>
      </c>
      <c r="BJ99" s="52">
        <v>165.84</v>
      </c>
      <c r="BK99" s="52">
        <v>214.42</v>
      </c>
      <c r="BL99" s="52">
        <v>208.23</v>
      </c>
      <c r="BM99" s="52">
        <v>200.65</v>
      </c>
      <c r="BN99" s="52">
        <v>217.14</v>
      </c>
      <c r="BO99" s="52">
        <v>185.55</v>
      </c>
      <c r="BP99" s="52">
        <v>230.29</v>
      </c>
      <c r="BQ99" s="52">
        <v>221.4</v>
      </c>
      <c r="BR99" s="52">
        <v>174.64</v>
      </c>
      <c r="BS99" s="52">
        <v>401.17</v>
      </c>
      <c r="BT99" s="52">
        <v>259.92</v>
      </c>
      <c r="BU99" s="52">
        <v>337.85</v>
      </c>
      <c r="BV99" s="52">
        <v>345.76</v>
      </c>
      <c r="BW99" s="52">
        <v>141</v>
      </c>
      <c r="BX99" s="52">
        <v>153.85</v>
      </c>
      <c r="BY99" s="52">
        <v>212.39</v>
      </c>
      <c r="BZ99" s="52">
        <v>158.69</v>
      </c>
      <c r="CA99" s="52">
        <v>231.1</v>
      </c>
      <c r="CB99" s="53">
        <v>293.54000000000002</v>
      </c>
      <c r="CC99" s="52">
        <v>175.76</v>
      </c>
      <c r="CD99" s="52">
        <v>204.56</v>
      </c>
      <c r="CE99" s="52">
        <v>232.49</v>
      </c>
      <c r="CF99" s="52">
        <v>308.08</v>
      </c>
      <c r="CG99" s="52">
        <v>260.10000000000002</v>
      </c>
      <c r="CH99" s="52">
        <v>193.8</v>
      </c>
      <c r="CI99" s="52">
        <v>172.67</v>
      </c>
      <c r="CJ99" s="52">
        <v>165.17</v>
      </c>
      <c r="CK99" s="52">
        <v>120.05</v>
      </c>
      <c r="CL99" s="52">
        <v>133.66</v>
      </c>
      <c r="CM99" s="52">
        <v>260.16000000000003</v>
      </c>
      <c r="CN99" s="52">
        <v>178.04</v>
      </c>
      <c r="CO99" s="52">
        <v>202.38</v>
      </c>
      <c r="CP99" s="52">
        <v>144.18</v>
      </c>
      <c r="CQ99" s="52">
        <v>310.04000000000002</v>
      </c>
      <c r="CR99" s="52">
        <v>91.69</v>
      </c>
      <c r="CS99" s="52">
        <v>150.80000000000001</v>
      </c>
      <c r="CT99" s="52">
        <v>113.29</v>
      </c>
      <c r="CU99" s="52">
        <v>203.67</v>
      </c>
      <c r="CV99" s="52">
        <v>148.87</v>
      </c>
      <c r="CW99" s="52">
        <v>97.26</v>
      </c>
      <c r="CX99" s="52">
        <v>178.22</v>
      </c>
      <c r="CY99" s="52">
        <v>131.41999999999999</v>
      </c>
      <c r="CZ99" s="52">
        <v>118.41</v>
      </c>
      <c r="DA99" s="52">
        <v>148.55000000000001</v>
      </c>
      <c r="DB99" s="52">
        <v>205.6</v>
      </c>
      <c r="DC99" s="52">
        <v>266.27</v>
      </c>
      <c r="DD99" s="52">
        <v>264.83</v>
      </c>
      <c r="DE99" s="52">
        <v>193.04</v>
      </c>
      <c r="DF99" s="52">
        <v>239.14</v>
      </c>
      <c r="DG99" s="52">
        <v>253.21</v>
      </c>
      <c r="DH99" s="52">
        <v>144.47999999999999</v>
      </c>
      <c r="DI99" s="52">
        <v>187.74</v>
      </c>
      <c r="DJ99" s="52">
        <v>278.10000000000002</v>
      </c>
      <c r="DK99" s="52">
        <v>262.27</v>
      </c>
      <c r="DL99" s="52">
        <v>51.47</v>
      </c>
      <c r="DM99" s="52">
        <v>129.29</v>
      </c>
      <c r="DN99" s="52">
        <v>41.04</v>
      </c>
      <c r="DO99" s="52">
        <v>88.09</v>
      </c>
      <c r="DP99" s="52">
        <v>144.74</v>
      </c>
      <c r="DQ99" s="52">
        <v>178.88</v>
      </c>
      <c r="DR99" s="52">
        <v>247.64</v>
      </c>
      <c r="DS99" s="52">
        <v>182.04</v>
      </c>
      <c r="DT99" s="52"/>
      <c r="DU99" s="52">
        <v>202.36</v>
      </c>
      <c r="DV99" s="52">
        <v>262.32</v>
      </c>
      <c r="DW99" s="52">
        <v>176.66</v>
      </c>
      <c r="DX99" s="52">
        <v>227.3</v>
      </c>
      <c r="DY99" s="52">
        <v>309.7</v>
      </c>
      <c r="DZ99" s="52">
        <v>210.45</v>
      </c>
      <c r="EA99" s="52">
        <v>172.15</v>
      </c>
      <c r="EB99" s="52">
        <v>247.02</v>
      </c>
      <c r="EC99" s="52">
        <v>254.59</v>
      </c>
      <c r="ED99" s="52">
        <v>239.11</v>
      </c>
      <c r="EE99" s="52">
        <v>186.94</v>
      </c>
      <c r="EF99" s="52">
        <v>171.3</v>
      </c>
      <c r="EG99" s="52">
        <v>274.83999999999997</v>
      </c>
      <c r="EH99" s="52">
        <v>252.42</v>
      </c>
      <c r="EI99" s="52">
        <v>244.24</v>
      </c>
      <c r="EJ99" s="52">
        <v>118.87</v>
      </c>
      <c r="EK99" s="52">
        <v>154.88</v>
      </c>
      <c r="EL99" s="52">
        <v>567.86</v>
      </c>
      <c r="EM99" s="52">
        <v>230.88</v>
      </c>
      <c r="EN99" s="52">
        <v>245.55</v>
      </c>
      <c r="EO99" s="52">
        <v>246.08</v>
      </c>
      <c r="EP99" s="52">
        <v>198.99</v>
      </c>
      <c r="EQ99" s="52">
        <v>239.98</v>
      </c>
      <c r="ER99" s="52">
        <v>332.94</v>
      </c>
      <c r="ES99" s="52">
        <v>261.08999999999997</v>
      </c>
      <c r="ET99" s="52">
        <v>210.17</v>
      </c>
      <c r="EU99" s="52">
        <v>196.53</v>
      </c>
      <c r="EV99" s="52">
        <v>231.2</v>
      </c>
      <c r="EW99" s="52">
        <v>204.07</v>
      </c>
      <c r="EX99" s="52">
        <v>216.73</v>
      </c>
      <c r="EY99" s="52">
        <v>153.54</v>
      </c>
      <c r="EZ99" s="52">
        <v>229.22</v>
      </c>
      <c r="FA99" s="52">
        <v>271.98</v>
      </c>
      <c r="FB99" s="52">
        <v>231.82</v>
      </c>
      <c r="FC99" s="52">
        <v>271.45999999999998</v>
      </c>
      <c r="FD99" s="52">
        <v>197.16</v>
      </c>
      <c r="FE99" s="52">
        <v>165.84</v>
      </c>
      <c r="FF99" s="52"/>
      <c r="FG99" s="52">
        <v>171.76</v>
      </c>
      <c r="FH99" s="52">
        <v>188.27</v>
      </c>
      <c r="FI99" s="52">
        <v>224.34</v>
      </c>
      <c r="FJ99" s="52">
        <v>287.14</v>
      </c>
      <c r="FK99" s="52">
        <v>261.39999999999998</v>
      </c>
      <c r="FL99" s="52">
        <v>213.94</v>
      </c>
      <c r="FM99" s="52">
        <v>201.62</v>
      </c>
      <c r="FN99" s="52">
        <v>186.84</v>
      </c>
      <c r="FO99" s="52">
        <v>274.76</v>
      </c>
      <c r="FP99" s="52">
        <v>206.48</v>
      </c>
      <c r="FQ99" s="52">
        <v>165.2</v>
      </c>
      <c r="FR99" s="52">
        <v>273.39</v>
      </c>
      <c r="FS99" s="52">
        <v>232.83</v>
      </c>
      <c r="FT99" s="52">
        <v>173.04</v>
      </c>
      <c r="FU99" s="52">
        <v>245.39</v>
      </c>
      <c r="FV99" s="52">
        <v>193.66</v>
      </c>
      <c r="FW99" s="52">
        <v>132.06</v>
      </c>
      <c r="FX99" s="52">
        <v>230.29</v>
      </c>
      <c r="FY99" s="52">
        <v>251.73</v>
      </c>
      <c r="FZ99" s="52">
        <v>216.8</v>
      </c>
      <c r="GA99" s="52">
        <v>203.62</v>
      </c>
      <c r="GB99" s="52">
        <v>178.86</v>
      </c>
      <c r="GC99" s="52">
        <v>173.73</v>
      </c>
      <c r="GD99" s="52">
        <v>166.54</v>
      </c>
      <c r="GE99" s="52">
        <v>401.17</v>
      </c>
      <c r="GF99" s="52">
        <v>259.92</v>
      </c>
      <c r="GG99" s="52">
        <v>337.85</v>
      </c>
      <c r="GH99" s="52">
        <v>345.18</v>
      </c>
      <c r="GI99" s="52">
        <v>145.19</v>
      </c>
      <c r="GJ99" s="52">
        <v>139.28</v>
      </c>
      <c r="GK99" s="52">
        <v>133.21</v>
      </c>
      <c r="GL99" s="52">
        <v>169.08</v>
      </c>
      <c r="GM99" s="52">
        <v>153.85</v>
      </c>
      <c r="GN99" s="52">
        <v>212.39</v>
      </c>
      <c r="GO99" s="52">
        <v>158.72</v>
      </c>
      <c r="GP99" s="52">
        <v>158.1</v>
      </c>
      <c r="GQ99" s="52">
        <v>159.86000000000001</v>
      </c>
      <c r="GR99" s="52">
        <v>231.1</v>
      </c>
      <c r="GS99" s="52">
        <v>293.54000000000002</v>
      </c>
      <c r="GT99" s="52">
        <v>175.76</v>
      </c>
      <c r="GU99" s="52">
        <v>204.56</v>
      </c>
      <c r="GV99" s="52">
        <v>232.49</v>
      </c>
      <c r="GW99" s="52">
        <v>284.27999999999997</v>
      </c>
      <c r="GX99" s="52">
        <v>311.74</v>
      </c>
      <c r="GY99" s="52">
        <v>260.10000000000002</v>
      </c>
      <c r="GZ99" s="52">
        <v>217.97</v>
      </c>
      <c r="HA99" s="52">
        <v>187.9</v>
      </c>
      <c r="HB99" s="52">
        <v>196.31</v>
      </c>
      <c r="HC99" s="52">
        <v>172.67</v>
      </c>
      <c r="HD99" s="52">
        <v>165.17</v>
      </c>
      <c r="HE99" s="52">
        <v>105.02</v>
      </c>
      <c r="HF99" s="52">
        <v>107.2</v>
      </c>
      <c r="HG99" s="52">
        <v>135.99</v>
      </c>
      <c r="HH99" s="52">
        <v>159.49</v>
      </c>
      <c r="HI99" s="52">
        <v>86.94</v>
      </c>
      <c r="HJ99" s="52">
        <v>133.66</v>
      </c>
      <c r="HK99" s="52">
        <v>260.16000000000003</v>
      </c>
      <c r="HL99" s="52">
        <v>149.34</v>
      </c>
      <c r="HM99" s="52">
        <v>204.32</v>
      </c>
      <c r="HN99" s="52">
        <v>200.44</v>
      </c>
      <c r="HO99" s="52">
        <v>180.73</v>
      </c>
      <c r="HP99" s="52">
        <v>220.14</v>
      </c>
      <c r="HQ99" s="52">
        <v>140.37</v>
      </c>
      <c r="HR99" s="52">
        <v>176.31</v>
      </c>
      <c r="HS99" s="52">
        <v>314.74</v>
      </c>
      <c r="HT99" s="52">
        <v>203.86</v>
      </c>
      <c r="HU99" s="52">
        <v>91.69</v>
      </c>
      <c r="HV99" s="52">
        <v>150.80000000000001</v>
      </c>
      <c r="HW99" s="52">
        <v>117.76</v>
      </c>
      <c r="HX99" s="52">
        <v>98.48</v>
      </c>
      <c r="HY99" s="52">
        <v>203.67</v>
      </c>
      <c r="HZ99" s="52">
        <v>148.87</v>
      </c>
      <c r="IA99" s="52">
        <v>88.84</v>
      </c>
      <c r="IB99" s="52">
        <v>178.22</v>
      </c>
      <c r="IC99" s="52">
        <v>118.59</v>
      </c>
      <c r="ID99" s="52">
        <v>133.12</v>
      </c>
      <c r="IE99" s="52">
        <v>118.41</v>
      </c>
      <c r="IF99" s="52">
        <v>148.55000000000001</v>
      </c>
      <c r="IG99" s="52">
        <v>205.6</v>
      </c>
      <c r="IH99" s="52">
        <v>266.27</v>
      </c>
      <c r="II99" s="52">
        <v>264.83</v>
      </c>
      <c r="IJ99" s="52">
        <v>193.04</v>
      </c>
      <c r="IK99" s="52">
        <v>259.87</v>
      </c>
      <c r="IL99" s="52">
        <v>198.93</v>
      </c>
      <c r="IM99" s="52">
        <v>264.85000000000002</v>
      </c>
      <c r="IN99" s="52">
        <v>247.16</v>
      </c>
      <c r="IO99" s="52">
        <v>210.68</v>
      </c>
      <c r="IP99" s="52">
        <v>144.47999999999999</v>
      </c>
      <c r="IQ99" s="52">
        <v>187.74</v>
      </c>
      <c r="IR99" s="52">
        <v>278.10000000000002</v>
      </c>
      <c r="IS99" s="52">
        <v>262.27</v>
      </c>
      <c r="IT99" s="52">
        <v>51.47</v>
      </c>
      <c r="IU99" s="52">
        <v>129.29</v>
      </c>
      <c r="IV99" s="52">
        <v>41.13</v>
      </c>
      <c r="IW99" s="52">
        <v>88.09</v>
      </c>
      <c r="IX99" s="52">
        <v>144.74</v>
      </c>
      <c r="IY99" s="52">
        <v>178.88</v>
      </c>
      <c r="IZ99" s="52">
        <v>247.64</v>
      </c>
      <c r="JA99" s="52">
        <v>182.04</v>
      </c>
      <c r="JB99" s="52"/>
      <c r="JC99" s="52">
        <v>202.36</v>
      </c>
      <c r="JD99" s="52">
        <v>262.32</v>
      </c>
      <c r="JE99" s="52">
        <v>189.22</v>
      </c>
      <c r="JF99" s="52">
        <v>172.62</v>
      </c>
      <c r="JG99" s="52">
        <v>227.3</v>
      </c>
      <c r="JH99" s="52">
        <v>309.7</v>
      </c>
      <c r="JI99" s="52">
        <v>210.45</v>
      </c>
      <c r="JJ99" s="52">
        <v>172.15</v>
      </c>
      <c r="JK99" s="52">
        <v>247.02</v>
      </c>
      <c r="JL99" s="52">
        <v>254.59</v>
      </c>
      <c r="JM99" s="52">
        <v>239.11</v>
      </c>
      <c r="JN99" s="52">
        <v>186.94</v>
      </c>
      <c r="JO99" s="52">
        <v>171.3</v>
      </c>
      <c r="JP99" s="52">
        <v>287.57</v>
      </c>
      <c r="JQ99" s="52">
        <v>245.19</v>
      </c>
      <c r="JR99" s="52">
        <v>231.97</v>
      </c>
      <c r="JS99" s="52">
        <v>283.13</v>
      </c>
      <c r="JT99" s="52">
        <v>269.91000000000003</v>
      </c>
      <c r="JU99" s="52">
        <v>219.31</v>
      </c>
      <c r="JV99" s="52">
        <v>118.87</v>
      </c>
      <c r="JW99" s="52">
        <v>154.88</v>
      </c>
      <c r="JX99" s="52">
        <v>567.86</v>
      </c>
      <c r="JY99" s="52">
        <v>237.72</v>
      </c>
      <c r="JZ99" s="52">
        <v>217.16</v>
      </c>
      <c r="KA99" s="52">
        <v>245.55</v>
      </c>
      <c r="KB99" s="52">
        <v>246.08</v>
      </c>
      <c r="KC99" s="52">
        <v>198.99</v>
      </c>
      <c r="KD99" s="52">
        <v>239.98</v>
      </c>
      <c r="KE99" s="52">
        <v>332.94</v>
      </c>
      <c r="KF99" s="52">
        <v>261.08999999999997</v>
      </c>
    </row>
    <row r="100" spans="1:292" s="41" customFormat="1" ht="12">
      <c r="A100" s="41">
        <v>2012</v>
      </c>
      <c r="B100" s="54" t="s">
        <v>997</v>
      </c>
      <c r="C100" s="55" t="s">
        <v>998</v>
      </c>
      <c r="D100" s="52">
        <v>212.42</v>
      </c>
      <c r="E100" s="52">
        <v>217.16</v>
      </c>
      <c r="F100" s="52">
        <v>347.36</v>
      </c>
      <c r="G100" s="52">
        <v>156.25</v>
      </c>
      <c r="H100" s="52">
        <v>256.49</v>
      </c>
      <c r="I100" s="52">
        <v>169.66</v>
      </c>
      <c r="J100" s="52">
        <v>130.38</v>
      </c>
      <c r="K100" s="52">
        <v>206.79</v>
      </c>
      <c r="L100" s="52">
        <v>119.49</v>
      </c>
      <c r="M100" s="52">
        <v>157</v>
      </c>
      <c r="N100" s="52">
        <v>211.46</v>
      </c>
      <c r="O100" s="52">
        <v>279.95999999999998</v>
      </c>
      <c r="P100" s="52">
        <v>252.26</v>
      </c>
      <c r="Q100" s="52">
        <v>218.29</v>
      </c>
      <c r="R100" s="52">
        <v>198.92</v>
      </c>
      <c r="S100" s="52">
        <v>366.82</v>
      </c>
      <c r="T100" s="52">
        <v>345.76</v>
      </c>
      <c r="U100" s="52">
        <v>152.47</v>
      </c>
      <c r="V100" s="52">
        <v>166.53</v>
      </c>
      <c r="W100" s="52">
        <v>295.20999999999998</v>
      </c>
      <c r="X100" s="52">
        <v>176.41</v>
      </c>
      <c r="Y100" s="52">
        <v>207.41</v>
      </c>
      <c r="Z100" s="52">
        <v>275.45999999999998</v>
      </c>
      <c r="AA100" s="52">
        <v>190.13</v>
      </c>
      <c r="AB100" s="52">
        <v>165.29</v>
      </c>
      <c r="AC100" s="52">
        <v>130.75</v>
      </c>
      <c r="AD100" s="52">
        <v>178.56</v>
      </c>
      <c r="AE100" s="52">
        <v>203.93</v>
      </c>
      <c r="AF100" s="52">
        <v>175.97</v>
      </c>
      <c r="AG100" s="52">
        <v>95.39</v>
      </c>
      <c r="AH100" s="52">
        <v>159.83000000000001</v>
      </c>
      <c r="AI100" s="52">
        <v>178.3</v>
      </c>
      <c r="AJ100" s="52">
        <v>130.25</v>
      </c>
      <c r="AK100" s="52">
        <v>256.16000000000003</v>
      </c>
      <c r="AL100" s="52">
        <v>248.13</v>
      </c>
      <c r="AM100" s="52">
        <v>262.27</v>
      </c>
      <c r="AN100" s="52">
        <v>50.42</v>
      </c>
      <c r="AO100" s="52">
        <v>129.69999999999999</v>
      </c>
      <c r="AP100" s="52">
        <v>63.84</v>
      </c>
      <c r="AQ100" s="52">
        <v>180.63</v>
      </c>
      <c r="AR100" s="52">
        <v>230.01</v>
      </c>
      <c r="AS100" s="52">
        <v>214.57</v>
      </c>
      <c r="AT100" s="52">
        <v>237.82</v>
      </c>
      <c r="AU100" s="52">
        <v>243.46</v>
      </c>
      <c r="AV100" s="52">
        <v>254.68</v>
      </c>
      <c r="AW100" s="52">
        <v>239.13</v>
      </c>
      <c r="AX100" s="52">
        <v>186.94</v>
      </c>
      <c r="AY100" s="52">
        <v>171.99</v>
      </c>
      <c r="AZ100" s="52">
        <v>276.89999999999998</v>
      </c>
      <c r="BA100" s="52">
        <v>251.99</v>
      </c>
      <c r="BB100" s="52">
        <v>174.82</v>
      </c>
      <c r="BC100" s="52">
        <v>456.2</v>
      </c>
      <c r="BD100" s="52">
        <v>247.2</v>
      </c>
      <c r="BE100" s="52">
        <v>254.86</v>
      </c>
      <c r="BF100" s="52">
        <v>332.94</v>
      </c>
      <c r="BG100" s="52">
        <v>261.2</v>
      </c>
      <c r="BH100" s="52">
        <v>220.61</v>
      </c>
      <c r="BI100" s="52">
        <v>237.95</v>
      </c>
      <c r="BJ100" s="52">
        <v>178.56</v>
      </c>
      <c r="BK100" s="52">
        <v>214.26</v>
      </c>
      <c r="BL100" s="52">
        <v>211</v>
      </c>
      <c r="BM100" s="52">
        <v>193.32</v>
      </c>
      <c r="BN100" s="52">
        <v>216.52</v>
      </c>
      <c r="BO100" s="52">
        <v>186.01</v>
      </c>
      <c r="BP100" s="52">
        <v>231.86</v>
      </c>
      <c r="BQ100" s="52">
        <v>223.35</v>
      </c>
      <c r="BR100" s="52">
        <v>176.69</v>
      </c>
      <c r="BS100" s="52">
        <v>401.14</v>
      </c>
      <c r="BT100" s="52">
        <v>259.10000000000002</v>
      </c>
      <c r="BU100" s="52">
        <v>339.15</v>
      </c>
      <c r="BV100" s="52">
        <v>345.76</v>
      </c>
      <c r="BW100" s="52">
        <v>151.22</v>
      </c>
      <c r="BX100" s="52">
        <v>157.56</v>
      </c>
      <c r="BY100" s="52">
        <v>213.99</v>
      </c>
      <c r="BZ100" s="52">
        <v>166.14</v>
      </c>
      <c r="CA100" s="52">
        <v>232.72</v>
      </c>
      <c r="CB100" s="53">
        <v>295.20999999999998</v>
      </c>
      <c r="CC100" s="52">
        <v>176.41</v>
      </c>
      <c r="CD100" s="52">
        <v>206.63</v>
      </c>
      <c r="CE100" s="52">
        <v>232.49</v>
      </c>
      <c r="CF100" s="52">
        <v>309.75</v>
      </c>
      <c r="CG100" s="52">
        <v>263.57</v>
      </c>
      <c r="CH100" s="52">
        <v>195.13</v>
      </c>
      <c r="CI100" s="52">
        <v>173.98</v>
      </c>
      <c r="CJ100" s="52">
        <v>165.29</v>
      </c>
      <c r="CK100" s="52">
        <v>120</v>
      </c>
      <c r="CL100" s="52">
        <v>134.38</v>
      </c>
      <c r="CM100" s="52">
        <v>260.83</v>
      </c>
      <c r="CN100" s="52">
        <v>178.56</v>
      </c>
      <c r="CO100" s="52">
        <v>203.93</v>
      </c>
      <c r="CP100" s="52">
        <v>143.6</v>
      </c>
      <c r="CQ100" s="52">
        <v>311.20999999999998</v>
      </c>
      <c r="CR100" s="52">
        <v>91.69</v>
      </c>
      <c r="CS100" s="52">
        <v>150.35</v>
      </c>
      <c r="CT100" s="52">
        <v>111.89</v>
      </c>
      <c r="CU100" s="52">
        <v>203.91</v>
      </c>
      <c r="CV100" s="52">
        <v>148.91999999999999</v>
      </c>
      <c r="CW100" s="52">
        <v>97.27</v>
      </c>
      <c r="CX100" s="52">
        <v>178.3</v>
      </c>
      <c r="CY100" s="52">
        <v>130.29</v>
      </c>
      <c r="CZ100" s="52">
        <v>118.4</v>
      </c>
      <c r="DA100" s="52">
        <v>148.5</v>
      </c>
      <c r="DB100" s="52">
        <v>205.37</v>
      </c>
      <c r="DC100" s="52">
        <v>261.01</v>
      </c>
      <c r="DD100" s="52">
        <v>262.42</v>
      </c>
      <c r="DE100" s="52">
        <v>194.62</v>
      </c>
      <c r="DF100" s="52">
        <v>239.79</v>
      </c>
      <c r="DG100" s="52">
        <v>253.45</v>
      </c>
      <c r="DH100" s="52">
        <v>139.36000000000001</v>
      </c>
      <c r="DI100" s="52">
        <v>201.21</v>
      </c>
      <c r="DJ100" s="52">
        <v>278.22000000000003</v>
      </c>
      <c r="DK100" s="52">
        <v>262.27</v>
      </c>
      <c r="DL100" s="52">
        <v>50.42</v>
      </c>
      <c r="DM100" s="52">
        <v>129.69999999999999</v>
      </c>
      <c r="DN100" s="52">
        <v>40.659999999999997</v>
      </c>
      <c r="DO100" s="52">
        <v>86.91</v>
      </c>
      <c r="DP100" s="52">
        <v>144.72999999999999</v>
      </c>
      <c r="DQ100" s="52">
        <v>180.63</v>
      </c>
      <c r="DR100" s="52">
        <v>248.17</v>
      </c>
      <c r="DS100" s="52">
        <v>184.51</v>
      </c>
      <c r="DT100" s="52"/>
      <c r="DU100" s="52">
        <v>202.69</v>
      </c>
      <c r="DV100" s="52">
        <v>254.23</v>
      </c>
      <c r="DW100" s="52">
        <v>177.4</v>
      </c>
      <c r="DX100" s="52">
        <v>227.3</v>
      </c>
      <c r="DY100" s="52">
        <v>324.77</v>
      </c>
      <c r="DZ100" s="52">
        <v>210.45</v>
      </c>
      <c r="EA100" s="52">
        <v>172.61</v>
      </c>
      <c r="EB100" s="52">
        <v>243.46</v>
      </c>
      <c r="EC100" s="52">
        <v>254.68</v>
      </c>
      <c r="ED100" s="52">
        <v>239.13</v>
      </c>
      <c r="EE100" s="52">
        <v>186.94</v>
      </c>
      <c r="EF100" s="52">
        <v>171.99</v>
      </c>
      <c r="EG100" s="52">
        <v>276.89999999999998</v>
      </c>
      <c r="EH100" s="52">
        <v>251.99</v>
      </c>
      <c r="EI100" s="52">
        <v>245.15</v>
      </c>
      <c r="EJ100" s="52">
        <v>119.37</v>
      </c>
      <c r="EK100" s="52">
        <v>155.63999999999999</v>
      </c>
      <c r="EL100" s="52">
        <v>553.63</v>
      </c>
      <c r="EM100" s="52">
        <v>232.82</v>
      </c>
      <c r="EN100" s="52">
        <v>247.2</v>
      </c>
      <c r="EO100" s="52">
        <v>246.52</v>
      </c>
      <c r="EP100" s="52">
        <v>212.74</v>
      </c>
      <c r="EQ100" s="52">
        <v>258.29000000000002</v>
      </c>
      <c r="ER100" s="52">
        <v>332.94</v>
      </c>
      <c r="ES100" s="52">
        <v>261.2</v>
      </c>
      <c r="ET100" s="52">
        <v>211.36</v>
      </c>
      <c r="EU100" s="52">
        <v>197.83</v>
      </c>
      <c r="EV100" s="52">
        <v>233.34</v>
      </c>
      <c r="EW100" s="52">
        <v>205.23</v>
      </c>
      <c r="EX100" s="52">
        <v>219.11</v>
      </c>
      <c r="EY100" s="52">
        <v>153.86000000000001</v>
      </c>
      <c r="EZ100" s="52">
        <v>232.53</v>
      </c>
      <c r="FA100" s="52">
        <v>267.26</v>
      </c>
      <c r="FB100" s="52">
        <v>220.29</v>
      </c>
      <c r="FC100" s="52">
        <v>271.55</v>
      </c>
      <c r="FD100" s="52">
        <v>200.65</v>
      </c>
      <c r="FE100" s="52">
        <v>178.56</v>
      </c>
      <c r="FF100" s="52"/>
      <c r="FG100" s="52">
        <v>176.77</v>
      </c>
      <c r="FH100" s="52">
        <v>191.28</v>
      </c>
      <c r="FI100" s="52">
        <v>230.66</v>
      </c>
      <c r="FJ100" s="52">
        <v>260.3</v>
      </c>
      <c r="FK100" s="52">
        <v>265.02</v>
      </c>
      <c r="FL100" s="52">
        <v>214.55</v>
      </c>
      <c r="FM100" s="52">
        <v>204.65</v>
      </c>
      <c r="FN100" s="52">
        <v>178.04</v>
      </c>
      <c r="FO100" s="52">
        <v>275.12</v>
      </c>
      <c r="FP100" s="52">
        <v>204.89</v>
      </c>
      <c r="FQ100" s="52">
        <v>163.56</v>
      </c>
      <c r="FR100" s="52">
        <v>272.72000000000003</v>
      </c>
      <c r="FS100" s="52">
        <v>235.77</v>
      </c>
      <c r="FT100" s="52">
        <v>173.19</v>
      </c>
      <c r="FU100" s="52">
        <v>246.26</v>
      </c>
      <c r="FV100" s="52">
        <v>194.63</v>
      </c>
      <c r="FW100" s="52">
        <v>132.08000000000001</v>
      </c>
      <c r="FX100" s="52">
        <v>231.86</v>
      </c>
      <c r="FY100" s="52">
        <v>251.28</v>
      </c>
      <c r="FZ100" s="52">
        <v>219.06</v>
      </c>
      <c r="GA100" s="52">
        <v>207.33</v>
      </c>
      <c r="GB100" s="52">
        <v>180.18</v>
      </c>
      <c r="GC100" s="52">
        <v>176.06</v>
      </c>
      <c r="GD100" s="52">
        <v>169.42</v>
      </c>
      <c r="GE100" s="52">
        <v>401.14</v>
      </c>
      <c r="GF100" s="52">
        <v>259.10000000000002</v>
      </c>
      <c r="GG100" s="52">
        <v>339.15</v>
      </c>
      <c r="GH100" s="52">
        <v>345.18</v>
      </c>
      <c r="GI100" s="52">
        <v>155.28</v>
      </c>
      <c r="GJ100" s="52">
        <v>151.21</v>
      </c>
      <c r="GK100" s="52">
        <v>140.15</v>
      </c>
      <c r="GL100" s="52">
        <v>172.83</v>
      </c>
      <c r="GM100" s="52">
        <v>157.56</v>
      </c>
      <c r="GN100" s="52">
        <v>213.99</v>
      </c>
      <c r="GO100" s="52">
        <v>163.63</v>
      </c>
      <c r="GP100" s="52">
        <v>168.31</v>
      </c>
      <c r="GQ100" s="52">
        <v>167.83</v>
      </c>
      <c r="GR100" s="52">
        <v>232.72</v>
      </c>
      <c r="GS100" s="52">
        <v>295.20999999999998</v>
      </c>
      <c r="GT100" s="52">
        <v>176.41</v>
      </c>
      <c r="GU100" s="52">
        <v>206.63</v>
      </c>
      <c r="GV100" s="52">
        <v>232.49</v>
      </c>
      <c r="GW100" s="52">
        <v>284.52</v>
      </c>
      <c r="GX100" s="52">
        <v>314.99</v>
      </c>
      <c r="GY100" s="52">
        <v>263.57</v>
      </c>
      <c r="GZ100" s="52">
        <v>219.68</v>
      </c>
      <c r="HA100" s="52">
        <v>189.92</v>
      </c>
      <c r="HB100" s="52">
        <v>197.16</v>
      </c>
      <c r="HC100" s="52">
        <v>173.98</v>
      </c>
      <c r="HD100" s="52">
        <v>165.29</v>
      </c>
      <c r="HE100" s="52">
        <v>105.14</v>
      </c>
      <c r="HF100" s="52">
        <v>106.67</v>
      </c>
      <c r="HG100" s="52">
        <v>135.86000000000001</v>
      </c>
      <c r="HH100" s="52">
        <v>159.75</v>
      </c>
      <c r="HI100" s="52">
        <v>87.11</v>
      </c>
      <c r="HJ100" s="52">
        <v>134.38</v>
      </c>
      <c r="HK100" s="52">
        <v>260.83</v>
      </c>
      <c r="HL100" s="52">
        <v>149.57</v>
      </c>
      <c r="HM100" s="52">
        <v>204.75</v>
      </c>
      <c r="HN100" s="52">
        <v>201.26</v>
      </c>
      <c r="HO100" s="52">
        <v>182.15</v>
      </c>
      <c r="HP100" s="52">
        <v>221.78</v>
      </c>
      <c r="HQ100" s="52">
        <v>139.91999999999999</v>
      </c>
      <c r="HR100" s="52">
        <v>174.66</v>
      </c>
      <c r="HS100" s="52">
        <v>315.93</v>
      </c>
      <c r="HT100" s="52">
        <v>204.61</v>
      </c>
      <c r="HU100" s="52">
        <v>91.69</v>
      </c>
      <c r="HV100" s="52">
        <v>150.35</v>
      </c>
      <c r="HW100" s="52">
        <v>115.7</v>
      </c>
      <c r="HX100" s="52">
        <v>98.34</v>
      </c>
      <c r="HY100" s="52">
        <v>203.91</v>
      </c>
      <c r="HZ100" s="52">
        <v>148.91999999999999</v>
      </c>
      <c r="IA100" s="52">
        <v>88.85</v>
      </c>
      <c r="IB100" s="52">
        <v>178.3</v>
      </c>
      <c r="IC100" s="52">
        <v>118.26</v>
      </c>
      <c r="ID100" s="52">
        <v>132.91</v>
      </c>
      <c r="IE100" s="52">
        <v>118.4</v>
      </c>
      <c r="IF100" s="52">
        <v>148.5</v>
      </c>
      <c r="IG100" s="52">
        <v>205.37</v>
      </c>
      <c r="IH100" s="52">
        <v>261.01</v>
      </c>
      <c r="II100" s="52">
        <v>262.42</v>
      </c>
      <c r="IJ100" s="52">
        <v>194.62</v>
      </c>
      <c r="IK100" s="52">
        <v>261.08999999999997</v>
      </c>
      <c r="IL100" s="52">
        <v>198.93</v>
      </c>
      <c r="IM100" s="52">
        <v>265.77999999999997</v>
      </c>
      <c r="IN100" s="52">
        <v>247.57</v>
      </c>
      <c r="IO100" s="52">
        <v>209.21</v>
      </c>
      <c r="IP100" s="52">
        <v>139.36000000000001</v>
      </c>
      <c r="IQ100" s="52">
        <v>201.21</v>
      </c>
      <c r="IR100" s="52">
        <v>278.22000000000003</v>
      </c>
      <c r="IS100" s="52">
        <v>262.27</v>
      </c>
      <c r="IT100" s="52">
        <v>50.42</v>
      </c>
      <c r="IU100" s="52">
        <v>129.69999999999999</v>
      </c>
      <c r="IV100" s="52">
        <v>40.76</v>
      </c>
      <c r="IW100" s="52">
        <v>86.91</v>
      </c>
      <c r="IX100" s="52">
        <v>144.72999999999999</v>
      </c>
      <c r="IY100" s="52">
        <v>180.63</v>
      </c>
      <c r="IZ100" s="52">
        <v>248.17</v>
      </c>
      <c r="JA100" s="52">
        <v>184.51</v>
      </c>
      <c r="JB100" s="52"/>
      <c r="JC100" s="52">
        <v>202.69</v>
      </c>
      <c r="JD100" s="52">
        <v>254.23</v>
      </c>
      <c r="JE100" s="52">
        <v>189.5</v>
      </c>
      <c r="JF100" s="52">
        <v>173.44</v>
      </c>
      <c r="JG100" s="52">
        <v>227.3</v>
      </c>
      <c r="JH100" s="52">
        <v>324.77</v>
      </c>
      <c r="JI100" s="52">
        <v>210.45</v>
      </c>
      <c r="JJ100" s="52">
        <v>172.61</v>
      </c>
      <c r="JK100" s="52">
        <v>243.46</v>
      </c>
      <c r="JL100" s="52">
        <v>254.68</v>
      </c>
      <c r="JM100" s="52">
        <v>239.13</v>
      </c>
      <c r="JN100" s="52">
        <v>186.94</v>
      </c>
      <c r="JO100" s="52">
        <v>171.99</v>
      </c>
      <c r="JP100" s="52">
        <v>289.60000000000002</v>
      </c>
      <c r="JQ100" s="52">
        <v>247.33</v>
      </c>
      <c r="JR100" s="52">
        <v>231.32</v>
      </c>
      <c r="JS100" s="52">
        <v>283.10000000000002</v>
      </c>
      <c r="JT100" s="52">
        <v>270.81</v>
      </c>
      <c r="JU100" s="52">
        <v>220.21</v>
      </c>
      <c r="JV100" s="52">
        <v>119.37</v>
      </c>
      <c r="JW100" s="52">
        <v>155.63999999999999</v>
      </c>
      <c r="JX100" s="52">
        <v>553.63</v>
      </c>
      <c r="JY100" s="52">
        <v>237.72</v>
      </c>
      <c r="JZ100" s="52">
        <v>222.25</v>
      </c>
      <c r="KA100" s="52">
        <v>247.2</v>
      </c>
      <c r="KB100" s="52">
        <v>246.52</v>
      </c>
      <c r="KC100" s="52">
        <v>212.74</v>
      </c>
      <c r="KD100" s="52">
        <v>258.29000000000002</v>
      </c>
      <c r="KE100" s="52">
        <v>332.94</v>
      </c>
      <c r="KF100" s="52">
        <v>261.2</v>
      </c>
    </row>
    <row r="101" spans="1:292" s="41" customFormat="1" ht="12">
      <c r="A101" s="41">
        <v>2012</v>
      </c>
      <c r="B101" s="54" t="s">
        <v>999</v>
      </c>
      <c r="C101" s="55" t="s">
        <v>1000</v>
      </c>
      <c r="D101" s="52">
        <v>213.23</v>
      </c>
      <c r="E101" s="52">
        <v>220.53</v>
      </c>
      <c r="F101" s="52">
        <v>347.38</v>
      </c>
      <c r="G101" s="52">
        <v>153.91</v>
      </c>
      <c r="H101" s="52">
        <v>257.11</v>
      </c>
      <c r="I101" s="52">
        <v>170.02</v>
      </c>
      <c r="J101" s="52">
        <v>130.43</v>
      </c>
      <c r="K101" s="52">
        <v>206.24</v>
      </c>
      <c r="L101" s="52">
        <v>120.96</v>
      </c>
      <c r="M101" s="52">
        <v>156.72999999999999</v>
      </c>
      <c r="N101" s="52">
        <v>211.5</v>
      </c>
      <c r="O101" s="52">
        <v>281.06</v>
      </c>
      <c r="P101" s="52">
        <v>252.51</v>
      </c>
      <c r="Q101" s="52">
        <v>221.92</v>
      </c>
      <c r="R101" s="52">
        <v>199.37</v>
      </c>
      <c r="S101" s="52">
        <v>367.21</v>
      </c>
      <c r="T101" s="52">
        <v>345.76</v>
      </c>
      <c r="U101" s="52">
        <v>149.51</v>
      </c>
      <c r="V101" s="52">
        <v>166.42</v>
      </c>
      <c r="W101" s="52">
        <v>296.29000000000002</v>
      </c>
      <c r="X101" s="52">
        <v>177.1</v>
      </c>
      <c r="Y101" s="52">
        <v>207.98</v>
      </c>
      <c r="Z101" s="52">
        <v>275.82</v>
      </c>
      <c r="AA101" s="52">
        <v>190.37</v>
      </c>
      <c r="AB101" s="52">
        <v>165.45</v>
      </c>
      <c r="AC101" s="52">
        <v>130.82</v>
      </c>
      <c r="AD101" s="52">
        <v>179.29</v>
      </c>
      <c r="AE101" s="52">
        <v>204.07</v>
      </c>
      <c r="AF101" s="52">
        <v>176.74</v>
      </c>
      <c r="AG101" s="52">
        <v>95.39</v>
      </c>
      <c r="AH101" s="52">
        <v>159.88999999999999</v>
      </c>
      <c r="AI101" s="52">
        <v>178.48</v>
      </c>
      <c r="AJ101" s="52">
        <v>129.91999999999999</v>
      </c>
      <c r="AK101" s="52">
        <v>255.03</v>
      </c>
      <c r="AL101" s="52">
        <v>248.11</v>
      </c>
      <c r="AM101" s="52">
        <v>262.27</v>
      </c>
      <c r="AN101" s="52">
        <v>51.71</v>
      </c>
      <c r="AO101" s="52">
        <v>131.13</v>
      </c>
      <c r="AP101" s="52">
        <v>63.76</v>
      </c>
      <c r="AQ101" s="52">
        <v>181.56</v>
      </c>
      <c r="AR101" s="52">
        <v>231.07</v>
      </c>
      <c r="AS101" s="52">
        <v>216.34</v>
      </c>
      <c r="AT101" s="52">
        <v>233.27</v>
      </c>
      <c r="AU101" s="52">
        <v>243.14</v>
      </c>
      <c r="AV101" s="52">
        <v>254.74</v>
      </c>
      <c r="AW101" s="52">
        <v>239.15</v>
      </c>
      <c r="AX101" s="52">
        <v>186.94</v>
      </c>
      <c r="AY101" s="52">
        <v>172.13</v>
      </c>
      <c r="AZ101" s="52">
        <v>278.04000000000002</v>
      </c>
      <c r="BA101" s="52">
        <v>252.45</v>
      </c>
      <c r="BB101" s="52">
        <v>175.85</v>
      </c>
      <c r="BC101" s="52">
        <v>450.71</v>
      </c>
      <c r="BD101" s="52">
        <v>247.48</v>
      </c>
      <c r="BE101" s="52">
        <v>260.60000000000002</v>
      </c>
      <c r="BF101" s="52">
        <v>332.94</v>
      </c>
      <c r="BG101" s="52">
        <v>261.24</v>
      </c>
      <c r="BH101" s="52">
        <v>224.03</v>
      </c>
      <c r="BI101" s="52">
        <v>232.3</v>
      </c>
      <c r="BJ101" s="52">
        <v>175.38</v>
      </c>
      <c r="BK101" s="52">
        <v>216.25</v>
      </c>
      <c r="BL101" s="52">
        <v>212.36</v>
      </c>
      <c r="BM101" s="52">
        <v>189.64</v>
      </c>
      <c r="BN101" s="52">
        <v>240.27</v>
      </c>
      <c r="BO101" s="52">
        <v>186.12</v>
      </c>
      <c r="BP101" s="52">
        <v>232.31</v>
      </c>
      <c r="BQ101" s="52">
        <v>223.58</v>
      </c>
      <c r="BR101" s="52">
        <v>177.23</v>
      </c>
      <c r="BS101" s="52">
        <v>401.03</v>
      </c>
      <c r="BT101" s="52">
        <v>252.3</v>
      </c>
      <c r="BU101" s="52">
        <v>340.82</v>
      </c>
      <c r="BV101" s="52">
        <v>345.76</v>
      </c>
      <c r="BW101" s="52">
        <v>148.08000000000001</v>
      </c>
      <c r="BX101" s="52">
        <v>156.51</v>
      </c>
      <c r="BY101" s="52">
        <v>214.73</v>
      </c>
      <c r="BZ101" s="52">
        <v>166.01</v>
      </c>
      <c r="CA101" s="52">
        <v>233.33</v>
      </c>
      <c r="CB101" s="53">
        <v>296.29000000000002</v>
      </c>
      <c r="CC101" s="52">
        <v>177.1</v>
      </c>
      <c r="CD101" s="52">
        <v>207.19</v>
      </c>
      <c r="CE101" s="52">
        <v>232.49</v>
      </c>
      <c r="CF101" s="52">
        <v>309.55</v>
      </c>
      <c r="CG101" s="52">
        <v>265.70999999999998</v>
      </c>
      <c r="CH101" s="52">
        <v>195.34</v>
      </c>
      <c r="CI101" s="52">
        <v>174.57</v>
      </c>
      <c r="CJ101" s="52">
        <v>165.45</v>
      </c>
      <c r="CK101" s="52">
        <v>120.1</v>
      </c>
      <c r="CL101" s="52">
        <v>134.11000000000001</v>
      </c>
      <c r="CM101" s="52">
        <v>260.95</v>
      </c>
      <c r="CN101" s="52">
        <v>179.29</v>
      </c>
      <c r="CO101" s="52">
        <v>204.07</v>
      </c>
      <c r="CP101" s="52">
        <v>144.09</v>
      </c>
      <c r="CQ101" s="52">
        <v>313.3</v>
      </c>
      <c r="CR101" s="52">
        <v>91.69</v>
      </c>
      <c r="CS101" s="52">
        <v>150.44</v>
      </c>
      <c r="CT101" s="52">
        <v>111.87</v>
      </c>
      <c r="CU101" s="52">
        <v>203.97</v>
      </c>
      <c r="CV101" s="52">
        <v>148.9</v>
      </c>
      <c r="CW101" s="52">
        <v>97.38</v>
      </c>
      <c r="CX101" s="52">
        <v>178.48</v>
      </c>
      <c r="CY101" s="52">
        <v>129.94999999999999</v>
      </c>
      <c r="CZ101" s="52">
        <v>118.37</v>
      </c>
      <c r="DA101" s="52">
        <v>148.25</v>
      </c>
      <c r="DB101" s="52">
        <v>206.04</v>
      </c>
      <c r="DC101" s="52">
        <v>259.73</v>
      </c>
      <c r="DD101" s="52">
        <v>260.51</v>
      </c>
      <c r="DE101" s="52">
        <v>196.01</v>
      </c>
      <c r="DF101" s="52">
        <v>240.24</v>
      </c>
      <c r="DG101" s="52">
        <v>252.97</v>
      </c>
      <c r="DH101" s="52">
        <v>143.01</v>
      </c>
      <c r="DI101" s="52">
        <v>202.14</v>
      </c>
      <c r="DJ101" s="52">
        <v>280.39</v>
      </c>
      <c r="DK101" s="52">
        <v>262.27</v>
      </c>
      <c r="DL101" s="52">
        <v>51.71</v>
      </c>
      <c r="DM101" s="52">
        <v>131.13</v>
      </c>
      <c r="DN101" s="52">
        <v>40.450000000000003</v>
      </c>
      <c r="DO101" s="52">
        <v>87.01</v>
      </c>
      <c r="DP101" s="52">
        <v>144.69</v>
      </c>
      <c r="DQ101" s="52">
        <v>181.56</v>
      </c>
      <c r="DR101" s="52">
        <v>248.91</v>
      </c>
      <c r="DS101" s="52">
        <v>186.12</v>
      </c>
      <c r="DT101" s="52"/>
      <c r="DU101" s="52">
        <v>202.81</v>
      </c>
      <c r="DV101" s="52">
        <v>258.31</v>
      </c>
      <c r="DW101" s="52">
        <v>177.6</v>
      </c>
      <c r="DX101" s="52">
        <v>227.3</v>
      </c>
      <c r="DY101" s="52">
        <v>310.27999999999997</v>
      </c>
      <c r="DZ101" s="52">
        <v>210.45</v>
      </c>
      <c r="EA101" s="52">
        <v>172.87</v>
      </c>
      <c r="EB101" s="52">
        <v>243.14</v>
      </c>
      <c r="EC101" s="52">
        <v>254.74</v>
      </c>
      <c r="ED101" s="52">
        <v>239.15</v>
      </c>
      <c r="EE101" s="52">
        <v>186.94</v>
      </c>
      <c r="EF101" s="52">
        <v>172.13</v>
      </c>
      <c r="EG101" s="52">
        <v>278.04000000000002</v>
      </c>
      <c r="EH101" s="52">
        <v>252.45</v>
      </c>
      <c r="EI101" s="52">
        <v>245.94</v>
      </c>
      <c r="EJ101" s="52">
        <v>119.83</v>
      </c>
      <c r="EK101" s="52">
        <v>156.72999999999999</v>
      </c>
      <c r="EL101" s="52">
        <v>541.65</v>
      </c>
      <c r="EM101" s="52">
        <v>235.29</v>
      </c>
      <c r="EN101" s="52">
        <v>247.48</v>
      </c>
      <c r="EO101" s="52">
        <v>247.11</v>
      </c>
      <c r="EP101" s="52">
        <v>212.74</v>
      </c>
      <c r="EQ101" s="52">
        <v>268.12</v>
      </c>
      <c r="ER101" s="52">
        <v>332.94</v>
      </c>
      <c r="ES101" s="52">
        <v>261.24</v>
      </c>
      <c r="ET101" s="52">
        <v>213.96</v>
      </c>
      <c r="EU101" s="52">
        <v>201.66</v>
      </c>
      <c r="EV101" s="52">
        <v>237.85</v>
      </c>
      <c r="EW101" s="52">
        <v>205.93</v>
      </c>
      <c r="EX101" s="52">
        <v>222.07</v>
      </c>
      <c r="EY101" s="52">
        <v>155.53</v>
      </c>
      <c r="EZ101" s="52">
        <v>230.37</v>
      </c>
      <c r="FA101" s="52">
        <v>258.89</v>
      </c>
      <c r="FB101" s="52">
        <v>208.18</v>
      </c>
      <c r="FC101" s="52">
        <v>274.20999999999998</v>
      </c>
      <c r="FD101" s="52">
        <v>203.49</v>
      </c>
      <c r="FE101" s="52">
        <v>175.38</v>
      </c>
      <c r="FF101" s="52"/>
      <c r="FG101" s="52">
        <v>177.28</v>
      </c>
      <c r="FH101" s="52">
        <v>191.35</v>
      </c>
      <c r="FI101" s="52">
        <v>233.17</v>
      </c>
      <c r="FJ101" s="52">
        <v>265.91000000000003</v>
      </c>
      <c r="FK101" s="52">
        <v>266.02</v>
      </c>
      <c r="FL101" s="52">
        <v>214.98</v>
      </c>
      <c r="FM101" s="52">
        <v>206.2</v>
      </c>
      <c r="FN101" s="52">
        <v>173.34</v>
      </c>
      <c r="FO101" s="52">
        <v>276.76</v>
      </c>
      <c r="FP101" s="52">
        <v>238.6</v>
      </c>
      <c r="FQ101" s="52">
        <v>169.16</v>
      </c>
      <c r="FR101" s="52">
        <v>277.58</v>
      </c>
      <c r="FS101" s="52">
        <v>240.01</v>
      </c>
      <c r="FT101" s="52">
        <v>173.16</v>
      </c>
      <c r="FU101" s="52">
        <v>245.68</v>
      </c>
      <c r="FV101" s="52">
        <v>195.28</v>
      </c>
      <c r="FW101" s="52">
        <v>132.33000000000001</v>
      </c>
      <c r="FX101" s="52">
        <v>232.31</v>
      </c>
      <c r="FY101" s="52">
        <v>251.55</v>
      </c>
      <c r="FZ101" s="52">
        <v>219.21</v>
      </c>
      <c r="GA101" s="52">
        <v>209.69</v>
      </c>
      <c r="GB101" s="52">
        <v>180.86</v>
      </c>
      <c r="GC101" s="52">
        <v>176.13</v>
      </c>
      <c r="GD101" s="52">
        <v>170.8</v>
      </c>
      <c r="GE101" s="52">
        <v>401.03</v>
      </c>
      <c r="GF101" s="52">
        <v>252.3</v>
      </c>
      <c r="GG101" s="52">
        <v>340.82</v>
      </c>
      <c r="GH101" s="52">
        <v>345.18</v>
      </c>
      <c r="GI101" s="52">
        <v>153.03</v>
      </c>
      <c r="GJ101" s="52">
        <v>145.97999999999999</v>
      </c>
      <c r="GK101" s="52">
        <v>139.68</v>
      </c>
      <c r="GL101" s="52">
        <v>174.32</v>
      </c>
      <c r="GM101" s="52">
        <v>156.51</v>
      </c>
      <c r="GN101" s="52">
        <v>214.73</v>
      </c>
      <c r="GO101" s="52">
        <v>163.53</v>
      </c>
      <c r="GP101" s="52">
        <v>168.41</v>
      </c>
      <c r="GQ101" s="52">
        <v>167.21</v>
      </c>
      <c r="GR101" s="52">
        <v>233.33</v>
      </c>
      <c r="GS101" s="52">
        <v>296.29000000000002</v>
      </c>
      <c r="GT101" s="52">
        <v>177.1</v>
      </c>
      <c r="GU101" s="52">
        <v>207.19</v>
      </c>
      <c r="GV101" s="52">
        <v>232.49</v>
      </c>
      <c r="GW101" s="52">
        <v>284.57</v>
      </c>
      <c r="GX101" s="52">
        <v>314.5</v>
      </c>
      <c r="GY101" s="52">
        <v>265.70999999999998</v>
      </c>
      <c r="GZ101" s="52">
        <v>219.21</v>
      </c>
      <c r="HA101" s="52">
        <v>189.95</v>
      </c>
      <c r="HB101" s="52">
        <v>197.65</v>
      </c>
      <c r="HC101" s="52">
        <v>174.57</v>
      </c>
      <c r="HD101" s="52">
        <v>165.45</v>
      </c>
      <c r="HE101" s="52">
        <v>104.55</v>
      </c>
      <c r="HF101" s="52">
        <v>107.25</v>
      </c>
      <c r="HG101" s="52">
        <v>136.38999999999999</v>
      </c>
      <c r="HH101" s="52">
        <v>160.1</v>
      </c>
      <c r="HI101" s="52">
        <v>87.33</v>
      </c>
      <c r="HJ101" s="52">
        <v>134.11000000000001</v>
      </c>
      <c r="HK101" s="52">
        <v>260.95</v>
      </c>
      <c r="HL101" s="52">
        <v>150.03</v>
      </c>
      <c r="HM101" s="52">
        <v>205.08</v>
      </c>
      <c r="HN101" s="52">
        <v>202.32</v>
      </c>
      <c r="HO101" s="52">
        <v>181.98</v>
      </c>
      <c r="HP101" s="52">
        <v>222.35</v>
      </c>
      <c r="HQ101" s="52">
        <v>140.54</v>
      </c>
      <c r="HR101" s="52">
        <v>174.04</v>
      </c>
      <c r="HS101" s="52">
        <v>318.16000000000003</v>
      </c>
      <c r="HT101" s="52">
        <v>204.74</v>
      </c>
      <c r="HU101" s="52">
        <v>91.69</v>
      </c>
      <c r="HV101" s="52">
        <v>150.44</v>
      </c>
      <c r="HW101" s="52">
        <v>115.7</v>
      </c>
      <c r="HX101" s="52">
        <v>98.28</v>
      </c>
      <c r="HY101" s="52">
        <v>203.97</v>
      </c>
      <c r="HZ101" s="52">
        <v>148.9</v>
      </c>
      <c r="IA101" s="52">
        <v>88.95</v>
      </c>
      <c r="IB101" s="52">
        <v>178.48</v>
      </c>
      <c r="IC101" s="52">
        <v>117.53</v>
      </c>
      <c r="ID101" s="52">
        <v>132.88999999999999</v>
      </c>
      <c r="IE101" s="52">
        <v>118.37</v>
      </c>
      <c r="IF101" s="52">
        <v>148.25</v>
      </c>
      <c r="IG101" s="52">
        <v>206.04</v>
      </c>
      <c r="IH101" s="52">
        <v>259.73</v>
      </c>
      <c r="II101" s="52">
        <v>260.51</v>
      </c>
      <c r="IJ101" s="52">
        <v>196.01</v>
      </c>
      <c r="IK101" s="52">
        <v>261.93</v>
      </c>
      <c r="IL101" s="52">
        <v>198.93</v>
      </c>
      <c r="IM101" s="52">
        <v>266.27</v>
      </c>
      <c r="IN101" s="52">
        <v>249.85</v>
      </c>
      <c r="IO101" s="52">
        <v>205.71</v>
      </c>
      <c r="IP101" s="52">
        <v>143.01</v>
      </c>
      <c r="IQ101" s="52">
        <v>202.14</v>
      </c>
      <c r="IR101" s="52">
        <v>280.39</v>
      </c>
      <c r="IS101" s="52">
        <v>262.27</v>
      </c>
      <c r="IT101" s="52">
        <v>51.71</v>
      </c>
      <c r="IU101" s="52">
        <v>131.13</v>
      </c>
      <c r="IV101" s="52">
        <v>40.57</v>
      </c>
      <c r="IW101" s="52">
        <v>87.01</v>
      </c>
      <c r="IX101" s="52">
        <v>144.69</v>
      </c>
      <c r="IY101" s="52">
        <v>181.56</v>
      </c>
      <c r="IZ101" s="52">
        <v>248.91</v>
      </c>
      <c r="JA101" s="52">
        <v>186.12</v>
      </c>
      <c r="JB101" s="52"/>
      <c r="JC101" s="52">
        <v>202.81</v>
      </c>
      <c r="JD101" s="52">
        <v>258.31</v>
      </c>
      <c r="JE101" s="52">
        <v>190.22</v>
      </c>
      <c r="JF101" s="52">
        <v>173.54</v>
      </c>
      <c r="JG101" s="52">
        <v>227.3</v>
      </c>
      <c r="JH101" s="52">
        <v>310.27999999999997</v>
      </c>
      <c r="JI101" s="52">
        <v>210.45</v>
      </c>
      <c r="JJ101" s="52">
        <v>172.87</v>
      </c>
      <c r="JK101" s="52">
        <v>243.14</v>
      </c>
      <c r="JL101" s="52">
        <v>254.74</v>
      </c>
      <c r="JM101" s="52">
        <v>239.15</v>
      </c>
      <c r="JN101" s="52">
        <v>186.94</v>
      </c>
      <c r="JO101" s="52">
        <v>172.13</v>
      </c>
      <c r="JP101" s="52">
        <v>290.94</v>
      </c>
      <c r="JQ101" s="52">
        <v>247.95</v>
      </c>
      <c r="JR101" s="52">
        <v>232.03</v>
      </c>
      <c r="JS101" s="52">
        <v>283.10000000000002</v>
      </c>
      <c r="JT101" s="52">
        <v>271.73</v>
      </c>
      <c r="JU101" s="52">
        <v>220.89</v>
      </c>
      <c r="JV101" s="52">
        <v>119.83</v>
      </c>
      <c r="JW101" s="52">
        <v>156.72999999999999</v>
      </c>
      <c r="JX101" s="52">
        <v>541.65</v>
      </c>
      <c r="JY101" s="52">
        <v>239.1</v>
      </c>
      <c r="JZ101" s="52">
        <v>226.48</v>
      </c>
      <c r="KA101" s="52">
        <v>247.48</v>
      </c>
      <c r="KB101" s="52">
        <v>247.11</v>
      </c>
      <c r="KC101" s="52">
        <v>212.74</v>
      </c>
      <c r="KD101" s="52">
        <v>268.12</v>
      </c>
      <c r="KE101" s="52">
        <v>332.94</v>
      </c>
      <c r="KF101" s="52">
        <v>261.24</v>
      </c>
    </row>
    <row r="102" spans="1:292" s="41" customFormat="1" ht="12">
      <c r="A102" s="41">
        <v>2013</v>
      </c>
      <c r="B102" s="54" t="s">
        <v>977</v>
      </c>
      <c r="C102" s="50" t="s">
        <v>978</v>
      </c>
      <c r="D102" s="56">
        <v>216.74</v>
      </c>
      <c r="E102" s="56">
        <v>229.35</v>
      </c>
      <c r="F102" s="56">
        <v>396.91</v>
      </c>
      <c r="G102" s="56">
        <v>143.22</v>
      </c>
      <c r="H102" s="56">
        <v>258.91000000000003</v>
      </c>
      <c r="I102" s="56">
        <v>171.86</v>
      </c>
      <c r="J102" s="56">
        <v>131.08000000000001</v>
      </c>
      <c r="K102" s="56">
        <v>207.28</v>
      </c>
      <c r="L102" s="56">
        <v>120.93</v>
      </c>
      <c r="M102" s="56">
        <v>157.1</v>
      </c>
      <c r="N102" s="56">
        <v>211.72</v>
      </c>
      <c r="O102" s="56">
        <v>283.73</v>
      </c>
      <c r="P102" s="56">
        <v>256.83</v>
      </c>
      <c r="Q102" s="56">
        <v>231.4</v>
      </c>
      <c r="R102" s="56">
        <v>200.48</v>
      </c>
      <c r="S102" s="56">
        <v>374.94</v>
      </c>
      <c r="T102" s="56">
        <v>398.1</v>
      </c>
      <c r="U102" s="56">
        <v>138.63</v>
      </c>
      <c r="V102" s="56">
        <v>156.63</v>
      </c>
      <c r="W102" s="56">
        <v>297.54000000000002</v>
      </c>
      <c r="X102" s="56">
        <v>177.94</v>
      </c>
      <c r="Y102" s="56">
        <v>216.98</v>
      </c>
      <c r="Z102" s="56">
        <v>275.68</v>
      </c>
      <c r="AA102" s="56">
        <v>194.07</v>
      </c>
      <c r="AB102" s="56">
        <v>166.16</v>
      </c>
      <c r="AC102" s="56">
        <v>132.66999999999999</v>
      </c>
      <c r="AD102" s="56">
        <v>179.48</v>
      </c>
      <c r="AE102" s="56">
        <v>203.4</v>
      </c>
      <c r="AF102" s="56">
        <v>177.51</v>
      </c>
      <c r="AG102" s="56">
        <v>95.5</v>
      </c>
      <c r="AH102" s="56">
        <v>161.36000000000001</v>
      </c>
      <c r="AI102" s="56">
        <v>178.43</v>
      </c>
      <c r="AJ102" s="56">
        <v>130.62</v>
      </c>
      <c r="AK102" s="56">
        <v>255.57</v>
      </c>
      <c r="AL102" s="56">
        <v>250.25</v>
      </c>
      <c r="AM102" s="56">
        <v>296.32</v>
      </c>
      <c r="AN102" s="56">
        <v>50.97</v>
      </c>
      <c r="AO102" s="56">
        <v>131.29</v>
      </c>
      <c r="AP102" s="56">
        <v>62.95</v>
      </c>
      <c r="AQ102" s="56">
        <v>182.88</v>
      </c>
      <c r="AR102" s="56">
        <v>231.86</v>
      </c>
      <c r="AS102" s="56">
        <v>218.73</v>
      </c>
      <c r="AT102" s="56">
        <v>236.64</v>
      </c>
      <c r="AU102" s="56">
        <v>242.71</v>
      </c>
      <c r="AV102" s="56">
        <v>254.64</v>
      </c>
      <c r="AW102" s="56">
        <v>239.62</v>
      </c>
      <c r="AX102" s="56">
        <v>186.94</v>
      </c>
      <c r="AY102" s="56">
        <v>172.25</v>
      </c>
      <c r="AZ102" s="56">
        <v>280.44</v>
      </c>
      <c r="BA102" s="56">
        <v>256.91000000000003</v>
      </c>
      <c r="BB102" s="56">
        <v>176.82</v>
      </c>
      <c r="BC102" s="56">
        <v>443.45</v>
      </c>
      <c r="BD102" s="56">
        <v>248.16</v>
      </c>
      <c r="BE102" s="56">
        <v>268.25</v>
      </c>
      <c r="BF102" s="56">
        <v>332.94</v>
      </c>
      <c r="BG102" s="56">
        <v>292.3</v>
      </c>
      <c r="BH102" s="52">
        <v>226.07</v>
      </c>
      <c r="BI102" s="52">
        <v>231.13</v>
      </c>
      <c r="BJ102" s="52">
        <v>190.29</v>
      </c>
      <c r="BK102" s="52">
        <v>215.94</v>
      </c>
      <c r="BL102" s="52">
        <v>212.95</v>
      </c>
      <c r="BM102" s="52">
        <v>195.86</v>
      </c>
      <c r="BN102" s="52">
        <v>291.70999999999998</v>
      </c>
      <c r="BO102" s="52">
        <v>187.48</v>
      </c>
      <c r="BP102" s="52">
        <v>234.07</v>
      </c>
      <c r="BQ102" s="52">
        <v>225.06</v>
      </c>
      <c r="BR102" s="52">
        <v>178.1</v>
      </c>
      <c r="BS102" s="52">
        <v>406.21</v>
      </c>
      <c r="BT102" s="52">
        <v>269.13</v>
      </c>
      <c r="BU102" s="52">
        <v>348.9</v>
      </c>
      <c r="BV102" s="52">
        <v>398.1</v>
      </c>
      <c r="BW102" s="52">
        <v>136.66</v>
      </c>
      <c r="BX102" s="52">
        <v>150.88999999999999</v>
      </c>
      <c r="BY102" s="52">
        <v>216.08</v>
      </c>
      <c r="BZ102" s="52">
        <v>156.16999999999999</v>
      </c>
      <c r="CA102" s="52">
        <v>233.81</v>
      </c>
      <c r="CB102" s="53">
        <v>297.54000000000002</v>
      </c>
      <c r="CC102" s="52">
        <v>177.94</v>
      </c>
      <c r="CD102" s="52">
        <v>216.16</v>
      </c>
      <c r="CE102" s="52">
        <v>232.49</v>
      </c>
      <c r="CF102" s="52">
        <v>307.92</v>
      </c>
      <c r="CG102" s="52">
        <v>267.69</v>
      </c>
      <c r="CH102" s="52">
        <v>199.36</v>
      </c>
      <c r="CI102" s="52">
        <v>175.99</v>
      </c>
      <c r="CJ102" s="52">
        <v>166.16</v>
      </c>
      <c r="CK102" s="52">
        <v>121.27</v>
      </c>
      <c r="CL102" s="52">
        <v>140.03</v>
      </c>
      <c r="CM102" s="52">
        <v>266.97000000000003</v>
      </c>
      <c r="CN102" s="52">
        <v>179.48</v>
      </c>
      <c r="CO102" s="52">
        <v>203.4</v>
      </c>
      <c r="CP102" s="52">
        <v>144.38999999999999</v>
      </c>
      <c r="CQ102" s="52">
        <v>316.14</v>
      </c>
      <c r="CR102" s="52">
        <v>91.7</v>
      </c>
      <c r="CS102" s="52">
        <v>151.15</v>
      </c>
      <c r="CT102" s="52">
        <v>112.35</v>
      </c>
      <c r="CU102" s="52">
        <v>204.4</v>
      </c>
      <c r="CV102" s="52">
        <v>150.94999999999999</v>
      </c>
      <c r="CW102" s="52">
        <v>99.03</v>
      </c>
      <c r="CX102" s="52">
        <v>178.43</v>
      </c>
      <c r="CY102" s="52">
        <v>130.66999999999999</v>
      </c>
      <c r="CZ102" s="52">
        <v>117.61</v>
      </c>
      <c r="DA102" s="52">
        <v>148.94999999999999</v>
      </c>
      <c r="DB102" s="52">
        <v>206.46</v>
      </c>
      <c r="DC102" s="52">
        <v>258.93</v>
      </c>
      <c r="DD102" s="52">
        <v>268.92</v>
      </c>
      <c r="DE102" s="52">
        <v>197.68</v>
      </c>
      <c r="DF102" s="52">
        <v>243.33</v>
      </c>
      <c r="DG102" s="52">
        <v>255.56</v>
      </c>
      <c r="DH102" s="52">
        <v>141.03</v>
      </c>
      <c r="DI102" s="52">
        <v>201.55</v>
      </c>
      <c r="DJ102" s="52">
        <v>280.98</v>
      </c>
      <c r="DK102" s="52">
        <v>296.32</v>
      </c>
      <c r="DL102" s="52">
        <v>50.97</v>
      </c>
      <c r="DM102" s="52">
        <v>131.29</v>
      </c>
      <c r="DN102" s="52">
        <v>40.1</v>
      </c>
      <c r="DO102" s="52">
        <v>85.94</v>
      </c>
      <c r="DP102" s="52">
        <v>145.91999999999999</v>
      </c>
      <c r="DQ102" s="52">
        <v>182.88</v>
      </c>
      <c r="DR102" s="52">
        <v>250.63</v>
      </c>
      <c r="DS102" s="52">
        <v>184.64</v>
      </c>
      <c r="DT102" s="52"/>
      <c r="DU102" s="52">
        <v>205.6</v>
      </c>
      <c r="DV102" s="52">
        <v>260.36</v>
      </c>
      <c r="DW102" s="52">
        <v>180.68</v>
      </c>
      <c r="DX102" s="52">
        <v>227.3</v>
      </c>
      <c r="DY102" s="52">
        <v>319.94</v>
      </c>
      <c r="DZ102" s="52">
        <v>210.48</v>
      </c>
      <c r="EA102" s="52">
        <v>173.08</v>
      </c>
      <c r="EB102" s="52">
        <v>242.71</v>
      </c>
      <c r="EC102" s="52">
        <v>254.64</v>
      </c>
      <c r="ED102" s="52">
        <v>239.62</v>
      </c>
      <c r="EE102" s="52">
        <v>186.94</v>
      </c>
      <c r="EF102" s="52">
        <v>172.25</v>
      </c>
      <c r="EG102" s="52">
        <v>280.44</v>
      </c>
      <c r="EH102" s="52">
        <v>256.91000000000003</v>
      </c>
      <c r="EI102" s="52">
        <v>247.96</v>
      </c>
      <c r="EJ102" s="52">
        <v>120.45</v>
      </c>
      <c r="EK102" s="52">
        <v>157.41999999999999</v>
      </c>
      <c r="EL102" s="52">
        <v>531.65</v>
      </c>
      <c r="EM102" s="52">
        <v>233.21</v>
      </c>
      <c r="EN102" s="52">
        <v>248.16</v>
      </c>
      <c r="EO102" s="52">
        <v>248.38</v>
      </c>
      <c r="EP102" s="52">
        <v>219.82</v>
      </c>
      <c r="EQ102" s="52">
        <v>277.60000000000002</v>
      </c>
      <c r="ER102" s="52">
        <v>332.94</v>
      </c>
      <c r="ES102" s="52">
        <v>292.3</v>
      </c>
      <c r="ET102" s="52">
        <v>216.32</v>
      </c>
      <c r="EU102" s="52">
        <v>203.3</v>
      </c>
      <c r="EV102" s="52">
        <v>240.28</v>
      </c>
      <c r="EW102" s="52">
        <v>207.34</v>
      </c>
      <c r="EX102" s="52">
        <v>223.73</v>
      </c>
      <c r="EY102" s="52">
        <v>155.36000000000001</v>
      </c>
      <c r="EZ102" s="52">
        <v>228.85</v>
      </c>
      <c r="FA102" s="52">
        <v>254.07</v>
      </c>
      <c r="FB102" s="52">
        <v>208.84</v>
      </c>
      <c r="FC102" s="52">
        <v>276.61</v>
      </c>
      <c r="FD102" s="52">
        <v>203.5</v>
      </c>
      <c r="FE102" s="52">
        <v>190.29</v>
      </c>
      <c r="FF102" s="52"/>
      <c r="FG102" s="52">
        <v>177.05</v>
      </c>
      <c r="FH102" s="52">
        <v>191.08</v>
      </c>
      <c r="FI102" s="52">
        <v>232.74</v>
      </c>
      <c r="FJ102" s="52">
        <v>265.74</v>
      </c>
      <c r="FK102" s="52">
        <v>267.41000000000003</v>
      </c>
      <c r="FL102" s="52">
        <v>215.43</v>
      </c>
      <c r="FM102" s="52">
        <v>206.7</v>
      </c>
      <c r="FN102" s="52">
        <v>180.11</v>
      </c>
      <c r="FO102" s="52">
        <v>280.16000000000003</v>
      </c>
      <c r="FP102" s="52">
        <v>313.17</v>
      </c>
      <c r="FQ102" s="52">
        <v>177.39</v>
      </c>
      <c r="FR102" s="52">
        <v>280.86</v>
      </c>
      <c r="FS102" s="52">
        <v>242.11</v>
      </c>
      <c r="FT102" s="52">
        <v>173.75</v>
      </c>
      <c r="FU102" s="52">
        <v>250.98</v>
      </c>
      <c r="FV102" s="52">
        <v>195.99</v>
      </c>
      <c r="FW102" s="52">
        <v>132.66</v>
      </c>
      <c r="FX102" s="52">
        <v>234.07</v>
      </c>
      <c r="FY102" s="52">
        <v>252.6</v>
      </c>
      <c r="FZ102" s="52">
        <v>220.78</v>
      </c>
      <c r="GA102" s="52">
        <v>209.77</v>
      </c>
      <c r="GB102" s="52">
        <v>181.74</v>
      </c>
      <c r="GC102" s="52">
        <v>177.04</v>
      </c>
      <c r="GD102" s="52">
        <v>171.57</v>
      </c>
      <c r="GE102" s="52">
        <v>406.21</v>
      </c>
      <c r="GF102" s="52">
        <v>269.13</v>
      </c>
      <c r="GG102" s="52">
        <v>348.9</v>
      </c>
      <c r="GH102" s="52">
        <v>397.43</v>
      </c>
      <c r="GI102" s="52">
        <v>142.44</v>
      </c>
      <c r="GJ102" s="52">
        <v>132.69999999999999</v>
      </c>
      <c r="GK102" s="52">
        <v>130.68</v>
      </c>
      <c r="GL102" s="52">
        <v>171.24</v>
      </c>
      <c r="GM102" s="52">
        <v>150.88999999999999</v>
      </c>
      <c r="GN102" s="52">
        <v>216.08</v>
      </c>
      <c r="GO102" s="52">
        <v>154.56</v>
      </c>
      <c r="GP102" s="52">
        <v>156.80000000000001</v>
      </c>
      <c r="GQ102" s="52">
        <v>158.86000000000001</v>
      </c>
      <c r="GR102" s="52">
        <v>233.81</v>
      </c>
      <c r="GS102" s="52">
        <v>297.54000000000002</v>
      </c>
      <c r="GT102" s="52">
        <v>177.94</v>
      </c>
      <c r="GU102" s="52">
        <v>216.16</v>
      </c>
      <c r="GV102" s="52">
        <v>232.49</v>
      </c>
      <c r="GW102" s="52">
        <v>285.49</v>
      </c>
      <c r="GX102" s="52">
        <v>309.18</v>
      </c>
      <c r="GY102" s="52">
        <v>267.69</v>
      </c>
      <c r="GZ102" s="52">
        <v>220.54</v>
      </c>
      <c r="HA102" s="52">
        <v>190.46</v>
      </c>
      <c r="HB102" s="52">
        <v>204.81</v>
      </c>
      <c r="HC102" s="52">
        <v>175.99</v>
      </c>
      <c r="HD102" s="52">
        <v>166.16</v>
      </c>
      <c r="HE102" s="52">
        <v>106.36</v>
      </c>
      <c r="HF102" s="52">
        <v>108.79</v>
      </c>
      <c r="HG102" s="52">
        <v>138.12</v>
      </c>
      <c r="HH102" s="52">
        <v>160.79</v>
      </c>
      <c r="HI102" s="52">
        <v>86.22</v>
      </c>
      <c r="HJ102" s="52">
        <v>140.03</v>
      </c>
      <c r="HK102" s="52">
        <v>266.97000000000003</v>
      </c>
      <c r="HL102" s="52">
        <v>150.27000000000001</v>
      </c>
      <c r="HM102" s="52">
        <v>205.63</v>
      </c>
      <c r="HN102" s="52">
        <v>202.41</v>
      </c>
      <c r="HO102" s="52">
        <v>180.49</v>
      </c>
      <c r="HP102" s="52">
        <v>222.91</v>
      </c>
      <c r="HQ102" s="52">
        <v>140.33000000000001</v>
      </c>
      <c r="HR102" s="52">
        <v>178.05</v>
      </c>
      <c r="HS102" s="52">
        <v>321.08</v>
      </c>
      <c r="HT102" s="52">
        <v>206.3</v>
      </c>
      <c r="HU102" s="52">
        <v>91.7</v>
      </c>
      <c r="HV102" s="52">
        <v>151.15</v>
      </c>
      <c r="HW102" s="52">
        <v>116.31</v>
      </c>
      <c r="HX102" s="52">
        <v>98.53</v>
      </c>
      <c r="HY102" s="52">
        <v>204.4</v>
      </c>
      <c r="HZ102" s="52">
        <v>150.94999999999999</v>
      </c>
      <c r="IA102" s="52">
        <v>90.45</v>
      </c>
      <c r="IB102" s="52">
        <v>178.43</v>
      </c>
      <c r="IC102" s="52">
        <v>118.41</v>
      </c>
      <c r="ID102" s="52">
        <v>133.35</v>
      </c>
      <c r="IE102" s="52">
        <v>117.61</v>
      </c>
      <c r="IF102" s="52">
        <v>148.94999999999999</v>
      </c>
      <c r="IG102" s="52">
        <v>206.46</v>
      </c>
      <c r="IH102" s="52">
        <v>258.93</v>
      </c>
      <c r="II102" s="52">
        <v>268.92</v>
      </c>
      <c r="IJ102" s="52">
        <v>197.68</v>
      </c>
      <c r="IK102" s="52">
        <v>268.17</v>
      </c>
      <c r="IL102" s="52">
        <v>199.04</v>
      </c>
      <c r="IM102" s="52">
        <v>270.08</v>
      </c>
      <c r="IN102" s="52">
        <v>251.79</v>
      </c>
      <c r="IO102" s="52">
        <v>205.33</v>
      </c>
      <c r="IP102" s="52">
        <v>141.03</v>
      </c>
      <c r="IQ102" s="52">
        <v>201.55</v>
      </c>
      <c r="IR102" s="52">
        <v>280.98</v>
      </c>
      <c r="IS102" s="52">
        <v>296.32</v>
      </c>
      <c r="IT102" s="52">
        <v>50.97</v>
      </c>
      <c r="IU102" s="52">
        <v>131.29</v>
      </c>
      <c r="IV102" s="52">
        <v>40.22</v>
      </c>
      <c r="IW102" s="52">
        <v>85.94</v>
      </c>
      <c r="IX102" s="52">
        <v>145.91999999999999</v>
      </c>
      <c r="IY102" s="52">
        <v>182.88</v>
      </c>
      <c r="IZ102" s="52">
        <v>250.63</v>
      </c>
      <c r="JA102" s="52">
        <v>184.64</v>
      </c>
      <c r="JB102" s="52"/>
      <c r="JC102" s="52">
        <v>205.6</v>
      </c>
      <c r="JD102" s="52">
        <v>260.36</v>
      </c>
      <c r="JE102" s="52">
        <v>191.92</v>
      </c>
      <c r="JF102" s="52">
        <v>176.89</v>
      </c>
      <c r="JG102" s="52">
        <v>227.3</v>
      </c>
      <c r="JH102" s="52">
        <v>319.94</v>
      </c>
      <c r="JI102" s="52">
        <v>210.48</v>
      </c>
      <c r="JJ102" s="52">
        <v>173.08</v>
      </c>
      <c r="JK102" s="52">
        <v>242.71</v>
      </c>
      <c r="JL102" s="52">
        <v>254.64</v>
      </c>
      <c r="JM102" s="52">
        <v>239.62</v>
      </c>
      <c r="JN102" s="52">
        <v>186.94</v>
      </c>
      <c r="JO102" s="52">
        <v>172.25</v>
      </c>
      <c r="JP102" s="52">
        <v>293.27</v>
      </c>
      <c r="JQ102" s="52">
        <v>250.61</v>
      </c>
      <c r="JR102" s="52">
        <v>235.03</v>
      </c>
      <c r="JS102" s="52">
        <v>290.32</v>
      </c>
      <c r="JT102" s="52">
        <v>273.79000000000002</v>
      </c>
      <c r="JU102" s="52">
        <v>222.86</v>
      </c>
      <c r="JV102" s="52">
        <v>120.45</v>
      </c>
      <c r="JW102" s="52">
        <v>157.41999999999999</v>
      </c>
      <c r="JX102" s="52">
        <v>531.65</v>
      </c>
      <c r="JY102" s="52">
        <v>236.13</v>
      </c>
      <c r="JZ102" s="52">
        <v>225.92</v>
      </c>
      <c r="KA102" s="52">
        <v>248.16</v>
      </c>
      <c r="KB102" s="52">
        <v>248.38</v>
      </c>
      <c r="KC102" s="52">
        <v>219.82</v>
      </c>
      <c r="KD102" s="52">
        <v>277.60000000000002</v>
      </c>
      <c r="KE102" s="52">
        <v>332.94</v>
      </c>
      <c r="KF102" s="52">
        <v>292.3</v>
      </c>
    </row>
    <row r="103" spans="1:292" s="41" customFormat="1" ht="12">
      <c r="A103" s="41">
        <v>2013</v>
      </c>
      <c r="B103" s="54" t="s">
        <v>979</v>
      </c>
      <c r="C103" s="55" t="s">
        <v>980</v>
      </c>
      <c r="D103" s="56">
        <v>217.39</v>
      </c>
      <c r="E103" s="56">
        <v>231.38</v>
      </c>
      <c r="F103" s="56">
        <v>400.2</v>
      </c>
      <c r="G103" s="56">
        <v>134.11000000000001</v>
      </c>
      <c r="H103" s="56">
        <v>259.55</v>
      </c>
      <c r="I103" s="56">
        <v>173.6</v>
      </c>
      <c r="J103" s="56">
        <v>131.63999999999999</v>
      </c>
      <c r="K103" s="56">
        <v>210.65</v>
      </c>
      <c r="L103" s="56">
        <v>121.15</v>
      </c>
      <c r="M103" s="56">
        <v>156.11000000000001</v>
      </c>
      <c r="N103" s="56">
        <v>212.43</v>
      </c>
      <c r="O103" s="56">
        <v>285.13</v>
      </c>
      <c r="P103" s="56">
        <v>256.38</v>
      </c>
      <c r="Q103" s="56">
        <v>233.57</v>
      </c>
      <c r="R103" s="56">
        <v>200.96</v>
      </c>
      <c r="S103" s="56">
        <v>375.72</v>
      </c>
      <c r="T103" s="56">
        <v>401.55</v>
      </c>
      <c r="U103" s="56">
        <v>130.09</v>
      </c>
      <c r="V103" s="56">
        <v>145.66999999999999</v>
      </c>
      <c r="W103" s="56">
        <v>298.62</v>
      </c>
      <c r="X103" s="56">
        <v>179.53</v>
      </c>
      <c r="Y103" s="56">
        <v>218.74</v>
      </c>
      <c r="Z103" s="56">
        <v>275.36</v>
      </c>
      <c r="AA103" s="56">
        <v>197.47</v>
      </c>
      <c r="AB103" s="56">
        <v>166.08</v>
      </c>
      <c r="AC103" s="56">
        <v>134.11000000000001</v>
      </c>
      <c r="AD103" s="56">
        <v>180.65</v>
      </c>
      <c r="AE103" s="56">
        <v>204.46</v>
      </c>
      <c r="AF103" s="56">
        <v>178.53</v>
      </c>
      <c r="AG103" s="56">
        <v>95.46</v>
      </c>
      <c r="AH103" s="56">
        <v>162.52000000000001</v>
      </c>
      <c r="AI103" s="56">
        <v>179.59</v>
      </c>
      <c r="AJ103" s="56">
        <v>133.56</v>
      </c>
      <c r="AK103" s="56">
        <v>259.47000000000003</v>
      </c>
      <c r="AL103" s="56">
        <v>251.58</v>
      </c>
      <c r="AM103" s="56">
        <v>296.32</v>
      </c>
      <c r="AN103" s="56">
        <v>50.82</v>
      </c>
      <c r="AO103" s="56">
        <v>131.6</v>
      </c>
      <c r="AP103" s="56">
        <v>62.61</v>
      </c>
      <c r="AQ103" s="56">
        <v>183.65</v>
      </c>
      <c r="AR103" s="56">
        <v>232.66</v>
      </c>
      <c r="AS103" s="56">
        <v>217.14</v>
      </c>
      <c r="AT103" s="56">
        <v>232.95</v>
      </c>
      <c r="AU103" s="56">
        <v>242.06</v>
      </c>
      <c r="AV103" s="56">
        <v>254.73</v>
      </c>
      <c r="AW103" s="56">
        <v>240.7</v>
      </c>
      <c r="AX103" s="56">
        <v>186.94</v>
      </c>
      <c r="AY103" s="56">
        <v>173.16</v>
      </c>
      <c r="AZ103" s="56">
        <v>281.86</v>
      </c>
      <c r="BA103" s="56">
        <v>257.93</v>
      </c>
      <c r="BB103" s="56">
        <v>177.44</v>
      </c>
      <c r="BC103" s="56">
        <v>436.44</v>
      </c>
      <c r="BD103" s="56">
        <v>249.37</v>
      </c>
      <c r="BE103" s="56">
        <v>270.89</v>
      </c>
      <c r="BF103" s="56">
        <v>332.94</v>
      </c>
      <c r="BG103" s="56">
        <v>292.61</v>
      </c>
      <c r="BH103" s="52">
        <v>228.41</v>
      </c>
      <c r="BI103" s="52">
        <v>237.84</v>
      </c>
      <c r="BJ103" s="52">
        <v>200.76</v>
      </c>
      <c r="BK103" s="52">
        <v>213.3</v>
      </c>
      <c r="BL103" s="52">
        <v>210.18</v>
      </c>
      <c r="BM103" s="52">
        <v>198.94</v>
      </c>
      <c r="BN103" s="52">
        <v>293.92</v>
      </c>
      <c r="BO103" s="52">
        <v>188.27</v>
      </c>
      <c r="BP103" s="52">
        <v>237</v>
      </c>
      <c r="BQ103" s="52">
        <v>225.38</v>
      </c>
      <c r="BR103" s="52">
        <v>178.64</v>
      </c>
      <c r="BS103" s="52">
        <v>406.39</v>
      </c>
      <c r="BT103" s="52">
        <v>269.2</v>
      </c>
      <c r="BU103" s="52">
        <v>350.25</v>
      </c>
      <c r="BV103" s="52">
        <v>401.55</v>
      </c>
      <c r="BW103" s="52">
        <v>127.66</v>
      </c>
      <c r="BX103" s="52">
        <v>147.4</v>
      </c>
      <c r="BY103" s="52">
        <v>217.59</v>
      </c>
      <c r="BZ103" s="52">
        <v>145.13</v>
      </c>
      <c r="CA103" s="52">
        <v>235.31</v>
      </c>
      <c r="CB103" s="53">
        <v>298.62</v>
      </c>
      <c r="CC103" s="52">
        <v>179.53</v>
      </c>
      <c r="CD103" s="52">
        <v>217.91</v>
      </c>
      <c r="CE103" s="52">
        <v>232.49</v>
      </c>
      <c r="CF103" s="52">
        <v>307.20999999999998</v>
      </c>
      <c r="CG103" s="52">
        <v>267.22000000000003</v>
      </c>
      <c r="CH103" s="52">
        <v>203.19</v>
      </c>
      <c r="CI103" s="52">
        <v>176.14</v>
      </c>
      <c r="CJ103" s="52">
        <v>166.08</v>
      </c>
      <c r="CK103" s="52">
        <v>122.23</v>
      </c>
      <c r="CL103" s="52">
        <v>142.72999999999999</v>
      </c>
      <c r="CM103" s="52">
        <v>275.83999999999997</v>
      </c>
      <c r="CN103" s="52">
        <v>180.65</v>
      </c>
      <c r="CO103" s="52">
        <v>204.46</v>
      </c>
      <c r="CP103" s="52">
        <v>144.82</v>
      </c>
      <c r="CQ103" s="52">
        <v>319.74</v>
      </c>
      <c r="CR103" s="52">
        <v>91.58</v>
      </c>
      <c r="CS103" s="52">
        <v>152.47</v>
      </c>
      <c r="CT103" s="52">
        <v>112.36</v>
      </c>
      <c r="CU103" s="52">
        <v>204.63</v>
      </c>
      <c r="CV103" s="52">
        <v>153.51</v>
      </c>
      <c r="CW103" s="52">
        <v>99.54</v>
      </c>
      <c r="CX103" s="52">
        <v>179.59</v>
      </c>
      <c r="CY103" s="52">
        <v>133.66999999999999</v>
      </c>
      <c r="CZ103" s="52">
        <v>116.93</v>
      </c>
      <c r="DA103" s="52">
        <v>150.61000000000001</v>
      </c>
      <c r="DB103" s="52">
        <v>206.73</v>
      </c>
      <c r="DC103" s="52">
        <v>263.73</v>
      </c>
      <c r="DD103" s="52">
        <v>269.8</v>
      </c>
      <c r="DE103" s="52">
        <v>199.42</v>
      </c>
      <c r="DF103" s="52">
        <v>246.41</v>
      </c>
      <c r="DG103" s="52">
        <v>256.95999999999998</v>
      </c>
      <c r="DH103" s="52">
        <v>141.03</v>
      </c>
      <c r="DI103" s="52">
        <v>203.16</v>
      </c>
      <c r="DJ103" s="52">
        <v>281.85000000000002</v>
      </c>
      <c r="DK103" s="52">
        <v>296.32</v>
      </c>
      <c r="DL103" s="52">
        <v>50.82</v>
      </c>
      <c r="DM103" s="52">
        <v>131.6</v>
      </c>
      <c r="DN103" s="52">
        <v>40.17</v>
      </c>
      <c r="DO103" s="52">
        <v>84.88</v>
      </c>
      <c r="DP103" s="52">
        <v>145.91999999999999</v>
      </c>
      <c r="DQ103" s="52">
        <v>183.65</v>
      </c>
      <c r="DR103" s="52">
        <v>251.87</v>
      </c>
      <c r="DS103" s="52">
        <v>184.4</v>
      </c>
      <c r="DT103" s="52"/>
      <c r="DU103" s="52">
        <v>207</v>
      </c>
      <c r="DV103" s="52">
        <v>256.10000000000002</v>
      </c>
      <c r="DW103" s="52">
        <v>180.95</v>
      </c>
      <c r="DX103" s="52">
        <v>227.3</v>
      </c>
      <c r="DY103" s="52">
        <v>308.56</v>
      </c>
      <c r="DZ103" s="52">
        <v>210.51</v>
      </c>
      <c r="EA103" s="52">
        <v>173.48</v>
      </c>
      <c r="EB103" s="52">
        <v>242.06</v>
      </c>
      <c r="EC103" s="52">
        <v>254.73</v>
      </c>
      <c r="ED103" s="52">
        <v>240.7</v>
      </c>
      <c r="EE103" s="52">
        <v>186.94</v>
      </c>
      <c r="EF103" s="52">
        <v>173.16</v>
      </c>
      <c r="EG103" s="52">
        <v>281.86</v>
      </c>
      <c r="EH103" s="52">
        <v>257.93</v>
      </c>
      <c r="EI103" s="52">
        <v>249.79</v>
      </c>
      <c r="EJ103" s="52">
        <v>120.29</v>
      </c>
      <c r="EK103" s="52">
        <v>157.72</v>
      </c>
      <c r="EL103" s="52">
        <v>520.91999999999996</v>
      </c>
      <c r="EM103" s="52">
        <v>232.6</v>
      </c>
      <c r="EN103" s="52">
        <v>249.37</v>
      </c>
      <c r="EO103" s="52">
        <v>250.01</v>
      </c>
      <c r="EP103" s="52">
        <v>219.82</v>
      </c>
      <c r="EQ103" s="52">
        <v>281.8</v>
      </c>
      <c r="ER103" s="52">
        <v>332.94</v>
      </c>
      <c r="ES103" s="52">
        <v>292.61</v>
      </c>
      <c r="ET103" s="52">
        <v>219.27</v>
      </c>
      <c r="EU103" s="52">
        <v>205.86</v>
      </c>
      <c r="EV103" s="52">
        <v>243.17</v>
      </c>
      <c r="EW103" s="52">
        <v>208.14</v>
      </c>
      <c r="EX103" s="52">
        <v>225.72</v>
      </c>
      <c r="EY103" s="52">
        <v>156.16</v>
      </c>
      <c r="EZ103" s="52">
        <v>227.3</v>
      </c>
      <c r="FA103" s="52">
        <v>261.93</v>
      </c>
      <c r="FB103" s="52">
        <v>228.44</v>
      </c>
      <c r="FC103" s="52">
        <v>277.49</v>
      </c>
      <c r="FD103" s="52">
        <v>204.57</v>
      </c>
      <c r="FE103" s="52">
        <v>200.76</v>
      </c>
      <c r="FF103" s="52"/>
      <c r="FG103" s="52">
        <v>176.2</v>
      </c>
      <c r="FH103" s="52">
        <v>189.41</v>
      </c>
      <c r="FI103" s="52">
        <v>232.6</v>
      </c>
      <c r="FJ103" s="52">
        <v>251.78</v>
      </c>
      <c r="FK103" s="52">
        <v>264.73</v>
      </c>
      <c r="FL103" s="52">
        <v>214.67</v>
      </c>
      <c r="FM103" s="52">
        <v>203.64</v>
      </c>
      <c r="FN103" s="52">
        <v>182.87</v>
      </c>
      <c r="FO103" s="52">
        <v>284.89</v>
      </c>
      <c r="FP103" s="52">
        <v>315.88</v>
      </c>
      <c r="FQ103" s="52">
        <v>178.63</v>
      </c>
      <c r="FR103" s="52">
        <v>286.14</v>
      </c>
      <c r="FS103" s="52">
        <v>241.9</v>
      </c>
      <c r="FT103" s="52">
        <v>175.7</v>
      </c>
      <c r="FU103" s="52">
        <v>254.91</v>
      </c>
      <c r="FV103" s="52">
        <v>193.23</v>
      </c>
      <c r="FW103" s="52">
        <v>133.28</v>
      </c>
      <c r="FX103" s="52">
        <v>237</v>
      </c>
      <c r="FY103" s="52">
        <v>253.34</v>
      </c>
      <c r="FZ103" s="52">
        <v>220.97</v>
      </c>
      <c r="GA103" s="52">
        <v>212.45</v>
      </c>
      <c r="GB103" s="52">
        <v>182.77</v>
      </c>
      <c r="GC103" s="52">
        <v>177.83</v>
      </c>
      <c r="GD103" s="52">
        <v>170.46</v>
      </c>
      <c r="GE103" s="52">
        <v>406.39</v>
      </c>
      <c r="GF103" s="52">
        <v>269.2</v>
      </c>
      <c r="GG103" s="52">
        <v>350.25</v>
      </c>
      <c r="GH103" s="52">
        <v>400.88</v>
      </c>
      <c r="GI103" s="52">
        <v>133.63999999999999</v>
      </c>
      <c r="GJ103" s="52">
        <v>122.76</v>
      </c>
      <c r="GK103" s="52">
        <v>123.12</v>
      </c>
      <c r="GL103" s="52">
        <v>170.57</v>
      </c>
      <c r="GM103" s="52">
        <v>147.4</v>
      </c>
      <c r="GN103" s="52">
        <v>217.59</v>
      </c>
      <c r="GO103" s="52">
        <v>146.16999999999999</v>
      </c>
      <c r="GP103" s="52">
        <v>142.38999999999999</v>
      </c>
      <c r="GQ103" s="52">
        <v>148.19999999999999</v>
      </c>
      <c r="GR103" s="52">
        <v>235.31</v>
      </c>
      <c r="GS103" s="52">
        <v>298.62</v>
      </c>
      <c r="GT103" s="52">
        <v>179.53</v>
      </c>
      <c r="GU103" s="52">
        <v>217.91</v>
      </c>
      <c r="GV103" s="52">
        <v>232.49</v>
      </c>
      <c r="GW103" s="52">
        <v>285.45999999999998</v>
      </c>
      <c r="GX103" s="52">
        <v>307.51</v>
      </c>
      <c r="GY103" s="52">
        <v>267.22000000000003</v>
      </c>
      <c r="GZ103" s="52">
        <v>221.54</v>
      </c>
      <c r="HA103" s="52">
        <v>194.34</v>
      </c>
      <c r="HB103" s="52">
        <v>209.49</v>
      </c>
      <c r="HC103" s="52">
        <v>176.14</v>
      </c>
      <c r="HD103" s="52">
        <v>166.08</v>
      </c>
      <c r="HE103" s="52">
        <v>107.91</v>
      </c>
      <c r="HF103" s="52">
        <v>110.28</v>
      </c>
      <c r="HG103" s="52">
        <v>139.55000000000001</v>
      </c>
      <c r="HH103" s="52">
        <v>161.15</v>
      </c>
      <c r="HI103" s="52">
        <v>84.91</v>
      </c>
      <c r="HJ103" s="52">
        <v>142.72999999999999</v>
      </c>
      <c r="HK103" s="52">
        <v>275.83999999999997</v>
      </c>
      <c r="HL103" s="52">
        <v>151.76</v>
      </c>
      <c r="HM103" s="52">
        <v>206.2</v>
      </c>
      <c r="HN103" s="52">
        <v>203.33</v>
      </c>
      <c r="HO103" s="52">
        <v>181.93</v>
      </c>
      <c r="HP103" s="52">
        <v>223.36</v>
      </c>
      <c r="HQ103" s="52">
        <v>140.41</v>
      </c>
      <c r="HR103" s="52">
        <v>181.03</v>
      </c>
      <c r="HS103" s="52">
        <v>324.83</v>
      </c>
      <c r="HT103" s="52">
        <v>207.45</v>
      </c>
      <c r="HU103" s="52">
        <v>91.58</v>
      </c>
      <c r="HV103" s="52">
        <v>152.47</v>
      </c>
      <c r="HW103" s="52">
        <v>116.34</v>
      </c>
      <c r="HX103" s="52">
        <v>98.51</v>
      </c>
      <c r="HY103" s="52">
        <v>204.63</v>
      </c>
      <c r="HZ103" s="52">
        <v>153.51</v>
      </c>
      <c r="IA103" s="52">
        <v>90.92</v>
      </c>
      <c r="IB103" s="52">
        <v>179.59</v>
      </c>
      <c r="IC103" s="52">
        <v>121.22</v>
      </c>
      <c r="ID103" s="52">
        <v>136.59</v>
      </c>
      <c r="IE103" s="52">
        <v>116.93</v>
      </c>
      <c r="IF103" s="52">
        <v>150.61000000000001</v>
      </c>
      <c r="IG103" s="52">
        <v>206.73</v>
      </c>
      <c r="IH103" s="52">
        <v>263.73</v>
      </c>
      <c r="II103" s="52">
        <v>269.8</v>
      </c>
      <c r="IJ103" s="52">
        <v>199.42</v>
      </c>
      <c r="IK103" s="52">
        <v>269.49</v>
      </c>
      <c r="IL103" s="52">
        <v>203.33</v>
      </c>
      <c r="IM103" s="52">
        <v>270.87</v>
      </c>
      <c r="IN103" s="52">
        <v>257.49</v>
      </c>
      <c r="IO103" s="52">
        <v>206.93</v>
      </c>
      <c r="IP103" s="52">
        <v>141.03</v>
      </c>
      <c r="IQ103" s="52">
        <v>203.16</v>
      </c>
      <c r="IR103" s="52">
        <v>281.85000000000002</v>
      </c>
      <c r="IS103" s="52">
        <v>296.32</v>
      </c>
      <c r="IT103" s="52">
        <v>50.82</v>
      </c>
      <c r="IU103" s="52">
        <v>131.6</v>
      </c>
      <c r="IV103" s="52">
        <v>40.29</v>
      </c>
      <c r="IW103" s="52">
        <v>84.88</v>
      </c>
      <c r="IX103" s="52">
        <v>145.91999999999999</v>
      </c>
      <c r="IY103" s="52">
        <v>183.65</v>
      </c>
      <c r="IZ103" s="52">
        <v>251.87</v>
      </c>
      <c r="JA103" s="52">
        <v>184.4</v>
      </c>
      <c r="JB103" s="52"/>
      <c r="JC103" s="52">
        <v>207</v>
      </c>
      <c r="JD103" s="52">
        <v>256.10000000000002</v>
      </c>
      <c r="JE103" s="52">
        <v>192.33</v>
      </c>
      <c r="JF103" s="52">
        <v>177.12</v>
      </c>
      <c r="JG103" s="52">
        <v>227.3</v>
      </c>
      <c r="JH103" s="52">
        <v>308.56</v>
      </c>
      <c r="JI103" s="52">
        <v>210.51</v>
      </c>
      <c r="JJ103" s="52">
        <v>173.48</v>
      </c>
      <c r="JK103" s="52">
        <v>242.06</v>
      </c>
      <c r="JL103" s="52">
        <v>254.73</v>
      </c>
      <c r="JM103" s="52">
        <v>240.7</v>
      </c>
      <c r="JN103" s="52">
        <v>186.94</v>
      </c>
      <c r="JO103" s="52">
        <v>173.16</v>
      </c>
      <c r="JP103" s="52">
        <v>295</v>
      </c>
      <c r="JQ103" s="52">
        <v>251.17</v>
      </c>
      <c r="JR103" s="52">
        <v>236.54</v>
      </c>
      <c r="JS103" s="52">
        <v>290.32</v>
      </c>
      <c r="JT103" s="52">
        <v>275.86</v>
      </c>
      <c r="JU103" s="52">
        <v>224.46</v>
      </c>
      <c r="JV103" s="52">
        <v>120.29</v>
      </c>
      <c r="JW103" s="52">
        <v>157.72</v>
      </c>
      <c r="JX103" s="52">
        <v>520.91999999999996</v>
      </c>
      <c r="JY103" s="52">
        <v>234.65</v>
      </c>
      <c r="JZ103" s="52">
        <v>226.81</v>
      </c>
      <c r="KA103" s="52">
        <v>249.37</v>
      </c>
      <c r="KB103" s="52">
        <v>250.01</v>
      </c>
      <c r="KC103" s="52">
        <v>219.82</v>
      </c>
      <c r="KD103" s="52">
        <v>281.8</v>
      </c>
      <c r="KE103" s="52">
        <v>332.94</v>
      </c>
      <c r="KF103" s="52">
        <v>292.61</v>
      </c>
    </row>
    <row r="104" spans="1:292" s="41" customFormat="1" ht="12">
      <c r="A104" s="41">
        <v>2013</v>
      </c>
      <c r="B104" s="54" t="s">
        <v>981</v>
      </c>
      <c r="C104" s="55" t="s">
        <v>982</v>
      </c>
      <c r="D104" s="52">
        <v>218.83</v>
      </c>
      <c r="E104" s="52">
        <v>236.09</v>
      </c>
      <c r="F104" s="52">
        <v>400.18</v>
      </c>
      <c r="G104" s="52">
        <v>135.26</v>
      </c>
      <c r="H104" s="52">
        <v>260.14</v>
      </c>
      <c r="I104" s="52">
        <v>173.76</v>
      </c>
      <c r="J104" s="52">
        <v>132.27000000000001</v>
      </c>
      <c r="K104" s="52">
        <v>210.55</v>
      </c>
      <c r="L104" s="52">
        <v>121.17</v>
      </c>
      <c r="M104" s="52">
        <v>156.62</v>
      </c>
      <c r="N104" s="52">
        <v>212.62</v>
      </c>
      <c r="O104" s="52">
        <v>286.89</v>
      </c>
      <c r="P104" s="52">
        <v>257.12</v>
      </c>
      <c r="Q104" s="52">
        <v>238.59</v>
      </c>
      <c r="R104" s="52">
        <v>202.03</v>
      </c>
      <c r="S104" s="52">
        <v>375.48</v>
      </c>
      <c r="T104" s="52">
        <v>401.55</v>
      </c>
      <c r="U104" s="52">
        <v>130.55000000000001</v>
      </c>
      <c r="V104" s="52">
        <v>149.24</v>
      </c>
      <c r="W104" s="52">
        <v>299.99</v>
      </c>
      <c r="X104" s="52">
        <v>180.99</v>
      </c>
      <c r="Y104" s="52">
        <v>219.67</v>
      </c>
      <c r="Z104" s="52">
        <v>275.10000000000002</v>
      </c>
      <c r="AA104" s="52">
        <v>197.6</v>
      </c>
      <c r="AB104" s="52">
        <v>166.29</v>
      </c>
      <c r="AC104" s="52">
        <v>134.24</v>
      </c>
      <c r="AD104" s="52">
        <v>181.6</v>
      </c>
      <c r="AE104" s="52">
        <v>205.1</v>
      </c>
      <c r="AF104" s="52">
        <v>178.47</v>
      </c>
      <c r="AG104" s="52">
        <v>95.44</v>
      </c>
      <c r="AH104" s="52">
        <v>163.88</v>
      </c>
      <c r="AI104" s="52">
        <v>180.42</v>
      </c>
      <c r="AJ104" s="52">
        <v>133.85</v>
      </c>
      <c r="AK104" s="52">
        <v>257.51</v>
      </c>
      <c r="AL104" s="52">
        <v>252.77</v>
      </c>
      <c r="AM104" s="52">
        <v>296.32</v>
      </c>
      <c r="AN104" s="52">
        <v>50.81</v>
      </c>
      <c r="AO104" s="52">
        <v>131.63</v>
      </c>
      <c r="AP104" s="52">
        <v>62.62</v>
      </c>
      <c r="AQ104" s="52">
        <v>184.64</v>
      </c>
      <c r="AR104" s="52">
        <v>233.32</v>
      </c>
      <c r="AS104" s="52">
        <v>218.8</v>
      </c>
      <c r="AT104" s="52">
        <v>234.26</v>
      </c>
      <c r="AU104" s="52">
        <v>241.68</v>
      </c>
      <c r="AV104" s="52">
        <v>253.28</v>
      </c>
      <c r="AW104" s="52">
        <v>242.26</v>
      </c>
      <c r="AX104" s="52">
        <v>186.94</v>
      </c>
      <c r="AY104" s="52">
        <v>173.34</v>
      </c>
      <c r="AZ104" s="52">
        <v>283.7</v>
      </c>
      <c r="BA104" s="52">
        <v>258.58</v>
      </c>
      <c r="BB104" s="52">
        <v>178.46</v>
      </c>
      <c r="BC104" s="52">
        <v>434.37</v>
      </c>
      <c r="BD104" s="52">
        <v>250.56</v>
      </c>
      <c r="BE104" s="52">
        <v>274.69</v>
      </c>
      <c r="BF104" s="52">
        <v>332.94</v>
      </c>
      <c r="BG104" s="52">
        <v>293.73</v>
      </c>
      <c r="BH104" s="52">
        <v>230.67</v>
      </c>
      <c r="BI104" s="52">
        <v>244.5</v>
      </c>
      <c r="BJ104" s="52">
        <v>201.88</v>
      </c>
      <c r="BK104" s="52">
        <v>213.01</v>
      </c>
      <c r="BL104" s="52">
        <v>208.87</v>
      </c>
      <c r="BM104" s="52">
        <v>206.11</v>
      </c>
      <c r="BN104" s="52">
        <v>309.42</v>
      </c>
      <c r="BO104" s="52">
        <v>189.3</v>
      </c>
      <c r="BP104" s="52">
        <v>241.75</v>
      </c>
      <c r="BQ104" s="52">
        <v>227.16</v>
      </c>
      <c r="BR104" s="52">
        <v>179.3</v>
      </c>
      <c r="BS104" s="52">
        <v>406.04</v>
      </c>
      <c r="BT104" s="52">
        <v>267.70999999999998</v>
      </c>
      <c r="BU104" s="52">
        <v>350.3</v>
      </c>
      <c r="BV104" s="52">
        <v>401.55</v>
      </c>
      <c r="BW104" s="52">
        <v>127.98</v>
      </c>
      <c r="BX104" s="52">
        <v>151.30000000000001</v>
      </c>
      <c r="BY104" s="52">
        <v>218.45</v>
      </c>
      <c r="BZ104" s="52">
        <v>148.72</v>
      </c>
      <c r="CA104" s="52">
        <v>236.98</v>
      </c>
      <c r="CB104" s="53">
        <v>299.99</v>
      </c>
      <c r="CC104" s="52">
        <v>180.99</v>
      </c>
      <c r="CD104" s="52">
        <v>218.83</v>
      </c>
      <c r="CE104" s="52">
        <v>232.49</v>
      </c>
      <c r="CF104" s="52">
        <v>306.91000000000003</v>
      </c>
      <c r="CG104" s="52">
        <v>266.35000000000002</v>
      </c>
      <c r="CH104" s="52">
        <v>203.33</v>
      </c>
      <c r="CI104" s="52">
        <v>176.19</v>
      </c>
      <c r="CJ104" s="52">
        <v>166.29</v>
      </c>
      <c r="CK104" s="52">
        <v>122.38</v>
      </c>
      <c r="CL104" s="52">
        <v>142.6</v>
      </c>
      <c r="CM104" s="52">
        <v>276.13</v>
      </c>
      <c r="CN104" s="52">
        <v>181.6</v>
      </c>
      <c r="CO104" s="52">
        <v>205.1</v>
      </c>
      <c r="CP104" s="52">
        <v>144.19</v>
      </c>
      <c r="CQ104" s="52">
        <v>322.20999999999998</v>
      </c>
      <c r="CR104" s="52">
        <v>91.45</v>
      </c>
      <c r="CS104" s="52">
        <v>153</v>
      </c>
      <c r="CT104" s="52">
        <v>112.73</v>
      </c>
      <c r="CU104" s="52">
        <v>204.67</v>
      </c>
      <c r="CV104" s="52">
        <v>156.02000000000001</v>
      </c>
      <c r="CW104" s="52">
        <v>100.81</v>
      </c>
      <c r="CX104" s="52">
        <v>180.42</v>
      </c>
      <c r="CY104" s="52">
        <v>133.96</v>
      </c>
      <c r="CZ104" s="52">
        <v>116.94</v>
      </c>
      <c r="DA104" s="52">
        <v>151.72999999999999</v>
      </c>
      <c r="DB104" s="52">
        <v>206.71</v>
      </c>
      <c r="DC104" s="52">
        <v>261.3</v>
      </c>
      <c r="DD104" s="52">
        <v>267.94</v>
      </c>
      <c r="DE104" s="52">
        <v>202.42</v>
      </c>
      <c r="DF104" s="52">
        <v>246.41</v>
      </c>
      <c r="DG104" s="52">
        <v>258.13</v>
      </c>
      <c r="DH104" s="52">
        <v>141.85</v>
      </c>
      <c r="DI104" s="52">
        <v>203.16</v>
      </c>
      <c r="DJ104" s="52">
        <v>285.89</v>
      </c>
      <c r="DK104" s="52">
        <v>296.32</v>
      </c>
      <c r="DL104" s="52">
        <v>50.81</v>
      </c>
      <c r="DM104" s="52">
        <v>131.63</v>
      </c>
      <c r="DN104" s="52">
        <v>40.04</v>
      </c>
      <c r="DO104" s="52">
        <v>85.16</v>
      </c>
      <c r="DP104" s="52">
        <v>146.06</v>
      </c>
      <c r="DQ104" s="52">
        <v>184.64</v>
      </c>
      <c r="DR104" s="52">
        <v>251.64</v>
      </c>
      <c r="DS104" s="52">
        <v>186.82</v>
      </c>
      <c r="DT104" s="52"/>
      <c r="DU104" s="52">
        <v>208.27</v>
      </c>
      <c r="DV104" s="52">
        <v>259.04000000000002</v>
      </c>
      <c r="DW104" s="52">
        <v>181.87</v>
      </c>
      <c r="DX104" s="52">
        <v>227.3</v>
      </c>
      <c r="DY104" s="52">
        <v>311.01</v>
      </c>
      <c r="DZ104" s="52">
        <v>210.51</v>
      </c>
      <c r="EA104" s="52">
        <v>174.64</v>
      </c>
      <c r="EB104" s="52">
        <v>241.68</v>
      </c>
      <c r="EC104" s="52">
        <v>253.28</v>
      </c>
      <c r="ED104" s="52">
        <v>242.26</v>
      </c>
      <c r="EE104" s="52">
        <v>186.94</v>
      </c>
      <c r="EF104" s="52">
        <v>173.34</v>
      </c>
      <c r="EG104" s="52">
        <v>283.7</v>
      </c>
      <c r="EH104" s="52">
        <v>258.58</v>
      </c>
      <c r="EI104" s="52">
        <v>252.28</v>
      </c>
      <c r="EJ104" s="52">
        <v>121.6</v>
      </c>
      <c r="EK104" s="52">
        <v>158.31</v>
      </c>
      <c r="EL104" s="52">
        <v>517.94000000000005</v>
      </c>
      <c r="EM104" s="52">
        <v>232.18</v>
      </c>
      <c r="EN104" s="52">
        <v>250.56</v>
      </c>
      <c r="EO104" s="52">
        <v>250.38</v>
      </c>
      <c r="EP104" s="52">
        <v>223.84</v>
      </c>
      <c r="EQ104" s="52">
        <v>286.32</v>
      </c>
      <c r="ER104" s="52">
        <v>332.94</v>
      </c>
      <c r="ES104" s="52">
        <v>293.73</v>
      </c>
      <c r="ET104" s="52">
        <v>221.84</v>
      </c>
      <c r="EU104" s="52">
        <v>208.08</v>
      </c>
      <c r="EV104" s="52">
        <v>246.37</v>
      </c>
      <c r="EW104" s="52">
        <v>208.82</v>
      </c>
      <c r="EX104" s="52">
        <v>224.63</v>
      </c>
      <c r="EY104" s="52">
        <v>155.44999999999999</v>
      </c>
      <c r="EZ104" s="52">
        <v>227.29</v>
      </c>
      <c r="FA104" s="52">
        <v>271.08999999999997</v>
      </c>
      <c r="FB104" s="52">
        <v>242.8</v>
      </c>
      <c r="FC104" s="52">
        <v>275.29000000000002</v>
      </c>
      <c r="FD104" s="52">
        <v>210.84</v>
      </c>
      <c r="FE104" s="52">
        <v>201.88</v>
      </c>
      <c r="FF104" s="52"/>
      <c r="FG104" s="52">
        <v>174.57</v>
      </c>
      <c r="FH104" s="52">
        <v>189.12</v>
      </c>
      <c r="FI104" s="52">
        <v>233.91</v>
      </c>
      <c r="FJ104" s="52">
        <v>249.61</v>
      </c>
      <c r="FK104" s="52">
        <v>262.17</v>
      </c>
      <c r="FL104" s="52">
        <v>213.12</v>
      </c>
      <c r="FM104" s="52">
        <v>202.51</v>
      </c>
      <c r="FN104" s="52">
        <v>190.35</v>
      </c>
      <c r="FO104" s="52">
        <v>290.49</v>
      </c>
      <c r="FP104" s="52">
        <v>338.78</v>
      </c>
      <c r="FQ104" s="52">
        <v>175.64</v>
      </c>
      <c r="FR104" s="52">
        <v>288.47000000000003</v>
      </c>
      <c r="FS104" s="52">
        <v>243.46</v>
      </c>
      <c r="FT104" s="52">
        <v>176.17</v>
      </c>
      <c r="FU104" s="52">
        <v>260.68</v>
      </c>
      <c r="FV104" s="52">
        <v>192.06</v>
      </c>
      <c r="FW104" s="52">
        <v>134.58000000000001</v>
      </c>
      <c r="FX104" s="52">
        <v>241.75</v>
      </c>
      <c r="FY104" s="52">
        <v>254.32</v>
      </c>
      <c r="FZ104" s="52">
        <v>222.86</v>
      </c>
      <c r="GA104" s="52">
        <v>214.6</v>
      </c>
      <c r="GB104" s="52">
        <v>184.95</v>
      </c>
      <c r="GC104" s="52">
        <v>177.49</v>
      </c>
      <c r="GD104" s="52">
        <v>170.39</v>
      </c>
      <c r="GE104" s="52">
        <v>406.04</v>
      </c>
      <c r="GF104" s="52">
        <v>267.70999999999998</v>
      </c>
      <c r="GG104" s="52">
        <v>350.3</v>
      </c>
      <c r="GH104" s="52">
        <v>400.88</v>
      </c>
      <c r="GI104" s="52">
        <v>134.02000000000001</v>
      </c>
      <c r="GJ104" s="52">
        <v>122.99</v>
      </c>
      <c r="GK104" s="52">
        <v>123.47</v>
      </c>
      <c r="GL104" s="52">
        <v>171.38</v>
      </c>
      <c r="GM104" s="52">
        <v>151.30000000000001</v>
      </c>
      <c r="GN104" s="52">
        <v>218.45</v>
      </c>
      <c r="GO104" s="52">
        <v>148.85</v>
      </c>
      <c r="GP104" s="52">
        <v>147.09</v>
      </c>
      <c r="GQ104" s="52">
        <v>151.75</v>
      </c>
      <c r="GR104" s="52">
        <v>236.98</v>
      </c>
      <c r="GS104" s="52">
        <v>299.99</v>
      </c>
      <c r="GT104" s="52">
        <v>180.99</v>
      </c>
      <c r="GU104" s="52">
        <v>218.83</v>
      </c>
      <c r="GV104" s="52">
        <v>232.49</v>
      </c>
      <c r="GW104" s="52">
        <v>285.60000000000002</v>
      </c>
      <c r="GX104" s="52">
        <v>306.58999999999997</v>
      </c>
      <c r="GY104" s="52">
        <v>266.35000000000002</v>
      </c>
      <c r="GZ104" s="52">
        <v>222.44</v>
      </c>
      <c r="HA104" s="52">
        <v>194.29</v>
      </c>
      <c r="HB104" s="52">
        <v>209.55</v>
      </c>
      <c r="HC104" s="52">
        <v>176.19</v>
      </c>
      <c r="HD104" s="52">
        <v>166.29</v>
      </c>
      <c r="HE104" s="52">
        <v>109.03</v>
      </c>
      <c r="HF104" s="52">
        <v>109.58</v>
      </c>
      <c r="HG104" s="52">
        <v>139.5</v>
      </c>
      <c r="HH104" s="52">
        <v>161.53</v>
      </c>
      <c r="HI104" s="52">
        <v>84.45</v>
      </c>
      <c r="HJ104" s="52">
        <v>142.6</v>
      </c>
      <c r="HK104" s="52">
        <v>276.13</v>
      </c>
      <c r="HL104" s="52">
        <v>152.49</v>
      </c>
      <c r="HM104" s="52">
        <v>207.05</v>
      </c>
      <c r="HN104" s="52">
        <v>204.48</v>
      </c>
      <c r="HO104" s="52">
        <v>182.66</v>
      </c>
      <c r="HP104" s="52">
        <v>223.82</v>
      </c>
      <c r="HQ104" s="52">
        <v>139.44</v>
      </c>
      <c r="HR104" s="52">
        <v>182.93</v>
      </c>
      <c r="HS104" s="52">
        <v>327.39</v>
      </c>
      <c r="HT104" s="52">
        <v>208.54</v>
      </c>
      <c r="HU104" s="52">
        <v>91.45</v>
      </c>
      <c r="HV104" s="52">
        <v>153</v>
      </c>
      <c r="HW104" s="52">
        <v>116.45</v>
      </c>
      <c r="HX104" s="52">
        <v>99.24</v>
      </c>
      <c r="HY104" s="52">
        <v>204.67</v>
      </c>
      <c r="HZ104" s="52">
        <v>156.02000000000001</v>
      </c>
      <c r="IA104" s="52">
        <v>92.08</v>
      </c>
      <c r="IB104" s="52">
        <v>180.42</v>
      </c>
      <c r="IC104" s="52">
        <v>121.62</v>
      </c>
      <c r="ID104" s="52">
        <v>136.74</v>
      </c>
      <c r="IE104" s="52">
        <v>116.94</v>
      </c>
      <c r="IF104" s="52">
        <v>151.72999999999999</v>
      </c>
      <c r="IG104" s="52">
        <v>206.71</v>
      </c>
      <c r="IH104" s="52">
        <v>261.3</v>
      </c>
      <c r="II104" s="52">
        <v>267.94</v>
      </c>
      <c r="IJ104" s="52">
        <v>202.42</v>
      </c>
      <c r="IK104" s="52">
        <v>269.49</v>
      </c>
      <c r="IL104" s="52">
        <v>203.33</v>
      </c>
      <c r="IM104" s="52">
        <v>272.2</v>
      </c>
      <c r="IN104" s="52">
        <v>262.85000000000002</v>
      </c>
      <c r="IO104" s="52">
        <v>206.44</v>
      </c>
      <c r="IP104" s="52">
        <v>141.85</v>
      </c>
      <c r="IQ104" s="52">
        <v>203.16</v>
      </c>
      <c r="IR104" s="52">
        <v>285.89</v>
      </c>
      <c r="IS104" s="52">
        <v>296.32</v>
      </c>
      <c r="IT104" s="52">
        <v>50.81</v>
      </c>
      <c r="IU104" s="52">
        <v>131.63</v>
      </c>
      <c r="IV104" s="52">
        <v>40.14</v>
      </c>
      <c r="IW104" s="52">
        <v>85.16</v>
      </c>
      <c r="IX104" s="52">
        <v>146.06</v>
      </c>
      <c r="IY104" s="52">
        <v>184.64</v>
      </c>
      <c r="IZ104" s="52">
        <v>251.64</v>
      </c>
      <c r="JA104" s="52">
        <v>186.82</v>
      </c>
      <c r="JB104" s="52"/>
      <c r="JC104" s="52">
        <v>208.27</v>
      </c>
      <c r="JD104" s="52">
        <v>259.04000000000002</v>
      </c>
      <c r="JE104" s="52">
        <v>195.73</v>
      </c>
      <c r="JF104" s="52">
        <v>177.52</v>
      </c>
      <c r="JG104" s="52">
        <v>227.3</v>
      </c>
      <c r="JH104" s="52">
        <v>311.01</v>
      </c>
      <c r="JI104" s="52">
        <v>210.51</v>
      </c>
      <c r="JJ104" s="52">
        <v>174.64</v>
      </c>
      <c r="JK104" s="52">
        <v>241.68</v>
      </c>
      <c r="JL104" s="52">
        <v>253.28</v>
      </c>
      <c r="JM104" s="52">
        <v>242.26</v>
      </c>
      <c r="JN104" s="52">
        <v>186.94</v>
      </c>
      <c r="JO104" s="52">
        <v>173.34</v>
      </c>
      <c r="JP104" s="52">
        <v>296.94</v>
      </c>
      <c r="JQ104" s="52">
        <v>252.79</v>
      </c>
      <c r="JR104" s="52">
        <v>237.51</v>
      </c>
      <c r="JS104" s="52">
        <v>290.27999999999997</v>
      </c>
      <c r="JT104" s="52">
        <v>278.17</v>
      </c>
      <c r="JU104" s="52">
        <v>227.14</v>
      </c>
      <c r="JV104" s="52">
        <v>121.6</v>
      </c>
      <c r="JW104" s="52">
        <v>158.31</v>
      </c>
      <c r="JX104" s="52">
        <v>517.94000000000005</v>
      </c>
      <c r="JY104" s="52">
        <v>234.2</v>
      </c>
      <c r="JZ104" s="52">
        <v>226.43</v>
      </c>
      <c r="KA104" s="52">
        <v>250.56</v>
      </c>
      <c r="KB104" s="52">
        <v>250.38</v>
      </c>
      <c r="KC104" s="52">
        <v>223.84</v>
      </c>
      <c r="KD104" s="52">
        <v>286.32</v>
      </c>
      <c r="KE104" s="52">
        <v>332.94</v>
      </c>
      <c r="KF104" s="52">
        <v>293.73</v>
      </c>
    </row>
    <row r="105" spans="1:292" s="41" customFormat="1" ht="12">
      <c r="A105" s="41">
        <v>2013</v>
      </c>
      <c r="B105" s="54" t="s">
        <v>983</v>
      </c>
      <c r="C105" s="55" t="s">
        <v>984</v>
      </c>
      <c r="D105" s="56">
        <v>219.75</v>
      </c>
      <c r="E105" s="56">
        <v>233.02</v>
      </c>
      <c r="F105" s="56">
        <v>400.16</v>
      </c>
      <c r="G105" s="56">
        <v>152.5</v>
      </c>
      <c r="H105" s="56">
        <v>260.56</v>
      </c>
      <c r="I105" s="56">
        <v>174.53</v>
      </c>
      <c r="J105" s="56">
        <v>132.69999999999999</v>
      </c>
      <c r="K105" s="56">
        <v>209.22</v>
      </c>
      <c r="L105" s="56">
        <v>121.36</v>
      </c>
      <c r="M105" s="56">
        <v>157.72999999999999</v>
      </c>
      <c r="N105" s="56">
        <v>213.91</v>
      </c>
      <c r="O105" s="56">
        <v>289.14999999999998</v>
      </c>
      <c r="P105" s="56">
        <v>254.84</v>
      </c>
      <c r="Q105" s="56">
        <v>235.25</v>
      </c>
      <c r="R105" s="56">
        <v>202.05</v>
      </c>
      <c r="S105" s="56">
        <v>375.14</v>
      </c>
      <c r="T105" s="56">
        <v>401.55</v>
      </c>
      <c r="U105" s="56">
        <v>148.12</v>
      </c>
      <c r="V105" s="56">
        <v>164.96</v>
      </c>
      <c r="W105" s="56">
        <v>301.5</v>
      </c>
      <c r="X105" s="56">
        <v>181.51</v>
      </c>
      <c r="Y105" s="56">
        <v>220.62</v>
      </c>
      <c r="Z105" s="56">
        <v>274.63</v>
      </c>
      <c r="AA105" s="56">
        <v>199.71</v>
      </c>
      <c r="AB105" s="56">
        <v>167.15</v>
      </c>
      <c r="AC105" s="56">
        <v>134.51</v>
      </c>
      <c r="AD105" s="56">
        <v>182.61</v>
      </c>
      <c r="AE105" s="56">
        <v>206.07</v>
      </c>
      <c r="AF105" s="56">
        <v>178.31</v>
      </c>
      <c r="AG105" s="56">
        <v>95.4</v>
      </c>
      <c r="AH105" s="56">
        <v>164.95</v>
      </c>
      <c r="AI105" s="56">
        <v>180.6</v>
      </c>
      <c r="AJ105" s="56">
        <v>134</v>
      </c>
      <c r="AK105" s="56">
        <v>251.29</v>
      </c>
      <c r="AL105" s="56">
        <v>253.95</v>
      </c>
      <c r="AM105" s="56">
        <v>296.32</v>
      </c>
      <c r="AN105" s="56">
        <v>50.21</v>
      </c>
      <c r="AO105" s="56">
        <v>132.03</v>
      </c>
      <c r="AP105" s="56">
        <v>61.63</v>
      </c>
      <c r="AQ105" s="56">
        <v>185.24</v>
      </c>
      <c r="AR105" s="56">
        <v>235.9</v>
      </c>
      <c r="AS105" s="56">
        <v>219.76</v>
      </c>
      <c r="AT105" s="56">
        <v>241.18</v>
      </c>
      <c r="AU105" s="56">
        <v>246.94</v>
      </c>
      <c r="AV105" s="56">
        <v>255.21</v>
      </c>
      <c r="AW105" s="56">
        <v>243.95</v>
      </c>
      <c r="AX105" s="56">
        <v>186.94</v>
      </c>
      <c r="AY105" s="56">
        <v>173</v>
      </c>
      <c r="AZ105" s="56">
        <v>286.02999999999997</v>
      </c>
      <c r="BA105" s="56">
        <v>259.89</v>
      </c>
      <c r="BB105" s="56">
        <v>179.21</v>
      </c>
      <c r="BC105" s="56">
        <v>415.33</v>
      </c>
      <c r="BD105" s="56">
        <v>250.55</v>
      </c>
      <c r="BE105" s="56">
        <v>275.35000000000002</v>
      </c>
      <c r="BF105" s="56">
        <v>332.94</v>
      </c>
      <c r="BG105" s="56">
        <v>293.77</v>
      </c>
      <c r="BH105" s="52">
        <v>232.38</v>
      </c>
      <c r="BI105" s="52">
        <v>250.16</v>
      </c>
      <c r="BJ105" s="52">
        <v>204.9</v>
      </c>
      <c r="BK105" s="52">
        <v>209.67</v>
      </c>
      <c r="BL105" s="52">
        <v>209.6</v>
      </c>
      <c r="BM105" s="52">
        <v>202.15</v>
      </c>
      <c r="BN105" s="52">
        <v>285.29000000000002</v>
      </c>
      <c r="BO105" s="52">
        <v>188.26</v>
      </c>
      <c r="BP105" s="52">
        <v>243.77</v>
      </c>
      <c r="BQ105" s="52">
        <v>226.93</v>
      </c>
      <c r="BR105" s="52">
        <v>179.45</v>
      </c>
      <c r="BS105" s="52">
        <v>406.11</v>
      </c>
      <c r="BT105" s="52">
        <v>264.60000000000002</v>
      </c>
      <c r="BU105" s="52">
        <v>350.06</v>
      </c>
      <c r="BV105" s="52">
        <v>401.55</v>
      </c>
      <c r="BW105" s="52">
        <v>146.44999999999999</v>
      </c>
      <c r="BX105" s="52">
        <v>157.56</v>
      </c>
      <c r="BY105" s="52">
        <v>219.93</v>
      </c>
      <c r="BZ105" s="52">
        <v>164.51</v>
      </c>
      <c r="CA105" s="52">
        <v>239.69</v>
      </c>
      <c r="CB105" s="53">
        <v>301.5</v>
      </c>
      <c r="CC105" s="52">
        <v>181.51</v>
      </c>
      <c r="CD105" s="52">
        <v>219.78</v>
      </c>
      <c r="CE105" s="52">
        <v>233.6</v>
      </c>
      <c r="CF105" s="52">
        <v>304.79000000000002</v>
      </c>
      <c r="CG105" s="52">
        <v>264.45</v>
      </c>
      <c r="CH105" s="52">
        <v>205.58</v>
      </c>
      <c r="CI105" s="52">
        <v>177.35</v>
      </c>
      <c r="CJ105" s="52">
        <v>167.15</v>
      </c>
      <c r="CK105" s="52">
        <v>122.65</v>
      </c>
      <c r="CL105" s="52">
        <v>142.37</v>
      </c>
      <c r="CM105" s="52">
        <v>277.25</v>
      </c>
      <c r="CN105" s="52">
        <v>182.61</v>
      </c>
      <c r="CO105" s="52">
        <v>206.07</v>
      </c>
      <c r="CP105" s="52">
        <v>143.38</v>
      </c>
      <c r="CQ105" s="52">
        <v>324.92</v>
      </c>
      <c r="CR105" s="52">
        <v>91.34</v>
      </c>
      <c r="CS105" s="52">
        <v>153.61000000000001</v>
      </c>
      <c r="CT105" s="52">
        <v>112.88</v>
      </c>
      <c r="CU105" s="52">
        <v>204.74</v>
      </c>
      <c r="CV105" s="52">
        <v>158.83000000000001</v>
      </c>
      <c r="CW105" s="52">
        <v>101</v>
      </c>
      <c r="CX105" s="52">
        <v>180.6</v>
      </c>
      <c r="CY105" s="52">
        <v>134.09</v>
      </c>
      <c r="CZ105" s="52">
        <v>116.97</v>
      </c>
      <c r="DA105" s="52">
        <v>155.49</v>
      </c>
      <c r="DB105" s="52">
        <v>206.09</v>
      </c>
      <c r="DC105" s="52">
        <v>253.44</v>
      </c>
      <c r="DD105" s="52">
        <v>266.43</v>
      </c>
      <c r="DE105" s="52">
        <v>203.78</v>
      </c>
      <c r="DF105" s="52">
        <v>246.41</v>
      </c>
      <c r="DG105" s="52">
        <v>258.52</v>
      </c>
      <c r="DH105" s="52">
        <v>150.27000000000001</v>
      </c>
      <c r="DI105" s="52">
        <v>203.16</v>
      </c>
      <c r="DJ105" s="52">
        <v>287.63</v>
      </c>
      <c r="DK105" s="52">
        <v>296.32</v>
      </c>
      <c r="DL105" s="52">
        <v>50.21</v>
      </c>
      <c r="DM105" s="52">
        <v>132.03</v>
      </c>
      <c r="DN105" s="52">
        <v>39.159999999999997</v>
      </c>
      <c r="DO105" s="52">
        <v>83.98</v>
      </c>
      <c r="DP105" s="52">
        <v>146.35</v>
      </c>
      <c r="DQ105" s="52">
        <v>185.24</v>
      </c>
      <c r="DR105" s="52">
        <v>252.89</v>
      </c>
      <c r="DS105" s="52">
        <v>192.2</v>
      </c>
      <c r="DT105" s="52"/>
      <c r="DU105" s="52">
        <v>210.5</v>
      </c>
      <c r="DV105" s="52">
        <v>260.25</v>
      </c>
      <c r="DW105" s="52">
        <v>182.8</v>
      </c>
      <c r="DX105" s="52">
        <v>227.3</v>
      </c>
      <c r="DY105" s="52">
        <v>330.8</v>
      </c>
      <c r="DZ105" s="52">
        <v>210.51</v>
      </c>
      <c r="EA105" s="52">
        <v>175.16</v>
      </c>
      <c r="EB105" s="52">
        <v>246.94</v>
      </c>
      <c r="EC105" s="52">
        <v>255.21</v>
      </c>
      <c r="ED105" s="52">
        <v>243.95</v>
      </c>
      <c r="EE105" s="52">
        <v>186.94</v>
      </c>
      <c r="EF105" s="52">
        <v>173</v>
      </c>
      <c r="EG105" s="52">
        <v>286.02999999999997</v>
      </c>
      <c r="EH105" s="52">
        <v>259.89</v>
      </c>
      <c r="EI105" s="52">
        <v>254.04</v>
      </c>
      <c r="EJ105" s="52">
        <v>122.66</v>
      </c>
      <c r="EK105" s="52">
        <v>158.75</v>
      </c>
      <c r="EL105" s="52">
        <v>485.68</v>
      </c>
      <c r="EM105" s="52">
        <v>234.72</v>
      </c>
      <c r="EN105" s="52">
        <v>250.55</v>
      </c>
      <c r="EO105" s="52">
        <v>251.62</v>
      </c>
      <c r="EP105" s="52">
        <v>223.66</v>
      </c>
      <c r="EQ105" s="52">
        <v>287.19</v>
      </c>
      <c r="ER105" s="52">
        <v>332.94</v>
      </c>
      <c r="ES105" s="52">
        <v>293.77</v>
      </c>
      <c r="ET105" s="52">
        <v>224.44</v>
      </c>
      <c r="EU105" s="52">
        <v>210.63</v>
      </c>
      <c r="EV105" s="52">
        <v>248.83</v>
      </c>
      <c r="EW105" s="52">
        <v>208.93</v>
      </c>
      <c r="EX105" s="52">
        <v>220.76</v>
      </c>
      <c r="EY105" s="52">
        <v>155.54</v>
      </c>
      <c r="EZ105" s="52">
        <v>230.03</v>
      </c>
      <c r="FA105" s="52">
        <v>281.44</v>
      </c>
      <c r="FB105" s="52">
        <v>251.42</v>
      </c>
      <c r="FC105" s="52">
        <v>278.51</v>
      </c>
      <c r="FD105" s="52">
        <v>212.6</v>
      </c>
      <c r="FE105" s="52">
        <v>204.9</v>
      </c>
      <c r="FF105" s="52"/>
      <c r="FG105" s="52">
        <v>173.49</v>
      </c>
      <c r="FH105" s="52">
        <v>187.01</v>
      </c>
      <c r="FI105" s="52">
        <v>229.96</v>
      </c>
      <c r="FJ105" s="52">
        <v>242.07</v>
      </c>
      <c r="FK105" s="52">
        <v>260.47000000000003</v>
      </c>
      <c r="FL105" s="52">
        <v>211.46</v>
      </c>
      <c r="FM105" s="52">
        <v>203.89</v>
      </c>
      <c r="FN105" s="52">
        <v>185.04</v>
      </c>
      <c r="FO105" s="52">
        <v>293.63</v>
      </c>
      <c r="FP105" s="52">
        <v>302.23</v>
      </c>
      <c r="FQ105" s="52">
        <v>183.07</v>
      </c>
      <c r="FR105" s="52">
        <v>289.22000000000003</v>
      </c>
      <c r="FS105" s="52">
        <v>241.32</v>
      </c>
      <c r="FT105" s="52">
        <v>174.97</v>
      </c>
      <c r="FU105" s="52">
        <v>259.24</v>
      </c>
      <c r="FV105" s="52">
        <v>191.79</v>
      </c>
      <c r="FW105" s="52">
        <v>133.09</v>
      </c>
      <c r="FX105" s="52">
        <v>243.77</v>
      </c>
      <c r="FY105" s="52">
        <v>254.87</v>
      </c>
      <c r="FZ105" s="52">
        <v>222.48</v>
      </c>
      <c r="GA105" s="52">
        <v>215.78</v>
      </c>
      <c r="GB105" s="52">
        <v>185.96</v>
      </c>
      <c r="GC105" s="52">
        <v>176.99</v>
      </c>
      <c r="GD105" s="52">
        <v>170.3</v>
      </c>
      <c r="GE105" s="52">
        <v>406.11</v>
      </c>
      <c r="GF105" s="52">
        <v>264.60000000000002</v>
      </c>
      <c r="GG105" s="52">
        <v>350.06</v>
      </c>
      <c r="GH105" s="52">
        <v>400.88</v>
      </c>
      <c r="GI105" s="52">
        <v>153.66</v>
      </c>
      <c r="GJ105" s="52">
        <v>140.63999999999999</v>
      </c>
      <c r="GK105" s="52">
        <v>142.34</v>
      </c>
      <c r="GL105" s="52">
        <v>174.52</v>
      </c>
      <c r="GM105" s="52">
        <v>157.56</v>
      </c>
      <c r="GN105" s="52">
        <v>219.93</v>
      </c>
      <c r="GO105" s="52">
        <v>163.72999999999999</v>
      </c>
      <c r="GP105" s="52">
        <v>164.35</v>
      </c>
      <c r="GQ105" s="52">
        <v>166.75</v>
      </c>
      <c r="GR105" s="52">
        <v>239.69</v>
      </c>
      <c r="GS105" s="52">
        <v>301.5</v>
      </c>
      <c r="GT105" s="52">
        <v>181.51</v>
      </c>
      <c r="GU105" s="52">
        <v>219.78</v>
      </c>
      <c r="GV105" s="52">
        <v>233.6</v>
      </c>
      <c r="GW105" s="52">
        <v>285.77999999999997</v>
      </c>
      <c r="GX105" s="52">
        <v>301.20999999999998</v>
      </c>
      <c r="GY105" s="52">
        <v>264.45</v>
      </c>
      <c r="GZ105" s="52">
        <v>224.75</v>
      </c>
      <c r="HA105" s="52">
        <v>195.24</v>
      </c>
      <c r="HB105" s="52">
        <v>212.68</v>
      </c>
      <c r="HC105" s="52">
        <v>177.35</v>
      </c>
      <c r="HD105" s="52">
        <v>167.15</v>
      </c>
      <c r="HE105" s="52">
        <v>108.43</v>
      </c>
      <c r="HF105" s="52">
        <v>110.31</v>
      </c>
      <c r="HG105" s="52">
        <v>140.21</v>
      </c>
      <c r="HH105" s="52">
        <v>163.15</v>
      </c>
      <c r="HI105" s="52">
        <v>84.02</v>
      </c>
      <c r="HJ105" s="52">
        <v>142.37</v>
      </c>
      <c r="HK105" s="52">
        <v>277.25</v>
      </c>
      <c r="HL105" s="52">
        <v>152.71</v>
      </c>
      <c r="HM105" s="52">
        <v>208.27</v>
      </c>
      <c r="HN105" s="52">
        <v>206.27</v>
      </c>
      <c r="HO105" s="52">
        <v>183.84</v>
      </c>
      <c r="HP105" s="52">
        <v>224.42</v>
      </c>
      <c r="HQ105" s="52">
        <v>138.34</v>
      </c>
      <c r="HR105" s="52">
        <v>184.25</v>
      </c>
      <c r="HS105" s="52">
        <v>330.2</v>
      </c>
      <c r="HT105" s="52">
        <v>209.64</v>
      </c>
      <c r="HU105" s="52">
        <v>91.34</v>
      </c>
      <c r="HV105" s="52">
        <v>153.61000000000001</v>
      </c>
      <c r="HW105" s="52">
        <v>116.52</v>
      </c>
      <c r="HX105" s="52">
        <v>99.49</v>
      </c>
      <c r="HY105" s="52">
        <v>204.74</v>
      </c>
      <c r="HZ105" s="52">
        <v>158.83000000000001</v>
      </c>
      <c r="IA105" s="52">
        <v>92.26</v>
      </c>
      <c r="IB105" s="52">
        <v>180.6</v>
      </c>
      <c r="IC105" s="52">
        <v>121.72</v>
      </c>
      <c r="ID105" s="52">
        <v>135.93</v>
      </c>
      <c r="IE105" s="52">
        <v>116.97</v>
      </c>
      <c r="IF105" s="52">
        <v>155.49</v>
      </c>
      <c r="IG105" s="52">
        <v>206.09</v>
      </c>
      <c r="IH105" s="52">
        <v>253.44</v>
      </c>
      <c r="II105" s="52">
        <v>266.43</v>
      </c>
      <c r="IJ105" s="52">
        <v>203.78</v>
      </c>
      <c r="IK105" s="52">
        <v>269.49</v>
      </c>
      <c r="IL105" s="52">
        <v>203.33</v>
      </c>
      <c r="IM105" s="52">
        <v>272.76</v>
      </c>
      <c r="IN105" s="52">
        <v>263.3</v>
      </c>
      <c r="IO105" s="52">
        <v>206.39</v>
      </c>
      <c r="IP105" s="52">
        <v>150.27000000000001</v>
      </c>
      <c r="IQ105" s="52">
        <v>203.16</v>
      </c>
      <c r="IR105" s="52">
        <v>287.63</v>
      </c>
      <c r="IS105" s="52">
        <v>296.32</v>
      </c>
      <c r="IT105" s="52">
        <v>50.21</v>
      </c>
      <c r="IU105" s="52">
        <v>132.03</v>
      </c>
      <c r="IV105" s="52">
        <v>39.229999999999997</v>
      </c>
      <c r="IW105" s="52">
        <v>83.98</v>
      </c>
      <c r="IX105" s="52">
        <v>146.35</v>
      </c>
      <c r="IY105" s="52">
        <v>185.24</v>
      </c>
      <c r="IZ105" s="52">
        <v>252.89</v>
      </c>
      <c r="JA105" s="52">
        <v>192.2</v>
      </c>
      <c r="JB105" s="52"/>
      <c r="JC105" s="52">
        <v>210.5</v>
      </c>
      <c r="JD105" s="52">
        <v>260.25</v>
      </c>
      <c r="JE105" s="52">
        <v>200.33</v>
      </c>
      <c r="JF105" s="52">
        <v>177.67</v>
      </c>
      <c r="JG105" s="52">
        <v>227.3</v>
      </c>
      <c r="JH105" s="52">
        <v>330.8</v>
      </c>
      <c r="JI105" s="52">
        <v>210.51</v>
      </c>
      <c r="JJ105" s="52">
        <v>175.16</v>
      </c>
      <c r="JK105" s="52">
        <v>246.94</v>
      </c>
      <c r="JL105" s="52">
        <v>255.21</v>
      </c>
      <c r="JM105" s="52">
        <v>243.95</v>
      </c>
      <c r="JN105" s="52">
        <v>186.94</v>
      </c>
      <c r="JO105" s="52">
        <v>173</v>
      </c>
      <c r="JP105" s="52">
        <v>299.64</v>
      </c>
      <c r="JQ105" s="52">
        <v>254.09</v>
      </c>
      <c r="JR105" s="52">
        <v>239.46</v>
      </c>
      <c r="JS105" s="52">
        <v>290.24</v>
      </c>
      <c r="JT105" s="52">
        <v>281.02999999999997</v>
      </c>
      <c r="JU105" s="52">
        <v>227.83</v>
      </c>
      <c r="JV105" s="52">
        <v>122.66</v>
      </c>
      <c r="JW105" s="52">
        <v>158.75</v>
      </c>
      <c r="JX105" s="52">
        <v>485.68</v>
      </c>
      <c r="JY105" s="52">
        <v>237.8</v>
      </c>
      <c r="JZ105" s="52">
        <v>227.16</v>
      </c>
      <c r="KA105" s="52">
        <v>250.55</v>
      </c>
      <c r="KB105" s="52">
        <v>251.62</v>
      </c>
      <c r="KC105" s="52">
        <v>223.66</v>
      </c>
      <c r="KD105" s="52">
        <v>287.19</v>
      </c>
      <c r="KE105" s="52">
        <v>332.94</v>
      </c>
      <c r="KF105" s="52">
        <v>293.77</v>
      </c>
    </row>
    <row r="106" spans="1:292" s="41" customFormat="1" ht="12">
      <c r="A106" s="41">
        <v>2013</v>
      </c>
      <c r="B106" s="54" t="s">
        <v>985</v>
      </c>
      <c r="C106" s="55" t="s">
        <v>986</v>
      </c>
      <c r="D106" s="52">
        <v>220.07</v>
      </c>
      <c r="E106" s="52">
        <v>227.94</v>
      </c>
      <c r="F106" s="52">
        <v>400.17</v>
      </c>
      <c r="G106" s="52">
        <v>165.99</v>
      </c>
      <c r="H106" s="52">
        <v>260.45999999999998</v>
      </c>
      <c r="I106" s="52">
        <v>174.15</v>
      </c>
      <c r="J106" s="52">
        <v>132.88</v>
      </c>
      <c r="K106" s="52">
        <v>209.5</v>
      </c>
      <c r="L106" s="52">
        <v>121.84</v>
      </c>
      <c r="M106" s="52">
        <v>158.44999999999999</v>
      </c>
      <c r="N106" s="52">
        <v>217.61</v>
      </c>
      <c r="O106" s="52">
        <v>291.31</v>
      </c>
      <c r="P106" s="52">
        <v>253.89</v>
      </c>
      <c r="Q106" s="52">
        <v>229.64</v>
      </c>
      <c r="R106" s="52">
        <v>203.13</v>
      </c>
      <c r="S106" s="52">
        <v>375.36</v>
      </c>
      <c r="T106" s="52">
        <v>401.55</v>
      </c>
      <c r="U106" s="52">
        <v>162.69</v>
      </c>
      <c r="V106" s="52">
        <v>174.38</v>
      </c>
      <c r="W106" s="52">
        <v>302.87</v>
      </c>
      <c r="X106" s="52">
        <v>182.05</v>
      </c>
      <c r="Y106" s="52">
        <v>221.05</v>
      </c>
      <c r="Z106" s="52">
        <v>273.24</v>
      </c>
      <c r="AA106" s="52">
        <v>198.57</v>
      </c>
      <c r="AB106" s="52">
        <v>167.63</v>
      </c>
      <c r="AC106" s="52">
        <v>132.6</v>
      </c>
      <c r="AD106" s="52">
        <v>182.92</v>
      </c>
      <c r="AE106" s="52">
        <v>206.8</v>
      </c>
      <c r="AF106" s="52">
        <v>180.06</v>
      </c>
      <c r="AG106" s="52">
        <v>95.4</v>
      </c>
      <c r="AH106" s="52">
        <v>165.28</v>
      </c>
      <c r="AI106" s="52">
        <v>181.08</v>
      </c>
      <c r="AJ106" s="52">
        <v>134.69999999999999</v>
      </c>
      <c r="AK106" s="52">
        <v>249.06</v>
      </c>
      <c r="AL106" s="52">
        <v>256.02</v>
      </c>
      <c r="AM106" s="52">
        <v>296.32</v>
      </c>
      <c r="AN106" s="52">
        <v>49.32</v>
      </c>
      <c r="AO106" s="52">
        <v>132.88999999999999</v>
      </c>
      <c r="AP106" s="52">
        <v>61.26</v>
      </c>
      <c r="AQ106" s="52">
        <v>185</v>
      </c>
      <c r="AR106" s="52">
        <v>237.58</v>
      </c>
      <c r="AS106" s="52">
        <v>221.46</v>
      </c>
      <c r="AT106" s="52">
        <v>239.31</v>
      </c>
      <c r="AU106" s="52">
        <v>254.59</v>
      </c>
      <c r="AV106" s="52">
        <v>260.01</v>
      </c>
      <c r="AW106" s="52">
        <v>251.31</v>
      </c>
      <c r="AX106" s="52">
        <v>186.94</v>
      </c>
      <c r="AY106" s="52">
        <v>174.06</v>
      </c>
      <c r="AZ106" s="52">
        <v>288.23</v>
      </c>
      <c r="BA106" s="52">
        <v>261.31</v>
      </c>
      <c r="BB106" s="52">
        <v>180.23</v>
      </c>
      <c r="BC106" s="52">
        <v>404.1</v>
      </c>
      <c r="BD106" s="52">
        <v>251.15</v>
      </c>
      <c r="BE106" s="52">
        <v>273.77999999999997</v>
      </c>
      <c r="BF106" s="52">
        <v>332.94</v>
      </c>
      <c r="BG106" s="52">
        <v>293.72000000000003</v>
      </c>
      <c r="BH106" s="52">
        <v>234.85</v>
      </c>
      <c r="BI106" s="52">
        <v>247.62</v>
      </c>
      <c r="BJ106" s="52">
        <v>214.83</v>
      </c>
      <c r="BK106" s="52">
        <v>206.38</v>
      </c>
      <c r="BL106" s="52">
        <v>209.47</v>
      </c>
      <c r="BM106" s="52">
        <v>210.84</v>
      </c>
      <c r="BN106" s="52">
        <v>242.43</v>
      </c>
      <c r="BO106" s="52">
        <v>188.78</v>
      </c>
      <c r="BP106" s="52">
        <v>245.02</v>
      </c>
      <c r="BQ106" s="52">
        <v>227.49</v>
      </c>
      <c r="BR106" s="52">
        <v>180.71</v>
      </c>
      <c r="BS106" s="52">
        <v>406.09</v>
      </c>
      <c r="BT106" s="52">
        <v>264.64</v>
      </c>
      <c r="BU106" s="52">
        <v>350.49</v>
      </c>
      <c r="BV106" s="52">
        <v>401.55</v>
      </c>
      <c r="BW106" s="52">
        <v>161.88</v>
      </c>
      <c r="BX106" s="52">
        <v>160.6</v>
      </c>
      <c r="BY106" s="52">
        <v>220.92</v>
      </c>
      <c r="BZ106" s="52">
        <v>173.97</v>
      </c>
      <c r="CA106" s="52">
        <v>241.41</v>
      </c>
      <c r="CB106" s="53">
        <v>302.87</v>
      </c>
      <c r="CC106" s="52">
        <v>182.05</v>
      </c>
      <c r="CD106" s="52">
        <v>220.21</v>
      </c>
      <c r="CE106" s="52">
        <v>233.66</v>
      </c>
      <c r="CF106" s="52">
        <v>301.72000000000003</v>
      </c>
      <c r="CG106" s="52">
        <v>262.27</v>
      </c>
      <c r="CH106" s="52">
        <v>204.22</v>
      </c>
      <c r="CI106" s="52">
        <v>178.02</v>
      </c>
      <c r="CJ106" s="52">
        <v>167.63</v>
      </c>
      <c r="CK106" s="52">
        <v>120.51</v>
      </c>
      <c r="CL106" s="52">
        <v>143.12</v>
      </c>
      <c r="CM106" s="52">
        <v>276.01</v>
      </c>
      <c r="CN106" s="52">
        <v>182.92</v>
      </c>
      <c r="CO106" s="52">
        <v>206.8</v>
      </c>
      <c r="CP106" s="52">
        <v>144.97999999999999</v>
      </c>
      <c r="CQ106" s="52">
        <v>327.25</v>
      </c>
      <c r="CR106" s="52">
        <v>91.34</v>
      </c>
      <c r="CS106" s="52">
        <v>154.12</v>
      </c>
      <c r="CT106" s="52">
        <v>112.72</v>
      </c>
      <c r="CU106" s="52">
        <v>204.77</v>
      </c>
      <c r="CV106" s="52">
        <v>159.37</v>
      </c>
      <c r="CW106" s="52">
        <v>101.35</v>
      </c>
      <c r="CX106" s="52">
        <v>181.08</v>
      </c>
      <c r="CY106" s="52">
        <v>134.78</v>
      </c>
      <c r="CZ106" s="52">
        <v>117</v>
      </c>
      <c r="DA106" s="52">
        <v>159.53</v>
      </c>
      <c r="DB106" s="52">
        <v>204.69</v>
      </c>
      <c r="DC106" s="52">
        <v>249.77</v>
      </c>
      <c r="DD106" s="52">
        <v>271.58</v>
      </c>
      <c r="DE106" s="52">
        <v>204.55</v>
      </c>
      <c r="DF106" s="52">
        <v>246.41</v>
      </c>
      <c r="DG106" s="52">
        <v>260.52</v>
      </c>
      <c r="DH106" s="52">
        <v>152.97999999999999</v>
      </c>
      <c r="DI106" s="52">
        <v>203.16</v>
      </c>
      <c r="DJ106" s="52">
        <v>289.98</v>
      </c>
      <c r="DK106" s="52">
        <v>296.32</v>
      </c>
      <c r="DL106" s="52">
        <v>49.32</v>
      </c>
      <c r="DM106" s="52">
        <v>132.88999999999999</v>
      </c>
      <c r="DN106" s="52">
        <v>39.53</v>
      </c>
      <c r="DO106" s="52">
        <v>82.11</v>
      </c>
      <c r="DP106" s="52">
        <v>146.46</v>
      </c>
      <c r="DQ106" s="52">
        <v>185</v>
      </c>
      <c r="DR106" s="52">
        <v>253.54</v>
      </c>
      <c r="DS106" s="52">
        <v>196.21</v>
      </c>
      <c r="DT106" s="52"/>
      <c r="DU106" s="52">
        <v>210.67</v>
      </c>
      <c r="DV106" s="52">
        <v>263.74</v>
      </c>
      <c r="DW106" s="52">
        <v>183.37</v>
      </c>
      <c r="DX106" s="52">
        <v>227.3</v>
      </c>
      <c r="DY106" s="52">
        <v>324.70999999999998</v>
      </c>
      <c r="DZ106" s="52">
        <v>210.51</v>
      </c>
      <c r="EA106" s="52">
        <v>175.62</v>
      </c>
      <c r="EB106" s="52">
        <v>254.59</v>
      </c>
      <c r="EC106" s="52">
        <v>260.01</v>
      </c>
      <c r="ED106" s="52">
        <v>251.31</v>
      </c>
      <c r="EE106" s="52">
        <v>186.94</v>
      </c>
      <c r="EF106" s="52">
        <v>174.06</v>
      </c>
      <c r="EG106" s="52">
        <v>288.23</v>
      </c>
      <c r="EH106" s="52">
        <v>261.31</v>
      </c>
      <c r="EI106" s="52">
        <v>255.36</v>
      </c>
      <c r="EJ106" s="52">
        <v>122.43</v>
      </c>
      <c r="EK106" s="52">
        <v>159.74</v>
      </c>
      <c r="EL106" s="52">
        <v>466.82</v>
      </c>
      <c r="EM106" s="52">
        <v>235.99</v>
      </c>
      <c r="EN106" s="52">
        <v>251.15</v>
      </c>
      <c r="EO106" s="52">
        <v>253.17</v>
      </c>
      <c r="EP106" s="52">
        <v>223.76</v>
      </c>
      <c r="EQ106" s="52">
        <v>283.76</v>
      </c>
      <c r="ER106" s="52">
        <v>332.94</v>
      </c>
      <c r="ES106" s="52">
        <v>293.72000000000003</v>
      </c>
      <c r="ET106" s="52">
        <v>228.09</v>
      </c>
      <c r="EU106" s="52">
        <v>213.33</v>
      </c>
      <c r="EV106" s="52">
        <v>251.69</v>
      </c>
      <c r="EW106" s="52">
        <v>210.15</v>
      </c>
      <c r="EX106" s="52">
        <v>222.31</v>
      </c>
      <c r="EY106" s="52">
        <v>156.61000000000001</v>
      </c>
      <c r="EZ106" s="52">
        <v>230.88</v>
      </c>
      <c r="FA106" s="52">
        <v>277.95999999999998</v>
      </c>
      <c r="FB106" s="52">
        <v>242.58</v>
      </c>
      <c r="FC106" s="52">
        <v>280.14999999999998</v>
      </c>
      <c r="FD106" s="52">
        <v>214.93</v>
      </c>
      <c r="FE106" s="52">
        <v>214.83</v>
      </c>
      <c r="FF106" s="52"/>
      <c r="FG106" s="52">
        <v>173.3</v>
      </c>
      <c r="FH106" s="52">
        <v>186.24</v>
      </c>
      <c r="FI106" s="52">
        <v>229.58</v>
      </c>
      <c r="FJ106" s="52">
        <v>221.58</v>
      </c>
      <c r="FK106" s="52">
        <v>265.75</v>
      </c>
      <c r="FL106" s="52">
        <v>210.75</v>
      </c>
      <c r="FM106" s="52">
        <v>203.14</v>
      </c>
      <c r="FN106" s="52">
        <v>194.98</v>
      </c>
      <c r="FO106" s="52">
        <v>295.81</v>
      </c>
      <c r="FP106" s="52">
        <v>224.28</v>
      </c>
      <c r="FQ106" s="52">
        <v>271.06</v>
      </c>
      <c r="FR106" s="52">
        <v>292.18</v>
      </c>
      <c r="FS106" s="52">
        <v>242.94</v>
      </c>
      <c r="FT106" s="52">
        <v>174.25</v>
      </c>
      <c r="FU106" s="52">
        <v>264.2</v>
      </c>
      <c r="FV106" s="52">
        <v>193.29</v>
      </c>
      <c r="FW106" s="52">
        <v>130.62</v>
      </c>
      <c r="FX106" s="52">
        <v>245.02</v>
      </c>
      <c r="FY106" s="52">
        <v>257.29000000000002</v>
      </c>
      <c r="FZ106" s="52">
        <v>222.75</v>
      </c>
      <c r="GA106" s="52">
        <v>216.95</v>
      </c>
      <c r="GB106" s="52">
        <v>187.43</v>
      </c>
      <c r="GC106" s="52">
        <v>177.71</v>
      </c>
      <c r="GD106" s="52">
        <v>172.48</v>
      </c>
      <c r="GE106" s="52">
        <v>406.09</v>
      </c>
      <c r="GF106" s="52">
        <v>264.64</v>
      </c>
      <c r="GG106" s="52">
        <v>350.49</v>
      </c>
      <c r="GH106" s="52">
        <v>400.88</v>
      </c>
      <c r="GI106" s="52">
        <v>165.45</v>
      </c>
      <c r="GJ106" s="52">
        <v>162.31</v>
      </c>
      <c r="GK106" s="52">
        <v>150.69999999999999</v>
      </c>
      <c r="GL106" s="52">
        <v>177.15</v>
      </c>
      <c r="GM106" s="52">
        <v>160.6</v>
      </c>
      <c r="GN106" s="52">
        <v>220.92</v>
      </c>
      <c r="GO106" s="52">
        <v>171.52</v>
      </c>
      <c r="GP106" s="52">
        <v>176.32</v>
      </c>
      <c r="GQ106" s="52">
        <v>175.18</v>
      </c>
      <c r="GR106" s="52">
        <v>241.41</v>
      </c>
      <c r="GS106" s="52">
        <v>302.87</v>
      </c>
      <c r="GT106" s="52">
        <v>182.05</v>
      </c>
      <c r="GU106" s="52">
        <v>220.21</v>
      </c>
      <c r="GV106" s="52">
        <v>233.66</v>
      </c>
      <c r="GW106" s="52">
        <v>285.97000000000003</v>
      </c>
      <c r="GX106" s="52">
        <v>293.55</v>
      </c>
      <c r="GY106" s="52">
        <v>262.27</v>
      </c>
      <c r="GZ106" s="52">
        <v>226.21</v>
      </c>
      <c r="HA106" s="52">
        <v>193.47</v>
      </c>
      <c r="HB106" s="52">
        <v>210.76</v>
      </c>
      <c r="HC106" s="52">
        <v>178.02</v>
      </c>
      <c r="HD106" s="52">
        <v>167.63</v>
      </c>
      <c r="HE106" s="52">
        <v>103.32</v>
      </c>
      <c r="HF106" s="52">
        <v>109.93</v>
      </c>
      <c r="HG106" s="52">
        <v>140.69</v>
      </c>
      <c r="HH106" s="52">
        <v>163.98</v>
      </c>
      <c r="HI106" s="52">
        <v>81.290000000000006</v>
      </c>
      <c r="HJ106" s="52">
        <v>143.12</v>
      </c>
      <c r="HK106" s="52">
        <v>276.01</v>
      </c>
      <c r="HL106" s="52">
        <v>152.86000000000001</v>
      </c>
      <c r="HM106" s="52">
        <v>208.49</v>
      </c>
      <c r="HN106" s="52">
        <v>206.75</v>
      </c>
      <c r="HO106" s="52">
        <v>184.89</v>
      </c>
      <c r="HP106" s="52">
        <v>224.62</v>
      </c>
      <c r="HQ106" s="52">
        <v>139.94999999999999</v>
      </c>
      <c r="HR106" s="52">
        <v>185.82</v>
      </c>
      <c r="HS106" s="52">
        <v>332.66</v>
      </c>
      <c r="HT106" s="52">
        <v>210.09</v>
      </c>
      <c r="HU106" s="52">
        <v>91.34</v>
      </c>
      <c r="HV106" s="52">
        <v>154.12</v>
      </c>
      <c r="HW106" s="52">
        <v>116.54</v>
      </c>
      <c r="HX106" s="52">
        <v>99.08</v>
      </c>
      <c r="HY106" s="52">
        <v>204.77</v>
      </c>
      <c r="HZ106" s="52">
        <v>159.37</v>
      </c>
      <c r="IA106" s="52">
        <v>92.58</v>
      </c>
      <c r="IB106" s="52">
        <v>181.08</v>
      </c>
      <c r="IC106" s="52">
        <v>122.2</v>
      </c>
      <c r="ID106" s="52">
        <v>137.06</v>
      </c>
      <c r="IE106" s="52">
        <v>117</v>
      </c>
      <c r="IF106" s="52">
        <v>159.53</v>
      </c>
      <c r="IG106" s="52">
        <v>204.69</v>
      </c>
      <c r="IH106" s="52">
        <v>249.77</v>
      </c>
      <c r="II106" s="52">
        <v>271.58</v>
      </c>
      <c r="IJ106" s="52">
        <v>204.55</v>
      </c>
      <c r="IK106" s="52">
        <v>269.49</v>
      </c>
      <c r="IL106" s="52">
        <v>203.33</v>
      </c>
      <c r="IM106" s="52">
        <v>273.58</v>
      </c>
      <c r="IN106" s="52">
        <v>264.08</v>
      </c>
      <c r="IO106" s="52">
        <v>211.49</v>
      </c>
      <c r="IP106" s="52">
        <v>152.97999999999999</v>
      </c>
      <c r="IQ106" s="52">
        <v>203.16</v>
      </c>
      <c r="IR106" s="52">
        <v>289.98</v>
      </c>
      <c r="IS106" s="52">
        <v>296.32</v>
      </c>
      <c r="IT106" s="52">
        <v>49.32</v>
      </c>
      <c r="IU106" s="52">
        <v>132.88999999999999</v>
      </c>
      <c r="IV106" s="52">
        <v>39.619999999999997</v>
      </c>
      <c r="IW106" s="52">
        <v>82.11</v>
      </c>
      <c r="IX106" s="52">
        <v>146.46</v>
      </c>
      <c r="IY106" s="52">
        <v>185</v>
      </c>
      <c r="IZ106" s="52">
        <v>253.54</v>
      </c>
      <c r="JA106" s="52">
        <v>196.21</v>
      </c>
      <c r="JB106" s="52"/>
      <c r="JC106" s="52">
        <v>210.67</v>
      </c>
      <c r="JD106" s="52">
        <v>263.74</v>
      </c>
      <c r="JE106" s="52">
        <v>203.43</v>
      </c>
      <c r="JF106" s="52">
        <v>177.7</v>
      </c>
      <c r="JG106" s="52">
        <v>227.3</v>
      </c>
      <c r="JH106" s="52">
        <v>324.70999999999998</v>
      </c>
      <c r="JI106" s="52">
        <v>210.51</v>
      </c>
      <c r="JJ106" s="52">
        <v>175.62</v>
      </c>
      <c r="JK106" s="52">
        <v>254.59</v>
      </c>
      <c r="JL106" s="52">
        <v>260.01</v>
      </c>
      <c r="JM106" s="52">
        <v>251.31</v>
      </c>
      <c r="JN106" s="52">
        <v>186.94</v>
      </c>
      <c r="JO106" s="52">
        <v>174.06</v>
      </c>
      <c r="JP106" s="52">
        <v>302.31</v>
      </c>
      <c r="JQ106" s="52">
        <v>255</v>
      </c>
      <c r="JR106" s="52">
        <v>241.52</v>
      </c>
      <c r="JS106" s="52">
        <v>290.3</v>
      </c>
      <c r="JT106" s="52">
        <v>282.52</v>
      </c>
      <c r="JU106" s="52">
        <v>228.97</v>
      </c>
      <c r="JV106" s="52">
        <v>122.43</v>
      </c>
      <c r="JW106" s="52">
        <v>159.74</v>
      </c>
      <c r="JX106" s="52">
        <v>466.82</v>
      </c>
      <c r="JY106" s="52">
        <v>239.29</v>
      </c>
      <c r="JZ106" s="52">
        <v>228.04</v>
      </c>
      <c r="KA106" s="52">
        <v>251.15</v>
      </c>
      <c r="KB106" s="52">
        <v>253.17</v>
      </c>
      <c r="KC106" s="52">
        <v>223.76</v>
      </c>
      <c r="KD106" s="52">
        <v>283.76</v>
      </c>
      <c r="KE106" s="52">
        <v>332.94</v>
      </c>
      <c r="KF106" s="52">
        <v>293.72000000000003</v>
      </c>
    </row>
    <row r="107" spans="1:292" s="41" customFormat="1" ht="12">
      <c r="A107" s="41">
        <v>2013</v>
      </c>
      <c r="B107" s="54" t="s">
        <v>987</v>
      </c>
      <c r="C107" s="55" t="s">
        <v>988</v>
      </c>
      <c r="D107" s="56">
        <v>221.75</v>
      </c>
      <c r="E107" s="56">
        <v>232.09</v>
      </c>
      <c r="F107" s="56">
        <v>400.14</v>
      </c>
      <c r="G107" s="56">
        <v>163.1</v>
      </c>
      <c r="H107" s="56">
        <v>261.19</v>
      </c>
      <c r="I107" s="56">
        <v>174.51</v>
      </c>
      <c r="J107" s="56">
        <v>133.07</v>
      </c>
      <c r="K107" s="56">
        <v>212.63</v>
      </c>
      <c r="L107" s="56">
        <v>121.92</v>
      </c>
      <c r="M107" s="56">
        <v>160.75</v>
      </c>
      <c r="N107" s="56">
        <v>221.93</v>
      </c>
      <c r="O107" s="56">
        <v>293.13</v>
      </c>
      <c r="P107" s="56">
        <v>254.01</v>
      </c>
      <c r="Q107" s="56">
        <v>234.09</v>
      </c>
      <c r="R107" s="56">
        <v>203.82</v>
      </c>
      <c r="S107" s="56">
        <v>374.88</v>
      </c>
      <c r="T107" s="56">
        <v>401.55</v>
      </c>
      <c r="U107" s="56">
        <v>159.35</v>
      </c>
      <c r="V107" s="56">
        <v>173.16</v>
      </c>
      <c r="W107" s="56">
        <v>304.75</v>
      </c>
      <c r="X107" s="56">
        <v>182.56</v>
      </c>
      <c r="Y107" s="56">
        <v>222.08</v>
      </c>
      <c r="Z107" s="56">
        <v>273.24</v>
      </c>
      <c r="AA107" s="56">
        <v>199.09</v>
      </c>
      <c r="AB107" s="56">
        <v>167.9</v>
      </c>
      <c r="AC107" s="56">
        <v>132.54</v>
      </c>
      <c r="AD107" s="56">
        <v>183.94</v>
      </c>
      <c r="AE107" s="56">
        <v>207</v>
      </c>
      <c r="AF107" s="56">
        <v>180.63</v>
      </c>
      <c r="AG107" s="56">
        <v>95.25</v>
      </c>
      <c r="AH107" s="56">
        <v>165.74</v>
      </c>
      <c r="AI107" s="56">
        <v>181.9</v>
      </c>
      <c r="AJ107" s="56">
        <v>134.85</v>
      </c>
      <c r="AK107" s="56">
        <v>258.49</v>
      </c>
      <c r="AL107" s="56">
        <v>258.68</v>
      </c>
      <c r="AM107" s="56">
        <v>296.32</v>
      </c>
      <c r="AN107" s="56">
        <v>48.17</v>
      </c>
      <c r="AO107" s="56">
        <v>133.32</v>
      </c>
      <c r="AP107" s="56">
        <v>60.91</v>
      </c>
      <c r="AQ107" s="56">
        <v>184.47</v>
      </c>
      <c r="AR107" s="56">
        <v>240.46</v>
      </c>
      <c r="AS107" s="56">
        <v>221.97</v>
      </c>
      <c r="AT107" s="56">
        <v>244.23</v>
      </c>
      <c r="AU107" s="56">
        <v>270.95</v>
      </c>
      <c r="AV107" s="56">
        <v>266.99</v>
      </c>
      <c r="AW107" s="56">
        <v>257.05</v>
      </c>
      <c r="AX107" s="56">
        <v>186.94</v>
      </c>
      <c r="AY107" s="56">
        <v>175.72</v>
      </c>
      <c r="AZ107" s="56">
        <v>290.07</v>
      </c>
      <c r="BA107" s="56">
        <v>262.52999999999997</v>
      </c>
      <c r="BB107" s="56">
        <v>180.98</v>
      </c>
      <c r="BC107" s="56">
        <v>401.43</v>
      </c>
      <c r="BD107" s="56">
        <v>252.04</v>
      </c>
      <c r="BE107" s="56">
        <v>270.38</v>
      </c>
      <c r="BF107" s="56">
        <v>332.94</v>
      </c>
      <c r="BG107" s="56">
        <v>293.76</v>
      </c>
      <c r="BH107" s="52">
        <v>236.89</v>
      </c>
      <c r="BI107" s="52">
        <v>241.29</v>
      </c>
      <c r="BJ107" s="52">
        <v>216.92</v>
      </c>
      <c r="BK107" s="52">
        <v>208.21</v>
      </c>
      <c r="BL107" s="52">
        <v>208.75</v>
      </c>
      <c r="BM107" s="52">
        <v>244.58</v>
      </c>
      <c r="BN107" s="52">
        <v>245.47</v>
      </c>
      <c r="BO107" s="52">
        <v>189.31</v>
      </c>
      <c r="BP107" s="52">
        <v>245.62</v>
      </c>
      <c r="BQ107" s="52">
        <v>227.13</v>
      </c>
      <c r="BR107" s="52">
        <v>181.88</v>
      </c>
      <c r="BS107" s="52">
        <v>406.06</v>
      </c>
      <c r="BT107" s="52">
        <v>261.08999999999997</v>
      </c>
      <c r="BU107" s="52">
        <v>350.13</v>
      </c>
      <c r="BV107" s="52">
        <v>401.55</v>
      </c>
      <c r="BW107" s="52">
        <v>158.31</v>
      </c>
      <c r="BX107" s="52">
        <v>160.02000000000001</v>
      </c>
      <c r="BY107" s="52">
        <v>221.85</v>
      </c>
      <c r="BZ107" s="52">
        <v>172.72</v>
      </c>
      <c r="CA107" s="52">
        <v>244.17</v>
      </c>
      <c r="CB107" s="53">
        <v>304.75</v>
      </c>
      <c r="CC107" s="52">
        <v>182.56</v>
      </c>
      <c r="CD107" s="52">
        <v>221.24</v>
      </c>
      <c r="CE107" s="52">
        <v>233.66</v>
      </c>
      <c r="CF107" s="52">
        <v>302.82</v>
      </c>
      <c r="CG107" s="52">
        <v>260.48</v>
      </c>
      <c r="CH107" s="52">
        <v>204.65</v>
      </c>
      <c r="CI107" s="52">
        <v>179.41</v>
      </c>
      <c r="CJ107" s="52">
        <v>167.9</v>
      </c>
      <c r="CK107" s="52">
        <v>120.34</v>
      </c>
      <c r="CL107" s="52">
        <v>144.15</v>
      </c>
      <c r="CM107" s="52">
        <v>276.02</v>
      </c>
      <c r="CN107" s="52">
        <v>183.94</v>
      </c>
      <c r="CO107" s="52">
        <v>207</v>
      </c>
      <c r="CP107" s="52">
        <v>145.07</v>
      </c>
      <c r="CQ107" s="52">
        <v>329.96</v>
      </c>
      <c r="CR107" s="52">
        <v>91.12</v>
      </c>
      <c r="CS107" s="52">
        <v>154.63</v>
      </c>
      <c r="CT107" s="52">
        <v>112.72</v>
      </c>
      <c r="CU107" s="52">
        <v>204.82</v>
      </c>
      <c r="CV107" s="52">
        <v>160.47999999999999</v>
      </c>
      <c r="CW107" s="52">
        <v>101.5</v>
      </c>
      <c r="CX107" s="52">
        <v>181.9</v>
      </c>
      <c r="CY107" s="52">
        <v>134.93</v>
      </c>
      <c r="CZ107" s="52">
        <v>117.08</v>
      </c>
      <c r="DA107" s="52">
        <v>161.05000000000001</v>
      </c>
      <c r="DB107" s="52">
        <v>205.43</v>
      </c>
      <c r="DC107" s="52">
        <v>255.29</v>
      </c>
      <c r="DD107" s="52">
        <v>266.64</v>
      </c>
      <c r="DE107" s="52">
        <v>323.64999999999998</v>
      </c>
      <c r="DF107" s="52">
        <v>246.61</v>
      </c>
      <c r="DG107" s="52">
        <v>263.29000000000002</v>
      </c>
      <c r="DH107" s="52">
        <v>154.66999999999999</v>
      </c>
      <c r="DI107" s="52">
        <v>203.16</v>
      </c>
      <c r="DJ107" s="52">
        <v>293.14999999999998</v>
      </c>
      <c r="DK107" s="52">
        <v>296.32</v>
      </c>
      <c r="DL107" s="52">
        <v>48.17</v>
      </c>
      <c r="DM107" s="52">
        <v>133.32</v>
      </c>
      <c r="DN107" s="52">
        <v>39.08</v>
      </c>
      <c r="DO107" s="52">
        <v>82.13</v>
      </c>
      <c r="DP107" s="52">
        <v>146.76</v>
      </c>
      <c r="DQ107" s="52">
        <v>184.47</v>
      </c>
      <c r="DR107" s="52">
        <v>257.73</v>
      </c>
      <c r="DS107" s="52">
        <v>196.63</v>
      </c>
      <c r="DT107" s="52"/>
      <c r="DU107" s="52">
        <v>209.78</v>
      </c>
      <c r="DV107" s="52">
        <v>264.93</v>
      </c>
      <c r="DW107" s="52">
        <v>183.42</v>
      </c>
      <c r="DX107" s="52">
        <v>227.3</v>
      </c>
      <c r="DY107" s="52">
        <v>339.05</v>
      </c>
      <c r="DZ107" s="52">
        <v>210.51</v>
      </c>
      <c r="EA107" s="52">
        <v>175.77</v>
      </c>
      <c r="EB107" s="52">
        <v>270.95</v>
      </c>
      <c r="EC107" s="52">
        <v>266.99</v>
      </c>
      <c r="ED107" s="52">
        <v>257.05</v>
      </c>
      <c r="EE107" s="52">
        <v>186.94</v>
      </c>
      <c r="EF107" s="52">
        <v>175.72</v>
      </c>
      <c r="EG107" s="52">
        <v>290.07</v>
      </c>
      <c r="EH107" s="52">
        <v>262.52999999999997</v>
      </c>
      <c r="EI107" s="52">
        <v>257.66000000000003</v>
      </c>
      <c r="EJ107" s="52">
        <v>123.45</v>
      </c>
      <c r="EK107" s="52">
        <v>160.03</v>
      </c>
      <c r="EL107" s="52">
        <v>460.87</v>
      </c>
      <c r="EM107" s="52">
        <v>238.26</v>
      </c>
      <c r="EN107" s="52">
        <v>252.04</v>
      </c>
      <c r="EO107" s="52">
        <v>254.72</v>
      </c>
      <c r="EP107" s="52">
        <v>223.66</v>
      </c>
      <c r="EQ107" s="52">
        <v>277.16000000000003</v>
      </c>
      <c r="ER107" s="52">
        <v>332.94</v>
      </c>
      <c r="ES107" s="52">
        <v>293.76</v>
      </c>
      <c r="ET107" s="52">
        <v>232.77</v>
      </c>
      <c r="EU107" s="52">
        <v>214.43</v>
      </c>
      <c r="EV107" s="52">
        <v>254.3</v>
      </c>
      <c r="EW107" s="52">
        <v>210.71</v>
      </c>
      <c r="EX107" s="52">
        <v>224.21</v>
      </c>
      <c r="EY107" s="52">
        <v>156.94</v>
      </c>
      <c r="EZ107" s="52">
        <v>232.15</v>
      </c>
      <c r="FA107" s="52">
        <v>272.77999999999997</v>
      </c>
      <c r="FB107" s="52">
        <v>222.9</v>
      </c>
      <c r="FC107" s="52">
        <v>279.17</v>
      </c>
      <c r="FD107" s="52">
        <v>214.7</v>
      </c>
      <c r="FE107" s="52">
        <v>216.92</v>
      </c>
      <c r="FF107" s="52"/>
      <c r="FG107" s="52">
        <v>171.69</v>
      </c>
      <c r="FH107" s="52">
        <v>186.3</v>
      </c>
      <c r="FI107" s="52">
        <v>230.91</v>
      </c>
      <c r="FJ107" s="52">
        <v>233.62</v>
      </c>
      <c r="FK107" s="52">
        <v>264.31</v>
      </c>
      <c r="FL107" s="52">
        <v>208.72</v>
      </c>
      <c r="FM107" s="52">
        <v>202.7</v>
      </c>
      <c r="FN107" s="52">
        <v>234.46</v>
      </c>
      <c r="FO107" s="52">
        <v>299.52999999999997</v>
      </c>
      <c r="FP107" s="52">
        <v>221.46</v>
      </c>
      <c r="FQ107" s="52">
        <v>317.27</v>
      </c>
      <c r="FR107" s="52">
        <v>295.91000000000003</v>
      </c>
      <c r="FS107" s="52">
        <v>243.07</v>
      </c>
      <c r="FT107" s="52">
        <v>174.35</v>
      </c>
      <c r="FU107" s="52">
        <v>264.98</v>
      </c>
      <c r="FV107" s="52">
        <v>193.42</v>
      </c>
      <c r="FW107" s="52">
        <v>132.61000000000001</v>
      </c>
      <c r="FX107" s="52">
        <v>245.62</v>
      </c>
      <c r="FY107" s="52">
        <v>257.25</v>
      </c>
      <c r="FZ107" s="52">
        <v>222.29</v>
      </c>
      <c r="GA107" s="52">
        <v>218.27</v>
      </c>
      <c r="GB107" s="52">
        <v>188.76</v>
      </c>
      <c r="GC107" s="52">
        <v>178.9</v>
      </c>
      <c r="GD107" s="52">
        <v>173.23</v>
      </c>
      <c r="GE107" s="52">
        <v>406.06</v>
      </c>
      <c r="GF107" s="52">
        <v>261.08999999999997</v>
      </c>
      <c r="GG107" s="52">
        <v>350.13</v>
      </c>
      <c r="GH107" s="52">
        <v>400.88</v>
      </c>
      <c r="GI107" s="52">
        <v>163.30000000000001</v>
      </c>
      <c r="GJ107" s="52">
        <v>156.59</v>
      </c>
      <c r="GK107" s="52">
        <v>149.27000000000001</v>
      </c>
      <c r="GL107" s="52">
        <v>177.14</v>
      </c>
      <c r="GM107" s="52">
        <v>160.02000000000001</v>
      </c>
      <c r="GN107" s="52">
        <v>221.85</v>
      </c>
      <c r="GO107" s="52">
        <v>169.55</v>
      </c>
      <c r="GP107" s="52">
        <v>175.25</v>
      </c>
      <c r="GQ107" s="52">
        <v>175.4</v>
      </c>
      <c r="GR107" s="52">
        <v>244.17</v>
      </c>
      <c r="GS107" s="52">
        <v>304.75</v>
      </c>
      <c r="GT107" s="52">
        <v>182.56</v>
      </c>
      <c r="GU107" s="52">
        <v>221.24</v>
      </c>
      <c r="GV107" s="52">
        <v>233.66</v>
      </c>
      <c r="GW107" s="52">
        <v>286.2</v>
      </c>
      <c r="GX107" s="52">
        <v>295.83</v>
      </c>
      <c r="GY107" s="52">
        <v>260.48</v>
      </c>
      <c r="GZ107" s="52">
        <v>227.07</v>
      </c>
      <c r="HA107" s="52">
        <v>193.97</v>
      </c>
      <c r="HB107" s="52">
        <v>211.05</v>
      </c>
      <c r="HC107" s="52">
        <v>179.41</v>
      </c>
      <c r="HD107" s="52">
        <v>167.9</v>
      </c>
      <c r="HE107" s="52">
        <v>102.53</v>
      </c>
      <c r="HF107" s="52">
        <v>109.86</v>
      </c>
      <c r="HG107" s="52">
        <v>141.29</v>
      </c>
      <c r="HH107" s="52">
        <v>164.27</v>
      </c>
      <c r="HI107" s="52">
        <v>81.459999999999994</v>
      </c>
      <c r="HJ107" s="52">
        <v>144.15</v>
      </c>
      <c r="HK107" s="52">
        <v>276.02</v>
      </c>
      <c r="HL107" s="52">
        <v>153.41</v>
      </c>
      <c r="HM107" s="52">
        <v>209.63</v>
      </c>
      <c r="HN107" s="52">
        <v>208.2</v>
      </c>
      <c r="HO107" s="52">
        <v>185.08</v>
      </c>
      <c r="HP107" s="52">
        <v>224.83</v>
      </c>
      <c r="HQ107" s="52">
        <v>139.72</v>
      </c>
      <c r="HR107" s="52">
        <v>188.2</v>
      </c>
      <c r="HS107" s="52">
        <v>335.48</v>
      </c>
      <c r="HT107" s="52">
        <v>211.22</v>
      </c>
      <c r="HU107" s="52">
        <v>91.12</v>
      </c>
      <c r="HV107" s="52">
        <v>154.63</v>
      </c>
      <c r="HW107" s="52">
        <v>116.61</v>
      </c>
      <c r="HX107" s="52">
        <v>98.98</v>
      </c>
      <c r="HY107" s="52">
        <v>204.82</v>
      </c>
      <c r="HZ107" s="52">
        <v>160.47999999999999</v>
      </c>
      <c r="IA107" s="52">
        <v>92.71</v>
      </c>
      <c r="IB107" s="52">
        <v>181.9</v>
      </c>
      <c r="IC107" s="52">
        <v>122.43</v>
      </c>
      <c r="ID107" s="52">
        <v>136.54</v>
      </c>
      <c r="IE107" s="52">
        <v>117.08</v>
      </c>
      <c r="IF107" s="52">
        <v>161.05000000000001</v>
      </c>
      <c r="IG107" s="52">
        <v>205.43</v>
      </c>
      <c r="IH107" s="52">
        <v>255.29</v>
      </c>
      <c r="II107" s="52">
        <v>266.64</v>
      </c>
      <c r="IJ107" s="52">
        <v>323.64999999999998</v>
      </c>
      <c r="IK107" s="52">
        <v>269.89</v>
      </c>
      <c r="IL107" s="52">
        <v>203.34</v>
      </c>
      <c r="IM107" s="52">
        <v>274.08</v>
      </c>
      <c r="IN107" s="52">
        <v>266.64999999999998</v>
      </c>
      <c r="IO107" s="52">
        <v>219.69</v>
      </c>
      <c r="IP107" s="52">
        <v>154.66999999999999</v>
      </c>
      <c r="IQ107" s="52">
        <v>203.16</v>
      </c>
      <c r="IR107" s="52">
        <v>293.14999999999998</v>
      </c>
      <c r="IS107" s="52">
        <v>296.32</v>
      </c>
      <c r="IT107" s="52">
        <v>48.17</v>
      </c>
      <c r="IU107" s="52">
        <v>133.32</v>
      </c>
      <c r="IV107" s="52">
        <v>39.14</v>
      </c>
      <c r="IW107" s="52">
        <v>82.13</v>
      </c>
      <c r="IX107" s="52">
        <v>146.76</v>
      </c>
      <c r="IY107" s="52">
        <v>184.47</v>
      </c>
      <c r="IZ107" s="52">
        <v>257.73</v>
      </c>
      <c r="JA107" s="52">
        <v>196.63</v>
      </c>
      <c r="JB107" s="52"/>
      <c r="JC107" s="52">
        <v>209.78</v>
      </c>
      <c r="JD107" s="52">
        <v>264.93</v>
      </c>
      <c r="JE107" s="52">
        <v>205.36</v>
      </c>
      <c r="JF107" s="52">
        <v>177.37</v>
      </c>
      <c r="JG107" s="52">
        <v>227.3</v>
      </c>
      <c r="JH107" s="52">
        <v>339.05</v>
      </c>
      <c r="JI107" s="52">
        <v>210.51</v>
      </c>
      <c r="JJ107" s="52">
        <v>175.77</v>
      </c>
      <c r="JK107" s="52">
        <v>270.95</v>
      </c>
      <c r="JL107" s="52">
        <v>266.99</v>
      </c>
      <c r="JM107" s="52">
        <v>257.05</v>
      </c>
      <c r="JN107" s="52">
        <v>186.94</v>
      </c>
      <c r="JO107" s="52">
        <v>175.72</v>
      </c>
      <c r="JP107" s="52">
        <v>304.13</v>
      </c>
      <c r="JQ107" s="52">
        <v>256.97000000000003</v>
      </c>
      <c r="JR107" s="52">
        <v>243.32</v>
      </c>
      <c r="JS107" s="52">
        <v>290.3</v>
      </c>
      <c r="JT107" s="52">
        <v>284.99</v>
      </c>
      <c r="JU107" s="52">
        <v>231.12</v>
      </c>
      <c r="JV107" s="52">
        <v>123.45</v>
      </c>
      <c r="JW107" s="52">
        <v>160.03</v>
      </c>
      <c r="JX107" s="52">
        <v>460.87</v>
      </c>
      <c r="JY107" s="52">
        <v>242.56</v>
      </c>
      <c r="JZ107" s="52">
        <v>228.59</v>
      </c>
      <c r="KA107" s="52">
        <v>252.04</v>
      </c>
      <c r="KB107" s="52">
        <v>254.72</v>
      </c>
      <c r="KC107" s="52">
        <v>223.66</v>
      </c>
      <c r="KD107" s="52">
        <v>277.16000000000003</v>
      </c>
      <c r="KE107" s="52">
        <v>332.94</v>
      </c>
      <c r="KF107" s="52">
        <v>293.76</v>
      </c>
    </row>
    <row r="108" spans="1:292" s="41" customFormat="1" ht="12">
      <c r="A108" s="41">
        <v>2013</v>
      </c>
      <c r="B108" s="54" t="s">
        <v>989</v>
      </c>
      <c r="C108" s="55" t="s">
        <v>990</v>
      </c>
      <c r="D108" s="52">
        <v>222.44</v>
      </c>
      <c r="E108" s="52">
        <v>232.61</v>
      </c>
      <c r="F108" s="52">
        <v>399.8</v>
      </c>
      <c r="G108" s="52">
        <v>155.46</v>
      </c>
      <c r="H108" s="52">
        <v>262.35000000000002</v>
      </c>
      <c r="I108" s="52">
        <v>174.76</v>
      </c>
      <c r="J108" s="52">
        <v>133.66999999999999</v>
      </c>
      <c r="K108" s="52">
        <v>217.48</v>
      </c>
      <c r="L108" s="52">
        <v>123.07</v>
      </c>
      <c r="M108" s="52">
        <v>161.18</v>
      </c>
      <c r="N108" s="52">
        <v>223.73</v>
      </c>
      <c r="O108" s="52">
        <v>294.83999999999997</v>
      </c>
      <c r="P108" s="52">
        <v>253.16</v>
      </c>
      <c r="Q108" s="52">
        <v>234.64</v>
      </c>
      <c r="R108" s="52">
        <v>203.95</v>
      </c>
      <c r="S108" s="52">
        <v>380.27</v>
      </c>
      <c r="T108" s="52">
        <v>400.82</v>
      </c>
      <c r="U108" s="52">
        <v>151.72</v>
      </c>
      <c r="V108" s="52">
        <v>165.61</v>
      </c>
      <c r="W108" s="52">
        <v>306.3</v>
      </c>
      <c r="X108" s="52">
        <v>183.58</v>
      </c>
      <c r="Y108" s="52">
        <v>223.1</v>
      </c>
      <c r="Z108" s="52">
        <v>274.27</v>
      </c>
      <c r="AA108" s="52">
        <v>201.2</v>
      </c>
      <c r="AB108" s="52">
        <v>167.88</v>
      </c>
      <c r="AC108" s="52">
        <v>131.41</v>
      </c>
      <c r="AD108" s="52">
        <v>184.53</v>
      </c>
      <c r="AE108" s="52">
        <v>208.36</v>
      </c>
      <c r="AF108" s="52">
        <v>180.55</v>
      </c>
      <c r="AG108" s="52">
        <v>96.04</v>
      </c>
      <c r="AH108" s="52">
        <v>166.17</v>
      </c>
      <c r="AI108" s="52">
        <v>182.15</v>
      </c>
      <c r="AJ108" s="52">
        <v>138.11000000000001</v>
      </c>
      <c r="AK108" s="52">
        <v>266.83</v>
      </c>
      <c r="AL108" s="52">
        <v>260.43</v>
      </c>
      <c r="AM108" s="52">
        <v>296.32</v>
      </c>
      <c r="AN108" s="52">
        <v>48.19</v>
      </c>
      <c r="AO108" s="52">
        <v>134.69999999999999</v>
      </c>
      <c r="AP108" s="52">
        <v>61.1</v>
      </c>
      <c r="AQ108" s="52">
        <v>184.25</v>
      </c>
      <c r="AR108" s="52">
        <v>241.18</v>
      </c>
      <c r="AS108" s="52">
        <v>222.31</v>
      </c>
      <c r="AT108" s="52">
        <v>242.4</v>
      </c>
      <c r="AU108" s="52">
        <v>275.17</v>
      </c>
      <c r="AV108" s="52">
        <v>270.55</v>
      </c>
      <c r="AW108" s="52">
        <v>259.91000000000003</v>
      </c>
      <c r="AX108" s="52">
        <v>186.94</v>
      </c>
      <c r="AY108" s="52">
        <v>176.28</v>
      </c>
      <c r="AZ108" s="52">
        <v>292.07</v>
      </c>
      <c r="BA108" s="52">
        <v>261.45999999999998</v>
      </c>
      <c r="BB108" s="52">
        <v>181</v>
      </c>
      <c r="BC108" s="52">
        <v>394.52</v>
      </c>
      <c r="BD108" s="52">
        <v>254.13</v>
      </c>
      <c r="BE108" s="52">
        <v>275.3</v>
      </c>
      <c r="BF108" s="52">
        <v>332.94</v>
      </c>
      <c r="BG108" s="52">
        <v>293.83999999999997</v>
      </c>
      <c r="BH108" s="52">
        <v>238.38</v>
      </c>
      <c r="BI108" s="52">
        <v>243.63</v>
      </c>
      <c r="BJ108" s="52">
        <v>212.79</v>
      </c>
      <c r="BK108" s="52">
        <v>208.27</v>
      </c>
      <c r="BL108" s="52">
        <v>208.64</v>
      </c>
      <c r="BM108" s="52">
        <v>239.88</v>
      </c>
      <c r="BN108" s="52">
        <v>248.15</v>
      </c>
      <c r="BO108" s="52">
        <v>190.2</v>
      </c>
      <c r="BP108" s="52">
        <v>243.95</v>
      </c>
      <c r="BQ108" s="52">
        <v>226.4</v>
      </c>
      <c r="BR108" s="52">
        <v>182.43</v>
      </c>
      <c r="BS108" s="52">
        <v>410.79</v>
      </c>
      <c r="BT108" s="52">
        <v>271.41000000000003</v>
      </c>
      <c r="BU108" s="52">
        <v>355.07</v>
      </c>
      <c r="BV108" s="52">
        <v>400.82</v>
      </c>
      <c r="BW108" s="52">
        <v>150.28</v>
      </c>
      <c r="BX108" s="52">
        <v>156.82</v>
      </c>
      <c r="BY108" s="52">
        <v>222.73</v>
      </c>
      <c r="BZ108" s="52">
        <v>165.11</v>
      </c>
      <c r="CA108" s="52">
        <v>248.27</v>
      </c>
      <c r="CB108" s="53">
        <v>306.3</v>
      </c>
      <c r="CC108" s="52">
        <v>183.58</v>
      </c>
      <c r="CD108" s="52">
        <v>222.25</v>
      </c>
      <c r="CE108" s="52">
        <v>233.53</v>
      </c>
      <c r="CF108" s="52">
        <v>306.18</v>
      </c>
      <c r="CG108" s="52">
        <v>260.52999999999997</v>
      </c>
      <c r="CH108" s="52">
        <v>206.71</v>
      </c>
      <c r="CI108" s="52">
        <v>182.26</v>
      </c>
      <c r="CJ108" s="52">
        <v>167.88</v>
      </c>
      <c r="CK108" s="52">
        <v>119.03</v>
      </c>
      <c r="CL108" s="52">
        <v>143.91999999999999</v>
      </c>
      <c r="CM108" s="52">
        <v>278.07</v>
      </c>
      <c r="CN108" s="52">
        <v>184.53</v>
      </c>
      <c r="CO108" s="52">
        <v>208.36</v>
      </c>
      <c r="CP108" s="52">
        <v>144.63</v>
      </c>
      <c r="CQ108" s="52">
        <v>331.44</v>
      </c>
      <c r="CR108" s="52">
        <v>92.03</v>
      </c>
      <c r="CS108" s="52">
        <v>155.82</v>
      </c>
      <c r="CT108" s="52">
        <v>112.95</v>
      </c>
      <c r="CU108" s="52">
        <v>204.95</v>
      </c>
      <c r="CV108" s="52">
        <v>161.07</v>
      </c>
      <c r="CW108" s="52">
        <v>101.98</v>
      </c>
      <c r="CX108" s="52">
        <v>182.15</v>
      </c>
      <c r="CY108" s="52">
        <v>138.24</v>
      </c>
      <c r="CZ108" s="52">
        <v>117.51</v>
      </c>
      <c r="DA108" s="52">
        <v>161.1</v>
      </c>
      <c r="DB108" s="52">
        <v>208.02</v>
      </c>
      <c r="DC108" s="52">
        <v>262.99</v>
      </c>
      <c r="DD108" s="52">
        <v>274.52999999999997</v>
      </c>
      <c r="DE108" s="52">
        <v>349.65</v>
      </c>
      <c r="DF108" s="52">
        <v>246.68</v>
      </c>
      <c r="DG108" s="52">
        <v>264.92</v>
      </c>
      <c r="DH108" s="52">
        <v>157.27000000000001</v>
      </c>
      <c r="DI108" s="52">
        <v>203.16</v>
      </c>
      <c r="DJ108" s="52">
        <v>295.89999999999998</v>
      </c>
      <c r="DK108" s="52">
        <v>296.32</v>
      </c>
      <c r="DL108" s="52">
        <v>48.19</v>
      </c>
      <c r="DM108" s="52">
        <v>134.69999999999999</v>
      </c>
      <c r="DN108" s="52">
        <v>38.619999999999997</v>
      </c>
      <c r="DO108" s="52">
        <v>83.4</v>
      </c>
      <c r="DP108" s="52">
        <v>147.51</v>
      </c>
      <c r="DQ108" s="52">
        <v>184.25</v>
      </c>
      <c r="DR108" s="52">
        <v>258.81</v>
      </c>
      <c r="DS108" s="52">
        <v>196.6</v>
      </c>
      <c r="DT108" s="52"/>
      <c r="DU108" s="52">
        <v>210.07</v>
      </c>
      <c r="DV108" s="52">
        <v>265.24</v>
      </c>
      <c r="DW108" s="52">
        <v>183.85</v>
      </c>
      <c r="DX108" s="52">
        <v>227.3</v>
      </c>
      <c r="DY108" s="52">
        <v>332.81</v>
      </c>
      <c r="DZ108" s="52">
        <v>210.51</v>
      </c>
      <c r="EA108" s="52">
        <v>176.46</v>
      </c>
      <c r="EB108" s="52">
        <v>275.17</v>
      </c>
      <c r="EC108" s="52">
        <v>270.55</v>
      </c>
      <c r="ED108" s="52">
        <v>259.91000000000003</v>
      </c>
      <c r="EE108" s="52">
        <v>186.94</v>
      </c>
      <c r="EF108" s="52">
        <v>176.28</v>
      </c>
      <c r="EG108" s="52">
        <v>292.07</v>
      </c>
      <c r="EH108" s="52">
        <v>261.45999999999998</v>
      </c>
      <c r="EI108" s="52">
        <v>258.42</v>
      </c>
      <c r="EJ108" s="52">
        <v>120.96</v>
      </c>
      <c r="EK108" s="52">
        <v>159.96</v>
      </c>
      <c r="EL108" s="52">
        <v>448.23</v>
      </c>
      <c r="EM108" s="52">
        <v>240.44</v>
      </c>
      <c r="EN108" s="52">
        <v>254.13</v>
      </c>
      <c r="EO108" s="52">
        <v>253.55</v>
      </c>
      <c r="EP108" s="52">
        <v>223.7</v>
      </c>
      <c r="EQ108" s="52">
        <v>286.39999999999998</v>
      </c>
      <c r="ER108" s="52">
        <v>332.94</v>
      </c>
      <c r="ES108" s="52">
        <v>293.83999999999997</v>
      </c>
      <c r="ET108" s="52">
        <v>234.01</v>
      </c>
      <c r="EU108" s="52">
        <v>214.44</v>
      </c>
      <c r="EV108" s="52">
        <v>256.85000000000002</v>
      </c>
      <c r="EW108" s="52">
        <v>212.16</v>
      </c>
      <c r="EX108" s="52">
        <v>218.26</v>
      </c>
      <c r="EY108" s="52">
        <v>156.30000000000001</v>
      </c>
      <c r="EZ108" s="52">
        <v>235.67</v>
      </c>
      <c r="FA108" s="52">
        <v>272.83999999999997</v>
      </c>
      <c r="FB108" s="52">
        <v>226.53</v>
      </c>
      <c r="FC108" s="52">
        <v>276.17</v>
      </c>
      <c r="FD108" s="52">
        <v>212.68</v>
      </c>
      <c r="FE108" s="52">
        <v>212.79</v>
      </c>
      <c r="FF108" s="52"/>
      <c r="FG108" s="52">
        <v>171.99</v>
      </c>
      <c r="FH108" s="52">
        <v>188.73</v>
      </c>
      <c r="FI108" s="52">
        <v>231.85</v>
      </c>
      <c r="FJ108" s="52">
        <v>227.02</v>
      </c>
      <c r="FK108" s="52">
        <v>267.52</v>
      </c>
      <c r="FL108" s="52">
        <v>208.49</v>
      </c>
      <c r="FM108" s="52">
        <v>202.18</v>
      </c>
      <c r="FN108" s="52">
        <v>228.26</v>
      </c>
      <c r="FO108" s="52">
        <v>302.7</v>
      </c>
      <c r="FP108" s="52">
        <v>226.32</v>
      </c>
      <c r="FQ108" s="52">
        <v>313.68</v>
      </c>
      <c r="FR108" s="52">
        <v>297.63</v>
      </c>
      <c r="FS108" s="52">
        <v>241.46</v>
      </c>
      <c r="FT108" s="52">
        <v>173.92</v>
      </c>
      <c r="FU108" s="52">
        <v>265.58999999999997</v>
      </c>
      <c r="FV108" s="52">
        <v>193.6</v>
      </c>
      <c r="FW108" s="52">
        <v>138.19</v>
      </c>
      <c r="FX108" s="52">
        <v>243.95</v>
      </c>
      <c r="FY108" s="52">
        <v>255.87</v>
      </c>
      <c r="FZ108" s="52">
        <v>221.62</v>
      </c>
      <c r="GA108" s="52">
        <v>218.82</v>
      </c>
      <c r="GB108" s="52">
        <v>189.88</v>
      </c>
      <c r="GC108" s="52">
        <v>179.27</v>
      </c>
      <c r="GD108" s="52">
        <v>173.02</v>
      </c>
      <c r="GE108" s="52">
        <v>410.79</v>
      </c>
      <c r="GF108" s="52">
        <v>271.41000000000003</v>
      </c>
      <c r="GG108" s="52">
        <v>355.07</v>
      </c>
      <c r="GH108" s="52">
        <v>400.15</v>
      </c>
      <c r="GI108" s="52">
        <v>155.94999999999999</v>
      </c>
      <c r="GJ108" s="52">
        <v>148.22</v>
      </c>
      <c r="GK108" s="52">
        <v>140.47</v>
      </c>
      <c r="GL108" s="52">
        <v>173.55</v>
      </c>
      <c r="GM108" s="52">
        <v>156.82</v>
      </c>
      <c r="GN108" s="52">
        <v>222.73</v>
      </c>
      <c r="GO108" s="52">
        <v>162.88</v>
      </c>
      <c r="GP108" s="52">
        <v>166.5</v>
      </c>
      <c r="GQ108" s="52">
        <v>167.79</v>
      </c>
      <c r="GR108" s="52">
        <v>248.27</v>
      </c>
      <c r="GS108" s="52">
        <v>306.3</v>
      </c>
      <c r="GT108" s="52">
        <v>183.58</v>
      </c>
      <c r="GU108" s="52">
        <v>222.25</v>
      </c>
      <c r="GV108" s="52">
        <v>233.53</v>
      </c>
      <c r="GW108" s="52">
        <v>286.7</v>
      </c>
      <c r="GX108" s="52">
        <v>303.16000000000003</v>
      </c>
      <c r="GY108" s="52">
        <v>260.52999999999997</v>
      </c>
      <c r="GZ108" s="52">
        <v>229.33</v>
      </c>
      <c r="HA108" s="52">
        <v>197.83</v>
      </c>
      <c r="HB108" s="52">
        <v>211.94</v>
      </c>
      <c r="HC108" s="52">
        <v>182.26</v>
      </c>
      <c r="HD108" s="52">
        <v>167.88</v>
      </c>
      <c r="HE108" s="52">
        <v>101.87</v>
      </c>
      <c r="HF108" s="52">
        <v>108.14</v>
      </c>
      <c r="HG108" s="52">
        <v>141.41</v>
      </c>
      <c r="HH108" s="52">
        <v>164.32</v>
      </c>
      <c r="HI108" s="52">
        <v>77.92</v>
      </c>
      <c r="HJ108" s="52">
        <v>143.91999999999999</v>
      </c>
      <c r="HK108" s="52">
        <v>278.07</v>
      </c>
      <c r="HL108" s="52">
        <v>153.85</v>
      </c>
      <c r="HM108" s="52">
        <v>209.81</v>
      </c>
      <c r="HN108" s="52">
        <v>209.01</v>
      </c>
      <c r="HO108" s="52">
        <v>187.15</v>
      </c>
      <c r="HP108" s="52">
        <v>225.06</v>
      </c>
      <c r="HQ108" s="52">
        <v>139.25</v>
      </c>
      <c r="HR108" s="52">
        <v>187.95</v>
      </c>
      <c r="HS108" s="52">
        <v>337.07</v>
      </c>
      <c r="HT108" s="52">
        <v>211.15</v>
      </c>
      <c r="HU108" s="52">
        <v>92.03</v>
      </c>
      <c r="HV108" s="52">
        <v>155.82</v>
      </c>
      <c r="HW108" s="52">
        <v>116.66</v>
      </c>
      <c r="HX108" s="52">
        <v>99.46</v>
      </c>
      <c r="HY108" s="52">
        <v>204.95</v>
      </c>
      <c r="HZ108" s="52">
        <v>161.07</v>
      </c>
      <c r="IA108" s="52">
        <v>93.15</v>
      </c>
      <c r="IB108" s="52">
        <v>182.15</v>
      </c>
      <c r="IC108" s="52">
        <v>125.5</v>
      </c>
      <c r="ID108" s="52">
        <v>140.29</v>
      </c>
      <c r="IE108" s="52">
        <v>117.51</v>
      </c>
      <c r="IF108" s="52">
        <v>161.1</v>
      </c>
      <c r="IG108" s="52">
        <v>208.02</v>
      </c>
      <c r="IH108" s="52">
        <v>262.99</v>
      </c>
      <c r="II108" s="52">
        <v>274.52999999999997</v>
      </c>
      <c r="IJ108" s="52">
        <v>349.65</v>
      </c>
      <c r="IK108" s="52">
        <v>270.04000000000002</v>
      </c>
      <c r="IL108" s="52">
        <v>203.34</v>
      </c>
      <c r="IM108" s="52">
        <v>274.44</v>
      </c>
      <c r="IN108" s="52">
        <v>267.47000000000003</v>
      </c>
      <c r="IO108" s="52">
        <v>224.54</v>
      </c>
      <c r="IP108" s="52">
        <v>157.27000000000001</v>
      </c>
      <c r="IQ108" s="52">
        <v>203.16</v>
      </c>
      <c r="IR108" s="52">
        <v>295.89999999999998</v>
      </c>
      <c r="IS108" s="52">
        <v>296.32</v>
      </c>
      <c r="IT108" s="52">
        <v>48.19</v>
      </c>
      <c r="IU108" s="52">
        <v>134.69999999999999</v>
      </c>
      <c r="IV108" s="52">
        <v>38.65</v>
      </c>
      <c r="IW108" s="52">
        <v>83.4</v>
      </c>
      <c r="IX108" s="52">
        <v>147.51</v>
      </c>
      <c r="IY108" s="52">
        <v>184.25</v>
      </c>
      <c r="IZ108" s="52">
        <v>258.81</v>
      </c>
      <c r="JA108" s="52">
        <v>196.6</v>
      </c>
      <c r="JB108" s="52"/>
      <c r="JC108" s="52">
        <v>210.07</v>
      </c>
      <c r="JD108" s="52">
        <v>265.24</v>
      </c>
      <c r="JE108" s="52">
        <v>205.39</v>
      </c>
      <c r="JF108" s="52">
        <v>177.87</v>
      </c>
      <c r="JG108" s="52">
        <v>227.3</v>
      </c>
      <c r="JH108" s="52">
        <v>332.81</v>
      </c>
      <c r="JI108" s="52">
        <v>210.51</v>
      </c>
      <c r="JJ108" s="52">
        <v>176.46</v>
      </c>
      <c r="JK108" s="52">
        <v>275.17</v>
      </c>
      <c r="JL108" s="52">
        <v>270.55</v>
      </c>
      <c r="JM108" s="52">
        <v>259.91000000000003</v>
      </c>
      <c r="JN108" s="52">
        <v>186.94</v>
      </c>
      <c r="JO108" s="52">
        <v>176.28</v>
      </c>
      <c r="JP108" s="52">
        <v>306.42</v>
      </c>
      <c r="JQ108" s="52">
        <v>258.17</v>
      </c>
      <c r="JR108" s="52">
        <v>241.71</v>
      </c>
      <c r="JS108" s="52">
        <v>290.36</v>
      </c>
      <c r="JT108" s="52">
        <v>285.95999999999998</v>
      </c>
      <c r="JU108" s="52">
        <v>231.66</v>
      </c>
      <c r="JV108" s="52">
        <v>120.96</v>
      </c>
      <c r="JW108" s="52">
        <v>159.96</v>
      </c>
      <c r="JX108" s="52">
        <v>448.23</v>
      </c>
      <c r="JY108" s="52">
        <v>245.15</v>
      </c>
      <c r="JZ108" s="52">
        <v>230.05</v>
      </c>
      <c r="KA108" s="52">
        <v>254.13</v>
      </c>
      <c r="KB108" s="52">
        <v>253.55</v>
      </c>
      <c r="KC108" s="52">
        <v>223.7</v>
      </c>
      <c r="KD108" s="52">
        <v>286.39999999999998</v>
      </c>
      <c r="KE108" s="52">
        <v>332.94</v>
      </c>
      <c r="KF108" s="52">
        <v>293.83999999999997</v>
      </c>
    </row>
    <row r="109" spans="1:292" s="41" customFormat="1" ht="12">
      <c r="A109" s="41">
        <v>2013</v>
      </c>
      <c r="B109" s="54" t="s">
        <v>991</v>
      </c>
      <c r="C109" s="55" t="s">
        <v>992</v>
      </c>
      <c r="D109" s="52">
        <v>222.21</v>
      </c>
      <c r="E109" s="52">
        <v>230.82</v>
      </c>
      <c r="F109" s="52">
        <v>399.86</v>
      </c>
      <c r="G109" s="52">
        <v>149.84</v>
      </c>
      <c r="H109" s="52">
        <v>263.24</v>
      </c>
      <c r="I109" s="52">
        <v>174.74</v>
      </c>
      <c r="J109" s="52">
        <v>134.18</v>
      </c>
      <c r="K109" s="52">
        <v>219.01</v>
      </c>
      <c r="L109" s="52">
        <v>122.98</v>
      </c>
      <c r="M109" s="52">
        <v>161.88999999999999</v>
      </c>
      <c r="N109" s="52">
        <v>226.4</v>
      </c>
      <c r="O109" s="52">
        <v>297.08999999999997</v>
      </c>
      <c r="P109" s="52">
        <v>256.3</v>
      </c>
      <c r="Q109" s="52">
        <v>232.65</v>
      </c>
      <c r="R109" s="52">
        <v>204.46</v>
      </c>
      <c r="S109" s="52">
        <v>381.23</v>
      </c>
      <c r="T109" s="52">
        <v>400.82</v>
      </c>
      <c r="U109" s="52">
        <v>146.12</v>
      </c>
      <c r="V109" s="52">
        <v>160.04</v>
      </c>
      <c r="W109" s="52">
        <v>308.02</v>
      </c>
      <c r="X109" s="52">
        <v>184.51</v>
      </c>
      <c r="Y109" s="52">
        <v>223.84</v>
      </c>
      <c r="Z109" s="52">
        <v>274.68</v>
      </c>
      <c r="AA109" s="52">
        <v>201.59</v>
      </c>
      <c r="AB109" s="52">
        <v>168.04</v>
      </c>
      <c r="AC109" s="52">
        <v>131.19</v>
      </c>
      <c r="AD109" s="52">
        <v>185.33</v>
      </c>
      <c r="AE109" s="52">
        <v>207.81</v>
      </c>
      <c r="AF109" s="52">
        <v>180.12</v>
      </c>
      <c r="AG109" s="52">
        <v>96.6</v>
      </c>
      <c r="AH109" s="52">
        <v>166.68</v>
      </c>
      <c r="AI109" s="52">
        <v>182.34</v>
      </c>
      <c r="AJ109" s="52">
        <v>139.19999999999999</v>
      </c>
      <c r="AK109" s="52">
        <v>268.81</v>
      </c>
      <c r="AL109" s="52">
        <v>261.74</v>
      </c>
      <c r="AM109" s="52">
        <v>296.32</v>
      </c>
      <c r="AN109" s="52">
        <v>47.84</v>
      </c>
      <c r="AO109" s="52">
        <v>134.69999999999999</v>
      </c>
      <c r="AP109" s="52">
        <v>60.54</v>
      </c>
      <c r="AQ109" s="52">
        <v>184.42</v>
      </c>
      <c r="AR109" s="52">
        <v>243.21</v>
      </c>
      <c r="AS109" s="52">
        <v>223.57</v>
      </c>
      <c r="AT109" s="52">
        <v>238.64</v>
      </c>
      <c r="AU109" s="52">
        <v>287.08</v>
      </c>
      <c r="AV109" s="52">
        <v>272.79000000000002</v>
      </c>
      <c r="AW109" s="52">
        <v>264.42</v>
      </c>
      <c r="AX109" s="52">
        <v>186.94</v>
      </c>
      <c r="AY109" s="52">
        <v>179.3</v>
      </c>
      <c r="AZ109" s="52">
        <v>294.42</v>
      </c>
      <c r="BA109" s="52">
        <v>262.41000000000003</v>
      </c>
      <c r="BB109" s="52">
        <v>181.15</v>
      </c>
      <c r="BC109" s="52">
        <v>413.76</v>
      </c>
      <c r="BD109" s="52">
        <v>254.8</v>
      </c>
      <c r="BE109" s="52">
        <v>278.83</v>
      </c>
      <c r="BF109" s="52">
        <v>332.94</v>
      </c>
      <c r="BG109" s="52">
        <v>293.93</v>
      </c>
      <c r="BH109" s="52">
        <v>239.06</v>
      </c>
      <c r="BI109" s="52">
        <v>248.49</v>
      </c>
      <c r="BJ109" s="52">
        <v>215.95</v>
      </c>
      <c r="BK109" s="52">
        <v>219.38</v>
      </c>
      <c r="BL109" s="52">
        <v>208.26</v>
      </c>
      <c r="BM109" s="52">
        <v>228.23</v>
      </c>
      <c r="BN109" s="52">
        <v>227.17</v>
      </c>
      <c r="BO109" s="52">
        <v>190.8</v>
      </c>
      <c r="BP109" s="52">
        <v>246.38</v>
      </c>
      <c r="BQ109" s="52">
        <v>225.75</v>
      </c>
      <c r="BR109" s="52">
        <v>183.46</v>
      </c>
      <c r="BS109" s="52">
        <v>410.76</v>
      </c>
      <c r="BT109" s="52">
        <v>271.41000000000003</v>
      </c>
      <c r="BU109" s="52">
        <v>356.93</v>
      </c>
      <c r="BV109" s="52">
        <v>400.82</v>
      </c>
      <c r="BW109" s="52">
        <v>144.36000000000001</v>
      </c>
      <c r="BX109" s="52">
        <v>154.54</v>
      </c>
      <c r="BY109" s="52">
        <v>224.12</v>
      </c>
      <c r="BZ109" s="52">
        <v>159.5</v>
      </c>
      <c r="CA109" s="52">
        <v>250.51</v>
      </c>
      <c r="CB109" s="53">
        <v>308.02</v>
      </c>
      <c r="CC109" s="52">
        <v>184.51</v>
      </c>
      <c r="CD109" s="52">
        <v>222.99</v>
      </c>
      <c r="CE109" s="52">
        <v>233.53</v>
      </c>
      <c r="CF109" s="52">
        <v>307.26</v>
      </c>
      <c r="CG109" s="52">
        <v>260.85000000000002</v>
      </c>
      <c r="CH109" s="52">
        <v>206.98</v>
      </c>
      <c r="CI109" s="52">
        <v>183.75</v>
      </c>
      <c r="CJ109" s="52">
        <v>168.04</v>
      </c>
      <c r="CK109" s="52">
        <v>118.73</v>
      </c>
      <c r="CL109" s="52">
        <v>144.25</v>
      </c>
      <c r="CM109" s="52">
        <v>278.72000000000003</v>
      </c>
      <c r="CN109" s="52">
        <v>185.33</v>
      </c>
      <c r="CO109" s="52">
        <v>207.81</v>
      </c>
      <c r="CP109" s="52">
        <v>143.91999999999999</v>
      </c>
      <c r="CQ109" s="52">
        <v>332.29</v>
      </c>
      <c r="CR109" s="52">
        <v>92.69</v>
      </c>
      <c r="CS109" s="52">
        <v>155.69</v>
      </c>
      <c r="CT109" s="52">
        <v>113.22</v>
      </c>
      <c r="CU109" s="52">
        <v>204.97</v>
      </c>
      <c r="CV109" s="52">
        <v>162.02000000000001</v>
      </c>
      <c r="CW109" s="52">
        <v>102.46</v>
      </c>
      <c r="CX109" s="52">
        <v>182.34</v>
      </c>
      <c r="CY109" s="52">
        <v>139.33000000000001</v>
      </c>
      <c r="CZ109" s="52">
        <v>118.5</v>
      </c>
      <c r="DA109" s="52">
        <v>160.97</v>
      </c>
      <c r="DB109" s="52">
        <v>209.38</v>
      </c>
      <c r="DC109" s="52">
        <v>264.64</v>
      </c>
      <c r="DD109" s="52">
        <v>276.83999999999997</v>
      </c>
      <c r="DE109" s="52">
        <v>356.61</v>
      </c>
      <c r="DF109" s="52">
        <v>246.34</v>
      </c>
      <c r="DG109" s="52">
        <v>266.24</v>
      </c>
      <c r="DH109" s="52">
        <v>158.19</v>
      </c>
      <c r="DI109" s="52">
        <v>203.25</v>
      </c>
      <c r="DJ109" s="52">
        <v>298.83</v>
      </c>
      <c r="DK109" s="52">
        <v>296.32</v>
      </c>
      <c r="DL109" s="52">
        <v>47.84</v>
      </c>
      <c r="DM109" s="52">
        <v>134.69999999999999</v>
      </c>
      <c r="DN109" s="52">
        <v>37.979999999999997</v>
      </c>
      <c r="DO109" s="52">
        <v>83.06</v>
      </c>
      <c r="DP109" s="52">
        <v>147.5</v>
      </c>
      <c r="DQ109" s="52">
        <v>184.42</v>
      </c>
      <c r="DR109" s="52">
        <v>260.75</v>
      </c>
      <c r="DS109" s="52">
        <v>198.82</v>
      </c>
      <c r="DT109" s="52"/>
      <c r="DU109" s="52">
        <v>211.27</v>
      </c>
      <c r="DV109" s="52">
        <v>267.76</v>
      </c>
      <c r="DW109" s="52">
        <v>184.31</v>
      </c>
      <c r="DX109" s="52">
        <v>227.3</v>
      </c>
      <c r="DY109" s="52">
        <v>320.83999999999997</v>
      </c>
      <c r="DZ109" s="52">
        <v>211.03</v>
      </c>
      <c r="EA109" s="52">
        <v>176.83</v>
      </c>
      <c r="EB109" s="52">
        <v>287.08</v>
      </c>
      <c r="EC109" s="52">
        <v>272.79000000000002</v>
      </c>
      <c r="ED109" s="52">
        <v>264.42</v>
      </c>
      <c r="EE109" s="52">
        <v>186.94</v>
      </c>
      <c r="EF109" s="52">
        <v>179.3</v>
      </c>
      <c r="EG109" s="52">
        <v>294.42</v>
      </c>
      <c r="EH109" s="52">
        <v>262.41000000000003</v>
      </c>
      <c r="EI109" s="52">
        <v>259.5</v>
      </c>
      <c r="EJ109" s="52">
        <v>118.68</v>
      </c>
      <c r="EK109" s="52">
        <v>159.97</v>
      </c>
      <c r="EL109" s="52">
        <v>477.39</v>
      </c>
      <c r="EM109" s="52">
        <v>242.43</v>
      </c>
      <c r="EN109" s="52">
        <v>254.8</v>
      </c>
      <c r="EO109" s="52">
        <v>252.16</v>
      </c>
      <c r="EP109" s="52">
        <v>228.08</v>
      </c>
      <c r="EQ109" s="52">
        <v>290.86</v>
      </c>
      <c r="ER109" s="52">
        <v>332.94</v>
      </c>
      <c r="ES109" s="52">
        <v>293.93</v>
      </c>
      <c r="ET109" s="52">
        <v>234.97</v>
      </c>
      <c r="EU109" s="52">
        <v>214.69</v>
      </c>
      <c r="EV109" s="52">
        <v>257.58999999999997</v>
      </c>
      <c r="EW109" s="52">
        <v>212.67</v>
      </c>
      <c r="EX109" s="52">
        <v>219.9</v>
      </c>
      <c r="EY109" s="52">
        <v>157.65</v>
      </c>
      <c r="EZ109" s="52">
        <v>238.99</v>
      </c>
      <c r="FA109" s="52">
        <v>273.33999999999997</v>
      </c>
      <c r="FB109" s="52">
        <v>235.78</v>
      </c>
      <c r="FC109" s="52">
        <v>274.16000000000003</v>
      </c>
      <c r="FD109" s="52">
        <v>216.44</v>
      </c>
      <c r="FE109" s="52">
        <v>215.95</v>
      </c>
      <c r="FF109" s="52"/>
      <c r="FG109" s="52">
        <v>173.99</v>
      </c>
      <c r="FH109" s="52">
        <v>197.48</v>
      </c>
      <c r="FI109" s="52">
        <v>239.49</v>
      </c>
      <c r="FJ109" s="52">
        <v>266.7</v>
      </c>
      <c r="FK109" s="52">
        <v>274.18</v>
      </c>
      <c r="FL109" s="52">
        <v>209.21</v>
      </c>
      <c r="FM109" s="52">
        <v>200.73</v>
      </c>
      <c r="FN109" s="52">
        <v>213.82</v>
      </c>
      <c r="FO109" s="52">
        <v>305.7</v>
      </c>
      <c r="FP109" s="52">
        <v>198.74</v>
      </c>
      <c r="FQ109" s="52">
        <v>278.49</v>
      </c>
      <c r="FR109" s="52">
        <v>302.52999999999997</v>
      </c>
      <c r="FS109" s="52">
        <v>245.49</v>
      </c>
      <c r="FT109" s="52">
        <v>174.73</v>
      </c>
      <c r="FU109" s="52">
        <v>267.41000000000003</v>
      </c>
      <c r="FV109" s="52">
        <v>193.02</v>
      </c>
      <c r="FW109" s="52">
        <v>138.94</v>
      </c>
      <c r="FX109" s="52">
        <v>246.38</v>
      </c>
      <c r="FY109" s="52">
        <v>255.8</v>
      </c>
      <c r="FZ109" s="52">
        <v>220.86</v>
      </c>
      <c r="GA109" s="52">
        <v>219.12</v>
      </c>
      <c r="GB109" s="52">
        <v>191</v>
      </c>
      <c r="GC109" s="52">
        <v>180.84</v>
      </c>
      <c r="GD109" s="52">
        <v>172.56</v>
      </c>
      <c r="GE109" s="52">
        <v>410.76</v>
      </c>
      <c r="GF109" s="52">
        <v>271.41000000000003</v>
      </c>
      <c r="GG109" s="52">
        <v>356.93</v>
      </c>
      <c r="GH109" s="52">
        <v>400.15</v>
      </c>
      <c r="GI109" s="52">
        <v>150.08000000000001</v>
      </c>
      <c r="GJ109" s="52">
        <v>141.62</v>
      </c>
      <c r="GK109" s="52">
        <v>135.80000000000001</v>
      </c>
      <c r="GL109" s="52">
        <v>173.37</v>
      </c>
      <c r="GM109" s="52">
        <v>154.54</v>
      </c>
      <c r="GN109" s="52">
        <v>224.12</v>
      </c>
      <c r="GO109" s="52">
        <v>159.09</v>
      </c>
      <c r="GP109" s="52">
        <v>157.61000000000001</v>
      </c>
      <c r="GQ109" s="52">
        <v>164.46</v>
      </c>
      <c r="GR109" s="52">
        <v>250.51</v>
      </c>
      <c r="GS109" s="52">
        <v>308.02</v>
      </c>
      <c r="GT109" s="52">
        <v>184.51</v>
      </c>
      <c r="GU109" s="52">
        <v>222.99</v>
      </c>
      <c r="GV109" s="52">
        <v>233.53</v>
      </c>
      <c r="GW109" s="52">
        <v>287.77999999999997</v>
      </c>
      <c r="GX109" s="52">
        <v>304.13</v>
      </c>
      <c r="GY109" s="52">
        <v>260.85000000000002</v>
      </c>
      <c r="GZ109" s="52">
        <v>231.39</v>
      </c>
      <c r="HA109" s="52">
        <v>198.86</v>
      </c>
      <c r="HB109" s="52">
        <v>211.23</v>
      </c>
      <c r="HC109" s="52">
        <v>183.75</v>
      </c>
      <c r="HD109" s="52">
        <v>168.04</v>
      </c>
      <c r="HE109" s="52">
        <v>101.79</v>
      </c>
      <c r="HF109" s="52">
        <v>108.14</v>
      </c>
      <c r="HG109" s="52">
        <v>140.81</v>
      </c>
      <c r="HH109" s="52">
        <v>164.74</v>
      </c>
      <c r="HI109" s="52">
        <v>76.09</v>
      </c>
      <c r="HJ109" s="52">
        <v>144.25</v>
      </c>
      <c r="HK109" s="52">
        <v>278.72000000000003</v>
      </c>
      <c r="HL109" s="52">
        <v>154.51</v>
      </c>
      <c r="HM109" s="52">
        <v>210.04</v>
      </c>
      <c r="HN109" s="52">
        <v>210.03</v>
      </c>
      <c r="HO109" s="52">
        <v>186.06</v>
      </c>
      <c r="HP109" s="52">
        <v>225.34</v>
      </c>
      <c r="HQ109" s="52">
        <v>138.27000000000001</v>
      </c>
      <c r="HR109" s="52">
        <v>189.22</v>
      </c>
      <c r="HS109" s="52">
        <v>337.97</v>
      </c>
      <c r="HT109" s="52">
        <v>211.37</v>
      </c>
      <c r="HU109" s="52">
        <v>92.69</v>
      </c>
      <c r="HV109" s="52">
        <v>155.69</v>
      </c>
      <c r="HW109" s="52">
        <v>116.66</v>
      </c>
      <c r="HX109" s="52">
        <v>100.11</v>
      </c>
      <c r="HY109" s="52">
        <v>204.97</v>
      </c>
      <c r="HZ109" s="52">
        <v>162.02000000000001</v>
      </c>
      <c r="IA109" s="52">
        <v>93.59</v>
      </c>
      <c r="IB109" s="52">
        <v>182.34</v>
      </c>
      <c r="IC109" s="52">
        <v>126.55</v>
      </c>
      <c r="ID109" s="52">
        <v>141.43</v>
      </c>
      <c r="IE109" s="52">
        <v>118.5</v>
      </c>
      <c r="IF109" s="52">
        <v>160.97</v>
      </c>
      <c r="IG109" s="52">
        <v>209.38</v>
      </c>
      <c r="IH109" s="52">
        <v>264.64</v>
      </c>
      <c r="II109" s="52">
        <v>276.83999999999997</v>
      </c>
      <c r="IJ109" s="52">
        <v>356.61</v>
      </c>
      <c r="IK109" s="52">
        <v>269.33</v>
      </c>
      <c r="IL109" s="52">
        <v>203.34</v>
      </c>
      <c r="IM109" s="52">
        <v>274.93</v>
      </c>
      <c r="IN109" s="52">
        <v>268.8</v>
      </c>
      <c r="IO109" s="52">
        <v>227.81</v>
      </c>
      <c r="IP109" s="52">
        <v>158.19</v>
      </c>
      <c r="IQ109" s="52">
        <v>203.25</v>
      </c>
      <c r="IR109" s="52">
        <v>298.83</v>
      </c>
      <c r="IS109" s="52">
        <v>296.32</v>
      </c>
      <c r="IT109" s="52">
        <v>47.84</v>
      </c>
      <c r="IU109" s="52">
        <v>134.69999999999999</v>
      </c>
      <c r="IV109" s="52">
        <v>38</v>
      </c>
      <c r="IW109" s="52">
        <v>83.06</v>
      </c>
      <c r="IX109" s="52">
        <v>147.5</v>
      </c>
      <c r="IY109" s="52">
        <v>184.42</v>
      </c>
      <c r="IZ109" s="52">
        <v>260.75</v>
      </c>
      <c r="JA109" s="52">
        <v>198.82</v>
      </c>
      <c r="JB109" s="52"/>
      <c r="JC109" s="52">
        <v>211.27</v>
      </c>
      <c r="JD109" s="52">
        <v>267.76</v>
      </c>
      <c r="JE109" s="52">
        <v>205.59</v>
      </c>
      <c r="JF109" s="52">
        <v>178.38</v>
      </c>
      <c r="JG109" s="52">
        <v>227.3</v>
      </c>
      <c r="JH109" s="52">
        <v>320.83999999999997</v>
      </c>
      <c r="JI109" s="52">
        <v>211.03</v>
      </c>
      <c r="JJ109" s="52">
        <v>176.83</v>
      </c>
      <c r="JK109" s="52">
        <v>287.08</v>
      </c>
      <c r="JL109" s="52">
        <v>272.79000000000002</v>
      </c>
      <c r="JM109" s="52">
        <v>264.42</v>
      </c>
      <c r="JN109" s="52">
        <v>186.94</v>
      </c>
      <c r="JO109" s="52">
        <v>179.3</v>
      </c>
      <c r="JP109" s="52">
        <v>309.17</v>
      </c>
      <c r="JQ109" s="52">
        <v>259.44</v>
      </c>
      <c r="JR109" s="52">
        <v>242.82</v>
      </c>
      <c r="JS109" s="52">
        <v>290.94</v>
      </c>
      <c r="JT109" s="52">
        <v>287.5</v>
      </c>
      <c r="JU109" s="52">
        <v>232.29</v>
      </c>
      <c r="JV109" s="52">
        <v>118.68</v>
      </c>
      <c r="JW109" s="52">
        <v>159.97</v>
      </c>
      <c r="JX109" s="52">
        <v>477.39</v>
      </c>
      <c r="JY109" s="52">
        <v>247.74</v>
      </c>
      <c r="JZ109" s="52">
        <v>231</v>
      </c>
      <c r="KA109" s="52">
        <v>254.8</v>
      </c>
      <c r="KB109" s="52">
        <v>252.16</v>
      </c>
      <c r="KC109" s="52">
        <v>228.08</v>
      </c>
      <c r="KD109" s="52">
        <v>290.86</v>
      </c>
      <c r="KE109" s="52">
        <v>332.94</v>
      </c>
      <c r="KF109" s="52">
        <v>293.93</v>
      </c>
    </row>
    <row r="110" spans="1:292" s="41" customFormat="1" ht="12">
      <c r="A110" s="41">
        <v>2013</v>
      </c>
      <c r="B110" s="54" t="s">
        <v>993</v>
      </c>
      <c r="C110" s="55" t="s">
        <v>994</v>
      </c>
      <c r="D110" s="56">
        <v>223.91</v>
      </c>
      <c r="E110" s="56">
        <v>232.52</v>
      </c>
      <c r="F110" s="56">
        <v>399.92</v>
      </c>
      <c r="G110" s="56">
        <v>146.43</v>
      </c>
      <c r="H110" s="56">
        <v>265.05</v>
      </c>
      <c r="I110" s="56">
        <v>176.08</v>
      </c>
      <c r="J110" s="56">
        <v>134.38999999999999</v>
      </c>
      <c r="K110" s="56">
        <v>223.36</v>
      </c>
      <c r="L110" s="56">
        <v>123.08</v>
      </c>
      <c r="M110" s="56">
        <v>162.46</v>
      </c>
      <c r="N110" s="56">
        <v>232.1</v>
      </c>
      <c r="O110" s="56">
        <v>301.48</v>
      </c>
      <c r="P110" s="56">
        <v>258.72000000000003</v>
      </c>
      <c r="Q110" s="56">
        <v>234.37</v>
      </c>
      <c r="R110" s="56">
        <v>205.92</v>
      </c>
      <c r="S110" s="56">
        <v>382.15</v>
      </c>
      <c r="T110" s="56">
        <v>400.82</v>
      </c>
      <c r="U110" s="56">
        <v>140.88999999999999</v>
      </c>
      <c r="V110" s="56">
        <v>163.12</v>
      </c>
      <c r="W110" s="56">
        <v>309.94</v>
      </c>
      <c r="X110" s="56">
        <v>185.98</v>
      </c>
      <c r="Y110" s="56">
        <v>223.87</v>
      </c>
      <c r="Z110" s="56">
        <v>277.17</v>
      </c>
      <c r="AA110" s="56">
        <v>202.54</v>
      </c>
      <c r="AB110" s="56">
        <v>169.87</v>
      </c>
      <c r="AC110" s="56">
        <v>133.29</v>
      </c>
      <c r="AD110" s="56">
        <v>186.13</v>
      </c>
      <c r="AE110" s="56">
        <v>210.1</v>
      </c>
      <c r="AF110" s="56">
        <v>180.69</v>
      </c>
      <c r="AG110" s="56">
        <v>96.82</v>
      </c>
      <c r="AH110" s="56">
        <v>166.8</v>
      </c>
      <c r="AI110" s="56">
        <v>182.84</v>
      </c>
      <c r="AJ110" s="56">
        <v>142.30000000000001</v>
      </c>
      <c r="AK110" s="56">
        <v>274.24</v>
      </c>
      <c r="AL110" s="56">
        <v>265.49</v>
      </c>
      <c r="AM110" s="56">
        <v>296.32</v>
      </c>
      <c r="AN110" s="56">
        <v>47.07</v>
      </c>
      <c r="AO110" s="56">
        <v>135.05000000000001</v>
      </c>
      <c r="AP110" s="56">
        <v>61.51</v>
      </c>
      <c r="AQ110" s="56">
        <v>187.4</v>
      </c>
      <c r="AR110" s="56">
        <v>245.75</v>
      </c>
      <c r="AS110" s="56">
        <v>228.43</v>
      </c>
      <c r="AT110" s="56">
        <v>236.9</v>
      </c>
      <c r="AU110" s="56">
        <v>276.49</v>
      </c>
      <c r="AV110" s="56">
        <v>280.98</v>
      </c>
      <c r="AW110" s="56">
        <v>267.95</v>
      </c>
      <c r="AX110" s="56">
        <v>199.18</v>
      </c>
      <c r="AY110" s="56">
        <v>184.03</v>
      </c>
      <c r="AZ110" s="56">
        <v>298.35000000000002</v>
      </c>
      <c r="BA110" s="56">
        <v>269.91000000000003</v>
      </c>
      <c r="BB110" s="56">
        <v>181.61</v>
      </c>
      <c r="BC110" s="56">
        <v>426.21</v>
      </c>
      <c r="BD110" s="56">
        <v>263.88</v>
      </c>
      <c r="BE110" s="56">
        <v>275.01</v>
      </c>
      <c r="BF110" s="56">
        <v>332.94</v>
      </c>
      <c r="BG110" s="56">
        <v>294.18</v>
      </c>
      <c r="BH110" s="52">
        <v>240.25</v>
      </c>
      <c r="BI110" s="52">
        <v>247.54</v>
      </c>
      <c r="BJ110" s="52">
        <v>195.93</v>
      </c>
      <c r="BK110" s="52">
        <v>228.7</v>
      </c>
      <c r="BL110" s="52">
        <v>208.03</v>
      </c>
      <c r="BM110" s="52">
        <v>222.28</v>
      </c>
      <c r="BN110" s="52">
        <v>234.47</v>
      </c>
      <c r="BO110" s="52">
        <v>192.97</v>
      </c>
      <c r="BP110" s="52">
        <v>249.03</v>
      </c>
      <c r="BQ110" s="52">
        <v>227.37</v>
      </c>
      <c r="BR110" s="52">
        <v>184.78</v>
      </c>
      <c r="BS110" s="52">
        <v>410.67</v>
      </c>
      <c r="BT110" s="52">
        <v>278.7</v>
      </c>
      <c r="BU110" s="52">
        <v>357.68</v>
      </c>
      <c r="BV110" s="52">
        <v>400.82</v>
      </c>
      <c r="BW110" s="52">
        <v>138.53</v>
      </c>
      <c r="BX110" s="52">
        <v>159.25</v>
      </c>
      <c r="BY110" s="52">
        <v>226.47</v>
      </c>
      <c r="BZ110" s="52">
        <v>162.59</v>
      </c>
      <c r="CA110" s="52">
        <v>251.13</v>
      </c>
      <c r="CB110" s="53">
        <v>309.94</v>
      </c>
      <c r="CC110" s="52">
        <v>185.98</v>
      </c>
      <c r="CD110" s="52">
        <v>223.02</v>
      </c>
      <c r="CE110" s="52">
        <v>233.53</v>
      </c>
      <c r="CF110" s="52">
        <v>313.29000000000002</v>
      </c>
      <c r="CG110" s="52">
        <v>263.64999999999998</v>
      </c>
      <c r="CH110" s="52">
        <v>207.9</v>
      </c>
      <c r="CI110" s="52">
        <v>185.04</v>
      </c>
      <c r="CJ110" s="52">
        <v>169.87</v>
      </c>
      <c r="CK110" s="52">
        <v>120.85</v>
      </c>
      <c r="CL110" s="52">
        <v>145.32</v>
      </c>
      <c r="CM110" s="52">
        <v>281</v>
      </c>
      <c r="CN110" s="52">
        <v>186.13</v>
      </c>
      <c r="CO110" s="52">
        <v>210.1</v>
      </c>
      <c r="CP110" s="52">
        <v>144.19999999999999</v>
      </c>
      <c r="CQ110" s="52">
        <v>334.13</v>
      </c>
      <c r="CR110" s="52">
        <v>92.96</v>
      </c>
      <c r="CS110" s="52">
        <v>155.6</v>
      </c>
      <c r="CT110" s="52">
        <v>113.37</v>
      </c>
      <c r="CU110" s="52">
        <v>205.13</v>
      </c>
      <c r="CV110" s="52">
        <v>162.33000000000001</v>
      </c>
      <c r="CW110" s="52">
        <v>102.34</v>
      </c>
      <c r="CX110" s="52">
        <v>182.84</v>
      </c>
      <c r="CY110" s="52">
        <v>142.44999999999999</v>
      </c>
      <c r="CZ110" s="52">
        <v>121.1</v>
      </c>
      <c r="DA110" s="52">
        <v>161.08000000000001</v>
      </c>
      <c r="DB110" s="52">
        <v>209.69</v>
      </c>
      <c r="DC110" s="52">
        <v>272.08999999999997</v>
      </c>
      <c r="DD110" s="52">
        <v>274.04000000000002</v>
      </c>
      <c r="DE110" s="52">
        <v>357.2</v>
      </c>
      <c r="DF110" s="52">
        <v>247.87</v>
      </c>
      <c r="DG110" s="52">
        <v>270.44</v>
      </c>
      <c r="DH110" s="52">
        <v>158.09</v>
      </c>
      <c r="DI110" s="52">
        <v>203.8</v>
      </c>
      <c r="DJ110" s="52">
        <v>300.72000000000003</v>
      </c>
      <c r="DK110" s="52">
        <v>296.32</v>
      </c>
      <c r="DL110" s="52">
        <v>47.07</v>
      </c>
      <c r="DM110" s="52">
        <v>135.05000000000001</v>
      </c>
      <c r="DN110" s="52">
        <v>38.619999999999997</v>
      </c>
      <c r="DO110" s="52">
        <v>84.72</v>
      </c>
      <c r="DP110" s="52">
        <v>147.72999999999999</v>
      </c>
      <c r="DQ110" s="52">
        <v>187.4</v>
      </c>
      <c r="DR110" s="52">
        <v>263.42</v>
      </c>
      <c r="DS110" s="52">
        <v>201.15</v>
      </c>
      <c r="DT110" s="52"/>
      <c r="DU110" s="52">
        <v>212.41</v>
      </c>
      <c r="DV110" s="52">
        <v>278.76</v>
      </c>
      <c r="DW110" s="52">
        <v>185.1</v>
      </c>
      <c r="DX110" s="52">
        <v>227.3</v>
      </c>
      <c r="DY110" s="52">
        <v>312.70999999999998</v>
      </c>
      <c r="DZ110" s="52">
        <v>211.37</v>
      </c>
      <c r="EA110" s="52">
        <v>179.09</v>
      </c>
      <c r="EB110" s="52">
        <v>276.49</v>
      </c>
      <c r="EC110" s="52">
        <v>280.98</v>
      </c>
      <c r="ED110" s="52">
        <v>267.95</v>
      </c>
      <c r="EE110" s="52">
        <v>199.18</v>
      </c>
      <c r="EF110" s="52">
        <v>184.03</v>
      </c>
      <c r="EG110" s="52">
        <v>298.35000000000002</v>
      </c>
      <c r="EH110" s="52">
        <v>269.91000000000003</v>
      </c>
      <c r="EI110" s="52">
        <v>261.41000000000003</v>
      </c>
      <c r="EJ110" s="52">
        <v>118.97</v>
      </c>
      <c r="EK110" s="52">
        <v>160.02000000000001</v>
      </c>
      <c r="EL110" s="52">
        <v>491.36</v>
      </c>
      <c r="EM110" s="52">
        <v>250.26</v>
      </c>
      <c r="EN110" s="52">
        <v>263.88</v>
      </c>
      <c r="EO110" s="52">
        <v>253.85</v>
      </c>
      <c r="EP110" s="52">
        <v>231.75</v>
      </c>
      <c r="EQ110" s="52">
        <v>281.41000000000003</v>
      </c>
      <c r="ER110" s="52">
        <v>332.94</v>
      </c>
      <c r="ES110" s="52">
        <v>294.18</v>
      </c>
      <c r="ET110" s="52">
        <v>236.65</v>
      </c>
      <c r="EU110" s="52">
        <v>215.52</v>
      </c>
      <c r="EV110" s="52">
        <v>258.5</v>
      </c>
      <c r="EW110" s="52">
        <v>214.35</v>
      </c>
      <c r="EX110" s="52">
        <v>222.57</v>
      </c>
      <c r="EY110" s="52">
        <v>157.37</v>
      </c>
      <c r="EZ110" s="52">
        <v>245.51</v>
      </c>
      <c r="FA110" s="52">
        <v>273.62</v>
      </c>
      <c r="FB110" s="52">
        <v>221.14</v>
      </c>
      <c r="FC110" s="52">
        <v>275.2</v>
      </c>
      <c r="FD110" s="52">
        <v>221.49</v>
      </c>
      <c r="FE110" s="52">
        <v>195.93</v>
      </c>
      <c r="FF110" s="52"/>
      <c r="FG110" s="52">
        <v>181.44</v>
      </c>
      <c r="FH110" s="52">
        <v>201.74</v>
      </c>
      <c r="FI110" s="52">
        <v>249.62</v>
      </c>
      <c r="FJ110" s="52">
        <v>284.79000000000002</v>
      </c>
      <c r="FK110" s="52">
        <v>281.94</v>
      </c>
      <c r="FL110" s="52">
        <v>210.84</v>
      </c>
      <c r="FM110" s="52">
        <v>199.23</v>
      </c>
      <c r="FN110" s="52">
        <v>203.48</v>
      </c>
      <c r="FO110" s="52">
        <v>322.77999999999997</v>
      </c>
      <c r="FP110" s="52">
        <v>212.66</v>
      </c>
      <c r="FQ110" s="52">
        <v>252.21</v>
      </c>
      <c r="FR110" s="52">
        <v>308.77999999999997</v>
      </c>
      <c r="FS110" s="52">
        <v>246.78</v>
      </c>
      <c r="FT110" s="52">
        <v>179.15</v>
      </c>
      <c r="FU110" s="52">
        <v>269.2</v>
      </c>
      <c r="FV110" s="52">
        <v>193.37</v>
      </c>
      <c r="FW110" s="52">
        <v>138.85</v>
      </c>
      <c r="FX110" s="52">
        <v>249.03</v>
      </c>
      <c r="FY110" s="52">
        <v>257.26</v>
      </c>
      <c r="FZ110" s="52">
        <v>222.55</v>
      </c>
      <c r="GA110" s="52">
        <v>218.96</v>
      </c>
      <c r="GB110" s="52">
        <v>191.12</v>
      </c>
      <c r="GC110" s="52">
        <v>184.41</v>
      </c>
      <c r="GD110" s="52">
        <v>170.82</v>
      </c>
      <c r="GE110" s="52">
        <v>410.67</v>
      </c>
      <c r="GF110" s="52">
        <v>278.7</v>
      </c>
      <c r="GG110" s="52">
        <v>357.68</v>
      </c>
      <c r="GH110" s="52">
        <v>400.15</v>
      </c>
      <c r="GI110" s="52">
        <v>144.41</v>
      </c>
      <c r="GJ110" s="52">
        <v>134.53</v>
      </c>
      <c r="GK110" s="52">
        <v>132.15</v>
      </c>
      <c r="GL110" s="52">
        <v>177.23</v>
      </c>
      <c r="GM110" s="52">
        <v>159.25</v>
      </c>
      <c r="GN110" s="52">
        <v>226.47</v>
      </c>
      <c r="GO110" s="52">
        <v>163.27000000000001</v>
      </c>
      <c r="GP110" s="52">
        <v>159.29</v>
      </c>
      <c r="GQ110" s="52">
        <v>167.7</v>
      </c>
      <c r="GR110" s="52">
        <v>251.13</v>
      </c>
      <c r="GS110" s="52">
        <v>309.94</v>
      </c>
      <c r="GT110" s="52">
        <v>185.98</v>
      </c>
      <c r="GU110" s="52">
        <v>223.02</v>
      </c>
      <c r="GV110" s="52">
        <v>233.53</v>
      </c>
      <c r="GW110" s="52">
        <v>287.98</v>
      </c>
      <c r="GX110" s="52">
        <v>318.35000000000002</v>
      </c>
      <c r="GY110" s="52">
        <v>263.64999999999998</v>
      </c>
      <c r="GZ110" s="52">
        <v>233.68</v>
      </c>
      <c r="HA110" s="52">
        <v>199.86</v>
      </c>
      <c r="HB110" s="52">
        <v>211.74</v>
      </c>
      <c r="HC110" s="52">
        <v>185.04</v>
      </c>
      <c r="HD110" s="52">
        <v>169.87</v>
      </c>
      <c r="HE110" s="52">
        <v>104.79</v>
      </c>
      <c r="HF110" s="52">
        <v>110.21</v>
      </c>
      <c r="HG110" s="52">
        <v>143.30000000000001</v>
      </c>
      <c r="HH110" s="52">
        <v>166.28</v>
      </c>
      <c r="HI110" s="52">
        <v>76.06</v>
      </c>
      <c r="HJ110" s="52">
        <v>145.32</v>
      </c>
      <c r="HK110" s="52">
        <v>281</v>
      </c>
      <c r="HL110" s="52">
        <v>154.91999999999999</v>
      </c>
      <c r="HM110" s="52">
        <v>210.96</v>
      </c>
      <c r="HN110" s="52">
        <v>211.18</v>
      </c>
      <c r="HO110" s="52">
        <v>189.23</v>
      </c>
      <c r="HP110" s="52">
        <v>226.18</v>
      </c>
      <c r="HQ110" s="52">
        <v>138.4</v>
      </c>
      <c r="HR110" s="52">
        <v>190.59</v>
      </c>
      <c r="HS110" s="52">
        <v>339.92</v>
      </c>
      <c r="HT110" s="52">
        <v>211.6</v>
      </c>
      <c r="HU110" s="52">
        <v>92.96</v>
      </c>
      <c r="HV110" s="52">
        <v>155.6</v>
      </c>
      <c r="HW110" s="52">
        <v>116.73</v>
      </c>
      <c r="HX110" s="52">
        <v>100.37</v>
      </c>
      <c r="HY110" s="52">
        <v>205.13</v>
      </c>
      <c r="HZ110" s="52">
        <v>162.33000000000001</v>
      </c>
      <c r="IA110" s="52">
        <v>93.48</v>
      </c>
      <c r="IB110" s="52">
        <v>182.84</v>
      </c>
      <c r="IC110" s="52">
        <v>129.36000000000001</v>
      </c>
      <c r="ID110" s="52">
        <v>145.19999999999999</v>
      </c>
      <c r="IE110" s="52">
        <v>121.1</v>
      </c>
      <c r="IF110" s="52">
        <v>161.08000000000001</v>
      </c>
      <c r="IG110" s="52">
        <v>209.69</v>
      </c>
      <c r="IH110" s="52">
        <v>272.08999999999997</v>
      </c>
      <c r="II110" s="52">
        <v>274.04000000000002</v>
      </c>
      <c r="IJ110" s="52">
        <v>357.2</v>
      </c>
      <c r="IK110" s="52">
        <v>272.49</v>
      </c>
      <c r="IL110" s="52">
        <v>203.34</v>
      </c>
      <c r="IM110" s="52">
        <v>279.64999999999998</v>
      </c>
      <c r="IN110" s="52">
        <v>270.58999999999997</v>
      </c>
      <c r="IO110" s="52">
        <v>231.17</v>
      </c>
      <c r="IP110" s="52">
        <v>158.09</v>
      </c>
      <c r="IQ110" s="52">
        <v>203.8</v>
      </c>
      <c r="IR110" s="52">
        <v>300.72000000000003</v>
      </c>
      <c r="IS110" s="52">
        <v>296.32</v>
      </c>
      <c r="IT110" s="52">
        <v>47.07</v>
      </c>
      <c r="IU110" s="52">
        <v>135.05000000000001</v>
      </c>
      <c r="IV110" s="52">
        <v>38.65</v>
      </c>
      <c r="IW110" s="52">
        <v>84.72</v>
      </c>
      <c r="IX110" s="52">
        <v>147.72999999999999</v>
      </c>
      <c r="IY110" s="52">
        <v>187.4</v>
      </c>
      <c r="IZ110" s="52">
        <v>263.42</v>
      </c>
      <c r="JA110" s="52">
        <v>201.15</v>
      </c>
      <c r="JB110" s="52"/>
      <c r="JC110" s="52">
        <v>212.41</v>
      </c>
      <c r="JD110" s="52">
        <v>278.76</v>
      </c>
      <c r="JE110" s="52">
        <v>208.07</v>
      </c>
      <c r="JF110" s="52">
        <v>178.81</v>
      </c>
      <c r="JG110" s="52">
        <v>227.3</v>
      </c>
      <c r="JH110" s="52">
        <v>312.70999999999998</v>
      </c>
      <c r="JI110" s="52">
        <v>211.37</v>
      </c>
      <c r="JJ110" s="52">
        <v>179.09</v>
      </c>
      <c r="JK110" s="52">
        <v>276.49</v>
      </c>
      <c r="JL110" s="52">
        <v>280.98</v>
      </c>
      <c r="JM110" s="52">
        <v>267.95</v>
      </c>
      <c r="JN110" s="52">
        <v>199.18</v>
      </c>
      <c r="JO110" s="52">
        <v>184.03</v>
      </c>
      <c r="JP110" s="52">
        <v>313.88</v>
      </c>
      <c r="JQ110" s="52">
        <v>261.2</v>
      </c>
      <c r="JR110" s="52">
        <v>250.19</v>
      </c>
      <c r="JS110" s="52">
        <v>298.38</v>
      </c>
      <c r="JT110" s="52">
        <v>290.45</v>
      </c>
      <c r="JU110" s="52">
        <v>233.19</v>
      </c>
      <c r="JV110" s="52">
        <v>118.97</v>
      </c>
      <c r="JW110" s="52">
        <v>160.02000000000001</v>
      </c>
      <c r="JX110" s="52">
        <v>491.36</v>
      </c>
      <c r="JY110" s="52">
        <v>259.27</v>
      </c>
      <c r="JZ110" s="52">
        <v>232.48</v>
      </c>
      <c r="KA110" s="52">
        <v>263.88</v>
      </c>
      <c r="KB110" s="52">
        <v>253.85</v>
      </c>
      <c r="KC110" s="52">
        <v>231.75</v>
      </c>
      <c r="KD110" s="52">
        <v>281.41000000000003</v>
      </c>
      <c r="KE110" s="52">
        <v>332.94</v>
      </c>
      <c r="KF110" s="52">
        <v>294.18</v>
      </c>
    </row>
    <row r="111" spans="1:292" s="41" customFormat="1" ht="12">
      <c r="A111" s="41">
        <v>2013</v>
      </c>
      <c r="B111" s="54" t="s">
        <v>995</v>
      </c>
      <c r="C111" s="55" t="s">
        <v>996</v>
      </c>
      <c r="D111" s="56">
        <v>227.94</v>
      </c>
      <c r="E111" s="56">
        <v>241.62</v>
      </c>
      <c r="F111" s="56">
        <v>396.99</v>
      </c>
      <c r="G111" s="56">
        <v>160.43</v>
      </c>
      <c r="H111" s="56">
        <v>266</v>
      </c>
      <c r="I111" s="56">
        <v>178.86</v>
      </c>
      <c r="J111" s="56">
        <v>134.66</v>
      </c>
      <c r="K111" s="56">
        <v>224.11</v>
      </c>
      <c r="L111" s="56">
        <v>123.08</v>
      </c>
      <c r="M111" s="56">
        <v>163.47</v>
      </c>
      <c r="N111" s="56">
        <v>232.74</v>
      </c>
      <c r="O111" s="56">
        <v>304.32</v>
      </c>
      <c r="P111" s="56">
        <v>257.64999999999998</v>
      </c>
      <c r="Q111" s="56">
        <v>244.15</v>
      </c>
      <c r="R111" s="56">
        <v>207.06</v>
      </c>
      <c r="S111" s="56">
        <v>386.49</v>
      </c>
      <c r="T111" s="56">
        <v>397.4</v>
      </c>
      <c r="U111" s="56">
        <v>155.66</v>
      </c>
      <c r="V111" s="56">
        <v>174.13</v>
      </c>
      <c r="W111" s="56">
        <v>311.75</v>
      </c>
      <c r="X111" s="56">
        <v>187.21</v>
      </c>
      <c r="Y111" s="56">
        <v>224.82</v>
      </c>
      <c r="Z111" s="56">
        <v>277.51</v>
      </c>
      <c r="AA111" s="56">
        <v>208.14</v>
      </c>
      <c r="AB111" s="56">
        <v>174.04</v>
      </c>
      <c r="AC111" s="56">
        <v>135.03</v>
      </c>
      <c r="AD111" s="56">
        <v>187.69</v>
      </c>
      <c r="AE111" s="56">
        <v>211.24</v>
      </c>
      <c r="AF111" s="56">
        <v>181.61</v>
      </c>
      <c r="AG111" s="56">
        <v>97.18</v>
      </c>
      <c r="AH111" s="56">
        <v>166.88</v>
      </c>
      <c r="AI111" s="56">
        <v>183.45</v>
      </c>
      <c r="AJ111" s="56">
        <v>144.18</v>
      </c>
      <c r="AK111" s="56">
        <v>270.85000000000002</v>
      </c>
      <c r="AL111" s="56">
        <v>267.27999999999997</v>
      </c>
      <c r="AM111" s="56">
        <v>266.75</v>
      </c>
      <c r="AN111" s="56">
        <v>46.7</v>
      </c>
      <c r="AO111" s="56">
        <v>135.18</v>
      </c>
      <c r="AP111" s="56">
        <v>61.86</v>
      </c>
      <c r="AQ111" s="56">
        <v>188.01</v>
      </c>
      <c r="AR111" s="56">
        <v>248.52</v>
      </c>
      <c r="AS111" s="56">
        <v>229.12</v>
      </c>
      <c r="AT111" s="56">
        <v>248.85</v>
      </c>
      <c r="AU111" s="56">
        <v>265.33</v>
      </c>
      <c r="AV111" s="56">
        <v>282.73</v>
      </c>
      <c r="AW111" s="56">
        <v>268.12</v>
      </c>
      <c r="AX111" s="56">
        <v>199.18</v>
      </c>
      <c r="AY111" s="56">
        <v>184.67</v>
      </c>
      <c r="AZ111" s="56">
        <v>301.33</v>
      </c>
      <c r="BA111" s="56">
        <v>270.97000000000003</v>
      </c>
      <c r="BB111" s="56">
        <v>182.03</v>
      </c>
      <c r="BC111" s="56">
        <v>416.48</v>
      </c>
      <c r="BD111" s="56">
        <v>265.14999999999998</v>
      </c>
      <c r="BE111" s="56">
        <v>275.87</v>
      </c>
      <c r="BF111" s="56">
        <v>332.94</v>
      </c>
      <c r="BG111" s="56">
        <v>294.33</v>
      </c>
      <c r="BH111" s="52">
        <v>242.64</v>
      </c>
      <c r="BI111" s="52">
        <v>243.3</v>
      </c>
      <c r="BJ111" s="52">
        <v>206.66</v>
      </c>
      <c r="BK111" s="52">
        <v>233.45</v>
      </c>
      <c r="BL111" s="52">
        <v>207.33</v>
      </c>
      <c r="BM111" s="52">
        <v>228.5</v>
      </c>
      <c r="BN111" s="52">
        <v>286.54000000000002</v>
      </c>
      <c r="BO111" s="52">
        <v>195.1</v>
      </c>
      <c r="BP111" s="52">
        <v>249.73</v>
      </c>
      <c r="BQ111" s="52">
        <v>228.37</v>
      </c>
      <c r="BR111" s="52">
        <v>185.92</v>
      </c>
      <c r="BS111" s="52">
        <v>422.71</v>
      </c>
      <c r="BT111" s="52">
        <v>267.99</v>
      </c>
      <c r="BU111" s="52">
        <v>357.84</v>
      </c>
      <c r="BV111" s="52">
        <v>397.4</v>
      </c>
      <c r="BW111" s="52">
        <v>153.99</v>
      </c>
      <c r="BX111" s="52">
        <v>165.65</v>
      </c>
      <c r="BY111" s="52">
        <v>228.43</v>
      </c>
      <c r="BZ111" s="52">
        <v>173.64</v>
      </c>
      <c r="CA111" s="52">
        <v>254.24</v>
      </c>
      <c r="CB111" s="53">
        <v>311.75</v>
      </c>
      <c r="CC111" s="52">
        <v>187.21</v>
      </c>
      <c r="CD111" s="52">
        <v>223.96</v>
      </c>
      <c r="CE111" s="52">
        <v>233.53</v>
      </c>
      <c r="CF111" s="52">
        <v>313.5</v>
      </c>
      <c r="CG111" s="52">
        <v>265</v>
      </c>
      <c r="CH111" s="52">
        <v>213.65</v>
      </c>
      <c r="CI111" s="52">
        <v>190.16</v>
      </c>
      <c r="CJ111" s="52">
        <v>174.04</v>
      </c>
      <c r="CK111" s="52">
        <v>122.48</v>
      </c>
      <c r="CL111" s="52">
        <v>146.08000000000001</v>
      </c>
      <c r="CM111" s="52">
        <v>286.24</v>
      </c>
      <c r="CN111" s="52">
        <v>187.69</v>
      </c>
      <c r="CO111" s="52">
        <v>211.24</v>
      </c>
      <c r="CP111" s="52">
        <v>144.77000000000001</v>
      </c>
      <c r="CQ111" s="52">
        <v>336.54</v>
      </c>
      <c r="CR111" s="52">
        <v>93.28</v>
      </c>
      <c r="CS111" s="52">
        <v>155.97999999999999</v>
      </c>
      <c r="CT111" s="52">
        <v>113.93</v>
      </c>
      <c r="CU111" s="52">
        <v>205.22</v>
      </c>
      <c r="CV111" s="52">
        <v>162.47999999999999</v>
      </c>
      <c r="CW111" s="52">
        <v>102.34</v>
      </c>
      <c r="CX111" s="52">
        <v>183.45</v>
      </c>
      <c r="CY111" s="52">
        <v>144.36000000000001</v>
      </c>
      <c r="CZ111" s="52">
        <v>121.43</v>
      </c>
      <c r="DA111" s="52">
        <v>161.66999999999999</v>
      </c>
      <c r="DB111" s="52">
        <v>212.6</v>
      </c>
      <c r="DC111" s="52">
        <v>267.81</v>
      </c>
      <c r="DD111" s="52">
        <v>271.08</v>
      </c>
      <c r="DE111" s="52">
        <v>358.95</v>
      </c>
      <c r="DF111" s="52">
        <v>248.48</v>
      </c>
      <c r="DG111" s="52">
        <v>272.52</v>
      </c>
      <c r="DH111" s="52">
        <v>157.41</v>
      </c>
      <c r="DI111" s="52">
        <v>204.48</v>
      </c>
      <c r="DJ111" s="52">
        <v>300.73</v>
      </c>
      <c r="DK111" s="52">
        <v>266.75</v>
      </c>
      <c r="DL111" s="52">
        <v>46.7</v>
      </c>
      <c r="DM111" s="52">
        <v>135.18</v>
      </c>
      <c r="DN111" s="52">
        <v>38.409999999999997</v>
      </c>
      <c r="DO111" s="52">
        <v>85.93</v>
      </c>
      <c r="DP111" s="52">
        <v>147.71</v>
      </c>
      <c r="DQ111" s="52">
        <v>188.01</v>
      </c>
      <c r="DR111" s="52">
        <v>266.45999999999998</v>
      </c>
      <c r="DS111" s="52">
        <v>203.55</v>
      </c>
      <c r="DT111" s="52"/>
      <c r="DU111" s="52">
        <v>212.56</v>
      </c>
      <c r="DV111" s="52">
        <v>279.2</v>
      </c>
      <c r="DW111" s="52">
        <v>186.1</v>
      </c>
      <c r="DX111" s="52">
        <v>227.3</v>
      </c>
      <c r="DY111" s="52">
        <v>345.67</v>
      </c>
      <c r="DZ111" s="52">
        <v>211.74</v>
      </c>
      <c r="EA111" s="52">
        <v>180.74</v>
      </c>
      <c r="EB111" s="52">
        <v>265.33</v>
      </c>
      <c r="EC111" s="52">
        <v>282.73</v>
      </c>
      <c r="ED111" s="52">
        <v>268.12</v>
      </c>
      <c r="EE111" s="52">
        <v>199.18</v>
      </c>
      <c r="EF111" s="52">
        <v>184.67</v>
      </c>
      <c r="EG111" s="52">
        <v>301.33</v>
      </c>
      <c r="EH111" s="52">
        <v>270.97000000000003</v>
      </c>
      <c r="EI111" s="52">
        <v>262.27999999999997</v>
      </c>
      <c r="EJ111" s="52">
        <v>119.61</v>
      </c>
      <c r="EK111" s="52">
        <v>160.30000000000001</v>
      </c>
      <c r="EL111" s="52">
        <v>473.77</v>
      </c>
      <c r="EM111" s="52">
        <v>253.03</v>
      </c>
      <c r="EN111" s="52">
        <v>265.14999999999998</v>
      </c>
      <c r="EO111" s="52">
        <v>255</v>
      </c>
      <c r="EP111" s="52">
        <v>237.64</v>
      </c>
      <c r="EQ111" s="52">
        <v>279.38</v>
      </c>
      <c r="ER111" s="52">
        <v>332.94</v>
      </c>
      <c r="ES111" s="52">
        <v>294.33</v>
      </c>
      <c r="ET111" s="52">
        <v>237.56</v>
      </c>
      <c r="EU111" s="52">
        <v>217.23</v>
      </c>
      <c r="EV111" s="52">
        <v>261.52</v>
      </c>
      <c r="EW111" s="52">
        <v>216.23</v>
      </c>
      <c r="EX111" s="52">
        <v>224.83</v>
      </c>
      <c r="EY111" s="52">
        <v>158.44999999999999</v>
      </c>
      <c r="EZ111" s="52">
        <v>246.08</v>
      </c>
      <c r="FA111" s="52">
        <v>274.18</v>
      </c>
      <c r="FB111" s="52">
        <v>204.81</v>
      </c>
      <c r="FC111" s="52">
        <v>276.81</v>
      </c>
      <c r="FD111" s="52">
        <v>224.63</v>
      </c>
      <c r="FE111" s="52">
        <v>206.66</v>
      </c>
      <c r="FF111" s="52"/>
      <c r="FG111" s="52">
        <v>184.06</v>
      </c>
      <c r="FH111" s="52">
        <v>202.37</v>
      </c>
      <c r="FI111" s="52">
        <v>251.9</v>
      </c>
      <c r="FJ111" s="52">
        <v>306.37</v>
      </c>
      <c r="FK111" s="52">
        <v>286.67</v>
      </c>
      <c r="FL111" s="52">
        <v>209.88</v>
      </c>
      <c r="FM111" s="52">
        <v>197.86</v>
      </c>
      <c r="FN111" s="52">
        <v>208.12</v>
      </c>
      <c r="FO111" s="52">
        <v>337.37</v>
      </c>
      <c r="FP111" s="52">
        <v>285.8</v>
      </c>
      <c r="FQ111" s="52">
        <v>274.91000000000003</v>
      </c>
      <c r="FR111" s="52">
        <v>312.89</v>
      </c>
      <c r="FS111" s="52">
        <v>249.26</v>
      </c>
      <c r="FT111" s="52">
        <v>182.3</v>
      </c>
      <c r="FU111" s="52">
        <v>271.02999999999997</v>
      </c>
      <c r="FV111" s="52">
        <v>194.71</v>
      </c>
      <c r="FW111" s="52">
        <v>139.93</v>
      </c>
      <c r="FX111" s="52">
        <v>249.73</v>
      </c>
      <c r="FY111" s="52">
        <v>256.37</v>
      </c>
      <c r="FZ111" s="52">
        <v>223.86</v>
      </c>
      <c r="GA111" s="52">
        <v>218.53</v>
      </c>
      <c r="GB111" s="52">
        <v>192.04</v>
      </c>
      <c r="GC111" s="52">
        <v>185.63</v>
      </c>
      <c r="GD111" s="52">
        <v>172.23</v>
      </c>
      <c r="GE111" s="52">
        <v>422.71</v>
      </c>
      <c r="GF111" s="52">
        <v>267.99</v>
      </c>
      <c r="GG111" s="52">
        <v>357.84</v>
      </c>
      <c r="GH111" s="52">
        <v>396.73</v>
      </c>
      <c r="GI111" s="52">
        <v>159.28</v>
      </c>
      <c r="GJ111" s="52">
        <v>152.19999999999999</v>
      </c>
      <c r="GK111" s="52">
        <v>143.78</v>
      </c>
      <c r="GL111" s="52">
        <v>185.1</v>
      </c>
      <c r="GM111" s="52">
        <v>165.65</v>
      </c>
      <c r="GN111" s="52">
        <v>228.43</v>
      </c>
      <c r="GO111" s="52">
        <v>172.43</v>
      </c>
      <c r="GP111" s="52">
        <v>173.87</v>
      </c>
      <c r="GQ111" s="52">
        <v>176.18</v>
      </c>
      <c r="GR111" s="52">
        <v>254.24</v>
      </c>
      <c r="GS111" s="52">
        <v>311.75</v>
      </c>
      <c r="GT111" s="52">
        <v>187.21</v>
      </c>
      <c r="GU111" s="52">
        <v>223.96</v>
      </c>
      <c r="GV111" s="52">
        <v>233.53</v>
      </c>
      <c r="GW111" s="52">
        <v>288.37</v>
      </c>
      <c r="GX111" s="52">
        <v>318.25</v>
      </c>
      <c r="GY111" s="52">
        <v>265</v>
      </c>
      <c r="GZ111" s="52">
        <v>235.91</v>
      </c>
      <c r="HA111" s="52">
        <v>203.11</v>
      </c>
      <c r="HB111" s="52">
        <v>220.26</v>
      </c>
      <c r="HC111" s="52">
        <v>190.16</v>
      </c>
      <c r="HD111" s="52">
        <v>174.04</v>
      </c>
      <c r="HE111" s="52">
        <v>107.05</v>
      </c>
      <c r="HF111" s="52">
        <v>112.72</v>
      </c>
      <c r="HG111" s="52">
        <v>143.15</v>
      </c>
      <c r="HH111" s="52">
        <v>167.2</v>
      </c>
      <c r="HI111" s="52">
        <v>75.69</v>
      </c>
      <c r="HJ111" s="52">
        <v>146.08000000000001</v>
      </c>
      <c r="HK111" s="52">
        <v>286.24</v>
      </c>
      <c r="HL111" s="52">
        <v>155.94</v>
      </c>
      <c r="HM111" s="52">
        <v>212.06</v>
      </c>
      <c r="HN111" s="52">
        <v>213.36</v>
      </c>
      <c r="HO111" s="52">
        <v>189.7</v>
      </c>
      <c r="HP111" s="52">
        <v>228.23</v>
      </c>
      <c r="HQ111" s="52">
        <v>138.88</v>
      </c>
      <c r="HR111" s="52">
        <v>191.9</v>
      </c>
      <c r="HS111" s="52">
        <v>342.41</v>
      </c>
      <c r="HT111" s="52">
        <v>212.66</v>
      </c>
      <c r="HU111" s="52">
        <v>93.28</v>
      </c>
      <c r="HV111" s="52">
        <v>155.97999999999999</v>
      </c>
      <c r="HW111" s="52">
        <v>116.68</v>
      </c>
      <c r="HX111" s="52">
        <v>101.82</v>
      </c>
      <c r="HY111" s="52">
        <v>205.22</v>
      </c>
      <c r="HZ111" s="52">
        <v>162.47999999999999</v>
      </c>
      <c r="IA111" s="52">
        <v>93.48</v>
      </c>
      <c r="IB111" s="52">
        <v>183.45</v>
      </c>
      <c r="IC111" s="52">
        <v>131.22</v>
      </c>
      <c r="ID111" s="52">
        <v>147.88999999999999</v>
      </c>
      <c r="IE111" s="52">
        <v>121.43</v>
      </c>
      <c r="IF111" s="52">
        <v>161.66999999999999</v>
      </c>
      <c r="IG111" s="52">
        <v>212.6</v>
      </c>
      <c r="IH111" s="52">
        <v>267.81</v>
      </c>
      <c r="II111" s="52">
        <v>271.08</v>
      </c>
      <c r="IJ111" s="52">
        <v>358.95</v>
      </c>
      <c r="IK111" s="52">
        <v>273.75</v>
      </c>
      <c r="IL111" s="52">
        <v>203.34</v>
      </c>
      <c r="IM111" s="52">
        <v>282.06</v>
      </c>
      <c r="IN111" s="52">
        <v>271.54000000000002</v>
      </c>
      <c r="IO111" s="52">
        <v>232.63</v>
      </c>
      <c r="IP111" s="52">
        <v>157.41</v>
      </c>
      <c r="IQ111" s="52">
        <v>204.48</v>
      </c>
      <c r="IR111" s="52">
        <v>300.73</v>
      </c>
      <c r="IS111" s="52">
        <v>266.75</v>
      </c>
      <c r="IT111" s="52">
        <v>46.7</v>
      </c>
      <c r="IU111" s="52">
        <v>135.18</v>
      </c>
      <c r="IV111" s="52">
        <v>38.43</v>
      </c>
      <c r="IW111" s="52">
        <v>85.93</v>
      </c>
      <c r="IX111" s="52">
        <v>147.71</v>
      </c>
      <c r="IY111" s="52">
        <v>188.01</v>
      </c>
      <c r="IZ111" s="52">
        <v>266.45999999999998</v>
      </c>
      <c r="JA111" s="52">
        <v>203.55</v>
      </c>
      <c r="JB111" s="52"/>
      <c r="JC111" s="52">
        <v>212.56</v>
      </c>
      <c r="JD111" s="52">
        <v>279.2</v>
      </c>
      <c r="JE111" s="52">
        <v>209.03</v>
      </c>
      <c r="JF111" s="52">
        <v>179.81</v>
      </c>
      <c r="JG111" s="52">
        <v>227.3</v>
      </c>
      <c r="JH111" s="52">
        <v>345.67</v>
      </c>
      <c r="JI111" s="52">
        <v>211.74</v>
      </c>
      <c r="JJ111" s="52">
        <v>180.74</v>
      </c>
      <c r="JK111" s="52">
        <v>265.33</v>
      </c>
      <c r="JL111" s="52">
        <v>282.73</v>
      </c>
      <c r="JM111" s="52">
        <v>268.12</v>
      </c>
      <c r="JN111" s="52">
        <v>199.18</v>
      </c>
      <c r="JO111" s="52">
        <v>184.67</v>
      </c>
      <c r="JP111" s="52">
        <v>316.72000000000003</v>
      </c>
      <c r="JQ111" s="52">
        <v>264.67</v>
      </c>
      <c r="JR111" s="52">
        <v>251.24</v>
      </c>
      <c r="JS111" s="52">
        <v>299.44</v>
      </c>
      <c r="JT111" s="52">
        <v>291.61</v>
      </c>
      <c r="JU111" s="52">
        <v>233.79</v>
      </c>
      <c r="JV111" s="52">
        <v>119.61</v>
      </c>
      <c r="JW111" s="52">
        <v>160.30000000000001</v>
      </c>
      <c r="JX111" s="52">
        <v>473.77</v>
      </c>
      <c r="JY111" s="52">
        <v>262.29000000000002</v>
      </c>
      <c r="JZ111" s="52">
        <v>234.79</v>
      </c>
      <c r="KA111" s="52">
        <v>265.14999999999998</v>
      </c>
      <c r="KB111" s="52">
        <v>255</v>
      </c>
      <c r="KC111" s="52">
        <v>237.64</v>
      </c>
      <c r="KD111" s="52">
        <v>279.38</v>
      </c>
      <c r="KE111" s="52">
        <v>332.94</v>
      </c>
      <c r="KF111" s="52">
        <v>294.33</v>
      </c>
    </row>
    <row r="112" spans="1:292" s="41" customFormat="1" ht="12">
      <c r="A112" s="41">
        <v>2013</v>
      </c>
      <c r="B112" s="54" t="s">
        <v>997</v>
      </c>
      <c r="C112" s="55" t="s">
        <v>998</v>
      </c>
      <c r="D112" s="56">
        <v>227.96</v>
      </c>
      <c r="E112" s="56">
        <v>238.38</v>
      </c>
      <c r="F112" s="56">
        <v>394.43</v>
      </c>
      <c r="G112" s="56">
        <v>165.68</v>
      </c>
      <c r="H112" s="56">
        <v>267.16000000000003</v>
      </c>
      <c r="I112" s="56">
        <v>179.79</v>
      </c>
      <c r="J112" s="56">
        <v>135.69</v>
      </c>
      <c r="K112" s="56">
        <v>223.92</v>
      </c>
      <c r="L112" s="56">
        <v>122.57</v>
      </c>
      <c r="M112" s="56">
        <v>164.53</v>
      </c>
      <c r="N112" s="56">
        <v>232.74</v>
      </c>
      <c r="O112" s="56">
        <v>306.27999999999997</v>
      </c>
      <c r="P112" s="56">
        <v>258.18</v>
      </c>
      <c r="Q112" s="56">
        <v>240.52</v>
      </c>
      <c r="R112" s="56">
        <v>208.29</v>
      </c>
      <c r="S112" s="56">
        <v>386.39</v>
      </c>
      <c r="T112" s="56">
        <v>394.68</v>
      </c>
      <c r="U112" s="56">
        <v>161.03</v>
      </c>
      <c r="V112" s="56">
        <v>178.82</v>
      </c>
      <c r="W112" s="56">
        <v>313.86</v>
      </c>
      <c r="X112" s="56">
        <v>188.19</v>
      </c>
      <c r="Y112" s="56">
        <v>226.74</v>
      </c>
      <c r="Z112" s="56">
        <v>277.87</v>
      </c>
      <c r="AA112" s="56">
        <v>208.98</v>
      </c>
      <c r="AB112" s="56">
        <v>174.7</v>
      </c>
      <c r="AC112" s="56">
        <v>135.5</v>
      </c>
      <c r="AD112" s="56">
        <v>189.46</v>
      </c>
      <c r="AE112" s="56">
        <v>212.06</v>
      </c>
      <c r="AF112" s="56">
        <v>182.97</v>
      </c>
      <c r="AG112" s="56">
        <v>97.23</v>
      </c>
      <c r="AH112" s="56">
        <v>167.77</v>
      </c>
      <c r="AI112" s="56">
        <v>190.08</v>
      </c>
      <c r="AJ112" s="56">
        <v>143.44999999999999</v>
      </c>
      <c r="AK112" s="56">
        <v>272.48</v>
      </c>
      <c r="AL112" s="56">
        <v>266.66000000000003</v>
      </c>
      <c r="AM112" s="56">
        <v>296.32</v>
      </c>
      <c r="AN112" s="56">
        <v>44.53</v>
      </c>
      <c r="AO112" s="56">
        <v>135.18</v>
      </c>
      <c r="AP112" s="56">
        <v>62.68</v>
      </c>
      <c r="AQ112" s="56">
        <v>188.25</v>
      </c>
      <c r="AR112" s="56">
        <v>251.3</v>
      </c>
      <c r="AS112" s="56">
        <v>229.03</v>
      </c>
      <c r="AT112" s="56">
        <v>259.86</v>
      </c>
      <c r="AU112" s="56">
        <v>254.29</v>
      </c>
      <c r="AV112" s="56">
        <v>282.70999999999998</v>
      </c>
      <c r="AW112" s="56">
        <v>268.36</v>
      </c>
      <c r="AX112" s="56">
        <v>199.18</v>
      </c>
      <c r="AY112" s="56">
        <v>184.97</v>
      </c>
      <c r="AZ112" s="56">
        <v>303.68</v>
      </c>
      <c r="BA112" s="56">
        <v>269.25</v>
      </c>
      <c r="BB112" s="56">
        <v>183.42</v>
      </c>
      <c r="BC112" s="56">
        <v>412.94</v>
      </c>
      <c r="BD112" s="56">
        <v>266.02</v>
      </c>
      <c r="BE112" s="56">
        <v>275.18</v>
      </c>
      <c r="BF112" s="56">
        <v>332.94</v>
      </c>
      <c r="BG112" s="56">
        <v>294.36</v>
      </c>
      <c r="BH112" s="52">
        <v>244.36</v>
      </c>
      <c r="BI112" s="52">
        <v>244.88</v>
      </c>
      <c r="BJ112" s="52">
        <v>196.64</v>
      </c>
      <c r="BK112" s="52">
        <v>234.9</v>
      </c>
      <c r="BL112" s="52">
        <v>208.17</v>
      </c>
      <c r="BM112" s="52">
        <v>201.42</v>
      </c>
      <c r="BN112" s="52">
        <v>279.41000000000003</v>
      </c>
      <c r="BO112" s="52">
        <v>195.85</v>
      </c>
      <c r="BP112" s="52">
        <v>252.03</v>
      </c>
      <c r="BQ112" s="52">
        <v>230.06</v>
      </c>
      <c r="BR112" s="52">
        <v>186.86</v>
      </c>
      <c r="BS112" s="52">
        <v>422.4</v>
      </c>
      <c r="BT112" s="52">
        <v>267.45</v>
      </c>
      <c r="BU112" s="52">
        <v>357.98</v>
      </c>
      <c r="BV112" s="52">
        <v>394.68</v>
      </c>
      <c r="BW112" s="52">
        <v>159.63999999999999</v>
      </c>
      <c r="BX112" s="52">
        <v>167.48</v>
      </c>
      <c r="BY112" s="52">
        <v>229.57</v>
      </c>
      <c r="BZ112" s="52">
        <v>178.34</v>
      </c>
      <c r="CA112" s="52">
        <v>257.18</v>
      </c>
      <c r="CB112" s="53">
        <v>313.86</v>
      </c>
      <c r="CC112" s="52">
        <v>188.19</v>
      </c>
      <c r="CD112" s="52">
        <v>225.88</v>
      </c>
      <c r="CE112" s="52">
        <v>233.53</v>
      </c>
      <c r="CF112" s="52">
        <v>313.74</v>
      </c>
      <c r="CG112" s="52">
        <v>266.43</v>
      </c>
      <c r="CH112" s="52">
        <v>214.23</v>
      </c>
      <c r="CI112" s="52">
        <v>193.39</v>
      </c>
      <c r="CJ112" s="52">
        <v>174.7</v>
      </c>
      <c r="CK112" s="52">
        <v>123.32</v>
      </c>
      <c r="CL112" s="52">
        <v>142.85</v>
      </c>
      <c r="CM112" s="52">
        <v>286.88</v>
      </c>
      <c r="CN112" s="52">
        <v>189.46</v>
      </c>
      <c r="CO112" s="52">
        <v>212.06</v>
      </c>
      <c r="CP112" s="52">
        <v>145.65</v>
      </c>
      <c r="CQ112" s="52">
        <v>340.01</v>
      </c>
      <c r="CR112" s="52">
        <v>93.32</v>
      </c>
      <c r="CS112" s="52">
        <v>156.4</v>
      </c>
      <c r="CT112" s="52">
        <v>113.94</v>
      </c>
      <c r="CU112" s="52">
        <v>205.81</v>
      </c>
      <c r="CV112" s="52">
        <v>163.44</v>
      </c>
      <c r="CW112" s="52">
        <v>103.28</v>
      </c>
      <c r="CX112" s="52">
        <v>190.08</v>
      </c>
      <c r="CY112" s="52">
        <v>143.62</v>
      </c>
      <c r="CZ112" s="52">
        <v>121.64</v>
      </c>
      <c r="DA112" s="52">
        <v>161.44</v>
      </c>
      <c r="DB112" s="52">
        <v>215.27</v>
      </c>
      <c r="DC112" s="52">
        <v>268.2</v>
      </c>
      <c r="DD112" s="52">
        <v>279.23</v>
      </c>
      <c r="DE112" s="52">
        <v>361.96</v>
      </c>
      <c r="DF112" s="52">
        <v>248.48</v>
      </c>
      <c r="DG112" s="52">
        <v>271.7</v>
      </c>
      <c r="DH112" s="52">
        <v>158.46</v>
      </c>
      <c r="DI112" s="52">
        <v>204.78</v>
      </c>
      <c r="DJ112" s="52">
        <v>300.94</v>
      </c>
      <c r="DK112" s="52">
        <v>296.32</v>
      </c>
      <c r="DL112" s="52">
        <v>44.53</v>
      </c>
      <c r="DM112" s="52">
        <v>135.18</v>
      </c>
      <c r="DN112" s="52">
        <v>39.08</v>
      </c>
      <c r="DO112" s="52">
        <v>87.07</v>
      </c>
      <c r="DP112" s="52">
        <v>147.84</v>
      </c>
      <c r="DQ112" s="52">
        <v>188.25</v>
      </c>
      <c r="DR112" s="52">
        <v>269.27</v>
      </c>
      <c r="DS112" s="52">
        <v>206.43</v>
      </c>
      <c r="DT112" s="52"/>
      <c r="DU112" s="52">
        <v>212.94</v>
      </c>
      <c r="DV112" s="52">
        <v>278.63</v>
      </c>
      <c r="DW112" s="52">
        <v>186.39</v>
      </c>
      <c r="DX112" s="52">
        <v>227.3</v>
      </c>
      <c r="DY112" s="52">
        <v>377.28</v>
      </c>
      <c r="DZ112" s="52">
        <v>212.06</v>
      </c>
      <c r="EA112" s="52">
        <v>181.26</v>
      </c>
      <c r="EB112" s="52">
        <v>254.29</v>
      </c>
      <c r="EC112" s="52">
        <v>282.70999999999998</v>
      </c>
      <c r="ED112" s="52">
        <v>268.36</v>
      </c>
      <c r="EE112" s="52">
        <v>199.18</v>
      </c>
      <c r="EF112" s="52">
        <v>184.97</v>
      </c>
      <c r="EG112" s="52">
        <v>303.68</v>
      </c>
      <c r="EH112" s="52">
        <v>269.25</v>
      </c>
      <c r="EI112" s="52">
        <v>263.22000000000003</v>
      </c>
      <c r="EJ112" s="52">
        <v>120.71</v>
      </c>
      <c r="EK112" s="52">
        <v>161.81</v>
      </c>
      <c r="EL112" s="52">
        <v>466.36</v>
      </c>
      <c r="EM112" s="52">
        <v>255.38</v>
      </c>
      <c r="EN112" s="52">
        <v>266.02</v>
      </c>
      <c r="EO112" s="52">
        <v>255.53</v>
      </c>
      <c r="EP112" s="52">
        <v>238.84</v>
      </c>
      <c r="EQ112" s="52">
        <v>277.29000000000002</v>
      </c>
      <c r="ER112" s="52">
        <v>332.94</v>
      </c>
      <c r="ES112" s="52">
        <v>294.36</v>
      </c>
      <c r="ET112" s="52">
        <v>244.25</v>
      </c>
      <c r="EU112" s="52">
        <v>219.78</v>
      </c>
      <c r="EV112" s="52">
        <v>262.39999999999998</v>
      </c>
      <c r="EW112" s="52">
        <v>218.27</v>
      </c>
      <c r="EX112" s="52">
        <v>223.46</v>
      </c>
      <c r="EY112" s="52">
        <v>157.84</v>
      </c>
      <c r="EZ112" s="52">
        <v>248.26</v>
      </c>
      <c r="FA112" s="52">
        <v>278.02999999999997</v>
      </c>
      <c r="FB112" s="52">
        <v>204.5</v>
      </c>
      <c r="FC112" s="52">
        <v>280.08</v>
      </c>
      <c r="FD112" s="52">
        <v>225.58</v>
      </c>
      <c r="FE112" s="52">
        <v>196.64</v>
      </c>
      <c r="FF112" s="52"/>
      <c r="FG112" s="52">
        <v>186.47</v>
      </c>
      <c r="FH112" s="52">
        <v>201.11</v>
      </c>
      <c r="FI112" s="52">
        <v>253.23</v>
      </c>
      <c r="FJ112" s="52">
        <v>310.74</v>
      </c>
      <c r="FK112" s="52">
        <v>294.02999999999997</v>
      </c>
      <c r="FL112" s="52">
        <v>209.73</v>
      </c>
      <c r="FM112" s="52">
        <v>198.01</v>
      </c>
      <c r="FN112" s="52">
        <v>174.64</v>
      </c>
      <c r="FO112" s="52">
        <v>343.78</v>
      </c>
      <c r="FP112" s="52">
        <v>267.23</v>
      </c>
      <c r="FQ112" s="52">
        <v>314.49</v>
      </c>
      <c r="FR112" s="52">
        <v>327.05</v>
      </c>
      <c r="FS112" s="52">
        <v>251.7</v>
      </c>
      <c r="FT112" s="52">
        <v>182.58</v>
      </c>
      <c r="FU112" s="52">
        <v>272.02999999999997</v>
      </c>
      <c r="FV112" s="52">
        <v>195.76</v>
      </c>
      <c r="FW112" s="52">
        <v>141.03</v>
      </c>
      <c r="FX112" s="52">
        <v>252.03</v>
      </c>
      <c r="FY112" s="52">
        <v>257.5</v>
      </c>
      <c r="FZ112" s="52">
        <v>225.69</v>
      </c>
      <c r="GA112" s="52">
        <v>218.35</v>
      </c>
      <c r="GB112" s="52">
        <v>192.66</v>
      </c>
      <c r="GC112" s="52">
        <v>186.63</v>
      </c>
      <c r="GD112" s="52">
        <v>173.65</v>
      </c>
      <c r="GE112" s="52">
        <v>422.4</v>
      </c>
      <c r="GF112" s="52">
        <v>267.45</v>
      </c>
      <c r="GG112" s="52">
        <v>357.98</v>
      </c>
      <c r="GH112" s="52">
        <v>394.01</v>
      </c>
      <c r="GI112" s="52">
        <v>163.30000000000001</v>
      </c>
      <c r="GJ112" s="52">
        <v>159.34</v>
      </c>
      <c r="GK112" s="52">
        <v>149.16</v>
      </c>
      <c r="GL112" s="52">
        <v>188.81</v>
      </c>
      <c r="GM112" s="52">
        <v>167.48</v>
      </c>
      <c r="GN112" s="52">
        <v>229.57</v>
      </c>
      <c r="GO112" s="52">
        <v>175.79</v>
      </c>
      <c r="GP112" s="52">
        <v>179.86</v>
      </c>
      <c r="GQ112" s="52">
        <v>181.58</v>
      </c>
      <c r="GR112" s="52">
        <v>257.18</v>
      </c>
      <c r="GS112" s="52">
        <v>313.86</v>
      </c>
      <c r="GT112" s="52">
        <v>188.19</v>
      </c>
      <c r="GU112" s="52">
        <v>225.88</v>
      </c>
      <c r="GV112" s="52">
        <v>233.53</v>
      </c>
      <c r="GW112" s="52">
        <v>288.45</v>
      </c>
      <c r="GX112" s="52">
        <v>318.72000000000003</v>
      </c>
      <c r="GY112" s="52">
        <v>266.43</v>
      </c>
      <c r="GZ112" s="52">
        <v>237.59</v>
      </c>
      <c r="HA112" s="52">
        <v>203.2</v>
      </c>
      <c r="HB112" s="52">
        <v>220.86</v>
      </c>
      <c r="HC112" s="52">
        <v>193.39</v>
      </c>
      <c r="HD112" s="52">
        <v>174.7</v>
      </c>
      <c r="HE112" s="52">
        <v>106.61</v>
      </c>
      <c r="HF112" s="52">
        <v>111.04</v>
      </c>
      <c r="HG112" s="52">
        <v>145.28</v>
      </c>
      <c r="HH112" s="52">
        <v>167.54</v>
      </c>
      <c r="HI112" s="52">
        <v>83.72</v>
      </c>
      <c r="HJ112" s="52">
        <v>142.85</v>
      </c>
      <c r="HK112" s="52">
        <v>286.88</v>
      </c>
      <c r="HL112" s="52">
        <v>157.72999999999999</v>
      </c>
      <c r="HM112" s="52">
        <v>212.84</v>
      </c>
      <c r="HN112" s="52">
        <v>215.24</v>
      </c>
      <c r="HO112" s="52">
        <v>190.25</v>
      </c>
      <c r="HP112" s="52">
        <v>229.38</v>
      </c>
      <c r="HQ112" s="52">
        <v>139.66</v>
      </c>
      <c r="HR112" s="52">
        <v>193.47</v>
      </c>
      <c r="HS112" s="52">
        <v>346.21</v>
      </c>
      <c r="HT112" s="52">
        <v>211.85</v>
      </c>
      <c r="HU112" s="52">
        <v>93.32</v>
      </c>
      <c r="HV112" s="52">
        <v>156.4</v>
      </c>
      <c r="HW112" s="52">
        <v>116.83</v>
      </c>
      <c r="HX112" s="52">
        <v>101.61</v>
      </c>
      <c r="HY112" s="52">
        <v>205.81</v>
      </c>
      <c r="HZ112" s="52">
        <v>163.44</v>
      </c>
      <c r="IA112" s="52">
        <v>94.34</v>
      </c>
      <c r="IB112" s="52">
        <v>190.08</v>
      </c>
      <c r="IC112" s="52">
        <v>130.15</v>
      </c>
      <c r="ID112" s="52">
        <v>147.22</v>
      </c>
      <c r="IE112" s="52">
        <v>121.64</v>
      </c>
      <c r="IF112" s="52">
        <v>161.44</v>
      </c>
      <c r="IG112" s="52">
        <v>215.27</v>
      </c>
      <c r="IH112" s="52">
        <v>268.2</v>
      </c>
      <c r="II112" s="52">
        <v>279.23</v>
      </c>
      <c r="IJ112" s="52">
        <v>361.96</v>
      </c>
      <c r="IK112" s="52">
        <v>273.75</v>
      </c>
      <c r="IL112" s="52">
        <v>203.34</v>
      </c>
      <c r="IM112" s="52">
        <v>285.05</v>
      </c>
      <c r="IN112" s="52">
        <v>271.76</v>
      </c>
      <c r="IO112" s="52">
        <v>222.24</v>
      </c>
      <c r="IP112" s="52">
        <v>158.46</v>
      </c>
      <c r="IQ112" s="52">
        <v>204.78</v>
      </c>
      <c r="IR112" s="52">
        <v>300.94</v>
      </c>
      <c r="IS112" s="52">
        <v>296.32</v>
      </c>
      <c r="IT112" s="52">
        <v>44.53</v>
      </c>
      <c r="IU112" s="52">
        <v>135.18</v>
      </c>
      <c r="IV112" s="52">
        <v>39.11</v>
      </c>
      <c r="IW112" s="52">
        <v>87.07</v>
      </c>
      <c r="IX112" s="52">
        <v>147.84</v>
      </c>
      <c r="IY112" s="52">
        <v>188.25</v>
      </c>
      <c r="IZ112" s="52">
        <v>269.27</v>
      </c>
      <c r="JA112" s="52">
        <v>206.43</v>
      </c>
      <c r="JB112" s="52"/>
      <c r="JC112" s="52">
        <v>212.94</v>
      </c>
      <c r="JD112" s="52">
        <v>278.63</v>
      </c>
      <c r="JE112" s="52">
        <v>209.97</v>
      </c>
      <c r="JF112" s="52">
        <v>179.96</v>
      </c>
      <c r="JG112" s="52">
        <v>227.3</v>
      </c>
      <c r="JH112" s="52">
        <v>377.28</v>
      </c>
      <c r="JI112" s="52">
        <v>212.06</v>
      </c>
      <c r="JJ112" s="52">
        <v>181.26</v>
      </c>
      <c r="JK112" s="52">
        <v>254.29</v>
      </c>
      <c r="JL112" s="52">
        <v>282.70999999999998</v>
      </c>
      <c r="JM112" s="52">
        <v>268.36</v>
      </c>
      <c r="JN112" s="52">
        <v>199.18</v>
      </c>
      <c r="JO112" s="52">
        <v>184.97</v>
      </c>
      <c r="JP112" s="52">
        <v>319.23</v>
      </c>
      <c r="JQ112" s="52">
        <v>266.63</v>
      </c>
      <c r="JR112" s="52">
        <v>248.65</v>
      </c>
      <c r="JS112" s="52">
        <v>299.55</v>
      </c>
      <c r="JT112" s="52">
        <v>292.55</v>
      </c>
      <c r="JU112" s="52">
        <v>234.72</v>
      </c>
      <c r="JV112" s="52">
        <v>120.71</v>
      </c>
      <c r="JW112" s="52">
        <v>161.81</v>
      </c>
      <c r="JX112" s="52">
        <v>466.36</v>
      </c>
      <c r="JY112" s="52">
        <v>264.06</v>
      </c>
      <c r="JZ112" s="52">
        <v>238.11</v>
      </c>
      <c r="KA112" s="52">
        <v>266.02</v>
      </c>
      <c r="KB112" s="52">
        <v>255.53</v>
      </c>
      <c r="KC112" s="52">
        <v>238.84</v>
      </c>
      <c r="KD112" s="52">
        <v>277.29000000000002</v>
      </c>
      <c r="KE112" s="52">
        <v>332.94</v>
      </c>
      <c r="KF112" s="52">
        <v>294.36</v>
      </c>
    </row>
    <row r="113" spans="1:292" s="41" customFormat="1" ht="12">
      <c r="A113" s="41">
        <v>2013</v>
      </c>
      <c r="B113" s="54" t="s">
        <v>999</v>
      </c>
      <c r="C113" s="55" t="s">
        <v>1000</v>
      </c>
      <c r="D113" s="56">
        <v>229.01</v>
      </c>
      <c r="E113" s="56">
        <v>241.85</v>
      </c>
      <c r="F113" s="56">
        <v>383.94</v>
      </c>
      <c r="G113" s="56">
        <v>161.41</v>
      </c>
      <c r="H113" s="56">
        <v>269.55</v>
      </c>
      <c r="I113" s="56">
        <v>180.13</v>
      </c>
      <c r="J113" s="56">
        <v>136.75</v>
      </c>
      <c r="K113" s="56">
        <v>226.39</v>
      </c>
      <c r="L113" s="56">
        <v>122.41</v>
      </c>
      <c r="M113" s="56">
        <v>164.85</v>
      </c>
      <c r="N113" s="56">
        <v>232.76</v>
      </c>
      <c r="O113" s="56">
        <v>308.77</v>
      </c>
      <c r="P113" s="56">
        <v>258.16000000000003</v>
      </c>
      <c r="Q113" s="56">
        <v>244.14</v>
      </c>
      <c r="R113" s="56">
        <v>210.01</v>
      </c>
      <c r="S113" s="56">
        <v>386.2</v>
      </c>
      <c r="T113" s="56">
        <v>383.48</v>
      </c>
      <c r="U113" s="56">
        <v>156.01</v>
      </c>
      <c r="V113" s="56">
        <v>177.29</v>
      </c>
      <c r="W113" s="56">
        <v>315.56</v>
      </c>
      <c r="X113" s="56">
        <v>188.49</v>
      </c>
      <c r="Y113" s="56">
        <v>227.13</v>
      </c>
      <c r="Z113" s="56">
        <v>282.04000000000002</v>
      </c>
      <c r="AA113" s="56">
        <v>208.75</v>
      </c>
      <c r="AB113" s="56">
        <v>175.7</v>
      </c>
      <c r="AC113" s="56">
        <v>135.36000000000001</v>
      </c>
      <c r="AD113" s="56">
        <v>190.72</v>
      </c>
      <c r="AE113" s="56">
        <v>213.18</v>
      </c>
      <c r="AF113" s="56">
        <v>183.94</v>
      </c>
      <c r="AG113" s="56">
        <v>97.28</v>
      </c>
      <c r="AH113" s="56">
        <v>168.49</v>
      </c>
      <c r="AI113" s="56">
        <v>197.76</v>
      </c>
      <c r="AJ113" s="56">
        <v>143.25</v>
      </c>
      <c r="AK113" s="56">
        <v>282.75</v>
      </c>
      <c r="AL113" s="56">
        <v>265.98</v>
      </c>
      <c r="AM113" s="56">
        <v>281.14</v>
      </c>
      <c r="AN113" s="56">
        <v>43.92</v>
      </c>
      <c r="AO113" s="56">
        <v>135.18</v>
      </c>
      <c r="AP113" s="56">
        <v>63.49</v>
      </c>
      <c r="AQ113" s="56">
        <v>189.18</v>
      </c>
      <c r="AR113" s="56">
        <v>256.52</v>
      </c>
      <c r="AS113" s="56">
        <v>232.45</v>
      </c>
      <c r="AT113" s="56">
        <v>250.64</v>
      </c>
      <c r="AU113" s="56">
        <v>252.72</v>
      </c>
      <c r="AV113" s="56">
        <v>282.70999999999998</v>
      </c>
      <c r="AW113" s="56">
        <v>268.23</v>
      </c>
      <c r="AX113" s="56">
        <v>199.18</v>
      </c>
      <c r="AY113" s="56">
        <v>185.05</v>
      </c>
      <c r="AZ113" s="56">
        <v>306.42</v>
      </c>
      <c r="BA113" s="56">
        <v>269.10000000000002</v>
      </c>
      <c r="BB113" s="56">
        <v>184.58</v>
      </c>
      <c r="BC113" s="56">
        <v>407</v>
      </c>
      <c r="BD113" s="56">
        <v>266.88</v>
      </c>
      <c r="BE113" s="56">
        <v>273.51</v>
      </c>
      <c r="BF113" s="56">
        <v>332.94</v>
      </c>
      <c r="BG113" s="56">
        <v>294.51</v>
      </c>
      <c r="BH113" s="52">
        <v>247.67</v>
      </c>
      <c r="BI113" s="52">
        <v>248.15</v>
      </c>
      <c r="BJ113" s="52">
        <v>219.49</v>
      </c>
      <c r="BK113" s="52">
        <v>236.46</v>
      </c>
      <c r="BL113" s="52">
        <v>210.48</v>
      </c>
      <c r="BM113" s="52">
        <v>197.06</v>
      </c>
      <c r="BN113" s="52">
        <v>291.27999999999997</v>
      </c>
      <c r="BO113" s="52">
        <v>197.31</v>
      </c>
      <c r="BP113" s="52">
        <v>254.43</v>
      </c>
      <c r="BQ113" s="52">
        <v>232.97</v>
      </c>
      <c r="BR113" s="52">
        <v>187.91</v>
      </c>
      <c r="BS113" s="52">
        <v>422.31</v>
      </c>
      <c r="BT113" s="52">
        <v>261.08</v>
      </c>
      <c r="BU113" s="52">
        <v>358.64</v>
      </c>
      <c r="BV113" s="52">
        <v>383.48</v>
      </c>
      <c r="BW113" s="52">
        <v>154.33000000000001</v>
      </c>
      <c r="BX113" s="52">
        <v>165.52</v>
      </c>
      <c r="BY113" s="52">
        <v>231.08</v>
      </c>
      <c r="BZ113" s="52">
        <v>176.8</v>
      </c>
      <c r="CA113" s="52">
        <v>258.39</v>
      </c>
      <c r="CB113" s="53">
        <v>315.56</v>
      </c>
      <c r="CC113" s="52">
        <v>188.49</v>
      </c>
      <c r="CD113" s="52">
        <v>226.26</v>
      </c>
      <c r="CE113" s="52">
        <v>233.53</v>
      </c>
      <c r="CF113" s="52">
        <v>326.14</v>
      </c>
      <c r="CG113" s="52">
        <v>267.37</v>
      </c>
      <c r="CH113" s="52">
        <v>213.9</v>
      </c>
      <c r="CI113" s="52">
        <v>194</v>
      </c>
      <c r="CJ113" s="52">
        <v>175.7</v>
      </c>
      <c r="CK113" s="52">
        <v>123.19</v>
      </c>
      <c r="CL113" s="52">
        <v>142.30000000000001</v>
      </c>
      <c r="CM113" s="52">
        <v>287.94</v>
      </c>
      <c r="CN113" s="52">
        <v>190.72</v>
      </c>
      <c r="CO113" s="52">
        <v>213.18</v>
      </c>
      <c r="CP113" s="52">
        <v>146.28</v>
      </c>
      <c r="CQ113" s="52">
        <v>342.4</v>
      </c>
      <c r="CR113" s="52">
        <v>93.33</v>
      </c>
      <c r="CS113" s="52">
        <v>156.86000000000001</v>
      </c>
      <c r="CT113" s="52">
        <v>114.08</v>
      </c>
      <c r="CU113" s="52">
        <v>206.32</v>
      </c>
      <c r="CV113" s="52">
        <v>164.46</v>
      </c>
      <c r="CW113" s="52">
        <v>103.78</v>
      </c>
      <c r="CX113" s="52">
        <v>197.76</v>
      </c>
      <c r="CY113" s="52">
        <v>143.41</v>
      </c>
      <c r="CZ113" s="52">
        <v>122.09</v>
      </c>
      <c r="DA113" s="52">
        <v>161.63999999999999</v>
      </c>
      <c r="DB113" s="52">
        <v>216.86</v>
      </c>
      <c r="DC113" s="52">
        <v>281</v>
      </c>
      <c r="DD113" s="52">
        <v>281.10000000000002</v>
      </c>
      <c r="DE113" s="52">
        <v>363.5</v>
      </c>
      <c r="DF113" s="52">
        <v>248.48</v>
      </c>
      <c r="DG113" s="52">
        <v>270.7</v>
      </c>
      <c r="DH113" s="52">
        <v>159.96</v>
      </c>
      <c r="DI113" s="52">
        <v>204.78</v>
      </c>
      <c r="DJ113" s="52">
        <v>303.37</v>
      </c>
      <c r="DK113" s="52">
        <v>281.14</v>
      </c>
      <c r="DL113" s="52">
        <v>43.92</v>
      </c>
      <c r="DM113" s="52">
        <v>135.18</v>
      </c>
      <c r="DN113" s="52">
        <v>39.03</v>
      </c>
      <c r="DO113" s="52">
        <v>89.75</v>
      </c>
      <c r="DP113" s="52">
        <v>147.94999999999999</v>
      </c>
      <c r="DQ113" s="52">
        <v>189.18</v>
      </c>
      <c r="DR113" s="52">
        <v>276.69</v>
      </c>
      <c r="DS113" s="52">
        <v>207.27</v>
      </c>
      <c r="DT113" s="52"/>
      <c r="DU113" s="52">
        <v>213.61</v>
      </c>
      <c r="DV113" s="52">
        <v>286.87</v>
      </c>
      <c r="DW113" s="52">
        <v>186.55</v>
      </c>
      <c r="DX113" s="52">
        <v>227.3</v>
      </c>
      <c r="DY113" s="52">
        <v>348.68</v>
      </c>
      <c r="DZ113" s="52">
        <v>212.69</v>
      </c>
      <c r="EA113" s="52">
        <v>182</v>
      </c>
      <c r="EB113" s="52">
        <v>252.72</v>
      </c>
      <c r="EC113" s="52">
        <v>282.70999999999998</v>
      </c>
      <c r="ED113" s="52">
        <v>268.23</v>
      </c>
      <c r="EE113" s="52">
        <v>199.18</v>
      </c>
      <c r="EF113" s="52">
        <v>185.05</v>
      </c>
      <c r="EG113" s="52">
        <v>306.42</v>
      </c>
      <c r="EH113" s="52">
        <v>269.10000000000002</v>
      </c>
      <c r="EI113" s="52">
        <v>263.52999999999997</v>
      </c>
      <c r="EJ113" s="52">
        <v>120.44</v>
      </c>
      <c r="EK113" s="52">
        <v>163.25</v>
      </c>
      <c r="EL113" s="52">
        <v>455.19</v>
      </c>
      <c r="EM113" s="52">
        <v>257.63</v>
      </c>
      <c r="EN113" s="52">
        <v>266.88</v>
      </c>
      <c r="EO113" s="52">
        <v>255.85</v>
      </c>
      <c r="EP113" s="52">
        <v>235.16</v>
      </c>
      <c r="EQ113" s="52">
        <v>276.18</v>
      </c>
      <c r="ER113" s="52">
        <v>332.94</v>
      </c>
      <c r="ES113" s="52">
        <v>294.51</v>
      </c>
      <c r="ET113" s="52">
        <v>261.57</v>
      </c>
      <c r="EU113" s="52">
        <v>225.49</v>
      </c>
      <c r="EV113" s="52">
        <v>263.55</v>
      </c>
      <c r="EW113" s="52">
        <v>220.51</v>
      </c>
      <c r="EX113" s="52">
        <v>226.75</v>
      </c>
      <c r="EY113" s="52">
        <v>159.13</v>
      </c>
      <c r="EZ113" s="52">
        <v>249.21</v>
      </c>
      <c r="FA113" s="52">
        <v>278.39</v>
      </c>
      <c r="FB113" s="52">
        <v>212.96</v>
      </c>
      <c r="FC113" s="52">
        <v>281.95</v>
      </c>
      <c r="FD113" s="52">
        <v>226.97</v>
      </c>
      <c r="FE113" s="52">
        <v>219.49</v>
      </c>
      <c r="FF113" s="52"/>
      <c r="FG113" s="52">
        <v>188.08</v>
      </c>
      <c r="FH113" s="52">
        <v>201.36</v>
      </c>
      <c r="FI113" s="52">
        <v>253.53</v>
      </c>
      <c r="FJ113" s="52">
        <v>317.64</v>
      </c>
      <c r="FK113" s="52">
        <v>305.61</v>
      </c>
      <c r="FL113" s="52">
        <v>210.22</v>
      </c>
      <c r="FM113" s="52">
        <v>199.39</v>
      </c>
      <c r="FN113" s="52">
        <v>168.41</v>
      </c>
      <c r="FO113" s="52">
        <v>349.24</v>
      </c>
      <c r="FP113" s="52">
        <v>276.07</v>
      </c>
      <c r="FQ113" s="52">
        <v>355.28</v>
      </c>
      <c r="FR113" s="52">
        <v>356.68</v>
      </c>
      <c r="FS113" s="52">
        <v>251.95</v>
      </c>
      <c r="FT113" s="52">
        <v>182.49</v>
      </c>
      <c r="FU113" s="52">
        <v>279.89</v>
      </c>
      <c r="FV113" s="52">
        <v>196.55</v>
      </c>
      <c r="FW113" s="52">
        <v>140.97999999999999</v>
      </c>
      <c r="FX113" s="52">
        <v>254.43</v>
      </c>
      <c r="FY113" s="52">
        <v>258.2</v>
      </c>
      <c r="FZ113" s="52">
        <v>228.95</v>
      </c>
      <c r="GA113" s="52">
        <v>220.01</v>
      </c>
      <c r="GB113" s="52">
        <v>193.32</v>
      </c>
      <c r="GC113" s="52">
        <v>187.76</v>
      </c>
      <c r="GD113" s="52">
        <v>175.34</v>
      </c>
      <c r="GE113" s="52">
        <v>422.31</v>
      </c>
      <c r="GF113" s="52">
        <v>261.08</v>
      </c>
      <c r="GG113" s="52">
        <v>358.64</v>
      </c>
      <c r="GH113" s="52">
        <v>382.84</v>
      </c>
      <c r="GI113" s="52">
        <v>160.07</v>
      </c>
      <c r="GJ113" s="52">
        <v>151.34</v>
      </c>
      <c r="GK113" s="52">
        <v>145.94</v>
      </c>
      <c r="GL113" s="52">
        <v>187.32</v>
      </c>
      <c r="GM113" s="52">
        <v>165.52</v>
      </c>
      <c r="GN113" s="52">
        <v>231.08</v>
      </c>
      <c r="GO113" s="52">
        <v>174.93</v>
      </c>
      <c r="GP113" s="52">
        <v>177.43</v>
      </c>
      <c r="GQ113" s="52">
        <v>180.14</v>
      </c>
      <c r="GR113" s="52">
        <v>258.39</v>
      </c>
      <c r="GS113" s="52">
        <v>315.56</v>
      </c>
      <c r="GT113" s="52">
        <v>188.49</v>
      </c>
      <c r="GU113" s="52">
        <v>226.26</v>
      </c>
      <c r="GV113" s="52">
        <v>233.53</v>
      </c>
      <c r="GW113" s="52">
        <v>288.69</v>
      </c>
      <c r="GX113" s="52">
        <v>348.2</v>
      </c>
      <c r="GY113" s="52">
        <v>267.37</v>
      </c>
      <c r="GZ113" s="52">
        <v>241.71</v>
      </c>
      <c r="HA113" s="52">
        <v>202.47</v>
      </c>
      <c r="HB113" s="52">
        <v>219.54</v>
      </c>
      <c r="HC113" s="52">
        <v>194</v>
      </c>
      <c r="HD113" s="52">
        <v>175.7</v>
      </c>
      <c r="HE113" s="52">
        <v>105.69</v>
      </c>
      <c r="HF113" s="52">
        <v>110.37</v>
      </c>
      <c r="HG113" s="52">
        <v>145.66</v>
      </c>
      <c r="HH113" s="52">
        <v>168.73</v>
      </c>
      <c r="HI113" s="52">
        <v>84.76</v>
      </c>
      <c r="HJ113" s="52">
        <v>142.30000000000001</v>
      </c>
      <c r="HK113" s="52">
        <v>287.94</v>
      </c>
      <c r="HL113" s="52">
        <v>158.38</v>
      </c>
      <c r="HM113" s="52">
        <v>213.73</v>
      </c>
      <c r="HN113" s="52">
        <v>217.16</v>
      </c>
      <c r="HO113" s="52">
        <v>191.4</v>
      </c>
      <c r="HP113" s="52">
        <v>230.4</v>
      </c>
      <c r="HQ113" s="52">
        <v>140.19</v>
      </c>
      <c r="HR113" s="52">
        <v>194.9</v>
      </c>
      <c r="HS113" s="52">
        <v>348.75</v>
      </c>
      <c r="HT113" s="52">
        <v>212.16</v>
      </c>
      <c r="HU113" s="52">
        <v>93.33</v>
      </c>
      <c r="HV113" s="52">
        <v>156.86000000000001</v>
      </c>
      <c r="HW113" s="52">
        <v>116.93</v>
      </c>
      <c r="HX113" s="52">
        <v>101.79</v>
      </c>
      <c r="HY113" s="52">
        <v>206.32</v>
      </c>
      <c r="HZ113" s="52">
        <v>164.46</v>
      </c>
      <c r="IA113" s="52">
        <v>94.8</v>
      </c>
      <c r="IB113" s="52">
        <v>197.76</v>
      </c>
      <c r="IC113" s="52">
        <v>130.19999999999999</v>
      </c>
      <c r="ID113" s="52">
        <v>147.28</v>
      </c>
      <c r="IE113" s="52">
        <v>122.09</v>
      </c>
      <c r="IF113" s="52">
        <v>161.63999999999999</v>
      </c>
      <c r="IG113" s="52">
        <v>216.86</v>
      </c>
      <c r="IH113" s="52">
        <v>281</v>
      </c>
      <c r="II113" s="52">
        <v>281.10000000000002</v>
      </c>
      <c r="IJ113" s="52">
        <v>363.5</v>
      </c>
      <c r="IK113" s="52">
        <v>273.75</v>
      </c>
      <c r="IL113" s="52">
        <v>203.34</v>
      </c>
      <c r="IM113" s="52">
        <v>285.13</v>
      </c>
      <c r="IN113" s="52">
        <v>272.32</v>
      </c>
      <c r="IO113" s="52">
        <v>218.22</v>
      </c>
      <c r="IP113" s="52">
        <v>159.96</v>
      </c>
      <c r="IQ113" s="52">
        <v>204.78</v>
      </c>
      <c r="IR113" s="52">
        <v>303.37</v>
      </c>
      <c r="IS113" s="52">
        <v>281.14</v>
      </c>
      <c r="IT113" s="52">
        <v>43.92</v>
      </c>
      <c r="IU113" s="52">
        <v>135.18</v>
      </c>
      <c r="IV113" s="52">
        <v>39.049999999999997</v>
      </c>
      <c r="IW113" s="52">
        <v>89.75</v>
      </c>
      <c r="IX113" s="52">
        <v>147.94999999999999</v>
      </c>
      <c r="IY113" s="52">
        <v>189.18</v>
      </c>
      <c r="IZ113" s="52">
        <v>276.69</v>
      </c>
      <c r="JA113" s="52">
        <v>207.27</v>
      </c>
      <c r="JB113" s="52"/>
      <c r="JC113" s="52">
        <v>213.61</v>
      </c>
      <c r="JD113" s="52">
        <v>286.87</v>
      </c>
      <c r="JE113" s="52">
        <v>210.5</v>
      </c>
      <c r="JF113" s="52">
        <v>180.05</v>
      </c>
      <c r="JG113" s="52">
        <v>227.3</v>
      </c>
      <c r="JH113" s="52">
        <v>348.68</v>
      </c>
      <c r="JI113" s="52">
        <v>212.69</v>
      </c>
      <c r="JJ113" s="52">
        <v>182</v>
      </c>
      <c r="JK113" s="52">
        <v>252.72</v>
      </c>
      <c r="JL113" s="52">
        <v>282.70999999999998</v>
      </c>
      <c r="JM113" s="52">
        <v>268.23</v>
      </c>
      <c r="JN113" s="52">
        <v>199.18</v>
      </c>
      <c r="JO113" s="52">
        <v>185.05</v>
      </c>
      <c r="JP113" s="52">
        <v>321.88</v>
      </c>
      <c r="JQ113" s="52">
        <v>269.67</v>
      </c>
      <c r="JR113" s="52">
        <v>248.42</v>
      </c>
      <c r="JS113" s="52">
        <v>299.56</v>
      </c>
      <c r="JT113" s="52">
        <v>292.89</v>
      </c>
      <c r="JU113" s="52">
        <v>235</v>
      </c>
      <c r="JV113" s="52">
        <v>120.44</v>
      </c>
      <c r="JW113" s="52">
        <v>163.25</v>
      </c>
      <c r="JX113" s="52">
        <v>455.19</v>
      </c>
      <c r="JY113" s="52">
        <v>266.08999999999997</v>
      </c>
      <c r="JZ113" s="52">
        <v>240.71</v>
      </c>
      <c r="KA113" s="52">
        <v>266.88</v>
      </c>
      <c r="KB113" s="52">
        <v>255.85</v>
      </c>
      <c r="KC113" s="52">
        <v>235.16</v>
      </c>
      <c r="KD113" s="52">
        <v>276.18</v>
      </c>
      <c r="KE113" s="52">
        <v>332.94</v>
      </c>
      <c r="KF113" s="52">
        <v>294.51</v>
      </c>
    </row>
    <row r="114" spans="1:292" s="41" customFormat="1" ht="12">
      <c r="A114" s="41">
        <v>2014</v>
      </c>
      <c r="B114" s="54" t="s">
        <v>977</v>
      </c>
      <c r="C114" s="55" t="s">
        <v>978</v>
      </c>
      <c r="D114" s="56">
        <v>233.54</v>
      </c>
      <c r="E114" s="56">
        <v>254.32</v>
      </c>
      <c r="F114" s="56">
        <v>412.55</v>
      </c>
      <c r="G114" s="56">
        <v>149.16</v>
      </c>
      <c r="H114" s="56">
        <v>270.87</v>
      </c>
      <c r="I114" s="56">
        <v>182.93</v>
      </c>
      <c r="J114" s="56">
        <v>139.30000000000001</v>
      </c>
      <c r="K114" s="56">
        <v>232.06</v>
      </c>
      <c r="L114" s="56">
        <v>121.68</v>
      </c>
      <c r="M114" s="56">
        <v>166.92</v>
      </c>
      <c r="N114" s="56">
        <v>232.89</v>
      </c>
      <c r="O114" s="56">
        <v>314.10000000000002</v>
      </c>
      <c r="P114" s="56">
        <v>264.44</v>
      </c>
      <c r="Q114" s="56">
        <v>257.57</v>
      </c>
      <c r="R114" s="56">
        <v>211.27</v>
      </c>
      <c r="S114" s="56">
        <v>416.54</v>
      </c>
      <c r="T114" s="56">
        <v>411.95</v>
      </c>
      <c r="U114" s="56">
        <v>144.03</v>
      </c>
      <c r="V114" s="56">
        <v>164.32</v>
      </c>
      <c r="W114" s="56">
        <v>317.12</v>
      </c>
      <c r="X114" s="56">
        <v>190.59</v>
      </c>
      <c r="Y114" s="56">
        <v>228.87</v>
      </c>
      <c r="Z114" s="56">
        <v>282.76</v>
      </c>
      <c r="AA114" s="56">
        <v>212.85</v>
      </c>
      <c r="AB114" s="56">
        <v>177.01</v>
      </c>
      <c r="AC114" s="56">
        <v>138.58000000000001</v>
      </c>
      <c r="AD114" s="56">
        <v>191.74</v>
      </c>
      <c r="AE114" s="56">
        <v>213.74</v>
      </c>
      <c r="AF114" s="56">
        <v>185.62</v>
      </c>
      <c r="AG114" s="56">
        <v>97.44</v>
      </c>
      <c r="AH114" s="56">
        <v>171.88</v>
      </c>
      <c r="AI114" s="56">
        <v>207.4</v>
      </c>
      <c r="AJ114" s="56">
        <v>151.68</v>
      </c>
      <c r="AK114" s="56">
        <v>287.33999999999997</v>
      </c>
      <c r="AL114" s="56">
        <v>266.04000000000002</v>
      </c>
      <c r="AM114" s="56">
        <v>296.33</v>
      </c>
      <c r="AN114" s="56">
        <v>42.91</v>
      </c>
      <c r="AO114" s="56">
        <v>134.62</v>
      </c>
      <c r="AP114" s="56">
        <v>63.47</v>
      </c>
      <c r="AQ114" s="56">
        <v>189.94</v>
      </c>
      <c r="AR114" s="56">
        <v>258.37</v>
      </c>
      <c r="AS114" s="56">
        <v>234.57</v>
      </c>
      <c r="AT114" s="56">
        <v>257.56</v>
      </c>
      <c r="AU114" s="56">
        <v>261.45</v>
      </c>
      <c r="AV114" s="56">
        <v>282.7</v>
      </c>
      <c r="AW114" s="56">
        <v>268.58</v>
      </c>
      <c r="AX114" s="56">
        <v>199.18</v>
      </c>
      <c r="AY114" s="56">
        <v>185.02</v>
      </c>
      <c r="AZ114" s="56">
        <v>311.3</v>
      </c>
      <c r="BA114" s="56">
        <v>276.64</v>
      </c>
      <c r="BB114" s="56">
        <v>186.2</v>
      </c>
      <c r="BC114" s="56">
        <v>429.36</v>
      </c>
      <c r="BD114" s="56">
        <v>267.42</v>
      </c>
      <c r="BE114" s="56">
        <v>271.63</v>
      </c>
      <c r="BF114" s="56">
        <v>332.94</v>
      </c>
      <c r="BG114" s="56">
        <v>311.52</v>
      </c>
      <c r="BH114" s="52">
        <v>253.62</v>
      </c>
      <c r="BI114" s="52">
        <v>255.69</v>
      </c>
      <c r="BJ114" s="52">
        <v>217.86</v>
      </c>
      <c r="BK114" s="52">
        <v>238.1</v>
      </c>
      <c r="BL114" s="52">
        <v>214.23</v>
      </c>
      <c r="BM114" s="52">
        <v>204.91</v>
      </c>
      <c r="BN114" s="52">
        <v>347.71</v>
      </c>
      <c r="BO114" s="52">
        <v>200.32</v>
      </c>
      <c r="BP114" s="52">
        <v>258.64</v>
      </c>
      <c r="BQ114" s="52">
        <v>235.09</v>
      </c>
      <c r="BR114" s="52">
        <v>188.69</v>
      </c>
      <c r="BS114" s="52">
        <v>450.02</v>
      </c>
      <c r="BT114" s="52">
        <v>286.64</v>
      </c>
      <c r="BU114" s="52">
        <v>389.96</v>
      </c>
      <c r="BV114" s="52">
        <v>411.95</v>
      </c>
      <c r="BW114" s="52">
        <v>141.72</v>
      </c>
      <c r="BX114" s="52">
        <v>159.94999999999999</v>
      </c>
      <c r="BY114" s="52">
        <v>232.65</v>
      </c>
      <c r="BZ114" s="52">
        <v>163.74</v>
      </c>
      <c r="CA114" s="52">
        <v>263.35000000000002</v>
      </c>
      <c r="CB114" s="53">
        <v>317.12</v>
      </c>
      <c r="CC114" s="52">
        <v>190.59</v>
      </c>
      <c r="CD114" s="52">
        <v>227.99</v>
      </c>
      <c r="CE114" s="52">
        <v>233.01</v>
      </c>
      <c r="CF114" s="52">
        <v>327.48</v>
      </c>
      <c r="CG114" s="52">
        <v>270.2</v>
      </c>
      <c r="CH114" s="52">
        <v>218.43</v>
      </c>
      <c r="CI114" s="52">
        <v>194.85</v>
      </c>
      <c r="CJ114" s="52">
        <v>177.01</v>
      </c>
      <c r="CK114" s="52">
        <v>126.05</v>
      </c>
      <c r="CL114" s="52">
        <v>146.61000000000001</v>
      </c>
      <c r="CM114" s="52">
        <v>294.33999999999997</v>
      </c>
      <c r="CN114" s="52">
        <v>191.74</v>
      </c>
      <c r="CO114" s="52">
        <v>213.74</v>
      </c>
      <c r="CP114" s="52">
        <v>147.47999999999999</v>
      </c>
      <c r="CQ114" s="52">
        <v>346.05</v>
      </c>
      <c r="CR114" s="52">
        <v>93.46</v>
      </c>
      <c r="CS114" s="52">
        <v>157.31</v>
      </c>
      <c r="CT114" s="52">
        <v>114.34</v>
      </c>
      <c r="CU114" s="52">
        <v>207.27</v>
      </c>
      <c r="CV114" s="52">
        <v>169.52</v>
      </c>
      <c r="CW114" s="52">
        <v>106.97</v>
      </c>
      <c r="CX114" s="52">
        <v>207.4</v>
      </c>
      <c r="CY114" s="52">
        <v>152.04</v>
      </c>
      <c r="CZ114" s="52">
        <v>125.22</v>
      </c>
      <c r="DA114" s="52">
        <v>162.96</v>
      </c>
      <c r="DB114" s="52">
        <v>219.26</v>
      </c>
      <c r="DC114" s="52">
        <v>285.05</v>
      </c>
      <c r="DD114" s="52">
        <v>294.89999999999998</v>
      </c>
      <c r="DE114" s="52">
        <v>357.04</v>
      </c>
      <c r="DF114" s="52">
        <v>248.48</v>
      </c>
      <c r="DG114" s="52">
        <v>270.48</v>
      </c>
      <c r="DH114" s="52">
        <v>161.87</v>
      </c>
      <c r="DI114" s="52">
        <v>204.78</v>
      </c>
      <c r="DJ114" s="52">
        <v>304.5</v>
      </c>
      <c r="DK114" s="52">
        <v>296.33</v>
      </c>
      <c r="DL114" s="52">
        <v>42.91</v>
      </c>
      <c r="DM114" s="52">
        <v>134.62</v>
      </c>
      <c r="DN114" s="52">
        <v>38.130000000000003</v>
      </c>
      <c r="DO114" s="52">
        <v>92.29</v>
      </c>
      <c r="DP114" s="52">
        <v>149.22999999999999</v>
      </c>
      <c r="DQ114" s="52">
        <v>189.94</v>
      </c>
      <c r="DR114" s="52">
        <v>279.86</v>
      </c>
      <c r="DS114" s="52">
        <v>205.06</v>
      </c>
      <c r="DT114" s="52"/>
      <c r="DU114" s="52">
        <v>220.44</v>
      </c>
      <c r="DV114" s="52">
        <v>283.20999999999998</v>
      </c>
      <c r="DW114" s="52">
        <v>193.18</v>
      </c>
      <c r="DX114" s="52">
        <v>234.79</v>
      </c>
      <c r="DY114" s="52">
        <v>364.05</v>
      </c>
      <c r="DZ114" s="52">
        <v>215.93</v>
      </c>
      <c r="EA114" s="52">
        <v>183.66</v>
      </c>
      <c r="EB114" s="52">
        <v>261.45</v>
      </c>
      <c r="EC114" s="52">
        <v>282.7</v>
      </c>
      <c r="ED114" s="52">
        <v>268.58</v>
      </c>
      <c r="EE114" s="52">
        <v>199.18</v>
      </c>
      <c r="EF114" s="52">
        <v>185.02</v>
      </c>
      <c r="EG114" s="52">
        <v>311.3</v>
      </c>
      <c r="EH114" s="52">
        <v>276.64</v>
      </c>
      <c r="EI114" s="52">
        <v>265</v>
      </c>
      <c r="EJ114" s="52">
        <v>125.39</v>
      </c>
      <c r="EK114" s="52">
        <v>164.79</v>
      </c>
      <c r="EL114" s="52">
        <v>495.67</v>
      </c>
      <c r="EM114" s="52">
        <v>258.31</v>
      </c>
      <c r="EN114" s="52">
        <v>267.42</v>
      </c>
      <c r="EO114" s="52">
        <v>256.64999999999998</v>
      </c>
      <c r="EP114" s="52">
        <v>236.92</v>
      </c>
      <c r="EQ114" s="52">
        <v>272.56</v>
      </c>
      <c r="ER114" s="52">
        <v>332.94</v>
      </c>
      <c r="ES114" s="52">
        <v>311.52</v>
      </c>
      <c r="ET114" s="52">
        <v>281.14</v>
      </c>
      <c r="EU114" s="52">
        <v>229.6</v>
      </c>
      <c r="EV114" s="52">
        <v>269.98</v>
      </c>
      <c r="EW114" s="52">
        <v>222.45</v>
      </c>
      <c r="EX114" s="52">
        <v>233.27</v>
      </c>
      <c r="EY114" s="52">
        <v>159.5</v>
      </c>
      <c r="EZ114" s="52">
        <v>248.75</v>
      </c>
      <c r="FA114" s="52">
        <v>281.72000000000003</v>
      </c>
      <c r="FB114" s="52">
        <v>234.36</v>
      </c>
      <c r="FC114" s="52">
        <v>287.63</v>
      </c>
      <c r="FD114" s="52">
        <v>234.47</v>
      </c>
      <c r="FE114" s="52">
        <v>217.86</v>
      </c>
      <c r="FF114" s="52"/>
      <c r="FG114" s="52">
        <v>188.4</v>
      </c>
      <c r="FH114" s="52">
        <v>201.17</v>
      </c>
      <c r="FI114" s="52">
        <v>254.38</v>
      </c>
      <c r="FJ114" s="52">
        <v>327.06</v>
      </c>
      <c r="FK114" s="52">
        <v>310.99</v>
      </c>
      <c r="FL114" s="52">
        <v>213.74</v>
      </c>
      <c r="FM114" s="52">
        <v>202.98</v>
      </c>
      <c r="FN114" s="52">
        <v>177.24</v>
      </c>
      <c r="FO114" s="52">
        <v>351.81</v>
      </c>
      <c r="FP114" s="52">
        <v>320.72000000000003</v>
      </c>
      <c r="FQ114" s="52">
        <v>559.51</v>
      </c>
      <c r="FR114" s="52">
        <v>378.1</v>
      </c>
      <c r="FS114" s="52">
        <v>253.89</v>
      </c>
      <c r="FT114" s="52">
        <v>182.76</v>
      </c>
      <c r="FU114" s="52">
        <v>290.3</v>
      </c>
      <c r="FV114" s="52">
        <v>200.49</v>
      </c>
      <c r="FW114" s="52">
        <v>141.29</v>
      </c>
      <c r="FX114" s="52">
        <v>258.64</v>
      </c>
      <c r="FY114" s="52">
        <v>260.48</v>
      </c>
      <c r="FZ114" s="52">
        <v>231.07</v>
      </c>
      <c r="GA114" s="52">
        <v>221.07</v>
      </c>
      <c r="GB114" s="52">
        <v>195.27</v>
      </c>
      <c r="GC114" s="52">
        <v>187.54</v>
      </c>
      <c r="GD114" s="52">
        <v>176.02</v>
      </c>
      <c r="GE114" s="52">
        <v>450.02</v>
      </c>
      <c r="GF114" s="52">
        <v>286.64</v>
      </c>
      <c r="GG114" s="52">
        <v>389.96</v>
      </c>
      <c r="GH114" s="52">
        <v>411.26</v>
      </c>
      <c r="GI114" s="52">
        <v>148.41</v>
      </c>
      <c r="GJ114" s="52">
        <v>137.49</v>
      </c>
      <c r="GK114" s="52">
        <v>134.22</v>
      </c>
      <c r="GL114" s="52">
        <v>182.09</v>
      </c>
      <c r="GM114" s="52">
        <v>159.94999999999999</v>
      </c>
      <c r="GN114" s="52">
        <v>232.65</v>
      </c>
      <c r="GO114" s="52">
        <v>164.41</v>
      </c>
      <c r="GP114" s="52">
        <v>161.88999999999999</v>
      </c>
      <c r="GQ114" s="52">
        <v>166.32</v>
      </c>
      <c r="GR114" s="52">
        <v>263.35000000000002</v>
      </c>
      <c r="GS114" s="52">
        <v>317.12</v>
      </c>
      <c r="GT114" s="52">
        <v>190.59</v>
      </c>
      <c r="GU114" s="52">
        <v>227.99</v>
      </c>
      <c r="GV114" s="52">
        <v>233.01</v>
      </c>
      <c r="GW114" s="52">
        <v>289.63</v>
      </c>
      <c r="GX114" s="52">
        <v>350</v>
      </c>
      <c r="GY114" s="52">
        <v>270.2</v>
      </c>
      <c r="GZ114" s="52">
        <v>244.92</v>
      </c>
      <c r="HA114" s="52">
        <v>207.04</v>
      </c>
      <c r="HB114" s="52">
        <v>224.57</v>
      </c>
      <c r="HC114" s="52">
        <v>194.85</v>
      </c>
      <c r="HD114" s="52">
        <v>177.01</v>
      </c>
      <c r="HE114" s="52">
        <v>107.68</v>
      </c>
      <c r="HF114" s="52">
        <v>114.85</v>
      </c>
      <c r="HG114" s="52">
        <v>146.41</v>
      </c>
      <c r="HH114" s="52">
        <v>172.28</v>
      </c>
      <c r="HI114" s="52">
        <v>85.29</v>
      </c>
      <c r="HJ114" s="52">
        <v>146.61000000000001</v>
      </c>
      <c r="HK114" s="52">
        <v>294.33999999999997</v>
      </c>
      <c r="HL114" s="52">
        <v>158.91999999999999</v>
      </c>
      <c r="HM114" s="52">
        <v>216.12</v>
      </c>
      <c r="HN114" s="52">
        <v>218.45</v>
      </c>
      <c r="HO114" s="52">
        <v>191.23</v>
      </c>
      <c r="HP114" s="52">
        <v>232.04</v>
      </c>
      <c r="HQ114" s="52">
        <v>140.81</v>
      </c>
      <c r="HR114" s="52">
        <v>199.81</v>
      </c>
      <c r="HS114" s="52">
        <v>352.43</v>
      </c>
      <c r="HT114" s="52">
        <v>214.79</v>
      </c>
      <c r="HU114" s="52">
        <v>93.46</v>
      </c>
      <c r="HV114" s="52">
        <v>157.31</v>
      </c>
      <c r="HW114" s="52">
        <v>116.86</v>
      </c>
      <c r="HX114" s="52">
        <v>102.51</v>
      </c>
      <c r="HY114" s="52">
        <v>207.27</v>
      </c>
      <c r="HZ114" s="52">
        <v>169.52</v>
      </c>
      <c r="IA114" s="52">
        <v>97.71</v>
      </c>
      <c r="IB114" s="52">
        <v>207.4</v>
      </c>
      <c r="IC114" s="52">
        <v>136.52000000000001</v>
      </c>
      <c r="ID114" s="52">
        <v>158.19</v>
      </c>
      <c r="IE114" s="52">
        <v>125.22</v>
      </c>
      <c r="IF114" s="52">
        <v>162.96</v>
      </c>
      <c r="IG114" s="52">
        <v>219.26</v>
      </c>
      <c r="IH114" s="52">
        <v>285.05</v>
      </c>
      <c r="II114" s="52">
        <v>294.89999999999998</v>
      </c>
      <c r="IJ114" s="52">
        <v>357.04</v>
      </c>
      <c r="IK114" s="52">
        <v>273.75</v>
      </c>
      <c r="IL114" s="52">
        <v>203.34</v>
      </c>
      <c r="IM114" s="52">
        <v>285.58</v>
      </c>
      <c r="IN114" s="52">
        <v>273.14</v>
      </c>
      <c r="IO114" s="52">
        <v>216.01</v>
      </c>
      <c r="IP114" s="52">
        <v>161.87</v>
      </c>
      <c r="IQ114" s="52">
        <v>204.78</v>
      </c>
      <c r="IR114" s="52">
        <v>304.5</v>
      </c>
      <c r="IS114" s="52">
        <v>296.33</v>
      </c>
      <c r="IT114" s="52">
        <v>42.91</v>
      </c>
      <c r="IU114" s="52">
        <v>134.62</v>
      </c>
      <c r="IV114" s="52">
        <v>38.15</v>
      </c>
      <c r="IW114" s="52">
        <v>92.29</v>
      </c>
      <c r="IX114" s="52">
        <v>149.22999999999999</v>
      </c>
      <c r="IY114" s="52">
        <v>189.94</v>
      </c>
      <c r="IZ114" s="52">
        <v>279.86</v>
      </c>
      <c r="JA114" s="52">
        <v>205.06</v>
      </c>
      <c r="JB114" s="52"/>
      <c r="JC114" s="52">
        <v>220.44</v>
      </c>
      <c r="JD114" s="52">
        <v>283.20999999999998</v>
      </c>
      <c r="JE114" s="52">
        <v>213.81</v>
      </c>
      <c r="JF114" s="52">
        <v>187.08</v>
      </c>
      <c r="JG114" s="52">
        <v>234.79</v>
      </c>
      <c r="JH114" s="52">
        <v>364.05</v>
      </c>
      <c r="JI114" s="52">
        <v>215.93</v>
      </c>
      <c r="JJ114" s="52">
        <v>183.66</v>
      </c>
      <c r="JK114" s="52">
        <v>261.45</v>
      </c>
      <c r="JL114" s="52">
        <v>282.7</v>
      </c>
      <c r="JM114" s="52">
        <v>268.58</v>
      </c>
      <c r="JN114" s="52">
        <v>199.18</v>
      </c>
      <c r="JO114" s="52">
        <v>185.02</v>
      </c>
      <c r="JP114" s="52">
        <v>326.17</v>
      </c>
      <c r="JQ114" s="52">
        <v>276.67</v>
      </c>
      <c r="JR114" s="52">
        <v>253.3</v>
      </c>
      <c r="JS114" s="52">
        <v>313.27</v>
      </c>
      <c r="JT114" s="52">
        <v>295.77999999999997</v>
      </c>
      <c r="JU114" s="52">
        <v>235.15</v>
      </c>
      <c r="JV114" s="52">
        <v>125.39</v>
      </c>
      <c r="JW114" s="52">
        <v>164.79</v>
      </c>
      <c r="JX114" s="52">
        <v>495.67</v>
      </c>
      <c r="JY114" s="52">
        <v>265.72000000000003</v>
      </c>
      <c r="JZ114" s="52">
        <v>243.01</v>
      </c>
      <c r="KA114" s="52">
        <v>267.42</v>
      </c>
      <c r="KB114" s="52">
        <v>256.64999999999998</v>
      </c>
      <c r="KC114" s="52">
        <v>236.92</v>
      </c>
      <c r="KD114" s="52">
        <v>272.56</v>
      </c>
      <c r="KE114" s="52">
        <v>332.94</v>
      </c>
      <c r="KF114" s="52">
        <v>311.52</v>
      </c>
    </row>
    <row r="115" spans="1:292" s="41" customFormat="1" ht="12">
      <c r="A115" s="41">
        <v>2014</v>
      </c>
      <c r="B115" s="54" t="s">
        <v>979</v>
      </c>
      <c r="C115" s="55" t="s">
        <v>980</v>
      </c>
      <c r="D115" s="56">
        <v>234.54</v>
      </c>
      <c r="E115" s="56">
        <v>254.64</v>
      </c>
      <c r="F115" s="56">
        <v>412.65</v>
      </c>
      <c r="G115" s="56">
        <v>141.61000000000001</v>
      </c>
      <c r="H115" s="56">
        <v>272.11</v>
      </c>
      <c r="I115" s="56">
        <v>185.36</v>
      </c>
      <c r="J115" s="56">
        <v>140.36000000000001</v>
      </c>
      <c r="K115" s="56">
        <v>237.37</v>
      </c>
      <c r="L115" s="56">
        <v>121.91</v>
      </c>
      <c r="M115" s="56">
        <v>167.97</v>
      </c>
      <c r="N115" s="56">
        <v>233.39</v>
      </c>
      <c r="O115" s="56">
        <v>318.55</v>
      </c>
      <c r="P115" s="56">
        <v>267.45</v>
      </c>
      <c r="Q115" s="56">
        <v>257.79000000000002</v>
      </c>
      <c r="R115" s="56">
        <v>212.79</v>
      </c>
      <c r="S115" s="56">
        <v>418.08</v>
      </c>
      <c r="T115" s="56">
        <v>411.95</v>
      </c>
      <c r="U115" s="56">
        <v>136.96</v>
      </c>
      <c r="V115" s="56">
        <v>155.22999999999999</v>
      </c>
      <c r="W115" s="56">
        <v>318.48</v>
      </c>
      <c r="X115" s="56">
        <v>194.51</v>
      </c>
      <c r="Y115" s="56">
        <v>231.45</v>
      </c>
      <c r="Z115" s="56">
        <v>282.45999999999998</v>
      </c>
      <c r="AA115" s="56">
        <v>215.2</v>
      </c>
      <c r="AB115" s="56">
        <v>179.62</v>
      </c>
      <c r="AC115" s="56">
        <v>140.91999999999999</v>
      </c>
      <c r="AD115" s="56">
        <v>194.08</v>
      </c>
      <c r="AE115" s="56">
        <v>217.01</v>
      </c>
      <c r="AF115" s="56">
        <v>187.88</v>
      </c>
      <c r="AG115" s="56">
        <v>97.8</v>
      </c>
      <c r="AH115" s="56">
        <v>173.34</v>
      </c>
      <c r="AI115" s="56">
        <v>210.07</v>
      </c>
      <c r="AJ115" s="56">
        <v>161.1</v>
      </c>
      <c r="AK115" s="56">
        <v>287.97000000000003</v>
      </c>
      <c r="AL115" s="56">
        <v>268.25</v>
      </c>
      <c r="AM115" s="56">
        <v>281.14</v>
      </c>
      <c r="AN115" s="56">
        <v>43.31</v>
      </c>
      <c r="AO115" s="56">
        <v>134.77000000000001</v>
      </c>
      <c r="AP115" s="56">
        <v>64.62</v>
      </c>
      <c r="AQ115" s="56">
        <v>193.1</v>
      </c>
      <c r="AR115" s="56">
        <v>264.27</v>
      </c>
      <c r="AS115" s="56">
        <v>233.76</v>
      </c>
      <c r="AT115" s="56">
        <v>256.22000000000003</v>
      </c>
      <c r="AU115" s="56">
        <v>261.77</v>
      </c>
      <c r="AV115" s="56">
        <v>282.93</v>
      </c>
      <c r="AW115" s="56">
        <v>269.51</v>
      </c>
      <c r="AX115" s="56">
        <v>199.18</v>
      </c>
      <c r="AY115" s="56">
        <v>184.79</v>
      </c>
      <c r="AZ115" s="56">
        <v>316.14</v>
      </c>
      <c r="BA115" s="56">
        <v>277.52999999999997</v>
      </c>
      <c r="BB115" s="56">
        <v>188.06</v>
      </c>
      <c r="BC115" s="56">
        <v>441.11</v>
      </c>
      <c r="BD115" s="56">
        <v>268.27</v>
      </c>
      <c r="BE115" s="56">
        <v>270.36</v>
      </c>
      <c r="BF115" s="56">
        <v>332.94</v>
      </c>
      <c r="BG115" s="56">
        <v>312</v>
      </c>
      <c r="BH115" s="52">
        <v>259.14999999999998</v>
      </c>
      <c r="BI115" s="52">
        <v>263.14999999999998</v>
      </c>
      <c r="BJ115" s="52">
        <v>226.75</v>
      </c>
      <c r="BK115" s="52">
        <v>241.52</v>
      </c>
      <c r="BL115" s="52">
        <v>220.22</v>
      </c>
      <c r="BM115" s="52">
        <v>213.32</v>
      </c>
      <c r="BN115" s="52">
        <v>317.97000000000003</v>
      </c>
      <c r="BO115" s="52">
        <v>202.8</v>
      </c>
      <c r="BP115" s="52">
        <v>260.75</v>
      </c>
      <c r="BQ115" s="52">
        <v>235.95</v>
      </c>
      <c r="BR115" s="52">
        <v>190.45</v>
      </c>
      <c r="BS115" s="52">
        <v>450.49</v>
      </c>
      <c r="BT115" s="52">
        <v>283.33</v>
      </c>
      <c r="BU115" s="52">
        <v>392.98</v>
      </c>
      <c r="BV115" s="52">
        <v>411.95</v>
      </c>
      <c r="BW115" s="52">
        <v>134.22</v>
      </c>
      <c r="BX115" s="52">
        <v>156.97999999999999</v>
      </c>
      <c r="BY115" s="52">
        <v>234.79</v>
      </c>
      <c r="BZ115" s="52">
        <v>154.59</v>
      </c>
      <c r="CA115" s="52">
        <v>264.98</v>
      </c>
      <c r="CB115" s="53">
        <v>318.48</v>
      </c>
      <c r="CC115" s="52">
        <v>194.51</v>
      </c>
      <c r="CD115" s="52">
        <v>230.56</v>
      </c>
      <c r="CE115" s="52">
        <v>233.01</v>
      </c>
      <c r="CF115" s="52">
        <v>325.2</v>
      </c>
      <c r="CG115" s="52">
        <v>272.37</v>
      </c>
      <c r="CH115" s="52">
        <v>220.76</v>
      </c>
      <c r="CI115" s="52">
        <v>197.68</v>
      </c>
      <c r="CJ115" s="52">
        <v>179.62</v>
      </c>
      <c r="CK115" s="52">
        <v>128.27000000000001</v>
      </c>
      <c r="CL115" s="52">
        <v>148.55000000000001</v>
      </c>
      <c r="CM115" s="52">
        <v>298.25</v>
      </c>
      <c r="CN115" s="52">
        <v>194.08</v>
      </c>
      <c r="CO115" s="52">
        <v>217.01</v>
      </c>
      <c r="CP115" s="52">
        <v>148.79</v>
      </c>
      <c r="CQ115" s="52">
        <v>352</v>
      </c>
      <c r="CR115" s="52">
        <v>93.59</v>
      </c>
      <c r="CS115" s="52">
        <v>157.71</v>
      </c>
      <c r="CT115" s="52">
        <v>115.75</v>
      </c>
      <c r="CU115" s="52">
        <v>207.67</v>
      </c>
      <c r="CV115" s="52">
        <v>172.38</v>
      </c>
      <c r="CW115" s="52">
        <v>107.65</v>
      </c>
      <c r="CX115" s="52">
        <v>210.07</v>
      </c>
      <c r="CY115" s="52">
        <v>161.69</v>
      </c>
      <c r="CZ115" s="52">
        <v>127.94</v>
      </c>
      <c r="DA115" s="52">
        <v>165.2</v>
      </c>
      <c r="DB115" s="52">
        <v>222.86</v>
      </c>
      <c r="DC115" s="52">
        <v>283.99</v>
      </c>
      <c r="DD115" s="52">
        <v>305.01</v>
      </c>
      <c r="DE115" s="52">
        <v>359.05</v>
      </c>
      <c r="DF115" s="52">
        <v>248.48</v>
      </c>
      <c r="DG115" s="52">
        <v>272.8</v>
      </c>
      <c r="DH115" s="52">
        <v>162.76</v>
      </c>
      <c r="DI115" s="52">
        <v>204.78</v>
      </c>
      <c r="DJ115" s="52">
        <v>308.5</v>
      </c>
      <c r="DK115" s="52">
        <v>281.14</v>
      </c>
      <c r="DL115" s="52">
        <v>43.31</v>
      </c>
      <c r="DM115" s="52">
        <v>134.77000000000001</v>
      </c>
      <c r="DN115" s="52">
        <v>38.69</v>
      </c>
      <c r="DO115" s="52">
        <v>94.81</v>
      </c>
      <c r="DP115" s="52">
        <v>149.22999999999999</v>
      </c>
      <c r="DQ115" s="52">
        <v>193.1</v>
      </c>
      <c r="DR115" s="52">
        <v>287.81</v>
      </c>
      <c r="DS115" s="52">
        <v>206.03</v>
      </c>
      <c r="DT115" s="52"/>
      <c r="DU115" s="52">
        <v>224.41</v>
      </c>
      <c r="DV115" s="52">
        <v>280.39</v>
      </c>
      <c r="DW115" s="52">
        <v>194.07</v>
      </c>
      <c r="DX115" s="52">
        <v>234.79</v>
      </c>
      <c r="DY115" s="52">
        <v>350.24</v>
      </c>
      <c r="DZ115" s="52">
        <v>219.96</v>
      </c>
      <c r="EA115" s="52">
        <v>189.88</v>
      </c>
      <c r="EB115" s="52">
        <v>261.77</v>
      </c>
      <c r="EC115" s="52">
        <v>282.93</v>
      </c>
      <c r="ED115" s="52">
        <v>269.51</v>
      </c>
      <c r="EE115" s="52">
        <v>199.18</v>
      </c>
      <c r="EF115" s="52">
        <v>184.79</v>
      </c>
      <c r="EG115" s="52">
        <v>316.14</v>
      </c>
      <c r="EH115" s="52">
        <v>277.52999999999997</v>
      </c>
      <c r="EI115" s="52">
        <v>267.66000000000003</v>
      </c>
      <c r="EJ115" s="52">
        <v>126.73</v>
      </c>
      <c r="EK115" s="52">
        <v>166.43</v>
      </c>
      <c r="EL115" s="52">
        <v>514.66999999999996</v>
      </c>
      <c r="EM115" s="52">
        <v>260.66000000000003</v>
      </c>
      <c r="EN115" s="52">
        <v>268.27</v>
      </c>
      <c r="EO115" s="52">
        <v>256.49</v>
      </c>
      <c r="EP115" s="52">
        <v>230.88</v>
      </c>
      <c r="EQ115" s="52">
        <v>272.94</v>
      </c>
      <c r="ER115" s="52">
        <v>332.94</v>
      </c>
      <c r="ES115" s="52">
        <v>312</v>
      </c>
      <c r="ET115" s="52">
        <v>296.25</v>
      </c>
      <c r="EU115" s="52">
        <v>233.95</v>
      </c>
      <c r="EV115" s="52">
        <v>275.57</v>
      </c>
      <c r="EW115" s="52">
        <v>225.37</v>
      </c>
      <c r="EX115" s="52">
        <v>240.81</v>
      </c>
      <c r="EY115" s="52">
        <v>159.41999999999999</v>
      </c>
      <c r="EZ115" s="52">
        <v>252.58</v>
      </c>
      <c r="FA115" s="52">
        <v>288.42</v>
      </c>
      <c r="FB115" s="52">
        <v>248.06</v>
      </c>
      <c r="FC115" s="52">
        <v>294.89999999999998</v>
      </c>
      <c r="FD115" s="52">
        <v>239.83</v>
      </c>
      <c r="FE115" s="52">
        <v>226.75</v>
      </c>
      <c r="FF115" s="52"/>
      <c r="FG115" s="52">
        <v>191.83</v>
      </c>
      <c r="FH115" s="52">
        <v>206.62</v>
      </c>
      <c r="FI115" s="52">
        <v>257.85000000000002</v>
      </c>
      <c r="FJ115" s="52">
        <v>326.55</v>
      </c>
      <c r="FK115" s="52">
        <v>321.16000000000003</v>
      </c>
      <c r="FL115" s="52">
        <v>223.99</v>
      </c>
      <c r="FM115" s="52">
        <v>207.91</v>
      </c>
      <c r="FN115" s="52">
        <v>186.08</v>
      </c>
      <c r="FO115" s="52">
        <v>357.79</v>
      </c>
      <c r="FP115" s="52">
        <v>279.93</v>
      </c>
      <c r="FQ115" s="52">
        <v>518.64</v>
      </c>
      <c r="FR115" s="52">
        <v>398.54</v>
      </c>
      <c r="FS115" s="52">
        <v>256.33</v>
      </c>
      <c r="FT115" s="52">
        <v>184.33</v>
      </c>
      <c r="FU115" s="52">
        <v>292.56</v>
      </c>
      <c r="FV115" s="52">
        <v>205.27</v>
      </c>
      <c r="FW115" s="52">
        <v>142.04</v>
      </c>
      <c r="FX115" s="52">
        <v>260.75</v>
      </c>
      <c r="FY115" s="52">
        <v>260.83</v>
      </c>
      <c r="FZ115" s="52">
        <v>232.05</v>
      </c>
      <c r="GA115" s="52">
        <v>220.22</v>
      </c>
      <c r="GB115" s="52">
        <v>198.14</v>
      </c>
      <c r="GC115" s="52">
        <v>188.83</v>
      </c>
      <c r="GD115" s="52">
        <v>176.39</v>
      </c>
      <c r="GE115" s="52">
        <v>450.49</v>
      </c>
      <c r="GF115" s="52">
        <v>283.33</v>
      </c>
      <c r="GG115" s="52">
        <v>392.98</v>
      </c>
      <c r="GH115" s="52">
        <v>411.27</v>
      </c>
      <c r="GI115" s="52">
        <v>141.11000000000001</v>
      </c>
      <c r="GJ115" s="52">
        <v>129.15</v>
      </c>
      <c r="GK115" s="52">
        <v>127.98</v>
      </c>
      <c r="GL115" s="52">
        <v>182.04</v>
      </c>
      <c r="GM115" s="52">
        <v>156.97999999999999</v>
      </c>
      <c r="GN115" s="52">
        <v>234.79</v>
      </c>
      <c r="GO115" s="52">
        <v>157.97999999999999</v>
      </c>
      <c r="GP115" s="52">
        <v>148.53</v>
      </c>
      <c r="GQ115" s="52">
        <v>159.79</v>
      </c>
      <c r="GR115" s="52">
        <v>264.98</v>
      </c>
      <c r="GS115" s="52">
        <v>318.48</v>
      </c>
      <c r="GT115" s="52">
        <v>194.51</v>
      </c>
      <c r="GU115" s="52">
        <v>230.56</v>
      </c>
      <c r="GV115" s="52">
        <v>233.01</v>
      </c>
      <c r="GW115" s="52">
        <v>290.41000000000003</v>
      </c>
      <c r="GX115" s="52">
        <v>343.37</v>
      </c>
      <c r="GY115" s="52">
        <v>272.37</v>
      </c>
      <c r="GZ115" s="52">
        <v>249.38</v>
      </c>
      <c r="HA115" s="52">
        <v>209.5</v>
      </c>
      <c r="HB115" s="52">
        <v>226.24</v>
      </c>
      <c r="HC115" s="52">
        <v>197.68</v>
      </c>
      <c r="HD115" s="52">
        <v>179.62</v>
      </c>
      <c r="HE115" s="52">
        <v>109.64</v>
      </c>
      <c r="HF115" s="52">
        <v>117.33</v>
      </c>
      <c r="HG115" s="52">
        <v>149.33000000000001</v>
      </c>
      <c r="HH115" s="52">
        <v>174.71</v>
      </c>
      <c r="HI115" s="52">
        <v>86.13</v>
      </c>
      <c r="HJ115" s="52">
        <v>148.55000000000001</v>
      </c>
      <c r="HK115" s="52">
        <v>298.25</v>
      </c>
      <c r="HL115" s="52">
        <v>161.06</v>
      </c>
      <c r="HM115" s="52">
        <v>217.44</v>
      </c>
      <c r="HN115" s="52">
        <v>221.11</v>
      </c>
      <c r="HO115" s="52">
        <v>195.53</v>
      </c>
      <c r="HP115" s="52">
        <v>233.48</v>
      </c>
      <c r="HQ115" s="52">
        <v>141.80000000000001</v>
      </c>
      <c r="HR115" s="52">
        <v>203.26</v>
      </c>
      <c r="HS115" s="52">
        <v>358.71</v>
      </c>
      <c r="HT115" s="52">
        <v>216.41</v>
      </c>
      <c r="HU115" s="52">
        <v>93.59</v>
      </c>
      <c r="HV115" s="52">
        <v>157.71</v>
      </c>
      <c r="HW115" s="52">
        <v>119.13</v>
      </c>
      <c r="HX115" s="52">
        <v>102.57</v>
      </c>
      <c r="HY115" s="52">
        <v>207.67</v>
      </c>
      <c r="HZ115" s="52">
        <v>172.38</v>
      </c>
      <c r="IA115" s="52">
        <v>98.34</v>
      </c>
      <c r="IB115" s="52">
        <v>210.07</v>
      </c>
      <c r="IC115" s="52">
        <v>147.08000000000001</v>
      </c>
      <c r="ID115" s="52">
        <v>165.72</v>
      </c>
      <c r="IE115" s="52">
        <v>127.94</v>
      </c>
      <c r="IF115" s="52">
        <v>165.2</v>
      </c>
      <c r="IG115" s="52">
        <v>222.86</v>
      </c>
      <c r="IH115" s="52">
        <v>283.99</v>
      </c>
      <c r="II115" s="52">
        <v>305.01</v>
      </c>
      <c r="IJ115" s="52">
        <v>359.05</v>
      </c>
      <c r="IK115" s="52">
        <v>273.75</v>
      </c>
      <c r="IL115" s="52">
        <v>203.34</v>
      </c>
      <c r="IM115" s="52">
        <v>286.37</v>
      </c>
      <c r="IN115" s="52">
        <v>273.27</v>
      </c>
      <c r="IO115" s="52">
        <v>222.71</v>
      </c>
      <c r="IP115" s="52">
        <v>162.76</v>
      </c>
      <c r="IQ115" s="52">
        <v>204.78</v>
      </c>
      <c r="IR115" s="52">
        <v>308.5</v>
      </c>
      <c r="IS115" s="52">
        <v>281.14</v>
      </c>
      <c r="IT115" s="52">
        <v>43.31</v>
      </c>
      <c r="IU115" s="52">
        <v>134.77000000000001</v>
      </c>
      <c r="IV115" s="52">
        <v>38.71</v>
      </c>
      <c r="IW115" s="52">
        <v>94.81</v>
      </c>
      <c r="IX115" s="52">
        <v>149.22999999999999</v>
      </c>
      <c r="IY115" s="52">
        <v>193.1</v>
      </c>
      <c r="IZ115" s="52">
        <v>287.81</v>
      </c>
      <c r="JA115" s="52">
        <v>206.03</v>
      </c>
      <c r="JB115" s="52"/>
      <c r="JC115" s="52">
        <v>224.41</v>
      </c>
      <c r="JD115" s="52">
        <v>280.39</v>
      </c>
      <c r="JE115" s="52">
        <v>218.55</v>
      </c>
      <c r="JF115" s="52">
        <v>187.38</v>
      </c>
      <c r="JG115" s="52">
        <v>234.79</v>
      </c>
      <c r="JH115" s="52">
        <v>350.24</v>
      </c>
      <c r="JI115" s="52">
        <v>219.96</v>
      </c>
      <c r="JJ115" s="52">
        <v>189.88</v>
      </c>
      <c r="JK115" s="52">
        <v>261.77</v>
      </c>
      <c r="JL115" s="52">
        <v>282.93</v>
      </c>
      <c r="JM115" s="52">
        <v>269.51</v>
      </c>
      <c r="JN115" s="52">
        <v>199.18</v>
      </c>
      <c r="JO115" s="52">
        <v>184.79</v>
      </c>
      <c r="JP115" s="52">
        <v>331.52</v>
      </c>
      <c r="JQ115" s="52">
        <v>280.08999999999997</v>
      </c>
      <c r="JR115" s="52">
        <v>254.53</v>
      </c>
      <c r="JS115" s="52">
        <v>313.20999999999998</v>
      </c>
      <c r="JT115" s="52">
        <v>299.87</v>
      </c>
      <c r="JU115" s="52">
        <v>236.5</v>
      </c>
      <c r="JV115" s="52">
        <v>126.73</v>
      </c>
      <c r="JW115" s="52">
        <v>166.43</v>
      </c>
      <c r="JX115" s="52">
        <v>514.66999999999996</v>
      </c>
      <c r="JY115" s="52">
        <v>266.73</v>
      </c>
      <c r="JZ115" s="52">
        <v>247.4</v>
      </c>
      <c r="KA115" s="52">
        <v>268.27</v>
      </c>
      <c r="KB115" s="52">
        <v>256.49</v>
      </c>
      <c r="KC115" s="52">
        <v>230.88</v>
      </c>
      <c r="KD115" s="52">
        <v>272.94</v>
      </c>
      <c r="KE115" s="52">
        <v>332.94</v>
      </c>
      <c r="KF115" s="52">
        <v>312</v>
      </c>
    </row>
    <row r="116" spans="1:292" s="41" customFormat="1" ht="12">
      <c r="A116" s="41">
        <v>2014</v>
      </c>
      <c r="B116" s="54" t="s">
        <v>981</v>
      </c>
      <c r="C116" s="55" t="s">
        <v>982</v>
      </c>
      <c r="D116" s="56">
        <v>237.18</v>
      </c>
      <c r="E116" s="56">
        <v>259.98</v>
      </c>
      <c r="F116" s="56">
        <v>412.57</v>
      </c>
      <c r="G116" s="56">
        <v>145.13</v>
      </c>
      <c r="H116" s="56">
        <v>272.73</v>
      </c>
      <c r="I116" s="56">
        <v>187.03</v>
      </c>
      <c r="J116" s="56">
        <v>141.56</v>
      </c>
      <c r="K116" s="56">
        <v>239.47</v>
      </c>
      <c r="L116" s="56">
        <v>122.24</v>
      </c>
      <c r="M116" s="56">
        <v>169.11</v>
      </c>
      <c r="N116" s="56">
        <v>233.84</v>
      </c>
      <c r="O116" s="56">
        <v>322.79000000000002</v>
      </c>
      <c r="P116" s="56">
        <v>270.66000000000003</v>
      </c>
      <c r="Q116" s="56">
        <v>263.45999999999998</v>
      </c>
      <c r="R116" s="56">
        <v>214.18</v>
      </c>
      <c r="S116" s="56">
        <v>416.81</v>
      </c>
      <c r="T116" s="56">
        <v>411.95</v>
      </c>
      <c r="U116" s="56">
        <v>139.27000000000001</v>
      </c>
      <c r="V116" s="56">
        <v>163.05000000000001</v>
      </c>
      <c r="W116" s="56">
        <v>319.67</v>
      </c>
      <c r="X116" s="56">
        <v>197</v>
      </c>
      <c r="Y116" s="56">
        <v>232.24</v>
      </c>
      <c r="Z116" s="56">
        <v>282</v>
      </c>
      <c r="AA116" s="56">
        <v>215.27</v>
      </c>
      <c r="AB116" s="56">
        <v>181.2</v>
      </c>
      <c r="AC116" s="56">
        <v>143.05000000000001</v>
      </c>
      <c r="AD116" s="56">
        <v>196.37</v>
      </c>
      <c r="AE116" s="56">
        <v>218.8</v>
      </c>
      <c r="AF116" s="56">
        <v>190.38</v>
      </c>
      <c r="AG116" s="56">
        <v>97.8</v>
      </c>
      <c r="AH116" s="56">
        <v>175.6</v>
      </c>
      <c r="AI116" s="56">
        <v>212.4</v>
      </c>
      <c r="AJ116" s="56">
        <v>166.94</v>
      </c>
      <c r="AK116" s="56">
        <v>285</v>
      </c>
      <c r="AL116" s="56">
        <v>269.29000000000002</v>
      </c>
      <c r="AM116" s="56">
        <v>296.33</v>
      </c>
      <c r="AN116" s="56">
        <v>43.88</v>
      </c>
      <c r="AO116" s="56">
        <v>134.97999999999999</v>
      </c>
      <c r="AP116" s="56">
        <v>65.099999999999994</v>
      </c>
      <c r="AQ116" s="56">
        <v>196.94</v>
      </c>
      <c r="AR116" s="56">
        <v>272.31</v>
      </c>
      <c r="AS116" s="56">
        <v>235.12</v>
      </c>
      <c r="AT116" s="56">
        <v>253.3</v>
      </c>
      <c r="AU116" s="56">
        <v>264.60000000000002</v>
      </c>
      <c r="AV116" s="56">
        <v>282.63</v>
      </c>
      <c r="AW116" s="56">
        <v>270.11</v>
      </c>
      <c r="AX116" s="56">
        <v>199.18</v>
      </c>
      <c r="AY116" s="56">
        <v>185.22</v>
      </c>
      <c r="AZ116" s="56">
        <v>320.36</v>
      </c>
      <c r="BA116" s="56">
        <v>281.13</v>
      </c>
      <c r="BB116" s="56">
        <v>189.72</v>
      </c>
      <c r="BC116" s="56">
        <v>452.72</v>
      </c>
      <c r="BD116" s="56">
        <v>268.83999999999997</v>
      </c>
      <c r="BE116" s="56">
        <v>277.29000000000002</v>
      </c>
      <c r="BF116" s="56">
        <v>332.94</v>
      </c>
      <c r="BG116" s="56">
        <v>313.64</v>
      </c>
      <c r="BH116" s="52">
        <v>264.72000000000003</v>
      </c>
      <c r="BI116" s="52">
        <v>266.41000000000003</v>
      </c>
      <c r="BJ116" s="52">
        <v>232.9</v>
      </c>
      <c r="BK116" s="52">
        <v>243.47</v>
      </c>
      <c r="BL116" s="52">
        <v>223.52</v>
      </c>
      <c r="BM116" s="52">
        <v>226.18</v>
      </c>
      <c r="BN116" s="52">
        <v>326.68</v>
      </c>
      <c r="BO116" s="52">
        <v>204.07</v>
      </c>
      <c r="BP116" s="52">
        <v>263.61</v>
      </c>
      <c r="BQ116" s="52">
        <v>238.21</v>
      </c>
      <c r="BR116" s="52">
        <v>191.35</v>
      </c>
      <c r="BS116" s="52">
        <v>449.46</v>
      </c>
      <c r="BT116" s="52">
        <v>273.42</v>
      </c>
      <c r="BU116" s="52">
        <v>393.03</v>
      </c>
      <c r="BV116" s="52">
        <v>411.95</v>
      </c>
      <c r="BW116" s="52">
        <v>136.46</v>
      </c>
      <c r="BX116" s="52">
        <v>160.69999999999999</v>
      </c>
      <c r="BY116" s="52">
        <v>237.5</v>
      </c>
      <c r="BZ116" s="52">
        <v>162.43</v>
      </c>
      <c r="CA116" s="52">
        <v>267.73</v>
      </c>
      <c r="CB116" s="53">
        <v>319.67</v>
      </c>
      <c r="CC116" s="52">
        <v>197</v>
      </c>
      <c r="CD116" s="52">
        <v>231.35</v>
      </c>
      <c r="CE116" s="52">
        <v>233.01</v>
      </c>
      <c r="CF116" s="52">
        <v>324.02</v>
      </c>
      <c r="CG116" s="52">
        <v>271.95</v>
      </c>
      <c r="CH116" s="52">
        <v>220.63</v>
      </c>
      <c r="CI116" s="52">
        <v>199.65</v>
      </c>
      <c r="CJ116" s="52">
        <v>181.2</v>
      </c>
      <c r="CK116" s="52">
        <v>130.26</v>
      </c>
      <c r="CL116" s="52">
        <v>150</v>
      </c>
      <c r="CM116" s="52">
        <v>303.38</v>
      </c>
      <c r="CN116" s="52">
        <v>196.37</v>
      </c>
      <c r="CO116" s="52">
        <v>218.8</v>
      </c>
      <c r="CP116" s="52">
        <v>151.18</v>
      </c>
      <c r="CQ116" s="52">
        <v>355.22</v>
      </c>
      <c r="CR116" s="52">
        <v>93.35</v>
      </c>
      <c r="CS116" s="52">
        <v>159.46</v>
      </c>
      <c r="CT116" s="52">
        <v>116.38</v>
      </c>
      <c r="CU116" s="52">
        <v>208.01</v>
      </c>
      <c r="CV116" s="52">
        <v>176.72</v>
      </c>
      <c r="CW116" s="52">
        <v>109.03</v>
      </c>
      <c r="CX116" s="52">
        <v>212.4</v>
      </c>
      <c r="CY116" s="52">
        <v>167.65</v>
      </c>
      <c r="CZ116" s="52">
        <v>130.13</v>
      </c>
      <c r="DA116" s="52">
        <v>168.41</v>
      </c>
      <c r="DB116" s="52">
        <v>224.52</v>
      </c>
      <c r="DC116" s="52">
        <v>279.89</v>
      </c>
      <c r="DD116" s="52">
        <v>307.36</v>
      </c>
      <c r="DE116" s="52">
        <v>356.64</v>
      </c>
      <c r="DF116" s="52">
        <v>248.48</v>
      </c>
      <c r="DG116" s="52">
        <v>273.55</v>
      </c>
      <c r="DH116" s="52">
        <v>165.91</v>
      </c>
      <c r="DI116" s="52">
        <v>204.78</v>
      </c>
      <c r="DJ116" s="52">
        <v>309.22000000000003</v>
      </c>
      <c r="DK116" s="52">
        <v>296.33</v>
      </c>
      <c r="DL116" s="52">
        <v>43.88</v>
      </c>
      <c r="DM116" s="52">
        <v>134.97999999999999</v>
      </c>
      <c r="DN116" s="52">
        <v>39.28</v>
      </c>
      <c r="DO116" s="52">
        <v>94.92</v>
      </c>
      <c r="DP116" s="52">
        <v>149.22999999999999</v>
      </c>
      <c r="DQ116" s="52">
        <v>196.94</v>
      </c>
      <c r="DR116" s="52">
        <v>297.61</v>
      </c>
      <c r="DS116" s="52">
        <v>209.93</v>
      </c>
      <c r="DT116" s="52"/>
      <c r="DU116" s="52">
        <v>229.66</v>
      </c>
      <c r="DV116" s="52">
        <v>282.83</v>
      </c>
      <c r="DW116" s="52">
        <v>194.65</v>
      </c>
      <c r="DX116" s="52">
        <v>234.79</v>
      </c>
      <c r="DY116" s="52">
        <v>337.68</v>
      </c>
      <c r="DZ116" s="52">
        <v>220.03</v>
      </c>
      <c r="EA116" s="52">
        <v>193.58</v>
      </c>
      <c r="EB116" s="52">
        <v>264.60000000000002</v>
      </c>
      <c r="EC116" s="52">
        <v>282.63</v>
      </c>
      <c r="ED116" s="52">
        <v>270.11</v>
      </c>
      <c r="EE116" s="52">
        <v>199.18</v>
      </c>
      <c r="EF116" s="52">
        <v>185.22</v>
      </c>
      <c r="EG116" s="52">
        <v>320.36</v>
      </c>
      <c r="EH116" s="52">
        <v>281.13</v>
      </c>
      <c r="EI116" s="52">
        <v>269.39</v>
      </c>
      <c r="EJ116" s="52">
        <v>127.19</v>
      </c>
      <c r="EK116" s="52">
        <v>168.14</v>
      </c>
      <c r="EL116" s="52">
        <v>530.27</v>
      </c>
      <c r="EM116" s="52">
        <v>265.73</v>
      </c>
      <c r="EN116" s="52">
        <v>268.83999999999997</v>
      </c>
      <c r="EO116" s="52">
        <v>256.33</v>
      </c>
      <c r="EP116" s="52">
        <v>237.71</v>
      </c>
      <c r="EQ116" s="52">
        <v>280.8</v>
      </c>
      <c r="ER116" s="52">
        <v>332.94</v>
      </c>
      <c r="ES116" s="52">
        <v>313.64</v>
      </c>
      <c r="ET116" s="52">
        <v>305.55</v>
      </c>
      <c r="EU116" s="52">
        <v>238.07</v>
      </c>
      <c r="EV116" s="52">
        <v>279.61</v>
      </c>
      <c r="EW116" s="52">
        <v>233.31</v>
      </c>
      <c r="EX116" s="52">
        <v>248.45</v>
      </c>
      <c r="EY116" s="52">
        <v>159.87</v>
      </c>
      <c r="EZ116" s="52">
        <v>253.73</v>
      </c>
      <c r="FA116" s="52">
        <v>290.89</v>
      </c>
      <c r="FB116" s="52">
        <v>255.21</v>
      </c>
      <c r="FC116" s="52">
        <v>297</v>
      </c>
      <c r="FD116" s="52">
        <v>242.03</v>
      </c>
      <c r="FE116" s="52">
        <v>232.9</v>
      </c>
      <c r="FF116" s="52"/>
      <c r="FG116" s="52">
        <v>193.56</v>
      </c>
      <c r="FH116" s="52">
        <v>209.34</v>
      </c>
      <c r="FI116" s="52">
        <v>263.13</v>
      </c>
      <c r="FJ116" s="52">
        <v>317.73</v>
      </c>
      <c r="FK116" s="52">
        <v>329.33</v>
      </c>
      <c r="FL116" s="52">
        <v>229.74</v>
      </c>
      <c r="FM116" s="52">
        <v>210.24</v>
      </c>
      <c r="FN116" s="52">
        <v>200.2</v>
      </c>
      <c r="FO116" s="52">
        <v>363.81</v>
      </c>
      <c r="FP116" s="52">
        <v>296.91000000000003</v>
      </c>
      <c r="FQ116" s="52">
        <v>497.79</v>
      </c>
      <c r="FR116" s="52">
        <v>407.83</v>
      </c>
      <c r="FS116" s="52">
        <v>256.77999999999997</v>
      </c>
      <c r="FT116" s="52">
        <v>184.96</v>
      </c>
      <c r="FU116" s="52">
        <v>294.20999999999998</v>
      </c>
      <c r="FV116" s="52">
        <v>207.11</v>
      </c>
      <c r="FW116" s="52">
        <v>143.35</v>
      </c>
      <c r="FX116" s="52">
        <v>263.61</v>
      </c>
      <c r="FY116" s="52">
        <v>264.06</v>
      </c>
      <c r="FZ116" s="52">
        <v>234.2</v>
      </c>
      <c r="GA116" s="52">
        <v>220.89</v>
      </c>
      <c r="GB116" s="52">
        <v>201.18</v>
      </c>
      <c r="GC116" s="52">
        <v>188.51</v>
      </c>
      <c r="GD116" s="52">
        <v>175.48</v>
      </c>
      <c r="GE116" s="52">
        <v>449.46</v>
      </c>
      <c r="GF116" s="52">
        <v>273.42</v>
      </c>
      <c r="GG116" s="52">
        <v>393.03</v>
      </c>
      <c r="GH116" s="52">
        <v>411.27</v>
      </c>
      <c r="GI116" s="52">
        <v>144.22</v>
      </c>
      <c r="GJ116" s="52">
        <v>130.80000000000001</v>
      </c>
      <c r="GK116" s="52">
        <v>129.82</v>
      </c>
      <c r="GL116" s="52">
        <v>185.51</v>
      </c>
      <c r="GM116" s="52">
        <v>160.69999999999999</v>
      </c>
      <c r="GN116" s="52">
        <v>237.5</v>
      </c>
      <c r="GO116" s="52">
        <v>164.77</v>
      </c>
      <c r="GP116" s="52">
        <v>157.1</v>
      </c>
      <c r="GQ116" s="52">
        <v>168.58</v>
      </c>
      <c r="GR116" s="52">
        <v>267.73</v>
      </c>
      <c r="GS116" s="52">
        <v>319.67</v>
      </c>
      <c r="GT116" s="52">
        <v>197</v>
      </c>
      <c r="GU116" s="52">
        <v>231.35</v>
      </c>
      <c r="GV116" s="52">
        <v>233.01</v>
      </c>
      <c r="GW116" s="52">
        <v>291.61</v>
      </c>
      <c r="GX116" s="52">
        <v>338.74</v>
      </c>
      <c r="GY116" s="52">
        <v>271.95</v>
      </c>
      <c r="GZ116" s="52">
        <v>253.63</v>
      </c>
      <c r="HA116" s="52">
        <v>208.45</v>
      </c>
      <c r="HB116" s="52">
        <v>225.42</v>
      </c>
      <c r="HC116" s="52">
        <v>199.65</v>
      </c>
      <c r="HD116" s="52">
        <v>181.2</v>
      </c>
      <c r="HE116" s="52">
        <v>110.92</v>
      </c>
      <c r="HF116" s="52">
        <v>118.52</v>
      </c>
      <c r="HG116" s="52">
        <v>150.81</v>
      </c>
      <c r="HH116" s="52">
        <v>175.55</v>
      </c>
      <c r="HI116" s="52">
        <v>92.45</v>
      </c>
      <c r="HJ116" s="52">
        <v>150</v>
      </c>
      <c r="HK116" s="52">
        <v>303.38</v>
      </c>
      <c r="HL116" s="52">
        <v>163.06</v>
      </c>
      <c r="HM116" s="52">
        <v>218.84</v>
      </c>
      <c r="HN116" s="52">
        <v>223.81</v>
      </c>
      <c r="HO116" s="52">
        <v>197.75</v>
      </c>
      <c r="HP116" s="52">
        <v>234.47</v>
      </c>
      <c r="HQ116" s="52">
        <v>144.32</v>
      </c>
      <c r="HR116" s="52">
        <v>204.97</v>
      </c>
      <c r="HS116" s="52">
        <v>361.93</v>
      </c>
      <c r="HT116" s="52">
        <v>218.97</v>
      </c>
      <c r="HU116" s="52">
        <v>93.35</v>
      </c>
      <c r="HV116" s="52">
        <v>159.46</v>
      </c>
      <c r="HW116" s="52">
        <v>119.22</v>
      </c>
      <c r="HX116" s="52">
        <v>103.93</v>
      </c>
      <c r="HY116" s="52">
        <v>208.01</v>
      </c>
      <c r="HZ116" s="52">
        <v>176.72</v>
      </c>
      <c r="IA116" s="52">
        <v>99.6</v>
      </c>
      <c r="IB116" s="52">
        <v>212.4</v>
      </c>
      <c r="IC116" s="52">
        <v>151.38999999999999</v>
      </c>
      <c r="ID116" s="52">
        <v>172.71</v>
      </c>
      <c r="IE116" s="52">
        <v>130.13</v>
      </c>
      <c r="IF116" s="52">
        <v>168.41</v>
      </c>
      <c r="IG116" s="52">
        <v>224.52</v>
      </c>
      <c r="IH116" s="52">
        <v>279.89</v>
      </c>
      <c r="II116" s="52">
        <v>307.36</v>
      </c>
      <c r="IJ116" s="52">
        <v>356.64</v>
      </c>
      <c r="IK116" s="52">
        <v>273.75</v>
      </c>
      <c r="IL116" s="52">
        <v>203.34</v>
      </c>
      <c r="IM116" s="52">
        <v>286.57</v>
      </c>
      <c r="IN116" s="52">
        <v>273.48</v>
      </c>
      <c r="IO116" s="52">
        <v>224.97</v>
      </c>
      <c r="IP116" s="52">
        <v>165.91</v>
      </c>
      <c r="IQ116" s="52">
        <v>204.78</v>
      </c>
      <c r="IR116" s="52">
        <v>309.22000000000003</v>
      </c>
      <c r="IS116" s="52">
        <v>296.33</v>
      </c>
      <c r="IT116" s="52">
        <v>43.88</v>
      </c>
      <c r="IU116" s="52">
        <v>134.97999999999999</v>
      </c>
      <c r="IV116" s="52">
        <v>39.299999999999997</v>
      </c>
      <c r="IW116" s="52">
        <v>94.92</v>
      </c>
      <c r="IX116" s="52">
        <v>149.22999999999999</v>
      </c>
      <c r="IY116" s="52">
        <v>196.94</v>
      </c>
      <c r="IZ116" s="52">
        <v>297.61</v>
      </c>
      <c r="JA116" s="52">
        <v>209.93</v>
      </c>
      <c r="JB116" s="52"/>
      <c r="JC116" s="52">
        <v>229.66</v>
      </c>
      <c r="JD116" s="52">
        <v>282.83</v>
      </c>
      <c r="JE116" s="52">
        <v>220.87</v>
      </c>
      <c r="JF116" s="52">
        <v>187.68</v>
      </c>
      <c r="JG116" s="52">
        <v>234.79</v>
      </c>
      <c r="JH116" s="52">
        <v>337.68</v>
      </c>
      <c r="JI116" s="52">
        <v>220.03</v>
      </c>
      <c r="JJ116" s="52">
        <v>193.58</v>
      </c>
      <c r="JK116" s="52">
        <v>264.60000000000002</v>
      </c>
      <c r="JL116" s="52">
        <v>282.63</v>
      </c>
      <c r="JM116" s="52">
        <v>270.11</v>
      </c>
      <c r="JN116" s="52">
        <v>199.18</v>
      </c>
      <c r="JO116" s="52">
        <v>185.22</v>
      </c>
      <c r="JP116" s="52">
        <v>335.15</v>
      </c>
      <c r="JQ116" s="52">
        <v>286.39</v>
      </c>
      <c r="JR116" s="52">
        <v>259.42</v>
      </c>
      <c r="JS116" s="52">
        <v>313.20999999999998</v>
      </c>
      <c r="JT116" s="52">
        <v>301.89</v>
      </c>
      <c r="JU116" s="52">
        <v>237.97</v>
      </c>
      <c r="JV116" s="52">
        <v>127.19</v>
      </c>
      <c r="JW116" s="52">
        <v>168.14</v>
      </c>
      <c r="JX116" s="52">
        <v>530.27</v>
      </c>
      <c r="JY116" s="52">
        <v>274.06</v>
      </c>
      <c r="JZ116" s="52">
        <v>248.89</v>
      </c>
      <c r="KA116" s="52">
        <v>268.83999999999997</v>
      </c>
      <c r="KB116" s="52">
        <v>256.33</v>
      </c>
      <c r="KC116" s="52">
        <v>237.71</v>
      </c>
      <c r="KD116" s="52">
        <v>280.8</v>
      </c>
      <c r="KE116" s="52">
        <v>332.94</v>
      </c>
      <c r="KF116" s="52">
        <v>313.64</v>
      </c>
    </row>
    <row r="117" spans="1:292" s="41" customFormat="1" ht="12">
      <c r="A117" s="41">
        <v>2014</v>
      </c>
      <c r="B117" s="54" t="s">
        <v>983</v>
      </c>
      <c r="C117" s="55" t="s">
        <v>984</v>
      </c>
      <c r="D117" s="56">
        <v>240.37</v>
      </c>
      <c r="E117" s="56">
        <v>263.67</v>
      </c>
      <c r="F117" s="56">
        <v>412.67</v>
      </c>
      <c r="G117" s="56">
        <v>164.14</v>
      </c>
      <c r="H117" s="56">
        <v>273.39</v>
      </c>
      <c r="I117" s="56">
        <v>189.96</v>
      </c>
      <c r="J117" s="56">
        <v>142.87</v>
      </c>
      <c r="K117" s="56">
        <v>238.17</v>
      </c>
      <c r="L117" s="56">
        <v>122.4</v>
      </c>
      <c r="M117" s="56">
        <v>169.26</v>
      </c>
      <c r="N117" s="56">
        <v>236.1</v>
      </c>
      <c r="O117" s="56">
        <v>325.23</v>
      </c>
      <c r="P117" s="56">
        <v>270.39999999999998</v>
      </c>
      <c r="Q117" s="56">
        <v>267.36</v>
      </c>
      <c r="R117" s="56">
        <v>215.42</v>
      </c>
      <c r="S117" s="56">
        <v>418.41</v>
      </c>
      <c r="T117" s="56">
        <v>411.95</v>
      </c>
      <c r="U117" s="56">
        <v>158.44999999999999</v>
      </c>
      <c r="V117" s="56">
        <v>181.01</v>
      </c>
      <c r="W117" s="56">
        <v>321.13</v>
      </c>
      <c r="X117" s="56">
        <v>198.18</v>
      </c>
      <c r="Y117" s="56">
        <v>233.79</v>
      </c>
      <c r="Z117" s="56">
        <v>281.57</v>
      </c>
      <c r="AA117" s="56">
        <v>222.34</v>
      </c>
      <c r="AB117" s="56">
        <v>186.04</v>
      </c>
      <c r="AC117" s="56">
        <v>143.37</v>
      </c>
      <c r="AD117" s="56">
        <v>198.45</v>
      </c>
      <c r="AE117" s="56">
        <v>219.97</v>
      </c>
      <c r="AF117" s="56">
        <v>191.54</v>
      </c>
      <c r="AG117" s="56">
        <v>98.27</v>
      </c>
      <c r="AH117" s="56">
        <v>176.37</v>
      </c>
      <c r="AI117" s="56">
        <v>219.35</v>
      </c>
      <c r="AJ117" s="56">
        <v>167.83</v>
      </c>
      <c r="AK117" s="56">
        <v>278.82</v>
      </c>
      <c r="AL117" s="56">
        <v>270.7</v>
      </c>
      <c r="AM117" s="56">
        <v>296.33</v>
      </c>
      <c r="AN117" s="56">
        <v>44.38</v>
      </c>
      <c r="AO117" s="56">
        <v>135.01</v>
      </c>
      <c r="AP117" s="56">
        <v>64.02</v>
      </c>
      <c r="AQ117" s="56">
        <v>198.15</v>
      </c>
      <c r="AR117" s="56">
        <v>277.95999999999998</v>
      </c>
      <c r="AS117" s="56">
        <v>238.56</v>
      </c>
      <c r="AT117" s="56">
        <v>256.55</v>
      </c>
      <c r="AU117" s="56">
        <v>258.95999999999998</v>
      </c>
      <c r="AV117" s="56">
        <v>288.32</v>
      </c>
      <c r="AW117" s="56">
        <v>271.8</v>
      </c>
      <c r="AX117" s="56">
        <v>199.18</v>
      </c>
      <c r="AY117" s="56">
        <v>185.49</v>
      </c>
      <c r="AZ117" s="56">
        <v>323.11</v>
      </c>
      <c r="BA117" s="56">
        <v>280.87</v>
      </c>
      <c r="BB117" s="56">
        <v>191.74</v>
      </c>
      <c r="BC117" s="56">
        <v>436.58</v>
      </c>
      <c r="BD117" s="56">
        <v>269.89</v>
      </c>
      <c r="BE117" s="56">
        <v>278.07</v>
      </c>
      <c r="BF117" s="56">
        <v>332.94</v>
      </c>
      <c r="BG117" s="56">
        <v>313.83999999999997</v>
      </c>
      <c r="BH117" s="52">
        <v>268.63</v>
      </c>
      <c r="BI117" s="52">
        <v>268.73</v>
      </c>
      <c r="BJ117" s="52">
        <v>227.56</v>
      </c>
      <c r="BK117" s="52">
        <v>241.4</v>
      </c>
      <c r="BL117" s="52">
        <v>225.76</v>
      </c>
      <c r="BM117" s="52">
        <v>248.68</v>
      </c>
      <c r="BN117" s="52">
        <v>324.27</v>
      </c>
      <c r="BO117" s="52">
        <v>206.89</v>
      </c>
      <c r="BP117" s="52">
        <v>267.11</v>
      </c>
      <c r="BQ117" s="52">
        <v>241.15</v>
      </c>
      <c r="BR117" s="52">
        <v>191.71</v>
      </c>
      <c r="BS117" s="52">
        <v>450.03</v>
      </c>
      <c r="BT117" s="52">
        <v>277.33999999999997</v>
      </c>
      <c r="BU117" s="52">
        <v>394.9</v>
      </c>
      <c r="BV117" s="52">
        <v>411.95</v>
      </c>
      <c r="BW117" s="52">
        <v>156.38999999999999</v>
      </c>
      <c r="BX117" s="52">
        <v>173.4</v>
      </c>
      <c r="BY117" s="52">
        <v>239.17</v>
      </c>
      <c r="BZ117" s="52">
        <v>180.48</v>
      </c>
      <c r="CA117" s="52">
        <v>270.89</v>
      </c>
      <c r="CB117" s="53">
        <v>321.13</v>
      </c>
      <c r="CC117" s="52">
        <v>198.18</v>
      </c>
      <c r="CD117" s="52">
        <v>232.89</v>
      </c>
      <c r="CE117" s="52">
        <v>233.73</v>
      </c>
      <c r="CF117" s="52">
        <v>322.33999999999997</v>
      </c>
      <c r="CG117" s="52">
        <v>270.55</v>
      </c>
      <c r="CH117" s="52">
        <v>228.14</v>
      </c>
      <c r="CI117" s="52">
        <v>203.76</v>
      </c>
      <c r="CJ117" s="52">
        <v>186.04</v>
      </c>
      <c r="CK117" s="52">
        <v>130.61000000000001</v>
      </c>
      <c r="CL117" s="52">
        <v>150.07</v>
      </c>
      <c r="CM117" s="52">
        <v>302.93</v>
      </c>
      <c r="CN117" s="52">
        <v>198.45</v>
      </c>
      <c r="CO117" s="52">
        <v>219.97</v>
      </c>
      <c r="CP117" s="52">
        <v>152.41</v>
      </c>
      <c r="CQ117" s="52">
        <v>356.23</v>
      </c>
      <c r="CR117" s="52">
        <v>93.79</v>
      </c>
      <c r="CS117" s="52">
        <v>160.99</v>
      </c>
      <c r="CT117" s="52">
        <v>116.8</v>
      </c>
      <c r="CU117" s="52">
        <v>208.84</v>
      </c>
      <c r="CV117" s="52">
        <v>177.79</v>
      </c>
      <c r="CW117" s="52">
        <v>109.29</v>
      </c>
      <c r="CX117" s="52">
        <v>219.35</v>
      </c>
      <c r="CY117" s="52">
        <v>168.5</v>
      </c>
      <c r="CZ117" s="52">
        <v>130.46</v>
      </c>
      <c r="DA117" s="52">
        <v>175.13</v>
      </c>
      <c r="DB117" s="52">
        <v>224.71</v>
      </c>
      <c r="DC117" s="52">
        <v>271.77999999999997</v>
      </c>
      <c r="DD117" s="52">
        <v>308.26</v>
      </c>
      <c r="DE117" s="52">
        <v>358.44</v>
      </c>
      <c r="DF117" s="52">
        <v>248.48</v>
      </c>
      <c r="DG117" s="52">
        <v>274.26</v>
      </c>
      <c r="DH117" s="52">
        <v>171.7</v>
      </c>
      <c r="DI117" s="52">
        <v>204.78</v>
      </c>
      <c r="DJ117" s="52">
        <v>314.02999999999997</v>
      </c>
      <c r="DK117" s="52">
        <v>296.33</v>
      </c>
      <c r="DL117" s="52">
        <v>44.38</v>
      </c>
      <c r="DM117" s="52">
        <v>135.01</v>
      </c>
      <c r="DN117" s="52">
        <v>38.92</v>
      </c>
      <c r="DO117" s="52">
        <v>92.25</v>
      </c>
      <c r="DP117" s="52">
        <v>149.22999999999999</v>
      </c>
      <c r="DQ117" s="52">
        <v>198.15</v>
      </c>
      <c r="DR117" s="52">
        <v>304.73</v>
      </c>
      <c r="DS117" s="52">
        <v>212.09</v>
      </c>
      <c r="DT117" s="52"/>
      <c r="DU117" s="52">
        <v>233.27</v>
      </c>
      <c r="DV117" s="52">
        <v>287.44</v>
      </c>
      <c r="DW117" s="52">
        <v>195.03</v>
      </c>
      <c r="DX117" s="52">
        <v>252.9</v>
      </c>
      <c r="DY117" s="52">
        <v>343.13</v>
      </c>
      <c r="DZ117" s="52">
        <v>220.03</v>
      </c>
      <c r="EA117" s="52">
        <v>196.78</v>
      </c>
      <c r="EB117" s="52">
        <v>258.95999999999998</v>
      </c>
      <c r="EC117" s="52">
        <v>288.32</v>
      </c>
      <c r="ED117" s="52">
        <v>271.8</v>
      </c>
      <c r="EE117" s="52">
        <v>199.18</v>
      </c>
      <c r="EF117" s="52">
        <v>185.49</v>
      </c>
      <c r="EG117" s="52">
        <v>323.11</v>
      </c>
      <c r="EH117" s="52">
        <v>280.87</v>
      </c>
      <c r="EI117" s="52">
        <v>272.93</v>
      </c>
      <c r="EJ117" s="52">
        <v>127.79</v>
      </c>
      <c r="EK117" s="52">
        <v>169.75</v>
      </c>
      <c r="EL117" s="52">
        <v>496.47</v>
      </c>
      <c r="EM117" s="52">
        <v>269.23</v>
      </c>
      <c r="EN117" s="52">
        <v>269.89</v>
      </c>
      <c r="EO117" s="52">
        <v>256.36</v>
      </c>
      <c r="EP117" s="52">
        <v>236.23</v>
      </c>
      <c r="EQ117" s="52">
        <v>282.52</v>
      </c>
      <c r="ER117" s="52">
        <v>332.94</v>
      </c>
      <c r="ES117" s="52">
        <v>313.83999999999997</v>
      </c>
      <c r="ET117" s="52">
        <v>322.49</v>
      </c>
      <c r="EU117" s="52">
        <v>244.74</v>
      </c>
      <c r="EV117" s="52">
        <v>281.04000000000002</v>
      </c>
      <c r="EW117" s="52">
        <v>236.36</v>
      </c>
      <c r="EX117" s="52">
        <v>251.92</v>
      </c>
      <c r="EY117" s="52">
        <v>164.11</v>
      </c>
      <c r="EZ117" s="52">
        <v>259.35000000000002</v>
      </c>
      <c r="FA117" s="52">
        <v>289.56</v>
      </c>
      <c r="FB117" s="52">
        <v>252.28</v>
      </c>
      <c r="FC117" s="52">
        <v>297.7</v>
      </c>
      <c r="FD117" s="52">
        <v>248.29</v>
      </c>
      <c r="FE117" s="52">
        <v>227.56</v>
      </c>
      <c r="FF117" s="52"/>
      <c r="FG117" s="52">
        <v>192.66</v>
      </c>
      <c r="FH117" s="52">
        <v>210.65</v>
      </c>
      <c r="FI117" s="52">
        <v>264.83999999999997</v>
      </c>
      <c r="FJ117" s="52">
        <v>296.85000000000002</v>
      </c>
      <c r="FK117" s="52">
        <v>331.49</v>
      </c>
      <c r="FL117" s="52">
        <v>231.29</v>
      </c>
      <c r="FM117" s="52">
        <v>212.6</v>
      </c>
      <c r="FN117" s="52">
        <v>224.42</v>
      </c>
      <c r="FO117" s="52">
        <v>376.89</v>
      </c>
      <c r="FP117" s="52">
        <v>294.49</v>
      </c>
      <c r="FQ117" s="52">
        <v>487.56</v>
      </c>
      <c r="FR117" s="52">
        <v>409.39</v>
      </c>
      <c r="FS117" s="52">
        <v>258.64</v>
      </c>
      <c r="FT117" s="52">
        <v>184.27</v>
      </c>
      <c r="FU117" s="52">
        <v>298.60000000000002</v>
      </c>
      <c r="FV117" s="52">
        <v>210.45</v>
      </c>
      <c r="FW117" s="52">
        <v>151.18</v>
      </c>
      <c r="FX117" s="52">
        <v>267.11</v>
      </c>
      <c r="FY117" s="52">
        <v>267.48</v>
      </c>
      <c r="FZ117" s="52">
        <v>237.15</v>
      </c>
      <c r="GA117" s="52">
        <v>220.88</v>
      </c>
      <c r="GB117" s="52">
        <v>202.29</v>
      </c>
      <c r="GC117" s="52">
        <v>187.43</v>
      </c>
      <c r="GD117" s="52">
        <v>177.8</v>
      </c>
      <c r="GE117" s="52">
        <v>450.03</v>
      </c>
      <c r="GF117" s="52">
        <v>277.33999999999997</v>
      </c>
      <c r="GG117" s="52">
        <v>394.9</v>
      </c>
      <c r="GH117" s="52">
        <v>411.27</v>
      </c>
      <c r="GI117" s="52">
        <v>165.02</v>
      </c>
      <c r="GJ117" s="52">
        <v>150.36000000000001</v>
      </c>
      <c r="GK117" s="52">
        <v>149.71</v>
      </c>
      <c r="GL117" s="52">
        <v>191.77</v>
      </c>
      <c r="GM117" s="52">
        <v>173.4</v>
      </c>
      <c r="GN117" s="52">
        <v>239.17</v>
      </c>
      <c r="GO117" s="52">
        <v>180.27</v>
      </c>
      <c r="GP117" s="52">
        <v>179.05</v>
      </c>
      <c r="GQ117" s="52">
        <v>184.27</v>
      </c>
      <c r="GR117" s="52">
        <v>270.89</v>
      </c>
      <c r="GS117" s="52">
        <v>321.13</v>
      </c>
      <c r="GT117" s="52">
        <v>198.18</v>
      </c>
      <c r="GU117" s="52">
        <v>232.89</v>
      </c>
      <c r="GV117" s="52">
        <v>233.73</v>
      </c>
      <c r="GW117" s="52">
        <v>291.77</v>
      </c>
      <c r="GX117" s="52">
        <v>334.5</v>
      </c>
      <c r="GY117" s="52">
        <v>270.55</v>
      </c>
      <c r="GZ117" s="52">
        <v>257.70999999999998</v>
      </c>
      <c r="HA117" s="52">
        <v>217.71</v>
      </c>
      <c r="HB117" s="52">
        <v>232.99</v>
      </c>
      <c r="HC117" s="52">
        <v>203.76</v>
      </c>
      <c r="HD117" s="52">
        <v>186.04</v>
      </c>
      <c r="HE117" s="52">
        <v>110.72</v>
      </c>
      <c r="HF117" s="52">
        <v>119.24</v>
      </c>
      <c r="HG117" s="52">
        <v>151.51</v>
      </c>
      <c r="HH117" s="52">
        <v>175.99</v>
      </c>
      <c r="HI117" s="52">
        <v>92.83</v>
      </c>
      <c r="HJ117" s="52">
        <v>150.07</v>
      </c>
      <c r="HK117" s="52">
        <v>302.93</v>
      </c>
      <c r="HL117" s="52">
        <v>164.76</v>
      </c>
      <c r="HM117" s="52">
        <v>220.14</v>
      </c>
      <c r="HN117" s="52">
        <v>226.35</v>
      </c>
      <c r="HO117" s="52">
        <v>199.12</v>
      </c>
      <c r="HP117" s="52">
        <v>235.25</v>
      </c>
      <c r="HQ117" s="52">
        <v>145.44</v>
      </c>
      <c r="HR117" s="52">
        <v>206.93</v>
      </c>
      <c r="HS117" s="52">
        <v>362.92</v>
      </c>
      <c r="HT117" s="52">
        <v>219.88</v>
      </c>
      <c r="HU117" s="52">
        <v>93.79</v>
      </c>
      <c r="HV117" s="52">
        <v>160.99</v>
      </c>
      <c r="HW117" s="52">
        <v>119.28</v>
      </c>
      <c r="HX117" s="52">
        <v>104.85</v>
      </c>
      <c r="HY117" s="52">
        <v>208.84</v>
      </c>
      <c r="HZ117" s="52">
        <v>177.79</v>
      </c>
      <c r="IA117" s="52">
        <v>99.84</v>
      </c>
      <c r="IB117" s="52">
        <v>219.35</v>
      </c>
      <c r="IC117" s="52">
        <v>153.6</v>
      </c>
      <c r="ID117" s="52">
        <v>171.72</v>
      </c>
      <c r="IE117" s="52">
        <v>130.46</v>
      </c>
      <c r="IF117" s="52">
        <v>175.13</v>
      </c>
      <c r="IG117" s="52">
        <v>224.71</v>
      </c>
      <c r="IH117" s="52">
        <v>271.77999999999997</v>
      </c>
      <c r="II117" s="52">
        <v>308.26</v>
      </c>
      <c r="IJ117" s="52">
        <v>358.44</v>
      </c>
      <c r="IK117" s="52">
        <v>273.75</v>
      </c>
      <c r="IL117" s="52">
        <v>203.34</v>
      </c>
      <c r="IM117" s="52">
        <v>286.79000000000002</v>
      </c>
      <c r="IN117" s="52">
        <v>273.5</v>
      </c>
      <c r="IO117" s="52">
        <v>227.04</v>
      </c>
      <c r="IP117" s="52">
        <v>171.7</v>
      </c>
      <c r="IQ117" s="52">
        <v>204.78</v>
      </c>
      <c r="IR117" s="52">
        <v>314.02999999999997</v>
      </c>
      <c r="IS117" s="52">
        <v>296.33</v>
      </c>
      <c r="IT117" s="52">
        <v>44.38</v>
      </c>
      <c r="IU117" s="52">
        <v>135.01</v>
      </c>
      <c r="IV117" s="52">
        <v>38.94</v>
      </c>
      <c r="IW117" s="52">
        <v>92.25</v>
      </c>
      <c r="IX117" s="52">
        <v>149.22999999999999</v>
      </c>
      <c r="IY117" s="52">
        <v>198.15</v>
      </c>
      <c r="IZ117" s="52">
        <v>304.73</v>
      </c>
      <c r="JA117" s="52">
        <v>212.09</v>
      </c>
      <c r="JB117" s="52"/>
      <c r="JC117" s="52">
        <v>233.27</v>
      </c>
      <c r="JD117" s="52">
        <v>287.44</v>
      </c>
      <c r="JE117" s="52">
        <v>221.9</v>
      </c>
      <c r="JF117" s="52">
        <v>187.96</v>
      </c>
      <c r="JG117" s="52">
        <v>252.9</v>
      </c>
      <c r="JH117" s="52">
        <v>343.13</v>
      </c>
      <c r="JI117" s="52">
        <v>220.03</v>
      </c>
      <c r="JJ117" s="52">
        <v>196.78</v>
      </c>
      <c r="JK117" s="52">
        <v>258.95999999999998</v>
      </c>
      <c r="JL117" s="52">
        <v>288.32</v>
      </c>
      <c r="JM117" s="52">
        <v>271.8</v>
      </c>
      <c r="JN117" s="52">
        <v>199.18</v>
      </c>
      <c r="JO117" s="52">
        <v>185.49</v>
      </c>
      <c r="JP117" s="52">
        <v>337.94</v>
      </c>
      <c r="JQ117" s="52">
        <v>289.14999999999998</v>
      </c>
      <c r="JR117" s="52">
        <v>259.07</v>
      </c>
      <c r="JS117" s="52">
        <v>313.20999999999998</v>
      </c>
      <c r="JT117" s="52">
        <v>305.95</v>
      </c>
      <c r="JU117" s="52">
        <v>240.99</v>
      </c>
      <c r="JV117" s="52">
        <v>127.79</v>
      </c>
      <c r="JW117" s="52">
        <v>169.75</v>
      </c>
      <c r="JX117" s="52">
        <v>496.47</v>
      </c>
      <c r="JY117" s="52">
        <v>279.27</v>
      </c>
      <c r="JZ117" s="52">
        <v>249.69</v>
      </c>
      <c r="KA117" s="52">
        <v>269.89</v>
      </c>
      <c r="KB117" s="52">
        <v>256.36</v>
      </c>
      <c r="KC117" s="52">
        <v>236.23</v>
      </c>
      <c r="KD117" s="52">
        <v>282.52</v>
      </c>
      <c r="KE117" s="52">
        <v>332.94</v>
      </c>
      <c r="KF117" s="52">
        <v>313.83999999999997</v>
      </c>
    </row>
    <row r="118" spans="1:292" s="41" customFormat="1" ht="12">
      <c r="A118" s="41">
        <v>2014</v>
      </c>
      <c r="B118" s="54" t="s">
        <v>985</v>
      </c>
      <c r="C118" s="50" t="s">
        <v>986</v>
      </c>
      <c r="D118" s="56">
        <v>241.32</v>
      </c>
      <c r="E118" s="56">
        <v>260.11</v>
      </c>
      <c r="F118" s="56">
        <v>412.05</v>
      </c>
      <c r="G118" s="56">
        <v>179.22</v>
      </c>
      <c r="H118" s="56">
        <v>274.37</v>
      </c>
      <c r="I118" s="56">
        <v>189.66</v>
      </c>
      <c r="J118" s="56">
        <v>144.27000000000001</v>
      </c>
      <c r="K118" s="56">
        <v>236.97</v>
      </c>
      <c r="L118" s="56">
        <v>122.26</v>
      </c>
      <c r="M118" s="56">
        <v>169.61</v>
      </c>
      <c r="N118" s="56">
        <v>238.43</v>
      </c>
      <c r="O118" s="56">
        <v>328.83</v>
      </c>
      <c r="P118" s="56">
        <v>271.73</v>
      </c>
      <c r="Q118" s="56">
        <v>263.39999999999998</v>
      </c>
      <c r="R118" s="56">
        <v>216.55</v>
      </c>
      <c r="S118" s="56">
        <v>417</v>
      </c>
      <c r="T118" s="56">
        <v>411.39</v>
      </c>
      <c r="U118" s="56">
        <v>175.48</v>
      </c>
      <c r="V118" s="56">
        <v>188.74</v>
      </c>
      <c r="W118" s="56">
        <v>323.04000000000002</v>
      </c>
      <c r="X118" s="56">
        <v>199.89</v>
      </c>
      <c r="Y118" s="56">
        <v>238.27</v>
      </c>
      <c r="Z118" s="56">
        <v>280.27999999999997</v>
      </c>
      <c r="AA118" s="56">
        <v>222.16</v>
      </c>
      <c r="AB118" s="56">
        <v>186.74</v>
      </c>
      <c r="AC118" s="56">
        <v>141.30000000000001</v>
      </c>
      <c r="AD118" s="56">
        <v>200.56</v>
      </c>
      <c r="AE118" s="56">
        <v>221.33</v>
      </c>
      <c r="AF118" s="56">
        <v>192.39</v>
      </c>
      <c r="AG118" s="56">
        <v>99.74</v>
      </c>
      <c r="AH118" s="56">
        <v>177.33</v>
      </c>
      <c r="AI118" s="56">
        <v>222.26</v>
      </c>
      <c r="AJ118" s="56">
        <v>166.66</v>
      </c>
      <c r="AK118" s="56">
        <v>275.55</v>
      </c>
      <c r="AL118" s="56">
        <v>272.7</v>
      </c>
      <c r="AM118" s="56">
        <v>303.75</v>
      </c>
      <c r="AN118" s="56">
        <v>43.85</v>
      </c>
      <c r="AO118" s="56">
        <v>135.01</v>
      </c>
      <c r="AP118" s="56">
        <v>62.94</v>
      </c>
      <c r="AQ118" s="56">
        <v>197.73</v>
      </c>
      <c r="AR118" s="56">
        <v>280.31</v>
      </c>
      <c r="AS118" s="56">
        <v>237.63</v>
      </c>
      <c r="AT118" s="56">
        <v>263.64</v>
      </c>
      <c r="AU118" s="56">
        <v>263.58</v>
      </c>
      <c r="AV118" s="56">
        <v>292.18</v>
      </c>
      <c r="AW118" s="56">
        <v>274.93</v>
      </c>
      <c r="AX118" s="56">
        <v>199.18</v>
      </c>
      <c r="AY118" s="56">
        <v>186.87</v>
      </c>
      <c r="AZ118" s="56">
        <v>326.92</v>
      </c>
      <c r="BA118" s="56">
        <v>282.31</v>
      </c>
      <c r="BB118" s="56">
        <v>194.07</v>
      </c>
      <c r="BC118" s="56">
        <v>432.81</v>
      </c>
      <c r="BD118" s="56">
        <v>271.02</v>
      </c>
      <c r="BE118" s="56">
        <v>273.48</v>
      </c>
      <c r="BF118" s="56">
        <v>332.94</v>
      </c>
      <c r="BG118" s="56">
        <v>313.87</v>
      </c>
      <c r="BH118" s="52">
        <v>272.48</v>
      </c>
      <c r="BI118" s="52">
        <v>265.25</v>
      </c>
      <c r="BJ118" s="52">
        <v>254.83</v>
      </c>
      <c r="BK118" s="52">
        <v>238.91</v>
      </c>
      <c r="BL118" s="52">
        <v>226.57</v>
      </c>
      <c r="BM118" s="52">
        <v>280.44</v>
      </c>
      <c r="BN118" s="52">
        <v>268.79000000000002</v>
      </c>
      <c r="BO118" s="52">
        <v>208.34</v>
      </c>
      <c r="BP118" s="52">
        <v>268.57</v>
      </c>
      <c r="BQ118" s="52">
        <v>242.08</v>
      </c>
      <c r="BR118" s="52">
        <v>192.88</v>
      </c>
      <c r="BS118" s="52">
        <v>449.99</v>
      </c>
      <c r="BT118" s="52">
        <v>275.89999999999998</v>
      </c>
      <c r="BU118" s="52">
        <v>392.57</v>
      </c>
      <c r="BV118" s="52">
        <v>411.39</v>
      </c>
      <c r="BW118" s="52">
        <v>174.39</v>
      </c>
      <c r="BX118" s="52">
        <v>177.58</v>
      </c>
      <c r="BY118" s="52">
        <v>240.35</v>
      </c>
      <c r="BZ118" s="52">
        <v>188.23</v>
      </c>
      <c r="CA118" s="52">
        <v>273.64</v>
      </c>
      <c r="CB118" s="53">
        <v>323.04000000000002</v>
      </c>
      <c r="CC118" s="52">
        <v>199.89</v>
      </c>
      <c r="CD118" s="52">
        <v>237.35</v>
      </c>
      <c r="CE118" s="52">
        <v>233.73</v>
      </c>
      <c r="CF118" s="52">
        <v>319.08999999999997</v>
      </c>
      <c r="CG118" s="52">
        <v>269.3</v>
      </c>
      <c r="CH118" s="52">
        <v>227.76</v>
      </c>
      <c r="CI118" s="52">
        <v>205.34</v>
      </c>
      <c r="CJ118" s="52">
        <v>186.74</v>
      </c>
      <c r="CK118" s="52">
        <v>128.79</v>
      </c>
      <c r="CL118" s="52">
        <v>146.79</v>
      </c>
      <c r="CM118" s="52">
        <v>299.52</v>
      </c>
      <c r="CN118" s="52">
        <v>200.56</v>
      </c>
      <c r="CO118" s="52">
        <v>221.33</v>
      </c>
      <c r="CP118" s="52">
        <v>153.16</v>
      </c>
      <c r="CQ118" s="52">
        <v>357.54</v>
      </c>
      <c r="CR118" s="52">
        <v>95.59</v>
      </c>
      <c r="CS118" s="52">
        <v>161.43</v>
      </c>
      <c r="CT118" s="52">
        <v>117.27</v>
      </c>
      <c r="CU118" s="52">
        <v>208.98</v>
      </c>
      <c r="CV118" s="52">
        <v>179</v>
      </c>
      <c r="CW118" s="52">
        <v>110.51</v>
      </c>
      <c r="CX118" s="52">
        <v>222.26</v>
      </c>
      <c r="CY118" s="52">
        <v>167.26</v>
      </c>
      <c r="CZ118" s="52">
        <v>130.99</v>
      </c>
      <c r="DA118" s="52">
        <v>177.99</v>
      </c>
      <c r="DB118" s="52">
        <v>225.42</v>
      </c>
      <c r="DC118" s="52">
        <v>266.82</v>
      </c>
      <c r="DD118" s="52">
        <v>310.07</v>
      </c>
      <c r="DE118" s="52">
        <v>366.46</v>
      </c>
      <c r="DF118" s="52">
        <v>259.23</v>
      </c>
      <c r="DG118" s="52">
        <v>275.51</v>
      </c>
      <c r="DH118" s="52">
        <v>177.6</v>
      </c>
      <c r="DI118" s="52">
        <v>206</v>
      </c>
      <c r="DJ118" s="52">
        <v>316.38</v>
      </c>
      <c r="DK118" s="52">
        <v>303.75</v>
      </c>
      <c r="DL118" s="52">
        <v>43.85</v>
      </c>
      <c r="DM118" s="52">
        <v>135.01</v>
      </c>
      <c r="DN118" s="52">
        <v>37.92</v>
      </c>
      <c r="DO118" s="52">
        <v>91.7</v>
      </c>
      <c r="DP118" s="52">
        <v>149.22999999999999</v>
      </c>
      <c r="DQ118" s="52">
        <v>197.73</v>
      </c>
      <c r="DR118" s="52">
        <v>306.13</v>
      </c>
      <c r="DS118" s="52">
        <v>216.86</v>
      </c>
      <c r="DT118" s="52"/>
      <c r="DU118" s="52">
        <v>234.79</v>
      </c>
      <c r="DV118" s="52">
        <v>281.14999999999998</v>
      </c>
      <c r="DW118" s="52">
        <v>195.38</v>
      </c>
      <c r="DX118" s="52">
        <v>277.5</v>
      </c>
      <c r="DY118" s="52">
        <v>347.6</v>
      </c>
      <c r="DZ118" s="52">
        <v>238.11</v>
      </c>
      <c r="EA118" s="52">
        <v>199.39</v>
      </c>
      <c r="EB118" s="52">
        <v>263.58</v>
      </c>
      <c r="EC118" s="52">
        <v>292.18</v>
      </c>
      <c r="ED118" s="52">
        <v>274.93</v>
      </c>
      <c r="EE118" s="52">
        <v>199.18</v>
      </c>
      <c r="EF118" s="52">
        <v>186.87</v>
      </c>
      <c r="EG118" s="52">
        <v>326.92</v>
      </c>
      <c r="EH118" s="52">
        <v>282.31</v>
      </c>
      <c r="EI118" s="52">
        <v>275.69</v>
      </c>
      <c r="EJ118" s="52">
        <v>123.16</v>
      </c>
      <c r="EK118" s="52">
        <v>172.26</v>
      </c>
      <c r="EL118" s="52">
        <v>486.08</v>
      </c>
      <c r="EM118" s="52">
        <v>272.2</v>
      </c>
      <c r="EN118" s="52">
        <v>271.02</v>
      </c>
      <c r="EO118" s="52">
        <v>254.09</v>
      </c>
      <c r="EP118" s="52">
        <v>239.97</v>
      </c>
      <c r="EQ118" s="52">
        <v>274.64</v>
      </c>
      <c r="ER118" s="52">
        <v>332.94</v>
      </c>
      <c r="ES118" s="52">
        <v>313.87</v>
      </c>
      <c r="ET118" s="52">
        <v>332.88</v>
      </c>
      <c r="EU118" s="52">
        <v>248</v>
      </c>
      <c r="EV118" s="52">
        <v>284.99</v>
      </c>
      <c r="EW118" s="52">
        <v>238.66</v>
      </c>
      <c r="EX118" s="52">
        <v>252.27</v>
      </c>
      <c r="EY118" s="52">
        <v>170.44</v>
      </c>
      <c r="EZ118" s="52">
        <v>259.95999999999998</v>
      </c>
      <c r="FA118" s="52">
        <v>287.01</v>
      </c>
      <c r="FB118" s="52">
        <v>239.89</v>
      </c>
      <c r="FC118" s="52">
        <v>300.05</v>
      </c>
      <c r="FD118" s="52">
        <v>249.6</v>
      </c>
      <c r="FE118" s="52">
        <v>254.83</v>
      </c>
      <c r="FF118" s="52"/>
      <c r="FG118" s="52">
        <v>189.79</v>
      </c>
      <c r="FH118" s="52">
        <v>210.45</v>
      </c>
      <c r="FI118" s="52">
        <v>266.69</v>
      </c>
      <c r="FJ118" s="52">
        <v>278.76</v>
      </c>
      <c r="FK118" s="52">
        <v>331.11</v>
      </c>
      <c r="FL118" s="52">
        <v>232.11</v>
      </c>
      <c r="FM118" s="52">
        <v>213.59</v>
      </c>
      <c r="FN118" s="52">
        <v>256.42</v>
      </c>
      <c r="FO118" s="52">
        <v>407.16</v>
      </c>
      <c r="FP118" s="52">
        <v>220.51</v>
      </c>
      <c r="FQ118" s="52">
        <v>422.64</v>
      </c>
      <c r="FR118" s="52">
        <v>409.93</v>
      </c>
      <c r="FS118" s="52">
        <v>259.01</v>
      </c>
      <c r="FT118" s="52">
        <v>184.16</v>
      </c>
      <c r="FU118" s="52">
        <v>299.39999999999998</v>
      </c>
      <c r="FV118" s="52">
        <v>213</v>
      </c>
      <c r="FW118" s="52">
        <v>154.68</v>
      </c>
      <c r="FX118" s="52">
        <v>268.57</v>
      </c>
      <c r="FY118" s="52">
        <v>270.14</v>
      </c>
      <c r="FZ118" s="52">
        <v>237.81</v>
      </c>
      <c r="GA118" s="52">
        <v>221.99</v>
      </c>
      <c r="GB118" s="52">
        <v>202.81</v>
      </c>
      <c r="GC118" s="52">
        <v>188.83</v>
      </c>
      <c r="GD118" s="52">
        <v>179.91</v>
      </c>
      <c r="GE118" s="52">
        <v>449.99</v>
      </c>
      <c r="GF118" s="52">
        <v>275.89999999999998</v>
      </c>
      <c r="GG118" s="52">
        <v>392.57</v>
      </c>
      <c r="GH118" s="52">
        <v>410.7</v>
      </c>
      <c r="GI118" s="52">
        <v>181.25</v>
      </c>
      <c r="GJ118" s="52">
        <v>172.58</v>
      </c>
      <c r="GK118" s="52">
        <v>161.22999999999999</v>
      </c>
      <c r="GL118" s="52">
        <v>194.92</v>
      </c>
      <c r="GM118" s="52">
        <v>177.58</v>
      </c>
      <c r="GN118" s="52">
        <v>240.35</v>
      </c>
      <c r="GO118" s="52">
        <v>185.64</v>
      </c>
      <c r="GP118" s="52">
        <v>190.03</v>
      </c>
      <c r="GQ118" s="52">
        <v>190.74</v>
      </c>
      <c r="GR118" s="52">
        <v>273.64</v>
      </c>
      <c r="GS118" s="52">
        <v>323.04000000000002</v>
      </c>
      <c r="GT118" s="52">
        <v>199.89</v>
      </c>
      <c r="GU118" s="52">
        <v>237.35</v>
      </c>
      <c r="GV118" s="52">
        <v>233.73</v>
      </c>
      <c r="GW118" s="52">
        <v>291.74</v>
      </c>
      <c r="GX118" s="52">
        <v>326.77</v>
      </c>
      <c r="GY118" s="52">
        <v>269.3</v>
      </c>
      <c r="GZ118" s="52">
        <v>259.01</v>
      </c>
      <c r="HA118" s="52">
        <v>215.63</v>
      </c>
      <c r="HB118" s="52">
        <v>233.26</v>
      </c>
      <c r="HC118" s="52">
        <v>205.34</v>
      </c>
      <c r="HD118" s="52">
        <v>186.74</v>
      </c>
      <c r="HE118" s="52">
        <v>111.59</v>
      </c>
      <c r="HF118" s="52">
        <v>117.71</v>
      </c>
      <c r="HG118" s="52">
        <v>150.85</v>
      </c>
      <c r="HH118" s="52">
        <v>176.39</v>
      </c>
      <c r="HI118" s="52">
        <v>81.73</v>
      </c>
      <c r="HJ118" s="52">
        <v>146.79</v>
      </c>
      <c r="HK118" s="52">
        <v>299.52</v>
      </c>
      <c r="HL118" s="52">
        <v>166.45</v>
      </c>
      <c r="HM118" s="52">
        <v>221.89</v>
      </c>
      <c r="HN118" s="52">
        <v>228.93</v>
      </c>
      <c r="HO118" s="52">
        <v>200.97</v>
      </c>
      <c r="HP118" s="52">
        <v>235.77</v>
      </c>
      <c r="HQ118" s="52">
        <v>145.94999999999999</v>
      </c>
      <c r="HR118" s="52">
        <v>209.31</v>
      </c>
      <c r="HS118" s="52">
        <v>364.25</v>
      </c>
      <c r="HT118" s="52">
        <v>220.86</v>
      </c>
      <c r="HU118" s="52">
        <v>95.59</v>
      </c>
      <c r="HV118" s="52">
        <v>161.43</v>
      </c>
      <c r="HW118" s="52">
        <v>119.32</v>
      </c>
      <c r="HX118" s="52">
        <v>105.9</v>
      </c>
      <c r="HY118" s="52">
        <v>208.98</v>
      </c>
      <c r="HZ118" s="52">
        <v>179</v>
      </c>
      <c r="IA118" s="52">
        <v>100.95</v>
      </c>
      <c r="IB118" s="52">
        <v>222.26</v>
      </c>
      <c r="IC118" s="52">
        <v>151.63999999999999</v>
      </c>
      <c r="ID118" s="52">
        <v>171.57</v>
      </c>
      <c r="IE118" s="52">
        <v>130.99</v>
      </c>
      <c r="IF118" s="52">
        <v>177.99</v>
      </c>
      <c r="IG118" s="52">
        <v>225.42</v>
      </c>
      <c r="IH118" s="52">
        <v>266.82</v>
      </c>
      <c r="II118" s="52">
        <v>310.07</v>
      </c>
      <c r="IJ118" s="52">
        <v>366.46</v>
      </c>
      <c r="IK118" s="52">
        <v>276.43</v>
      </c>
      <c r="IL118" s="52">
        <v>220.26</v>
      </c>
      <c r="IM118" s="52">
        <v>286.99</v>
      </c>
      <c r="IN118" s="52">
        <v>273.58999999999997</v>
      </c>
      <c r="IO118" s="52">
        <v>231.21</v>
      </c>
      <c r="IP118" s="52">
        <v>177.6</v>
      </c>
      <c r="IQ118" s="52">
        <v>206</v>
      </c>
      <c r="IR118" s="52">
        <v>316.38</v>
      </c>
      <c r="IS118" s="52">
        <v>303.75</v>
      </c>
      <c r="IT118" s="52">
        <v>43.85</v>
      </c>
      <c r="IU118" s="52">
        <v>135.01</v>
      </c>
      <c r="IV118" s="52">
        <v>37.94</v>
      </c>
      <c r="IW118" s="52">
        <v>91.7</v>
      </c>
      <c r="IX118" s="52">
        <v>149.22999999999999</v>
      </c>
      <c r="IY118" s="52">
        <v>197.73</v>
      </c>
      <c r="IZ118" s="52">
        <v>306.13</v>
      </c>
      <c r="JA118" s="52">
        <v>216.86</v>
      </c>
      <c r="JB118" s="52"/>
      <c r="JC118" s="52">
        <v>234.79</v>
      </c>
      <c r="JD118" s="52">
        <v>281.14999999999998</v>
      </c>
      <c r="JE118" s="52">
        <v>222.65</v>
      </c>
      <c r="JF118" s="52">
        <v>188.23</v>
      </c>
      <c r="JG118" s="52">
        <v>277.5</v>
      </c>
      <c r="JH118" s="52">
        <v>347.6</v>
      </c>
      <c r="JI118" s="52">
        <v>238.11</v>
      </c>
      <c r="JJ118" s="52">
        <v>199.39</v>
      </c>
      <c r="JK118" s="52">
        <v>263.58</v>
      </c>
      <c r="JL118" s="52">
        <v>292.18</v>
      </c>
      <c r="JM118" s="52">
        <v>274.93</v>
      </c>
      <c r="JN118" s="52">
        <v>199.18</v>
      </c>
      <c r="JO118" s="52">
        <v>186.87</v>
      </c>
      <c r="JP118" s="52">
        <v>341.52</v>
      </c>
      <c r="JQ118" s="52">
        <v>293.85000000000002</v>
      </c>
      <c r="JR118" s="52">
        <v>261.01</v>
      </c>
      <c r="JS118" s="52">
        <v>313.25</v>
      </c>
      <c r="JT118" s="52">
        <v>307.99</v>
      </c>
      <c r="JU118" s="52">
        <v>244.39</v>
      </c>
      <c r="JV118" s="52">
        <v>123.16</v>
      </c>
      <c r="JW118" s="52">
        <v>172.26</v>
      </c>
      <c r="JX118" s="52">
        <v>486.08</v>
      </c>
      <c r="JY118" s="52">
        <v>283.77</v>
      </c>
      <c r="JZ118" s="52">
        <v>250.27</v>
      </c>
      <c r="KA118" s="52">
        <v>271.02</v>
      </c>
      <c r="KB118" s="52">
        <v>254.09</v>
      </c>
      <c r="KC118" s="52">
        <v>239.97</v>
      </c>
      <c r="KD118" s="52">
        <v>274.64</v>
      </c>
      <c r="KE118" s="52">
        <v>332.94</v>
      </c>
      <c r="KF118" s="52">
        <v>313.87</v>
      </c>
    </row>
    <row r="119" spans="1:292" s="41" customFormat="1" ht="12">
      <c r="A119" s="41">
        <v>2014</v>
      </c>
      <c r="B119" s="54" t="s">
        <v>987</v>
      </c>
      <c r="C119" s="55" t="s">
        <v>988</v>
      </c>
      <c r="D119" s="56">
        <v>242.07</v>
      </c>
      <c r="E119" s="56">
        <v>261.04000000000002</v>
      </c>
      <c r="F119" s="56">
        <v>411.81</v>
      </c>
      <c r="G119" s="56">
        <v>176.98</v>
      </c>
      <c r="H119" s="56">
        <v>275.02</v>
      </c>
      <c r="I119" s="56">
        <v>190.54</v>
      </c>
      <c r="J119" s="56">
        <v>145.69</v>
      </c>
      <c r="K119" s="56">
        <v>238.16</v>
      </c>
      <c r="L119" s="56">
        <v>122.36</v>
      </c>
      <c r="M119" s="56">
        <v>170.28</v>
      </c>
      <c r="N119" s="56">
        <v>242.53</v>
      </c>
      <c r="O119" s="56">
        <v>331.87</v>
      </c>
      <c r="P119" s="56">
        <v>273.63</v>
      </c>
      <c r="Q119" s="56">
        <v>264.17</v>
      </c>
      <c r="R119" s="56">
        <v>219.26</v>
      </c>
      <c r="S119" s="56">
        <v>416.71</v>
      </c>
      <c r="T119" s="56">
        <v>411.16</v>
      </c>
      <c r="U119" s="56">
        <v>172.76</v>
      </c>
      <c r="V119" s="56">
        <v>188.26</v>
      </c>
      <c r="W119" s="56">
        <v>325.48</v>
      </c>
      <c r="X119" s="56">
        <v>200.86</v>
      </c>
      <c r="Y119" s="56">
        <v>239.08</v>
      </c>
      <c r="Z119" s="56">
        <v>279.51</v>
      </c>
      <c r="AA119" s="56">
        <v>223.76</v>
      </c>
      <c r="AB119" s="56">
        <v>187.64</v>
      </c>
      <c r="AC119" s="56">
        <v>141.4</v>
      </c>
      <c r="AD119" s="56">
        <v>202.1</v>
      </c>
      <c r="AE119" s="56">
        <v>221.93</v>
      </c>
      <c r="AF119" s="56">
        <v>193.26</v>
      </c>
      <c r="AG119" s="56">
        <v>102.06</v>
      </c>
      <c r="AH119" s="56">
        <v>177.94</v>
      </c>
      <c r="AI119" s="56">
        <v>223.04</v>
      </c>
      <c r="AJ119" s="56">
        <v>164.96</v>
      </c>
      <c r="AK119" s="56">
        <v>278.95999999999998</v>
      </c>
      <c r="AL119" s="56">
        <v>276.51</v>
      </c>
      <c r="AM119" s="56">
        <v>303.75</v>
      </c>
      <c r="AN119" s="56">
        <v>44.22</v>
      </c>
      <c r="AO119" s="56">
        <v>135.01</v>
      </c>
      <c r="AP119" s="56">
        <v>61.03</v>
      </c>
      <c r="AQ119" s="56">
        <v>198.4</v>
      </c>
      <c r="AR119" s="56">
        <v>283.07</v>
      </c>
      <c r="AS119" s="56">
        <v>238</v>
      </c>
      <c r="AT119" s="56">
        <v>267.41000000000003</v>
      </c>
      <c r="AU119" s="56">
        <v>280.72000000000003</v>
      </c>
      <c r="AV119" s="56">
        <v>298.27999999999997</v>
      </c>
      <c r="AW119" s="56">
        <v>281.77</v>
      </c>
      <c r="AX119" s="56">
        <v>199.18</v>
      </c>
      <c r="AY119" s="56">
        <v>188.11</v>
      </c>
      <c r="AZ119" s="56">
        <v>330.23</v>
      </c>
      <c r="BA119" s="56">
        <v>282.92</v>
      </c>
      <c r="BB119" s="56">
        <v>196.17</v>
      </c>
      <c r="BC119" s="56">
        <v>434.5</v>
      </c>
      <c r="BD119" s="56">
        <v>271.85000000000002</v>
      </c>
      <c r="BE119" s="56">
        <v>272.12</v>
      </c>
      <c r="BF119" s="56">
        <v>332.94</v>
      </c>
      <c r="BG119" s="56">
        <v>314</v>
      </c>
      <c r="BH119" s="52">
        <v>275.62</v>
      </c>
      <c r="BI119" s="52">
        <v>268.55</v>
      </c>
      <c r="BJ119" s="52">
        <v>245.7</v>
      </c>
      <c r="BK119" s="52">
        <v>244.03</v>
      </c>
      <c r="BL119" s="52">
        <v>226.78</v>
      </c>
      <c r="BM119" s="52">
        <v>285.89</v>
      </c>
      <c r="BN119" s="52">
        <v>254.9</v>
      </c>
      <c r="BO119" s="52">
        <v>212.53</v>
      </c>
      <c r="BP119" s="52">
        <v>271.02999999999997</v>
      </c>
      <c r="BQ119" s="52">
        <v>247.65</v>
      </c>
      <c r="BR119" s="52">
        <v>194.07</v>
      </c>
      <c r="BS119" s="52">
        <v>448.98</v>
      </c>
      <c r="BT119" s="52">
        <v>266.60000000000002</v>
      </c>
      <c r="BU119" s="52">
        <v>394.31</v>
      </c>
      <c r="BV119" s="52">
        <v>411.16</v>
      </c>
      <c r="BW119" s="52">
        <v>171.45</v>
      </c>
      <c r="BX119" s="52">
        <v>177.48</v>
      </c>
      <c r="BY119" s="52">
        <v>242.32</v>
      </c>
      <c r="BZ119" s="52">
        <v>187.73</v>
      </c>
      <c r="CA119" s="52">
        <v>276.70999999999998</v>
      </c>
      <c r="CB119" s="53">
        <v>325.48</v>
      </c>
      <c r="CC119" s="52">
        <v>200.86</v>
      </c>
      <c r="CD119" s="52">
        <v>238.16</v>
      </c>
      <c r="CE119" s="52">
        <v>233.73</v>
      </c>
      <c r="CF119" s="52">
        <v>318.45999999999998</v>
      </c>
      <c r="CG119" s="52">
        <v>266.49</v>
      </c>
      <c r="CH119" s="52">
        <v>229.44</v>
      </c>
      <c r="CI119" s="52">
        <v>206.51</v>
      </c>
      <c r="CJ119" s="52">
        <v>187.64</v>
      </c>
      <c r="CK119" s="52">
        <v>128.94</v>
      </c>
      <c r="CL119" s="52">
        <v>146.88</v>
      </c>
      <c r="CM119" s="52">
        <v>298.08999999999997</v>
      </c>
      <c r="CN119" s="52">
        <v>202.1</v>
      </c>
      <c r="CO119" s="52">
        <v>221.93</v>
      </c>
      <c r="CP119" s="52">
        <v>153.37</v>
      </c>
      <c r="CQ119" s="52">
        <v>360.94</v>
      </c>
      <c r="CR119" s="52">
        <v>98.51</v>
      </c>
      <c r="CS119" s="52">
        <v>162.33000000000001</v>
      </c>
      <c r="CT119" s="52">
        <v>117.57</v>
      </c>
      <c r="CU119" s="52">
        <v>209.2</v>
      </c>
      <c r="CV119" s="52">
        <v>180.02</v>
      </c>
      <c r="CW119" s="52">
        <v>110.95</v>
      </c>
      <c r="CX119" s="52">
        <v>223.04</v>
      </c>
      <c r="CY119" s="52">
        <v>165.49</v>
      </c>
      <c r="CZ119" s="52">
        <v>130.72</v>
      </c>
      <c r="DA119" s="52">
        <v>179.48</v>
      </c>
      <c r="DB119" s="52">
        <v>225.03</v>
      </c>
      <c r="DC119" s="52">
        <v>270.61</v>
      </c>
      <c r="DD119" s="52">
        <v>311.23</v>
      </c>
      <c r="DE119" s="52">
        <v>373.19</v>
      </c>
      <c r="DF119" s="52">
        <v>265.2</v>
      </c>
      <c r="DG119" s="52">
        <v>279.36</v>
      </c>
      <c r="DH119" s="52">
        <v>178.6</v>
      </c>
      <c r="DI119" s="52">
        <v>226.9</v>
      </c>
      <c r="DJ119" s="52">
        <v>319.44</v>
      </c>
      <c r="DK119" s="52">
        <v>303.75</v>
      </c>
      <c r="DL119" s="52">
        <v>44.22</v>
      </c>
      <c r="DM119" s="52">
        <v>135.01</v>
      </c>
      <c r="DN119" s="52">
        <v>36.9</v>
      </c>
      <c r="DO119" s="52">
        <v>87.95</v>
      </c>
      <c r="DP119" s="52">
        <v>149.22999999999999</v>
      </c>
      <c r="DQ119" s="52">
        <v>198.4</v>
      </c>
      <c r="DR119" s="52">
        <v>309.51</v>
      </c>
      <c r="DS119" s="52">
        <v>218.4</v>
      </c>
      <c r="DT119" s="52"/>
      <c r="DU119" s="52">
        <v>234.98</v>
      </c>
      <c r="DV119" s="52">
        <v>281.57</v>
      </c>
      <c r="DW119" s="52">
        <v>195.75</v>
      </c>
      <c r="DX119" s="52">
        <v>277.5</v>
      </c>
      <c r="DY119" s="52">
        <v>348.48</v>
      </c>
      <c r="DZ119" s="52">
        <v>249.19</v>
      </c>
      <c r="EA119" s="52">
        <v>201.19</v>
      </c>
      <c r="EB119" s="52">
        <v>280.72000000000003</v>
      </c>
      <c r="EC119" s="52">
        <v>298.27999999999997</v>
      </c>
      <c r="ED119" s="52">
        <v>281.77</v>
      </c>
      <c r="EE119" s="52">
        <v>199.18</v>
      </c>
      <c r="EF119" s="52">
        <v>188.11</v>
      </c>
      <c r="EG119" s="52">
        <v>330.23</v>
      </c>
      <c r="EH119" s="52">
        <v>282.92</v>
      </c>
      <c r="EI119" s="52">
        <v>278</v>
      </c>
      <c r="EJ119" s="52">
        <v>122.58</v>
      </c>
      <c r="EK119" s="52">
        <v>174.43</v>
      </c>
      <c r="EL119" s="52">
        <v>487.83</v>
      </c>
      <c r="EM119" s="52">
        <v>273.39999999999998</v>
      </c>
      <c r="EN119" s="52">
        <v>271.85000000000002</v>
      </c>
      <c r="EO119" s="52">
        <v>254.08</v>
      </c>
      <c r="EP119" s="52">
        <v>243.78</v>
      </c>
      <c r="EQ119" s="52">
        <v>271.19</v>
      </c>
      <c r="ER119" s="52">
        <v>332.94</v>
      </c>
      <c r="ES119" s="52">
        <v>314</v>
      </c>
      <c r="ET119" s="52">
        <v>337.03</v>
      </c>
      <c r="EU119" s="52">
        <v>249.52</v>
      </c>
      <c r="EV119" s="52">
        <v>288.99</v>
      </c>
      <c r="EW119" s="52">
        <v>241.19</v>
      </c>
      <c r="EX119" s="52">
        <v>251.99</v>
      </c>
      <c r="EY119" s="52">
        <v>173.04</v>
      </c>
      <c r="EZ119" s="52">
        <v>269.27</v>
      </c>
      <c r="FA119" s="52">
        <v>285.77</v>
      </c>
      <c r="FB119" s="52">
        <v>236.97</v>
      </c>
      <c r="FC119" s="52">
        <v>300.63</v>
      </c>
      <c r="FD119" s="52">
        <v>251.17</v>
      </c>
      <c r="FE119" s="52">
        <v>245.7</v>
      </c>
      <c r="FF119" s="52"/>
      <c r="FG119" s="52">
        <v>191.36</v>
      </c>
      <c r="FH119" s="52">
        <v>211.1</v>
      </c>
      <c r="FI119" s="52">
        <v>267.42</v>
      </c>
      <c r="FJ119" s="52">
        <v>310.56</v>
      </c>
      <c r="FK119" s="52">
        <v>329.38</v>
      </c>
      <c r="FL119" s="52">
        <v>232.85</v>
      </c>
      <c r="FM119" s="52">
        <v>214</v>
      </c>
      <c r="FN119" s="52">
        <v>261.55</v>
      </c>
      <c r="FO119" s="52">
        <v>414.26</v>
      </c>
      <c r="FP119" s="52">
        <v>202.41</v>
      </c>
      <c r="FQ119" s="52">
        <v>403.24</v>
      </c>
      <c r="FR119" s="52">
        <v>407.57</v>
      </c>
      <c r="FS119" s="52">
        <v>260.49</v>
      </c>
      <c r="FT119" s="52">
        <v>192.21</v>
      </c>
      <c r="FU119" s="52">
        <v>300.42</v>
      </c>
      <c r="FV119" s="52">
        <v>215.1</v>
      </c>
      <c r="FW119" s="52">
        <v>156.69</v>
      </c>
      <c r="FX119" s="52">
        <v>271.02999999999997</v>
      </c>
      <c r="FY119" s="52">
        <v>270.07</v>
      </c>
      <c r="FZ119" s="52">
        <v>244.3</v>
      </c>
      <c r="GA119" s="52">
        <v>223.77</v>
      </c>
      <c r="GB119" s="52">
        <v>203.99</v>
      </c>
      <c r="GC119" s="52">
        <v>189.88</v>
      </c>
      <c r="GD119" s="52">
        <v>181.5</v>
      </c>
      <c r="GE119" s="52">
        <v>448.98</v>
      </c>
      <c r="GF119" s="52">
        <v>266.60000000000002</v>
      </c>
      <c r="GG119" s="52">
        <v>394.31</v>
      </c>
      <c r="GH119" s="52">
        <v>410.47</v>
      </c>
      <c r="GI119" s="52">
        <v>178.39</v>
      </c>
      <c r="GJ119" s="52">
        <v>168.29</v>
      </c>
      <c r="GK119" s="52">
        <v>161.65</v>
      </c>
      <c r="GL119" s="52">
        <v>193.16</v>
      </c>
      <c r="GM119" s="52">
        <v>177.48</v>
      </c>
      <c r="GN119" s="52">
        <v>242.32</v>
      </c>
      <c r="GO119" s="52">
        <v>185.24</v>
      </c>
      <c r="GP119" s="52">
        <v>188.44</v>
      </c>
      <c r="GQ119" s="52">
        <v>192.44</v>
      </c>
      <c r="GR119" s="52">
        <v>276.70999999999998</v>
      </c>
      <c r="GS119" s="52">
        <v>325.48</v>
      </c>
      <c r="GT119" s="52">
        <v>200.86</v>
      </c>
      <c r="GU119" s="52">
        <v>238.16</v>
      </c>
      <c r="GV119" s="52">
        <v>233.73</v>
      </c>
      <c r="GW119" s="52">
        <v>291.56</v>
      </c>
      <c r="GX119" s="52">
        <v>325.52999999999997</v>
      </c>
      <c r="GY119" s="52">
        <v>266.49</v>
      </c>
      <c r="GZ119" s="52">
        <v>259.45</v>
      </c>
      <c r="HA119" s="52">
        <v>216.33</v>
      </c>
      <c r="HB119" s="52">
        <v>236.02</v>
      </c>
      <c r="HC119" s="52">
        <v>206.51</v>
      </c>
      <c r="HD119" s="52">
        <v>187.64</v>
      </c>
      <c r="HE119" s="52">
        <v>112.19</v>
      </c>
      <c r="HF119" s="52">
        <v>117.42</v>
      </c>
      <c r="HG119" s="52">
        <v>152.66</v>
      </c>
      <c r="HH119" s="52">
        <v>176.63</v>
      </c>
      <c r="HI119" s="52">
        <v>80.81</v>
      </c>
      <c r="HJ119" s="52">
        <v>146.88</v>
      </c>
      <c r="HK119" s="52">
        <v>298.08999999999997</v>
      </c>
      <c r="HL119" s="52">
        <v>168</v>
      </c>
      <c r="HM119" s="52">
        <v>223.94</v>
      </c>
      <c r="HN119" s="52">
        <v>230.34</v>
      </c>
      <c r="HO119" s="52">
        <v>201.54</v>
      </c>
      <c r="HP119" s="52">
        <v>236.35</v>
      </c>
      <c r="HQ119" s="52">
        <v>145.96</v>
      </c>
      <c r="HR119" s="52">
        <v>210.77</v>
      </c>
      <c r="HS119" s="52">
        <v>367.88</v>
      </c>
      <c r="HT119" s="52">
        <v>221.41</v>
      </c>
      <c r="HU119" s="52">
        <v>98.51</v>
      </c>
      <c r="HV119" s="52">
        <v>162.33000000000001</v>
      </c>
      <c r="HW119" s="52">
        <v>119.38</v>
      </c>
      <c r="HX119" s="52">
        <v>106.53</v>
      </c>
      <c r="HY119" s="52">
        <v>209.2</v>
      </c>
      <c r="HZ119" s="52">
        <v>180.02</v>
      </c>
      <c r="IA119" s="52">
        <v>101.35</v>
      </c>
      <c r="IB119" s="52">
        <v>223.04</v>
      </c>
      <c r="IC119" s="52">
        <v>150.19</v>
      </c>
      <c r="ID119" s="52">
        <v>169.24</v>
      </c>
      <c r="IE119" s="52">
        <v>130.72</v>
      </c>
      <c r="IF119" s="52">
        <v>179.48</v>
      </c>
      <c r="IG119" s="52">
        <v>225.03</v>
      </c>
      <c r="IH119" s="52">
        <v>270.61</v>
      </c>
      <c r="II119" s="52">
        <v>311.23</v>
      </c>
      <c r="IJ119" s="52">
        <v>373.19</v>
      </c>
      <c r="IK119" s="52">
        <v>288.52</v>
      </c>
      <c r="IL119" s="52">
        <v>220.26</v>
      </c>
      <c r="IM119" s="52">
        <v>289.29000000000002</v>
      </c>
      <c r="IN119" s="52">
        <v>273.67</v>
      </c>
      <c r="IO119" s="52">
        <v>239.88</v>
      </c>
      <c r="IP119" s="52">
        <v>178.6</v>
      </c>
      <c r="IQ119" s="52">
        <v>226.9</v>
      </c>
      <c r="IR119" s="52">
        <v>319.44</v>
      </c>
      <c r="IS119" s="52">
        <v>303.75</v>
      </c>
      <c r="IT119" s="52">
        <v>44.22</v>
      </c>
      <c r="IU119" s="52">
        <v>135.01</v>
      </c>
      <c r="IV119" s="52">
        <v>36.92</v>
      </c>
      <c r="IW119" s="52">
        <v>87.95</v>
      </c>
      <c r="IX119" s="52">
        <v>149.22999999999999</v>
      </c>
      <c r="IY119" s="52">
        <v>198.4</v>
      </c>
      <c r="IZ119" s="52">
        <v>309.51</v>
      </c>
      <c r="JA119" s="52">
        <v>218.4</v>
      </c>
      <c r="JB119" s="52"/>
      <c r="JC119" s="52">
        <v>234.98</v>
      </c>
      <c r="JD119" s="52">
        <v>281.57</v>
      </c>
      <c r="JE119" s="52">
        <v>224.26</v>
      </c>
      <c r="JF119" s="52">
        <v>188.41</v>
      </c>
      <c r="JG119" s="52">
        <v>277.5</v>
      </c>
      <c r="JH119" s="52">
        <v>348.48</v>
      </c>
      <c r="JI119" s="52">
        <v>249.19</v>
      </c>
      <c r="JJ119" s="52">
        <v>201.19</v>
      </c>
      <c r="JK119" s="52">
        <v>280.72000000000003</v>
      </c>
      <c r="JL119" s="52">
        <v>298.27999999999997</v>
      </c>
      <c r="JM119" s="52">
        <v>281.77</v>
      </c>
      <c r="JN119" s="52">
        <v>199.18</v>
      </c>
      <c r="JO119" s="52">
        <v>188.11</v>
      </c>
      <c r="JP119" s="52">
        <v>344.75</v>
      </c>
      <c r="JQ119" s="52">
        <v>297.57</v>
      </c>
      <c r="JR119" s="52">
        <v>261.74</v>
      </c>
      <c r="JS119" s="52">
        <v>313.51</v>
      </c>
      <c r="JT119" s="52">
        <v>310.75</v>
      </c>
      <c r="JU119" s="52">
        <v>246.29</v>
      </c>
      <c r="JV119" s="52">
        <v>122.58</v>
      </c>
      <c r="JW119" s="52">
        <v>174.43</v>
      </c>
      <c r="JX119" s="52">
        <v>487.83</v>
      </c>
      <c r="JY119" s="52">
        <v>285.33</v>
      </c>
      <c r="JZ119" s="52">
        <v>250.88</v>
      </c>
      <c r="KA119" s="52">
        <v>271.85000000000002</v>
      </c>
      <c r="KB119" s="52">
        <v>254.08</v>
      </c>
      <c r="KC119" s="52">
        <v>243.78</v>
      </c>
      <c r="KD119" s="52">
        <v>271.19</v>
      </c>
      <c r="KE119" s="52">
        <v>332.94</v>
      </c>
      <c r="KF119" s="52">
        <v>314</v>
      </c>
    </row>
    <row r="120" spans="1:292" s="41" customFormat="1" ht="12">
      <c r="A120" s="41">
        <v>2014</v>
      </c>
      <c r="B120" s="54" t="s">
        <v>989</v>
      </c>
      <c r="C120" s="55" t="s">
        <v>990</v>
      </c>
      <c r="D120" s="56">
        <v>243.17</v>
      </c>
      <c r="E120" s="56">
        <v>261.82</v>
      </c>
      <c r="F120" s="56">
        <v>420.02</v>
      </c>
      <c r="G120" s="56">
        <v>171.18</v>
      </c>
      <c r="H120" s="56">
        <v>276.55</v>
      </c>
      <c r="I120" s="56">
        <v>190.99</v>
      </c>
      <c r="J120" s="56">
        <v>146.13</v>
      </c>
      <c r="K120" s="56">
        <v>239.85</v>
      </c>
      <c r="L120" s="56">
        <v>124.69</v>
      </c>
      <c r="M120" s="56">
        <v>175.34</v>
      </c>
      <c r="N120" s="56">
        <v>243.97</v>
      </c>
      <c r="O120" s="56">
        <v>335.34</v>
      </c>
      <c r="P120" s="56">
        <v>275.35000000000002</v>
      </c>
      <c r="Q120" s="56">
        <v>264.79000000000002</v>
      </c>
      <c r="R120" s="56">
        <v>221.82</v>
      </c>
      <c r="S120" s="56">
        <v>425.72</v>
      </c>
      <c r="T120" s="56">
        <v>419.31</v>
      </c>
      <c r="U120" s="56">
        <v>166.92</v>
      </c>
      <c r="V120" s="56">
        <v>182.74</v>
      </c>
      <c r="W120" s="56">
        <v>327.64999999999998</v>
      </c>
      <c r="X120" s="56">
        <v>201.75</v>
      </c>
      <c r="Y120" s="56">
        <v>243.07</v>
      </c>
      <c r="Z120" s="56">
        <v>279.85000000000002</v>
      </c>
      <c r="AA120" s="56">
        <v>222.26</v>
      </c>
      <c r="AB120" s="56">
        <v>188.02</v>
      </c>
      <c r="AC120" s="56">
        <v>142.93</v>
      </c>
      <c r="AD120" s="56">
        <v>203.77</v>
      </c>
      <c r="AE120" s="56">
        <v>223.73</v>
      </c>
      <c r="AF120" s="56">
        <v>193.93</v>
      </c>
      <c r="AG120" s="56">
        <v>102.35</v>
      </c>
      <c r="AH120" s="56">
        <v>178.18</v>
      </c>
      <c r="AI120" s="56">
        <v>224.89</v>
      </c>
      <c r="AJ120" s="56">
        <v>164.87</v>
      </c>
      <c r="AK120" s="56">
        <v>281.88</v>
      </c>
      <c r="AL120" s="56">
        <v>279.75</v>
      </c>
      <c r="AM120" s="56">
        <v>320.18</v>
      </c>
      <c r="AN120" s="56">
        <v>43.71</v>
      </c>
      <c r="AO120" s="56">
        <v>138.03</v>
      </c>
      <c r="AP120" s="56">
        <v>61.73</v>
      </c>
      <c r="AQ120" s="56">
        <v>198.84</v>
      </c>
      <c r="AR120" s="56">
        <v>285.06</v>
      </c>
      <c r="AS120" s="56">
        <v>238.87</v>
      </c>
      <c r="AT120" s="56">
        <v>272.99</v>
      </c>
      <c r="AU120" s="56">
        <v>323.07</v>
      </c>
      <c r="AV120" s="56">
        <v>300.52</v>
      </c>
      <c r="AW120" s="56">
        <v>283.95</v>
      </c>
      <c r="AX120" s="56">
        <v>199.18</v>
      </c>
      <c r="AY120" s="56">
        <v>188.25</v>
      </c>
      <c r="AZ120" s="56">
        <v>333.92</v>
      </c>
      <c r="BA120" s="56">
        <v>284.16000000000003</v>
      </c>
      <c r="BB120" s="56">
        <v>197.23</v>
      </c>
      <c r="BC120" s="56">
        <v>442.16</v>
      </c>
      <c r="BD120" s="56">
        <v>272.87</v>
      </c>
      <c r="BE120" s="56">
        <v>267.54000000000002</v>
      </c>
      <c r="BF120" s="56">
        <v>332.94</v>
      </c>
      <c r="BG120" s="56">
        <v>314.13</v>
      </c>
      <c r="BH120" s="52">
        <v>277.73</v>
      </c>
      <c r="BI120" s="52">
        <v>276.70999999999998</v>
      </c>
      <c r="BJ120" s="52">
        <v>244.37</v>
      </c>
      <c r="BK120" s="52">
        <v>245.7</v>
      </c>
      <c r="BL120" s="52">
        <v>227.38</v>
      </c>
      <c r="BM120" s="52">
        <v>266.89999999999998</v>
      </c>
      <c r="BN120" s="52">
        <v>259.52999999999997</v>
      </c>
      <c r="BO120" s="52">
        <v>215.27</v>
      </c>
      <c r="BP120" s="52">
        <v>269.99</v>
      </c>
      <c r="BQ120" s="52">
        <v>253.85</v>
      </c>
      <c r="BR120" s="52">
        <v>194.77</v>
      </c>
      <c r="BS120" s="52">
        <v>459.61</v>
      </c>
      <c r="BT120" s="52">
        <v>274.48</v>
      </c>
      <c r="BU120" s="52">
        <v>401.82</v>
      </c>
      <c r="BV120" s="52">
        <v>419.31</v>
      </c>
      <c r="BW120" s="52">
        <v>165.25</v>
      </c>
      <c r="BX120" s="52">
        <v>175.62</v>
      </c>
      <c r="BY120" s="52">
        <v>244.39</v>
      </c>
      <c r="BZ120" s="52">
        <v>182.17</v>
      </c>
      <c r="CA120" s="52">
        <v>278.27</v>
      </c>
      <c r="CB120" s="53">
        <v>327.64999999999998</v>
      </c>
      <c r="CC120" s="52">
        <v>201.75</v>
      </c>
      <c r="CD120" s="52">
        <v>242.14</v>
      </c>
      <c r="CE120" s="52">
        <v>233.79</v>
      </c>
      <c r="CF120" s="52">
        <v>320.24</v>
      </c>
      <c r="CG120" s="52">
        <v>265.13</v>
      </c>
      <c r="CH120" s="52">
        <v>228.01</v>
      </c>
      <c r="CI120" s="52">
        <v>204.16</v>
      </c>
      <c r="CJ120" s="52">
        <v>188.02</v>
      </c>
      <c r="CK120" s="52">
        <v>130.47</v>
      </c>
      <c r="CL120" s="52">
        <v>148.21</v>
      </c>
      <c r="CM120" s="52">
        <v>298.36</v>
      </c>
      <c r="CN120" s="52">
        <v>203.77</v>
      </c>
      <c r="CO120" s="52">
        <v>223.73</v>
      </c>
      <c r="CP120" s="52">
        <v>153.36000000000001</v>
      </c>
      <c r="CQ120" s="52">
        <v>364.19</v>
      </c>
      <c r="CR120" s="52">
        <v>98.88</v>
      </c>
      <c r="CS120" s="52">
        <v>163.19</v>
      </c>
      <c r="CT120" s="52">
        <v>117.45</v>
      </c>
      <c r="CU120" s="52">
        <v>209.37</v>
      </c>
      <c r="CV120" s="52">
        <v>180.19</v>
      </c>
      <c r="CW120" s="52">
        <v>111.27</v>
      </c>
      <c r="CX120" s="52">
        <v>224.89</v>
      </c>
      <c r="CY120" s="52">
        <v>165.36</v>
      </c>
      <c r="CZ120" s="52">
        <v>130.84</v>
      </c>
      <c r="DA120" s="52">
        <v>182.21</v>
      </c>
      <c r="DB120" s="52">
        <v>225.98</v>
      </c>
      <c r="DC120" s="52">
        <v>273.61</v>
      </c>
      <c r="DD120" s="52">
        <v>314.33</v>
      </c>
      <c r="DE120" s="52">
        <v>376.34</v>
      </c>
      <c r="DF120" s="52">
        <v>271.02</v>
      </c>
      <c r="DG120" s="52">
        <v>282.62</v>
      </c>
      <c r="DH120" s="52">
        <v>178.71</v>
      </c>
      <c r="DI120" s="52">
        <v>250.24</v>
      </c>
      <c r="DJ120" s="52">
        <v>324.29000000000002</v>
      </c>
      <c r="DK120" s="52">
        <v>320.18</v>
      </c>
      <c r="DL120" s="52">
        <v>43.71</v>
      </c>
      <c r="DM120" s="52">
        <v>138.03</v>
      </c>
      <c r="DN120" s="52">
        <v>37.47</v>
      </c>
      <c r="DO120" s="52">
        <v>88.78</v>
      </c>
      <c r="DP120" s="52">
        <v>149.22999999999999</v>
      </c>
      <c r="DQ120" s="52">
        <v>198.84</v>
      </c>
      <c r="DR120" s="52">
        <v>311.66000000000003</v>
      </c>
      <c r="DS120" s="52">
        <v>220.01</v>
      </c>
      <c r="DT120" s="52"/>
      <c r="DU120" s="52">
        <v>236.75</v>
      </c>
      <c r="DV120" s="52">
        <v>281.91000000000003</v>
      </c>
      <c r="DW120" s="52">
        <v>197.23</v>
      </c>
      <c r="DX120" s="52">
        <v>277.5</v>
      </c>
      <c r="DY120" s="52">
        <v>361.06</v>
      </c>
      <c r="DZ120" s="52">
        <v>251.86</v>
      </c>
      <c r="EA120" s="52">
        <v>202.33</v>
      </c>
      <c r="EB120" s="52">
        <v>323.07</v>
      </c>
      <c r="EC120" s="52">
        <v>300.52</v>
      </c>
      <c r="ED120" s="52">
        <v>283.95</v>
      </c>
      <c r="EE120" s="52">
        <v>199.18</v>
      </c>
      <c r="EF120" s="52">
        <v>188.25</v>
      </c>
      <c r="EG120" s="52">
        <v>333.92</v>
      </c>
      <c r="EH120" s="52">
        <v>284.16000000000003</v>
      </c>
      <c r="EI120" s="52">
        <v>278.70999999999998</v>
      </c>
      <c r="EJ120" s="52">
        <v>122.5</v>
      </c>
      <c r="EK120" s="52">
        <v>175.66</v>
      </c>
      <c r="EL120" s="52">
        <v>500.1</v>
      </c>
      <c r="EM120" s="52">
        <v>275.02</v>
      </c>
      <c r="EN120" s="52">
        <v>272.87</v>
      </c>
      <c r="EO120" s="52">
        <v>251.07</v>
      </c>
      <c r="EP120" s="52">
        <v>243.78</v>
      </c>
      <c r="EQ120" s="52">
        <v>264.87</v>
      </c>
      <c r="ER120" s="52">
        <v>332.94</v>
      </c>
      <c r="ES120" s="52">
        <v>314.13</v>
      </c>
      <c r="ET120" s="52">
        <v>339.43</v>
      </c>
      <c r="EU120" s="52">
        <v>249.02</v>
      </c>
      <c r="EV120" s="52">
        <v>292.27</v>
      </c>
      <c r="EW120" s="52">
        <v>242.74</v>
      </c>
      <c r="EX120" s="52">
        <v>252.03</v>
      </c>
      <c r="EY120" s="52">
        <v>175.76</v>
      </c>
      <c r="EZ120" s="52">
        <v>278.77999999999997</v>
      </c>
      <c r="FA120" s="52">
        <v>289.32</v>
      </c>
      <c r="FB120" s="52">
        <v>248.69</v>
      </c>
      <c r="FC120" s="52">
        <v>298.36</v>
      </c>
      <c r="FD120" s="52">
        <v>251.56</v>
      </c>
      <c r="FE120" s="52">
        <v>244.37</v>
      </c>
      <c r="FF120" s="52"/>
      <c r="FG120" s="52">
        <v>195.67</v>
      </c>
      <c r="FH120" s="52">
        <v>216.43</v>
      </c>
      <c r="FI120" s="52">
        <v>272.88</v>
      </c>
      <c r="FJ120" s="52">
        <v>289.82</v>
      </c>
      <c r="FK120" s="52">
        <v>340.32</v>
      </c>
      <c r="FL120" s="52">
        <v>228.94</v>
      </c>
      <c r="FM120" s="52">
        <v>213.74</v>
      </c>
      <c r="FN120" s="52">
        <v>238.99</v>
      </c>
      <c r="FO120" s="52">
        <v>414.62</v>
      </c>
      <c r="FP120" s="52">
        <v>215.73</v>
      </c>
      <c r="FQ120" s="52">
        <v>371.81</v>
      </c>
      <c r="FR120" s="52">
        <v>405.26</v>
      </c>
      <c r="FS120" s="52">
        <v>262.08</v>
      </c>
      <c r="FT120" s="52">
        <v>199.07</v>
      </c>
      <c r="FU120" s="52">
        <v>301.42</v>
      </c>
      <c r="FV120" s="52">
        <v>216.1</v>
      </c>
      <c r="FW120" s="52">
        <v>154.88</v>
      </c>
      <c r="FX120" s="52">
        <v>269.99</v>
      </c>
      <c r="FY120" s="52">
        <v>270.39999999999998</v>
      </c>
      <c r="FZ120" s="52">
        <v>251.52</v>
      </c>
      <c r="GA120" s="52">
        <v>223.38</v>
      </c>
      <c r="GB120" s="52">
        <v>204.85</v>
      </c>
      <c r="GC120" s="52">
        <v>190.78</v>
      </c>
      <c r="GD120" s="52">
        <v>181.27</v>
      </c>
      <c r="GE120" s="52">
        <v>459.61</v>
      </c>
      <c r="GF120" s="52">
        <v>274.48</v>
      </c>
      <c r="GG120" s="52">
        <v>401.82</v>
      </c>
      <c r="GH120" s="52">
        <v>418.61</v>
      </c>
      <c r="GI120" s="52">
        <v>173.12</v>
      </c>
      <c r="GJ120" s="52">
        <v>161.6</v>
      </c>
      <c r="GK120" s="52">
        <v>154.72</v>
      </c>
      <c r="GL120" s="52">
        <v>188.74</v>
      </c>
      <c r="GM120" s="52">
        <v>175.62</v>
      </c>
      <c r="GN120" s="52">
        <v>244.39</v>
      </c>
      <c r="GO120" s="52">
        <v>180.1</v>
      </c>
      <c r="GP120" s="52">
        <v>183.03</v>
      </c>
      <c r="GQ120" s="52">
        <v>185.5</v>
      </c>
      <c r="GR120" s="52">
        <v>278.27</v>
      </c>
      <c r="GS120" s="52">
        <v>327.64999999999998</v>
      </c>
      <c r="GT120" s="52">
        <v>201.75</v>
      </c>
      <c r="GU120" s="52">
        <v>242.14</v>
      </c>
      <c r="GV120" s="52">
        <v>233.79</v>
      </c>
      <c r="GW120" s="52">
        <v>291.43</v>
      </c>
      <c r="GX120" s="52">
        <v>329.99</v>
      </c>
      <c r="GY120" s="52">
        <v>265.13</v>
      </c>
      <c r="GZ120" s="52">
        <v>261.20999999999998</v>
      </c>
      <c r="HA120" s="52">
        <v>211.34</v>
      </c>
      <c r="HB120" s="52">
        <v>236.01</v>
      </c>
      <c r="HC120" s="52">
        <v>204.16</v>
      </c>
      <c r="HD120" s="52">
        <v>188.02</v>
      </c>
      <c r="HE120" s="52">
        <v>112.42</v>
      </c>
      <c r="HF120" s="52">
        <v>118.69</v>
      </c>
      <c r="HG120" s="52">
        <v>153.43</v>
      </c>
      <c r="HH120" s="52">
        <v>177.36</v>
      </c>
      <c r="HI120" s="52">
        <v>86.64</v>
      </c>
      <c r="HJ120" s="52">
        <v>148.21</v>
      </c>
      <c r="HK120" s="52">
        <v>298.36</v>
      </c>
      <c r="HL120" s="52">
        <v>169.85</v>
      </c>
      <c r="HM120" s="52">
        <v>225.3</v>
      </c>
      <c r="HN120" s="52">
        <v>231.84</v>
      </c>
      <c r="HO120" s="52">
        <v>204.32</v>
      </c>
      <c r="HP120" s="52">
        <v>236.54</v>
      </c>
      <c r="HQ120" s="52">
        <v>145.75</v>
      </c>
      <c r="HR120" s="52">
        <v>212.01</v>
      </c>
      <c r="HS120" s="52">
        <v>371.41</v>
      </c>
      <c r="HT120" s="52">
        <v>221.33</v>
      </c>
      <c r="HU120" s="52">
        <v>98.88</v>
      </c>
      <c r="HV120" s="52">
        <v>163.19</v>
      </c>
      <c r="HW120" s="52">
        <v>119.38</v>
      </c>
      <c r="HX120" s="52">
        <v>106.26</v>
      </c>
      <c r="HY120" s="52">
        <v>209.37</v>
      </c>
      <c r="HZ120" s="52">
        <v>180.19</v>
      </c>
      <c r="IA120" s="52">
        <v>101.65</v>
      </c>
      <c r="IB120" s="52">
        <v>224.89</v>
      </c>
      <c r="IC120" s="52">
        <v>150.38999999999999</v>
      </c>
      <c r="ID120" s="52">
        <v>168.58</v>
      </c>
      <c r="IE120" s="52">
        <v>130.84</v>
      </c>
      <c r="IF120" s="52">
        <v>182.21</v>
      </c>
      <c r="IG120" s="52">
        <v>225.98</v>
      </c>
      <c r="IH120" s="52">
        <v>273.61</v>
      </c>
      <c r="II120" s="52">
        <v>314.33</v>
      </c>
      <c r="IJ120" s="52">
        <v>376.34</v>
      </c>
      <c r="IK120" s="52">
        <v>300.3</v>
      </c>
      <c r="IL120" s="52">
        <v>220.26</v>
      </c>
      <c r="IM120" s="52">
        <v>292.33999999999997</v>
      </c>
      <c r="IN120" s="52">
        <v>273.57</v>
      </c>
      <c r="IO120" s="52">
        <v>244.53</v>
      </c>
      <c r="IP120" s="52">
        <v>178.71</v>
      </c>
      <c r="IQ120" s="52">
        <v>250.24</v>
      </c>
      <c r="IR120" s="52">
        <v>324.29000000000002</v>
      </c>
      <c r="IS120" s="52">
        <v>320.18</v>
      </c>
      <c r="IT120" s="52">
        <v>43.71</v>
      </c>
      <c r="IU120" s="52">
        <v>138.03</v>
      </c>
      <c r="IV120" s="52">
        <v>37.49</v>
      </c>
      <c r="IW120" s="52">
        <v>88.78</v>
      </c>
      <c r="IX120" s="52">
        <v>149.22999999999999</v>
      </c>
      <c r="IY120" s="52">
        <v>198.84</v>
      </c>
      <c r="IZ120" s="52">
        <v>311.66000000000003</v>
      </c>
      <c r="JA120" s="52">
        <v>220.01</v>
      </c>
      <c r="JB120" s="52"/>
      <c r="JC120" s="52">
        <v>236.75</v>
      </c>
      <c r="JD120" s="52">
        <v>281.91000000000003</v>
      </c>
      <c r="JE120" s="52">
        <v>225.96</v>
      </c>
      <c r="JF120" s="52">
        <v>189.83</v>
      </c>
      <c r="JG120" s="52">
        <v>277.5</v>
      </c>
      <c r="JH120" s="52">
        <v>361.06</v>
      </c>
      <c r="JI120" s="52">
        <v>251.86</v>
      </c>
      <c r="JJ120" s="52">
        <v>202.33</v>
      </c>
      <c r="JK120" s="52">
        <v>323.07</v>
      </c>
      <c r="JL120" s="52">
        <v>300.52</v>
      </c>
      <c r="JM120" s="52">
        <v>283.95</v>
      </c>
      <c r="JN120" s="52">
        <v>199.18</v>
      </c>
      <c r="JO120" s="52">
        <v>188.25</v>
      </c>
      <c r="JP120" s="52">
        <v>349.15</v>
      </c>
      <c r="JQ120" s="52">
        <v>299.11</v>
      </c>
      <c r="JR120" s="52">
        <v>263.39999999999998</v>
      </c>
      <c r="JS120" s="52">
        <v>313.57</v>
      </c>
      <c r="JT120" s="52">
        <v>311.39</v>
      </c>
      <c r="JU120" s="52">
        <v>247.05</v>
      </c>
      <c r="JV120" s="52">
        <v>122.5</v>
      </c>
      <c r="JW120" s="52">
        <v>175.66</v>
      </c>
      <c r="JX120" s="52">
        <v>500.1</v>
      </c>
      <c r="JY120" s="52">
        <v>287</v>
      </c>
      <c r="JZ120" s="52">
        <v>252.42</v>
      </c>
      <c r="KA120" s="52">
        <v>272.87</v>
      </c>
      <c r="KB120" s="52">
        <v>251.07</v>
      </c>
      <c r="KC120" s="52">
        <v>243.78</v>
      </c>
      <c r="KD120" s="52">
        <v>264.87</v>
      </c>
      <c r="KE120" s="52">
        <v>332.94</v>
      </c>
      <c r="KF120" s="52">
        <v>314.13</v>
      </c>
    </row>
    <row r="121" spans="1:292" s="41" customFormat="1" ht="12">
      <c r="A121" s="41">
        <v>2014</v>
      </c>
      <c r="B121" s="54" t="s">
        <v>991</v>
      </c>
      <c r="C121" s="55" t="s">
        <v>992</v>
      </c>
      <c r="D121" s="56">
        <v>243.4</v>
      </c>
      <c r="E121" s="56">
        <v>264.14</v>
      </c>
      <c r="F121" s="56">
        <v>418.09</v>
      </c>
      <c r="G121" s="56">
        <v>162.76</v>
      </c>
      <c r="H121" s="56">
        <v>277.42</v>
      </c>
      <c r="I121" s="56">
        <v>191.58</v>
      </c>
      <c r="J121" s="56">
        <v>146.37</v>
      </c>
      <c r="K121" s="56">
        <v>239.7</v>
      </c>
      <c r="L121" s="56">
        <v>124.86</v>
      </c>
      <c r="M121" s="56">
        <v>176.38</v>
      </c>
      <c r="N121" s="56">
        <v>245.79</v>
      </c>
      <c r="O121" s="56">
        <v>340.85</v>
      </c>
      <c r="P121" s="56">
        <v>277.14999999999998</v>
      </c>
      <c r="Q121" s="56">
        <v>267.08</v>
      </c>
      <c r="R121" s="56">
        <v>224.44</v>
      </c>
      <c r="S121" s="56">
        <v>435.12</v>
      </c>
      <c r="T121" s="56">
        <v>416.63</v>
      </c>
      <c r="U121" s="56">
        <v>158.47</v>
      </c>
      <c r="V121" s="56">
        <v>174.64</v>
      </c>
      <c r="W121" s="56">
        <v>329.92</v>
      </c>
      <c r="X121" s="56">
        <v>202.54</v>
      </c>
      <c r="Y121" s="56">
        <v>244.81</v>
      </c>
      <c r="Z121" s="56">
        <v>279.44</v>
      </c>
      <c r="AA121" s="56">
        <v>221.04</v>
      </c>
      <c r="AB121" s="56">
        <v>188.26</v>
      </c>
      <c r="AC121" s="56">
        <v>144.29</v>
      </c>
      <c r="AD121" s="56">
        <v>205.42</v>
      </c>
      <c r="AE121" s="56">
        <v>224.18</v>
      </c>
      <c r="AF121" s="56">
        <v>195.32</v>
      </c>
      <c r="AG121" s="56">
        <v>102.5</v>
      </c>
      <c r="AH121" s="56">
        <v>178.44</v>
      </c>
      <c r="AI121" s="56">
        <v>225.44</v>
      </c>
      <c r="AJ121" s="56">
        <v>164.79</v>
      </c>
      <c r="AK121" s="56">
        <v>279.5</v>
      </c>
      <c r="AL121" s="56">
        <v>282.72000000000003</v>
      </c>
      <c r="AM121" s="56">
        <v>320.18</v>
      </c>
      <c r="AN121" s="56">
        <v>43.36</v>
      </c>
      <c r="AO121" s="56">
        <v>138.36000000000001</v>
      </c>
      <c r="AP121" s="56">
        <v>60.96</v>
      </c>
      <c r="AQ121" s="56">
        <v>199.69</v>
      </c>
      <c r="AR121" s="56">
        <v>286.33</v>
      </c>
      <c r="AS121" s="56">
        <v>240.26</v>
      </c>
      <c r="AT121" s="56">
        <v>276</v>
      </c>
      <c r="AU121" s="56">
        <v>333.97</v>
      </c>
      <c r="AV121" s="56">
        <v>302.55</v>
      </c>
      <c r="AW121" s="56">
        <v>286.05</v>
      </c>
      <c r="AX121" s="56">
        <v>200.4</v>
      </c>
      <c r="AY121" s="56">
        <v>190.13</v>
      </c>
      <c r="AZ121" s="56">
        <v>339.64</v>
      </c>
      <c r="BA121" s="56">
        <v>287.25</v>
      </c>
      <c r="BB121" s="56">
        <v>198.97</v>
      </c>
      <c r="BC121" s="56">
        <v>445.54</v>
      </c>
      <c r="BD121" s="56">
        <v>275.41000000000003</v>
      </c>
      <c r="BE121" s="56">
        <v>263.62</v>
      </c>
      <c r="BF121" s="56">
        <v>332.94</v>
      </c>
      <c r="BG121" s="56">
        <v>314.11</v>
      </c>
      <c r="BH121" s="52">
        <v>279.10000000000002</v>
      </c>
      <c r="BI121" s="52">
        <v>280.33999999999997</v>
      </c>
      <c r="BJ121" s="52">
        <v>257.58</v>
      </c>
      <c r="BK121" s="52">
        <v>255.21</v>
      </c>
      <c r="BL121" s="52">
        <v>228.23</v>
      </c>
      <c r="BM121" s="52">
        <v>254.04</v>
      </c>
      <c r="BN121" s="52">
        <v>267.05</v>
      </c>
      <c r="BO121" s="52">
        <v>216.48</v>
      </c>
      <c r="BP121" s="52">
        <v>272.93</v>
      </c>
      <c r="BQ121" s="52">
        <v>258.39999999999998</v>
      </c>
      <c r="BR121" s="52">
        <v>196.32</v>
      </c>
      <c r="BS121" s="52">
        <v>466.28</v>
      </c>
      <c r="BT121" s="52">
        <v>288.37</v>
      </c>
      <c r="BU121" s="52">
        <v>411.92</v>
      </c>
      <c r="BV121" s="52">
        <v>416.63</v>
      </c>
      <c r="BW121" s="52">
        <v>156.35</v>
      </c>
      <c r="BX121" s="52">
        <v>171.53</v>
      </c>
      <c r="BY121" s="52">
        <v>246.33</v>
      </c>
      <c r="BZ121" s="52">
        <v>174.03</v>
      </c>
      <c r="CA121" s="52">
        <v>278.92</v>
      </c>
      <c r="CB121" s="53">
        <v>329.92</v>
      </c>
      <c r="CC121" s="52">
        <v>202.54</v>
      </c>
      <c r="CD121" s="52">
        <v>243.88</v>
      </c>
      <c r="CE121" s="52">
        <v>233.79</v>
      </c>
      <c r="CF121" s="52">
        <v>319.66000000000003</v>
      </c>
      <c r="CG121" s="52">
        <v>264.05</v>
      </c>
      <c r="CH121" s="52">
        <v>226.53</v>
      </c>
      <c r="CI121" s="52">
        <v>205.14</v>
      </c>
      <c r="CJ121" s="52">
        <v>188.26</v>
      </c>
      <c r="CK121" s="52">
        <v>131.79</v>
      </c>
      <c r="CL121" s="52">
        <v>148.69</v>
      </c>
      <c r="CM121" s="52">
        <v>301.16000000000003</v>
      </c>
      <c r="CN121" s="52">
        <v>205.42</v>
      </c>
      <c r="CO121" s="52">
        <v>224.18</v>
      </c>
      <c r="CP121" s="52">
        <v>153.94</v>
      </c>
      <c r="CQ121" s="52">
        <v>368.68</v>
      </c>
      <c r="CR121" s="52">
        <v>98.88</v>
      </c>
      <c r="CS121" s="52">
        <v>163.81</v>
      </c>
      <c r="CT121" s="52">
        <v>118.15</v>
      </c>
      <c r="CU121" s="52">
        <v>209.54</v>
      </c>
      <c r="CV121" s="52">
        <v>180.58</v>
      </c>
      <c r="CW121" s="52">
        <v>111.42</v>
      </c>
      <c r="CX121" s="52">
        <v>225.44</v>
      </c>
      <c r="CY121" s="52">
        <v>165.27</v>
      </c>
      <c r="CZ121" s="52">
        <v>131.18</v>
      </c>
      <c r="DA121" s="52">
        <v>182.26</v>
      </c>
      <c r="DB121" s="52">
        <v>227.48</v>
      </c>
      <c r="DC121" s="52">
        <v>269.69</v>
      </c>
      <c r="DD121" s="52">
        <v>318.43</v>
      </c>
      <c r="DE121" s="52">
        <v>379.35</v>
      </c>
      <c r="DF121" s="52">
        <v>271.02</v>
      </c>
      <c r="DG121" s="52">
        <v>286.13</v>
      </c>
      <c r="DH121" s="52">
        <v>177.69</v>
      </c>
      <c r="DI121" s="52">
        <v>250.24</v>
      </c>
      <c r="DJ121" s="52">
        <v>326.02</v>
      </c>
      <c r="DK121" s="52">
        <v>320.18</v>
      </c>
      <c r="DL121" s="52">
        <v>43.36</v>
      </c>
      <c r="DM121" s="52">
        <v>138.36000000000001</v>
      </c>
      <c r="DN121" s="52">
        <v>36.74</v>
      </c>
      <c r="DO121" s="52">
        <v>87.99</v>
      </c>
      <c r="DP121" s="52">
        <v>149.71</v>
      </c>
      <c r="DQ121" s="52">
        <v>199.69</v>
      </c>
      <c r="DR121" s="52">
        <v>313.2</v>
      </c>
      <c r="DS121" s="52">
        <v>220.65</v>
      </c>
      <c r="DT121" s="52"/>
      <c r="DU121" s="52">
        <v>237.53</v>
      </c>
      <c r="DV121" s="52">
        <v>284.69</v>
      </c>
      <c r="DW121" s="52">
        <v>197.56</v>
      </c>
      <c r="DX121" s="52">
        <v>277.5</v>
      </c>
      <c r="DY121" s="52">
        <v>364.36</v>
      </c>
      <c r="DZ121" s="52">
        <v>256.16000000000003</v>
      </c>
      <c r="EA121" s="52">
        <v>204.23</v>
      </c>
      <c r="EB121" s="52">
        <v>333.97</v>
      </c>
      <c r="EC121" s="52">
        <v>302.55</v>
      </c>
      <c r="ED121" s="52">
        <v>286.05</v>
      </c>
      <c r="EE121" s="52">
        <v>200.4</v>
      </c>
      <c r="EF121" s="52">
        <v>190.13</v>
      </c>
      <c r="EG121" s="52">
        <v>339.64</v>
      </c>
      <c r="EH121" s="52">
        <v>287.25</v>
      </c>
      <c r="EI121" s="52">
        <v>280.57</v>
      </c>
      <c r="EJ121" s="52">
        <v>123.18</v>
      </c>
      <c r="EK121" s="52">
        <v>177.43</v>
      </c>
      <c r="EL121" s="52">
        <v>503.64</v>
      </c>
      <c r="EM121" s="52">
        <v>277.38</v>
      </c>
      <c r="EN121" s="52">
        <v>275.41000000000003</v>
      </c>
      <c r="EO121" s="52">
        <v>251.12</v>
      </c>
      <c r="EP121" s="52">
        <v>240.19</v>
      </c>
      <c r="EQ121" s="52">
        <v>260.33</v>
      </c>
      <c r="ER121" s="52">
        <v>332.94</v>
      </c>
      <c r="ES121" s="52">
        <v>314.11</v>
      </c>
      <c r="ET121" s="52">
        <v>341.72</v>
      </c>
      <c r="EU121" s="52">
        <v>251.46</v>
      </c>
      <c r="EV121" s="52">
        <v>292.69</v>
      </c>
      <c r="EW121" s="52">
        <v>244.46</v>
      </c>
      <c r="EX121" s="52">
        <v>256.91000000000003</v>
      </c>
      <c r="EY121" s="52">
        <v>176.42</v>
      </c>
      <c r="EZ121" s="52">
        <v>282.81</v>
      </c>
      <c r="FA121" s="52">
        <v>291.61</v>
      </c>
      <c r="FB121" s="52">
        <v>251.45</v>
      </c>
      <c r="FC121" s="52">
        <v>298.39999999999998</v>
      </c>
      <c r="FD121" s="52">
        <v>256.63</v>
      </c>
      <c r="FE121" s="52">
        <v>257.58</v>
      </c>
      <c r="FF121" s="52"/>
      <c r="FG121" s="52">
        <v>201.32</v>
      </c>
      <c r="FH121" s="52">
        <v>217.75</v>
      </c>
      <c r="FI121" s="52">
        <v>283.27999999999997</v>
      </c>
      <c r="FJ121" s="52">
        <v>317.2</v>
      </c>
      <c r="FK121" s="52">
        <v>349.49</v>
      </c>
      <c r="FL121" s="52">
        <v>227.38</v>
      </c>
      <c r="FM121" s="52">
        <v>213.73</v>
      </c>
      <c r="FN121" s="52">
        <v>223.22</v>
      </c>
      <c r="FO121" s="52">
        <v>417.41</v>
      </c>
      <c r="FP121" s="52">
        <v>233.37</v>
      </c>
      <c r="FQ121" s="52">
        <v>333.96</v>
      </c>
      <c r="FR121" s="52">
        <v>414.04</v>
      </c>
      <c r="FS121" s="52">
        <v>265.61</v>
      </c>
      <c r="FT121" s="52">
        <v>200.45</v>
      </c>
      <c r="FU121" s="52">
        <v>303.2</v>
      </c>
      <c r="FV121" s="52">
        <v>217.56</v>
      </c>
      <c r="FW121" s="52">
        <v>154.71</v>
      </c>
      <c r="FX121" s="52">
        <v>272.93</v>
      </c>
      <c r="FY121" s="52">
        <v>273.14999999999998</v>
      </c>
      <c r="FZ121" s="52">
        <v>256.43</v>
      </c>
      <c r="GA121" s="52">
        <v>224.3</v>
      </c>
      <c r="GB121" s="52">
        <v>205.93</v>
      </c>
      <c r="GC121" s="52">
        <v>192.92</v>
      </c>
      <c r="GD121" s="52">
        <v>182.38</v>
      </c>
      <c r="GE121" s="52">
        <v>466.28</v>
      </c>
      <c r="GF121" s="52">
        <v>288.37</v>
      </c>
      <c r="GG121" s="52">
        <v>411.92</v>
      </c>
      <c r="GH121" s="52">
        <v>415.93</v>
      </c>
      <c r="GI121" s="52">
        <v>163.99</v>
      </c>
      <c r="GJ121" s="52">
        <v>152.66</v>
      </c>
      <c r="GK121" s="52">
        <v>145.93</v>
      </c>
      <c r="GL121" s="52">
        <v>187.74</v>
      </c>
      <c r="GM121" s="52">
        <v>171.53</v>
      </c>
      <c r="GN121" s="52">
        <v>246.33</v>
      </c>
      <c r="GO121" s="52">
        <v>172.96</v>
      </c>
      <c r="GP121" s="52">
        <v>172.71</v>
      </c>
      <c r="GQ121" s="52">
        <v>179.69</v>
      </c>
      <c r="GR121" s="52">
        <v>278.92</v>
      </c>
      <c r="GS121" s="52">
        <v>329.92</v>
      </c>
      <c r="GT121" s="52">
        <v>202.54</v>
      </c>
      <c r="GU121" s="52">
        <v>243.88</v>
      </c>
      <c r="GV121" s="52">
        <v>233.79</v>
      </c>
      <c r="GW121" s="52">
        <v>291.54000000000002</v>
      </c>
      <c r="GX121" s="52">
        <v>328.44</v>
      </c>
      <c r="GY121" s="52">
        <v>264.05</v>
      </c>
      <c r="GZ121" s="52">
        <v>262</v>
      </c>
      <c r="HA121" s="52">
        <v>210.19</v>
      </c>
      <c r="HB121" s="52">
        <v>233.57</v>
      </c>
      <c r="HC121" s="52">
        <v>205.14</v>
      </c>
      <c r="HD121" s="52">
        <v>188.26</v>
      </c>
      <c r="HE121" s="52">
        <v>113.38</v>
      </c>
      <c r="HF121" s="52">
        <v>120.11</v>
      </c>
      <c r="HG121" s="52">
        <v>154.34</v>
      </c>
      <c r="HH121" s="52">
        <v>177.87</v>
      </c>
      <c r="HI121" s="52">
        <v>89.31</v>
      </c>
      <c r="HJ121" s="52">
        <v>148.69</v>
      </c>
      <c r="HK121" s="52">
        <v>301.16000000000003</v>
      </c>
      <c r="HL121" s="52">
        <v>171.33</v>
      </c>
      <c r="HM121" s="52">
        <v>226.5</v>
      </c>
      <c r="HN121" s="52">
        <v>233.71</v>
      </c>
      <c r="HO121" s="52">
        <v>204.7</v>
      </c>
      <c r="HP121" s="52">
        <v>237.04</v>
      </c>
      <c r="HQ121" s="52">
        <v>145.97999999999999</v>
      </c>
      <c r="HR121" s="52">
        <v>214.79</v>
      </c>
      <c r="HS121" s="52">
        <v>375.93</v>
      </c>
      <c r="HT121" s="52">
        <v>224.58</v>
      </c>
      <c r="HU121" s="52">
        <v>98.88</v>
      </c>
      <c r="HV121" s="52">
        <v>163.81</v>
      </c>
      <c r="HW121" s="52">
        <v>119.38</v>
      </c>
      <c r="HX121" s="52">
        <v>107.92</v>
      </c>
      <c r="HY121" s="52">
        <v>209.54</v>
      </c>
      <c r="HZ121" s="52">
        <v>180.58</v>
      </c>
      <c r="IA121" s="52">
        <v>101.78</v>
      </c>
      <c r="IB121" s="52">
        <v>225.44</v>
      </c>
      <c r="IC121" s="52">
        <v>150.85</v>
      </c>
      <c r="ID121" s="52">
        <v>167.6</v>
      </c>
      <c r="IE121" s="52">
        <v>131.18</v>
      </c>
      <c r="IF121" s="52">
        <v>182.26</v>
      </c>
      <c r="IG121" s="52">
        <v>227.48</v>
      </c>
      <c r="IH121" s="52">
        <v>269.69</v>
      </c>
      <c r="II121" s="52">
        <v>318.43</v>
      </c>
      <c r="IJ121" s="52">
        <v>379.35</v>
      </c>
      <c r="IK121" s="52">
        <v>300.3</v>
      </c>
      <c r="IL121" s="52">
        <v>220.26</v>
      </c>
      <c r="IM121" s="52">
        <v>293.61</v>
      </c>
      <c r="IN121" s="52">
        <v>273.51</v>
      </c>
      <c r="IO121" s="52">
        <v>254.52</v>
      </c>
      <c r="IP121" s="52">
        <v>177.69</v>
      </c>
      <c r="IQ121" s="52">
        <v>250.24</v>
      </c>
      <c r="IR121" s="52">
        <v>326.02</v>
      </c>
      <c r="IS121" s="52">
        <v>320.18</v>
      </c>
      <c r="IT121" s="52">
        <v>43.36</v>
      </c>
      <c r="IU121" s="52">
        <v>138.36000000000001</v>
      </c>
      <c r="IV121" s="52">
        <v>36.76</v>
      </c>
      <c r="IW121" s="52">
        <v>87.99</v>
      </c>
      <c r="IX121" s="52">
        <v>149.71</v>
      </c>
      <c r="IY121" s="52">
        <v>199.69</v>
      </c>
      <c r="IZ121" s="52">
        <v>313.2</v>
      </c>
      <c r="JA121" s="52">
        <v>220.65</v>
      </c>
      <c r="JB121" s="52"/>
      <c r="JC121" s="52">
        <v>237.53</v>
      </c>
      <c r="JD121" s="52">
        <v>284.69</v>
      </c>
      <c r="JE121" s="52">
        <v>227.08</v>
      </c>
      <c r="JF121" s="52">
        <v>190.04</v>
      </c>
      <c r="JG121" s="52">
        <v>277.5</v>
      </c>
      <c r="JH121" s="52">
        <v>364.36</v>
      </c>
      <c r="JI121" s="52">
        <v>256.16000000000003</v>
      </c>
      <c r="JJ121" s="52">
        <v>204.23</v>
      </c>
      <c r="JK121" s="52">
        <v>333.97</v>
      </c>
      <c r="JL121" s="52">
        <v>302.55</v>
      </c>
      <c r="JM121" s="52">
        <v>286.05</v>
      </c>
      <c r="JN121" s="52">
        <v>200.4</v>
      </c>
      <c r="JO121" s="52">
        <v>190.13</v>
      </c>
      <c r="JP121" s="52">
        <v>355.3</v>
      </c>
      <c r="JQ121" s="52">
        <v>303.68</v>
      </c>
      <c r="JR121" s="52">
        <v>266.79000000000002</v>
      </c>
      <c r="JS121" s="52">
        <v>315.64999999999998</v>
      </c>
      <c r="JT121" s="52">
        <v>314.22000000000003</v>
      </c>
      <c r="JU121" s="52">
        <v>248.02</v>
      </c>
      <c r="JV121" s="52">
        <v>123.18</v>
      </c>
      <c r="JW121" s="52">
        <v>177.43</v>
      </c>
      <c r="JX121" s="52">
        <v>503.64</v>
      </c>
      <c r="JY121" s="52">
        <v>290.63</v>
      </c>
      <c r="JZ121" s="52">
        <v>252.76</v>
      </c>
      <c r="KA121" s="52">
        <v>275.41000000000003</v>
      </c>
      <c r="KB121" s="52">
        <v>251.12</v>
      </c>
      <c r="KC121" s="52">
        <v>240.19</v>
      </c>
      <c r="KD121" s="52">
        <v>260.33</v>
      </c>
      <c r="KE121" s="52">
        <v>332.94</v>
      </c>
      <c r="KF121" s="52">
        <v>314.11</v>
      </c>
    </row>
    <row r="122" spans="1:292" s="41" customFormat="1" ht="12">
      <c r="A122" s="41">
        <v>2014</v>
      </c>
      <c r="B122" s="54" t="s">
        <v>993</v>
      </c>
      <c r="C122" s="55" t="s">
        <v>994</v>
      </c>
      <c r="D122" s="56">
        <v>243.74</v>
      </c>
      <c r="E122" s="56">
        <v>264.95</v>
      </c>
      <c r="F122" s="56">
        <v>413.42</v>
      </c>
      <c r="G122" s="56">
        <v>158.79</v>
      </c>
      <c r="H122" s="56">
        <v>278.79000000000002</v>
      </c>
      <c r="I122" s="56">
        <v>192.36</v>
      </c>
      <c r="J122" s="56">
        <v>146.97999999999999</v>
      </c>
      <c r="K122" s="56">
        <v>239.97</v>
      </c>
      <c r="L122" s="56">
        <v>124.8</v>
      </c>
      <c r="M122" s="56">
        <v>176.5</v>
      </c>
      <c r="N122" s="56">
        <v>250.17</v>
      </c>
      <c r="O122" s="56">
        <v>344.98</v>
      </c>
      <c r="P122" s="56">
        <v>279.14</v>
      </c>
      <c r="Q122" s="56">
        <v>267.82</v>
      </c>
      <c r="R122" s="56">
        <v>226.02</v>
      </c>
      <c r="S122" s="56">
        <v>435.04</v>
      </c>
      <c r="T122" s="56">
        <v>411.65</v>
      </c>
      <c r="U122" s="56">
        <v>152.69999999999999</v>
      </c>
      <c r="V122" s="56">
        <v>177.23</v>
      </c>
      <c r="W122" s="56">
        <v>332.79</v>
      </c>
      <c r="X122" s="56">
        <v>203.36</v>
      </c>
      <c r="Y122" s="56">
        <v>245.19</v>
      </c>
      <c r="Z122" s="56">
        <v>280.37</v>
      </c>
      <c r="AA122" s="56">
        <v>221.34</v>
      </c>
      <c r="AB122" s="56">
        <v>188.79</v>
      </c>
      <c r="AC122" s="56">
        <v>145</v>
      </c>
      <c r="AD122" s="56">
        <v>206.88</v>
      </c>
      <c r="AE122" s="56">
        <v>225.9</v>
      </c>
      <c r="AF122" s="56">
        <v>196.46</v>
      </c>
      <c r="AG122" s="56">
        <v>102.64</v>
      </c>
      <c r="AH122" s="56">
        <v>179.35</v>
      </c>
      <c r="AI122" s="56">
        <v>226.98</v>
      </c>
      <c r="AJ122" s="56">
        <v>164.83</v>
      </c>
      <c r="AK122" s="56">
        <v>276.77999999999997</v>
      </c>
      <c r="AL122" s="56">
        <v>287.70999999999998</v>
      </c>
      <c r="AM122" s="56">
        <v>320.18</v>
      </c>
      <c r="AN122" s="56">
        <v>43.13</v>
      </c>
      <c r="AO122" s="56">
        <v>138.36000000000001</v>
      </c>
      <c r="AP122" s="56">
        <v>60.6</v>
      </c>
      <c r="AQ122" s="56">
        <v>203.99</v>
      </c>
      <c r="AR122" s="56">
        <v>291.79000000000002</v>
      </c>
      <c r="AS122" s="56">
        <v>244.8</v>
      </c>
      <c r="AT122" s="56">
        <v>275.22000000000003</v>
      </c>
      <c r="AU122" s="56">
        <v>324.06</v>
      </c>
      <c r="AV122" s="56">
        <v>305.95999999999998</v>
      </c>
      <c r="AW122" s="56">
        <v>289.02999999999997</v>
      </c>
      <c r="AX122" s="56">
        <v>215.35</v>
      </c>
      <c r="AY122" s="56">
        <v>191.07</v>
      </c>
      <c r="AZ122" s="56">
        <v>344.04</v>
      </c>
      <c r="BA122" s="56">
        <v>288.69</v>
      </c>
      <c r="BB122" s="56">
        <v>200.93</v>
      </c>
      <c r="BC122" s="56">
        <v>446.14</v>
      </c>
      <c r="BD122" s="56">
        <v>284.95</v>
      </c>
      <c r="BE122" s="56">
        <v>260.58999999999997</v>
      </c>
      <c r="BF122" s="56">
        <v>332.94</v>
      </c>
      <c r="BG122" s="56">
        <v>314.31</v>
      </c>
      <c r="BH122" s="52">
        <v>280.01</v>
      </c>
      <c r="BI122" s="52">
        <v>283.16000000000003</v>
      </c>
      <c r="BJ122" s="52">
        <v>228.76</v>
      </c>
      <c r="BK122" s="52">
        <v>261.37</v>
      </c>
      <c r="BL122" s="52">
        <v>230.05</v>
      </c>
      <c r="BM122" s="52">
        <v>244.31</v>
      </c>
      <c r="BN122" s="52">
        <v>272.48</v>
      </c>
      <c r="BO122" s="52">
        <v>217.18</v>
      </c>
      <c r="BP122" s="52">
        <v>273.60000000000002</v>
      </c>
      <c r="BQ122" s="52">
        <v>261.39</v>
      </c>
      <c r="BR122" s="52">
        <v>197.15</v>
      </c>
      <c r="BS122" s="52">
        <v>466.72</v>
      </c>
      <c r="BT122" s="52">
        <v>277.83</v>
      </c>
      <c r="BU122" s="52">
        <v>413.19</v>
      </c>
      <c r="BV122" s="52">
        <v>411.65</v>
      </c>
      <c r="BW122" s="52">
        <v>150.06</v>
      </c>
      <c r="BX122" s="52">
        <v>173.5</v>
      </c>
      <c r="BY122" s="52">
        <v>248.33</v>
      </c>
      <c r="BZ122" s="52">
        <v>176.62</v>
      </c>
      <c r="CA122" s="52">
        <v>279.75</v>
      </c>
      <c r="CB122" s="53">
        <v>332.79</v>
      </c>
      <c r="CC122" s="52">
        <v>203.36</v>
      </c>
      <c r="CD122" s="52">
        <v>244.25</v>
      </c>
      <c r="CE122" s="52">
        <v>233.79</v>
      </c>
      <c r="CF122" s="52">
        <v>318.99</v>
      </c>
      <c r="CG122" s="52">
        <v>269.73</v>
      </c>
      <c r="CH122" s="52">
        <v>226.9</v>
      </c>
      <c r="CI122" s="52">
        <v>204.79</v>
      </c>
      <c r="CJ122" s="52">
        <v>188.79</v>
      </c>
      <c r="CK122" s="52">
        <v>132.06</v>
      </c>
      <c r="CL122" s="52">
        <v>150.16</v>
      </c>
      <c r="CM122" s="52">
        <v>311.70999999999998</v>
      </c>
      <c r="CN122" s="52">
        <v>206.88</v>
      </c>
      <c r="CO122" s="52">
        <v>225.9</v>
      </c>
      <c r="CP122" s="52">
        <v>154.74</v>
      </c>
      <c r="CQ122" s="52">
        <v>371.2</v>
      </c>
      <c r="CR122" s="52">
        <v>98.88</v>
      </c>
      <c r="CS122" s="52">
        <v>164.76</v>
      </c>
      <c r="CT122" s="52">
        <v>118.7</v>
      </c>
      <c r="CU122" s="52">
        <v>209.8</v>
      </c>
      <c r="CV122" s="52">
        <v>182.27</v>
      </c>
      <c r="CW122" s="52">
        <v>111.95</v>
      </c>
      <c r="CX122" s="52">
        <v>226.98</v>
      </c>
      <c r="CY122" s="52">
        <v>165.3</v>
      </c>
      <c r="CZ122" s="52">
        <v>131.51</v>
      </c>
      <c r="DA122" s="52">
        <v>182.67</v>
      </c>
      <c r="DB122" s="52">
        <v>227.06</v>
      </c>
      <c r="DC122" s="52">
        <v>266.97000000000003</v>
      </c>
      <c r="DD122" s="52">
        <v>315.58</v>
      </c>
      <c r="DE122" s="52">
        <v>374.51</v>
      </c>
      <c r="DF122" s="52">
        <v>276.82</v>
      </c>
      <c r="DG122" s="52">
        <v>291.70999999999998</v>
      </c>
      <c r="DH122" s="52">
        <v>177.82</v>
      </c>
      <c r="DI122" s="52">
        <v>250.24</v>
      </c>
      <c r="DJ122" s="52">
        <v>328.42</v>
      </c>
      <c r="DK122" s="52">
        <v>320.18</v>
      </c>
      <c r="DL122" s="52">
        <v>43.13</v>
      </c>
      <c r="DM122" s="52">
        <v>138.36000000000001</v>
      </c>
      <c r="DN122" s="52">
        <v>36.6</v>
      </c>
      <c r="DO122" s="52">
        <v>87.15</v>
      </c>
      <c r="DP122" s="52">
        <v>150.19</v>
      </c>
      <c r="DQ122" s="52">
        <v>203.99</v>
      </c>
      <c r="DR122" s="52">
        <v>320.20999999999998</v>
      </c>
      <c r="DS122" s="52">
        <v>222.89</v>
      </c>
      <c r="DT122" s="52"/>
      <c r="DU122" s="52">
        <v>237.64</v>
      </c>
      <c r="DV122" s="52">
        <v>294.07</v>
      </c>
      <c r="DW122" s="52">
        <v>198.42</v>
      </c>
      <c r="DX122" s="52">
        <v>277.5</v>
      </c>
      <c r="DY122" s="52">
        <v>355.42</v>
      </c>
      <c r="DZ122" s="52">
        <v>256.16000000000003</v>
      </c>
      <c r="EA122" s="52">
        <v>210.04</v>
      </c>
      <c r="EB122" s="52">
        <v>324.06</v>
      </c>
      <c r="EC122" s="52">
        <v>305.95999999999998</v>
      </c>
      <c r="ED122" s="52">
        <v>289.02999999999997</v>
      </c>
      <c r="EE122" s="52">
        <v>215.35</v>
      </c>
      <c r="EF122" s="52">
        <v>191.07</v>
      </c>
      <c r="EG122" s="52">
        <v>344.04</v>
      </c>
      <c r="EH122" s="52">
        <v>288.69</v>
      </c>
      <c r="EI122" s="52">
        <v>283.81</v>
      </c>
      <c r="EJ122" s="52">
        <v>123.95</v>
      </c>
      <c r="EK122" s="52">
        <v>179.03</v>
      </c>
      <c r="EL122" s="52">
        <v>493</v>
      </c>
      <c r="EM122" s="52">
        <v>287.58999999999997</v>
      </c>
      <c r="EN122" s="52">
        <v>284.95</v>
      </c>
      <c r="EO122" s="52">
        <v>250.12</v>
      </c>
      <c r="EP122" s="52">
        <v>240.19</v>
      </c>
      <c r="EQ122" s="52">
        <v>255.96</v>
      </c>
      <c r="ER122" s="52">
        <v>332.94</v>
      </c>
      <c r="ES122" s="52">
        <v>314.31</v>
      </c>
      <c r="ET122" s="52">
        <v>337.79</v>
      </c>
      <c r="EU122" s="52">
        <v>252.71</v>
      </c>
      <c r="EV122" s="52">
        <v>294.2</v>
      </c>
      <c r="EW122" s="52">
        <v>245.16</v>
      </c>
      <c r="EX122" s="52">
        <v>259.43</v>
      </c>
      <c r="EY122" s="52">
        <v>177.8</v>
      </c>
      <c r="EZ122" s="52">
        <v>291.55</v>
      </c>
      <c r="FA122" s="52">
        <v>293.93</v>
      </c>
      <c r="FB122" s="52">
        <v>243.23</v>
      </c>
      <c r="FC122" s="52">
        <v>302.52999999999997</v>
      </c>
      <c r="FD122" s="52">
        <v>263.20999999999998</v>
      </c>
      <c r="FE122" s="52">
        <v>228.76</v>
      </c>
      <c r="FF122" s="52"/>
      <c r="FG122" s="52">
        <v>204.94</v>
      </c>
      <c r="FH122" s="52">
        <v>218.89</v>
      </c>
      <c r="FI122" s="52">
        <v>288.08</v>
      </c>
      <c r="FJ122" s="52">
        <v>340.21</v>
      </c>
      <c r="FK122" s="52">
        <v>360.4</v>
      </c>
      <c r="FL122" s="52">
        <v>231.9</v>
      </c>
      <c r="FM122" s="52">
        <v>213.96</v>
      </c>
      <c r="FN122" s="52">
        <v>209.36</v>
      </c>
      <c r="FO122" s="52">
        <v>429.94</v>
      </c>
      <c r="FP122" s="52">
        <v>243.1</v>
      </c>
      <c r="FQ122" s="52">
        <v>321.81</v>
      </c>
      <c r="FR122" s="52">
        <v>415.94</v>
      </c>
      <c r="FS122" s="52">
        <v>269.11</v>
      </c>
      <c r="FT122" s="52">
        <v>200.98</v>
      </c>
      <c r="FU122" s="52">
        <v>303.49</v>
      </c>
      <c r="FV122" s="52">
        <v>218.07</v>
      </c>
      <c r="FW122" s="52">
        <v>156.41999999999999</v>
      </c>
      <c r="FX122" s="52">
        <v>273.60000000000002</v>
      </c>
      <c r="FY122" s="52">
        <v>272.38</v>
      </c>
      <c r="FZ122" s="52">
        <v>260.04000000000002</v>
      </c>
      <c r="GA122" s="52">
        <v>224.32</v>
      </c>
      <c r="GB122" s="52">
        <v>207.18</v>
      </c>
      <c r="GC122" s="52">
        <v>193.4</v>
      </c>
      <c r="GD122" s="52">
        <v>183.14</v>
      </c>
      <c r="GE122" s="52">
        <v>466.72</v>
      </c>
      <c r="GF122" s="52">
        <v>277.83</v>
      </c>
      <c r="GG122" s="52">
        <v>413.19</v>
      </c>
      <c r="GH122" s="52">
        <v>410.97</v>
      </c>
      <c r="GI122" s="52">
        <v>158.96</v>
      </c>
      <c r="GJ122" s="52">
        <v>144.15</v>
      </c>
      <c r="GK122" s="52">
        <v>142.18</v>
      </c>
      <c r="GL122" s="52">
        <v>191.04</v>
      </c>
      <c r="GM122" s="52">
        <v>173.5</v>
      </c>
      <c r="GN122" s="52">
        <v>248.33</v>
      </c>
      <c r="GO122" s="52">
        <v>176.11</v>
      </c>
      <c r="GP122" s="52">
        <v>174.46</v>
      </c>
      <c r="GQ122" s="52">
        <v>182.8</v>
      </c>
      <c r="GR122" s="52">
        <v>279.75</v>
      </c>
      <c r="GS122" s="52">
        <v>332.79</v>
      </c>
      <c r="GT122" s="52">
        <v>203.36</v>
      </c>
      <c r="GU122" s="52">
        <v>244.25</v>
      </c>
      <c r="GV122" s="52">
        <v>233.79</v>
      </c>
      <c r="GW122" s="52">
        <v>291.74</v>
      </c>
      <c r="GX122" s="52">
        <v>326.52</v>
      </c>
      <c r="GY122" s="52">
        <v>269.73</v>
      </c>
      <c r="GZ122" s="52">
        <v>263.94</v>
      </c>
      <c r="HA122" s="52">
        <v>208.89</v>
      </c>
      <c r="HB122" s="52">
        <v>234.62</v>
      </c>
      <c r="HC122" s="52">
        <v>204.79</v>
      </c>
      <c r="HD122" s="52">
        <v>188.79</v>
      </c>
      <c r="HE122" s="52">
        <v>113.42</v>
      </c>
      <c r="HF122" s="52">
        <v>119.99</v>
      </c>
      <c r="HG122" s="52">
        <v>153.51</v>
      </c>
      <c r="HH122" s="52">
        <v>177.64</v>
      </c>
      <c r="HI122" s="52">
        <v>91.98</v>
      </c>
      <c r="HJ122" s="52">
        <v>150.16</v>
      </c>
      <c r="HK122" s="52">
        <v>311.70999999999998</v>
      </c>
      <c r="HL122" s="52">
        <v>172.95</v>
      </c>
      <c r="HM122" s="52">
        <v>227.54</v>
      </c>
      <c r="HN122" s="52">
        <v>235.05</v>
      </c>
      <c r="HO122" s="52">
        <v>206.13</v>
      </c>
      <c r="HP122" s="52">
        <v>239.08</v>
      </c>
      <c r="HQ122" s="52">
        <v>146.44</v>
      </c>
      <c r="HR122" s="52">
        <v>217.76</v>
      </c>
      <c r="HS122" s="52">
        <v>378.54</v>
      </c>
      <c r="HT122" s="52">
        <v>225.8</v>
      </c>
      <c r="HU122" s="52">
        <v>98.88</v>
      </c>
      <c r="HV122" s="52">
        <v>164.76</v>
      </c>
      <c r="HW122" s="52">
        <v>119.41</v>
      </c>
      <c r="HX122" s="52">
        <v>109.18</v>
      </c>
      <c r="HY122" s="52">
        <v>209.8</v>
      </c>
      <c r="HZ122" s="52">
        <v>182.27</v>
      </c>
      <c r="IA122" s="52">
        <v>102.26</v>
      </c>
      <c r="IB122" s="52">
        <v>226.98</v>
      </c>
      <c r="IC122" s="52">
        <v>151.1</v>
      </c>
      <c r="ID122" s="52">
        <v>167.33</v>
      </c>
      <c r="IE122" s="52">
        <v>131.51</v>
      </c>
      <c r="IF122" s="52">
        <v>182.67</v>
      </c>
      <c r="IG122" s="52">
        <v>227.06</v>
      </c>
      <c r="IH122" s="52">
        <v>266.97000000000003</v>
      </c>
      <c r="II122" s="52">
        <v>315.58</v>
      </c>
      <c r="IJ122" s="52">
        <v>374.51</v>
      </c>
      <c r="IK122" s="52">
        <v>311.95999999999998</v>
      </c>
      <c r="IL122" s="52">
        <v>220.34</v>
      </c>
      <c r="IM122" s="52">
        <v>301.10000000000002</v>
      </c>
      <c r="IN122" s="52">
        <v>278.68</v>
      </c>
      <c r="IO122" s="52">
        <v>255.13</v>
      </c>
      <c r="IP122" s="52">
        <v>177.82</v>
      </c>
      <c r="IQ122" s="52">
        <v>250.24</v>
      </c>
      <c r="IR122" s="52">
        <v>328.42</v>
      </c>
      <c r="IS122" s="52">
        <v>320.18</v>
      </c>
      <c r="IT122" s="52">
        <v>43.13</v>
      </c>
      <c r="IU122" s="52">
        <v>138.36000000000001</v>
      </c>
      <c r="IV122" s="52">
        <v>36.619999999999997</v>
      </c>
      <c r="IW122" s="52">
        <v>87.15</v>
      </c>
      <c r="IX122" s="52">
        <v>150.19</v>
      </c>
      <c r="IY122" s="52">
        <v>203.99</v>
      </c>
      <c r="IZ122" s="52">
        <v>320.20999999999998</v>
      </c>
      <c r="JA122" s="52">
        <v>222.89</v>
      </c>
      <c r="JB122" s="52"/>
      <c r="JC122" s="52">
        <v>237.64</v>
      </c>
      <c r="JD122" s="52">
        <v>294.07</v>
      </c>
      <c r="JE122" s="52">
        <v>229.62</v>
      </c>
      <c r="JF122" s="52">
        <v>190.63</v>
      </c>
      <c r="JG122" s="52">
        <v>277.5</v>
      </c>
      <c r="JH122" s="52">
        <v>355.42</v>
      </c>
      <c r="JI122" s="52">
        <v>256.16000000000003</v>
      </c>
      <c r="JJ122" s="52">
        <v>210.04</v>
      </c>
      <c r="JK122" s="52">
        <v>324.06</v>
      </c>
      <c r="JL122" s="52">
        <v>305.95999999999998</v>
      </c>
      <c r="JM122" s="52">
        <v>289.02999999999997</v>
      </c>
      <c r="JN122" s="52">
        <v>215.35</v>
      </c>
      <c r="JO122" s="52">
        <v>191.07</v>
      </c>
      <c r="JP122" s="52">
        <v>359.91</v>
      </c>
      <c r="JQ122" s="52">
        <v>307.57</v>
      </c>
      <c r="JR122" s="52">
        <v>266.63</v>
      </c>
      <c r="JS122" s="52">
        <v>321.05</v>
      </c>
      <c r="JT122" s="52">
        <v>318.31</v>
      </c>
      <c r="JU122" s="52">
        <v>250.46</v>
      </c>
      <c r="JV122" s="52">
        <v>123.95</v>
      </c>
      <c r="JW122" s="52">
        <v>179.03</v>
      </c>
      <c r="JX122" s="52">
        <v>493</v>
      </c>
      <c r="JY122" s="52">
        <v>306.10000000000002</v>
      </c>
      <c r="JZ122" s="52">
        <v>254.7</v>
      </c>
      <c r="KA122" s="52">
        <v>284.95</v>
      </c>
      <c r="KB122" s="52">
        <v>250.12</v>
      </c>
      <c r="KC122" s="52">
        <v>240.19</v>
      </c>
      <c r="KD122" s="52">
        <v>255.96</v>
      </c>
      <c r="KE122" s="52">
        <v>332.94</v>
      </c>
      <c r="KF122" s="52">
        <v>314.31</v>
      </c>
    </row>
    <row r="123" spans="1:292" s="41" customFormat="1" ht="12">
      <c r="A123" s="41">
        <v>2014</v>
      </c>
      <c r="B123" s="54" t="s">
        <v>995</v>
      </c>
      <c r="C123" s="55" t="s">
        <v>996</v>
      </c>
      <c r="D123" s="56">
        <v>248.37</v>
      </c>
      <c r="E123" s="56">
        <v>271.97000000000003</v>
      </c>
      <c r="F123" s="56">
        <v>413.41</v>
      </c>
      <c r="G123" s="56">
        <v>174.59</v>
      </c>
      <c r="H123" s="56">
        <v>286.99</v>
      </c>
      <c r="I123" s="56">
        <v>192.75</v>
      </c>
      <c r="J123" s="56">
        <v>148.01</v>
      </c>
      <c r="K123" s="56">
        <v>239.53</v>
      </c>
      <c r="L123" s="56">
        <v>124.68</v>
      </c>
      <c r="M123" s="56">
        <v>176.55</v>
      </c>
      <c r="N123" s="56">
        <v>251.47</v>
      </c>
      <c r="O123" s="56">
        <v>347.96</v>
      </c>
      <c r="P123" s="56">
        <v>281.20999999999998</v>
      </c>
      <c r="Q123" s="56">
        <v>275.22000000000003</v>
      </c>
      <c r="R123" s="56">
        <v>228.54</v>
      </c>
      <c r="S123" s="56">
        <v>434.9</v>
      </c>
      <c r="T123" s="56">
        <v>411.65</v>
      </c>
      <c r="U123" s="56">
        <v>168.61</v>
      </c>
      <c r="V123" s="56">
        <v>192.3</v>
      </c>
      <c r="W123" s="56">
        <v>335.33</v>
      </c>
      <c r="X123" s="56">
        <v>204.35</v>
      </c>
      <c r="Y123" s="56">
        <v>248.81</v>
      </c>
      <c r="Z123" s="56">
        <v>296.70999999999998</v>
      </c>
      <c r="AA123" s="56">
        <v>222.37</v>
      </c>
      <c r="AB123" s="56">
        <v>185.75</v>
      </c>
      <c r="AC123" s="56">
        <v>145.08000000000001</v>
      </c>
      <c r="AD123" s="56">
        <v>208.94</v>
      </c>
      <c r="AE123" s="56">
        <v>227.52</v>
      </c>
      <c r="AF123" s="56">
        <v>197.17</v>
      </c>
      <c r="AG123" s="56">
        <v>102.75</v>
      </c>
      <c r="AH123" s="56">
        <v>180.27</v>
      </c>
      <c r="AI123" s="56">
        <v>232.38</v>
      </c>
      <c r="AJ123" s="56">
        <v>164.74</v>
      </c>
      <c r="AK123" s="56">
        <v>273.73</v>
      </c>
      <c r="AL123" s="56">
        <v>290.44</v>
      </c>
      <c r="AM123" s="56">
        <v>320.18</v>
      </c>
      <c r="AN123" s="56">
        <v>42.14</v>
      </c>
      <c r="AO123" s="56">
        <v>138.55000000000001</v>
      </c>
      <c r="AP123" s="56">
        <v>60.62</v>
      </c>
      <c r="AQ123" s="56">
        <v>207.6</v>
      </c>
      <c r="AR123" s="56">
        <v>294.8</v>
      </c>
      <c r="AS123" s="56">
        <v>248.4</v>
      </c>
      <c r="AT123" s="56">
        <v>276.12</v>
      </c>
      <c r="AU123" s="56">
        <v>311.89999999999998</v>
      </c>
      <c r="AV123" s="56">
        <v>307.20999999999998</v>
      </c>
      <c r="AW123" s="56">
        <v>290.52</v>
      </c>
      <c r="AX123" s="56">
        <v>215.35</v>
      </c>
      <c r="AY123" s="56">
        <v>194.89</v>
      </c>
      <c r="AZ123" s="56">
        <v>347.19</v>
      </c>
      <c r="BA123" s="56">
        <v>289.83</v>
      </c>
      <c r="BB123" s="56">
        <v>202.51</v>
      </c>
      <c r="BC123" s="56">
        <v>452.03</v>
      </c>
      <c r="BD123" s="56">
        <v>286.07</v>
      </c>
      <c r="BE123" s="56">
        <v>260.89999999999998</v>
      </c>
      <c r="BF123" s="56">
        <v>332.94</v>
      </c>
      <c r="BG123" s="56">
        <v>314.36</v>
      </c>
      <c r="BH123" s="52">
        <v>282.70999999999998</v>
      </c>
      <c r="BI123" s="52">
        <v>280.36</v>
      </c>
      <c r="BJ123" s="52">
        <v>223.64</v>
      </c>
      <c r="BK123" s="52">
        <v>261.39</v>
      </c>
      <c r="BL123" s="52">
        <v>231.3</v>
      </c>
      <c r="BM123" s="52">
        <v>245.29</v>
      </c>
      <c r="BN123" s="52">
        <v>316.55</v>
      </c>
      <c r="BO123" s="52">
        <v>218.66</v>
      </c>
      <c r="BP123" s="52">
        <v>276.20999999999998</v>
      </c>
      <c r="BQ123" s="52">
        <v>265.92</v>
      </c>
      <c r="BR123" s="52">
        <v>198.57</v>
      </c>
      <c r="BS123" s="52">
        <v>466.64</v>
      </c>
      <c r="BT123" s="52">
        <v>277.49</v>
      </c>
      <c r="BU123" s="52">
        <v>413.05</v>
      </c>
      <c r="BV123" s="52">
        <v>411.65</v>
      </c>
      <c r="BW123" s="52">
        <v>166.64</v>
      </c>
      <c r="BX123" s="52">
        <v>182.43</v>
      </c>
      <c r="BY123" s="52">
        <v>251.29</v>
      </c>
      <c r="BZ123" s="52">
        <v>191.76</v>
      </c>
      <c r="CA123" s="52">
        <v>281.83999999999997</v>
      </c>
      <c r="CB123" s="53">
        <v>335.33</v>
      </c>
      <c r="CC123" s="52">
        <v>204.35</v>
      </c>
      <c r="CD123" s="52">
        <v>247.86</v>
      </c>
      <c r="CE123" s="52">
        <v>254.9</v>
      </c>
      <c r="CF123" s="52">
        <v>333.3</v>
      </c>
      <c r="CG123" s="52">
        <v>272.42</v>
      </c>
      <c r="CH123" s="52">
        <v>227.74</v>
      </c>
      <c r="CI123" s="52">
        <v>207.69</v>
      </c>
      <c r="CJ123" s="52">
        <v>185.75</v>
      </c>
      <c r="CK123" s="52">
        <v>131.87</v>
      </c>
      <c r="CL123" s="52">
        <v>151.69</v>
      </c>
      <c r="CM123" s="52">
        <v>315.67</v>
      </c>
      <c r="CN123" s="52">
        <v>208.94</v>
      </c>
      <c r="CO123" s="52">
        <v>227.52</v>
      </c>
      <c r="CP123" s="52">
        <v>155.65</v>
      </c>
      <c r="CQ123" s="52">
        <v>371.26</v>
      </c>
      <c r="CR123" s="52">
        <v>98.88</v>
      </c>
      <c r="CS123" s="52">
        <v>166.59</v>
      </c>
      <c r="CT123" s="52">
        <v>118.86</v>
      </c>
      <c r="CU123" s="52">
        <v>210.26</v>
      </c>
      <c r="CV123" s="52">
        <v>183.58</v>
      </c>
      <c r="CW123" s="52">
        <v>112.68</v>
      </c>
      <c r="CX123" s="52">
        <v>232.38</v>
      </c>
      <c r="CY123" s="52">
        <v>165.17</v>
      </c>
      <c r="CZ123" s="52">
        <v>132.83000000000001</v>
      </c>
      <c r="DA123" s="52">
        <v>182.22</v>
      </c>
      <c r="DB123" s="52">
        <v>227.58</v>
      </c>
      <c r="DC123" s="52">
        <v>262.97000000000003</v>
      </c>
      <c r="DD123" s="52">
        <v>316.44</v>
      </c>
      <c r="DE123" s="52">
        <v>373.69</v>
      </c>
      <c r="DF123" s="52">
        <v>276.82</v>
      </c>
      <c r="DG123" s="52">
        <v>294.94</v>
      </c>
      <c r="DH123" s="52">
        <v>177.3</v>
      </c>
      <c r="DI123" s="52">
        <v>250.24</v>
      </c>
      <c r="DJ123" s="52">
        <v>327.96</v>
      </c>
      <c r="DK123" s="52">
        <v>320.18</v>
      </c>
      <c r="DL123" s="52">
        <v>42.14</v>
      </c>
      <c r="DM123" s="52">
        <v>138.55000000000001</v>
      </c>
      <c r="DN123" s="52">
        <v>36.58</v>
      </c>
      <c r="DO123" s="52">
        <v>87.36</v>
      </c>
      <c r="DP123" s="52">
        <v>150.19</v>
      </c>
      <c r="DQ123" s="52">
        <v>207.6</v>
      </c>
      <c r="DR123" s="52">
        <v>323.35000000000002</v>
      </c>
      <c r="DS123" s="52">
        <v>225.94</v>
      </c>
      <c r="DT123" s="52"/>
      <c r="DU123" s="52">
        <v>237.91</v>
      </c>
      <c r="DV123" s="52">
        <v>300.73</v>
      </c>
      <c r="DW123" s="52">
        <v>199.78</v>
      </c>
      <c r="DX123" s="52">
        <v>277.5</v>
      </c>
      <c r="DY123" s="52">
        <v>355.79</v>
      </c>
      <c r="DZ123" s="52">
        <v>256.16000000000003</v>
      </c>
      <c r="EA123" s="52">
        <v>211.9</v>
      </c>
      <c r="EB123" s="52">
        <v>311.89999999999998</v>
      </c>
      <c r="EC123" s="52">
        <v>307.20999999999998</v>
      </c>
      <c r="ED123" s="52">
        <v>290.52</v>
      </c>
      <c r="EE123" s="52">
        <v>215.35</v>
      </c>
      <c r="EF123" s="52">
        <v>194.89</v>
      </c>
      <c r="EG123" s="52">
        <v>347.19</v>
      </c>
      <c r="EH123" s="52">
        <v>289.83</v>
      </c>
      <c r="EI123" s="52">
        <v>286.73</v>
      </c>
      <c r="EJ123" s="52">
        <v>124.65</v>
      </c>
      <c r="EK123" s="52">
        <v>180.23</v>
      </c>
      <c r="EL123" s="52">
        <v>498.73</v>
      </c>
      <c r="EM123" s="52">
        <v>292.06</v>
      </c>
      <c r="EN123" s="52">
        <v>286.07</v>
      </c>
      <c r="EO123" s="52">
        <v>252.12</v>
      </c>
      <c r="EP123" s="52">
        <v>240.19</v>
      </c>
      <c r="EQ123" s="52">
        <v>256.08</v>
      </c>
      <c r="ER123" s="52">
        <v>332.94</v>
      </c>
      <c r="ES123" s="52">
        <v>314.36</v>
      </c>
      <c r="ET123" s="52">
        <v>335.41</v>
      </c>
      <c r="EU123" s="52">
        <v>254.74</v>
      </c>
      <c r="EV123" s="52">
        <v>298.37</v>
      </c>
      <c r="EW123" s="52">
        <v>246.5</v>
      </c>
      <c r="EX123" s="52">
        <v>264.52999999999997</v>
      </c>
      <c r="EY123" s="52">
        <v>178.74</v>
      </c>
      <c r="EZ123" s="52">
        <v>290.66000000000003</v>
      </c>
      <c r="FA123" s="52">
        <v>292.86</v>
      </c>
      <c r="FB123" s="52">
        <v>231.4</v>
      </c>
      <c r="FC123" s="52">
        <v>304.63</v>
      </c>
      <c r="FD123" s="52">
        <v>271.38</v>
      </c>
      <c r="FE123" s="52">
        <v>223.64</v>
      </c>
      <c r="FF123" s="52"/>
      <c r="FG123" s="52">
        <v>206.77</v>
      </c>
      <c r="FH123" s="52">
        <v>220.92</v>
      </c>
      <c r="FI123" s="52">
        <v>289.55</v>
      </c>
      <c r="FJ123" s="52">
        <v>329.11</v>
      </c>
      <c r="FK123" s="52">
        <v>364.69</v>
      </c>
      <c r="FL123" s="52">
        <v>228.08</v>
      </c>
      <c r="FM123" s="52">
        <v>215.43</v>
      </c>
      <c r="FN123" s="52">
        <v>207.69</v>
      </c>
      <c r="FO123" s="52">
        <v>445.09</v>
      </c>
      <c r="FP123" s="52">
        <v>301.82</v>
      </c>
      <c r="FQ123" s="52">
        <v>366.25</v>
      </c>
      <c r="FR123" s="52">
        <v>414.78</v>
      </c>
      <c r="FS123" s="52">
        <v>273.74</v>
      </c>
      <c r="FT123" s="52">
        <v>201.44</v>
      </c>
      <c r="FU123" s="52">
        <v>309.97000000000003</v>
      </c>
      <c r="FV123" s="52">
        <v>218.55</v>
      </c>
      <c r="FW123" s="52">
        <v>156.97999999999999</v>
      </c>
      <c r="FX123" s="52">
        <v>276.20999999999998</v>
      </c>
      <c r="FY123" s="52">
        <v>272.94</v>
      </c>
      <c r="FZ123" s="52">
        <v>265.25</v>
      </c>
      <c r="GA123" s="52">
        <v>224.93</v>
      </c>
      <c r="GB123" s="52">
        <v>207.39</v>
      </c>
      <c r="GC123" s="52">
        <v>195.27</v>
      </c>
      <c r="GD123" s="52">
        <v>186.22</v>
      </c>
      <c r="GE123" s="52">
        <v>466.64</v>
      </c>
      <c r="GF123" s="52">
        <v>277.49</v>
      </c>
      <c r="GG123" s="52">
        <v>413.05</v>
      </c>
      <c r="GH123" s="52">
        <v>410.97</v>
      </c>
      <c r="GI123" s="52">
        <v>174.25</v>
      </c>
      <c r="GJ123" s="52">
        <v>162.72</v>
      </c>
      <c r="GK123" s="52">
        <v>156.43</v>
      </c>
      <c r="GL123" s="52">
        <v>202.37</v>
      </c>
      <c r="GM123" s="52">
        <v>182.43</v>
      </c>
      <c r="GN123" s="52">
        <v>251.29</v>
      </c>
      <c r="GO123" s="52">
        <v>191.93</v>
      </c>
      <c r="GP123" s="52">
        <v>190.94</v>
      </c>
      <c r="GQ123" s="52">
        <v>193.33</v>
      </c>
      <c r="GR123" s="52">
        <v>281.83999999999997</v>
      </c>
      <c r="GS123" s="52">
        <v>335.33</v>
      </c>
      <c r="GT123" s="52">
        <v>204.35</v>
      </c>
      <c r="GU123" s="52">
        <v>247.86</v>
      </c>
      <c r="GV123" s="52">
        <v>254.9</v>
      </c>
      <c r="GW123" s="52">
        <v>314.04000000000002</v>
      </c>
      <c r="GX123" s="52">
        <v>327.39</v>
      </c>
      <c r="GY123" s="52">
        <v>272.42</v>
      </c>
      <c r="GZ123" s="52">
        <v>266.44</v>
      </c>
      <c r="HA123" s="52">
        <v>209.93</v>
      </c>
      <c r="HB123" s="52">
        <v>234.86</v>
      </c>
      <c r="HC123" s="52">
        <v>207.69</v>
      </c>
      <c r="HD123" s="52">
        <v>185.75</v>
      </c>
      <c r="HE123" s="52">
        <v>112.7</v>
      </c>
      <c r="HF123" s="52">
        <v>119.07</v>
      </c>
      <c r="HG123" s="52">
        <v>155.01</v>
      </c>
      <c r="HH123" s="52">
        <v>178.82</v>
      </c>
      <c r="HI123" s="52">
        <v>92.26</v>
      </c>
      <c r="HJ123" s="52">
        <v>151.69</v>
      </c>
      <c r="HK123" s="52">
        <v>315.67</v>
      </c>
      <c r="HL123" s="52">
        <v>174.91</v>
      </c>
      <c r="HM123" s="52">
        <v>228.86</v>
      </c>
      <c r="HN123" s="52">
        <v>237.29</v>
      </c>
      <c r="HO123" s="52">
        <v>206.36</v>
      </c>
      <c r="HP123" s="52">
        <v>242.71</v>
      </c>
      <c r="HQ123" s="52">
        <v>147.13</v>
      </c>
      <c r="HR123" s="52">
        <v>220.06</v>
      </c>
      <c r="HS123" s="52">
        <v>378.5</v>
      </c>
      <c r="HT123" s="52">
        <v>226.68</v>
      </c>
      <c r="HU123" s="52">
        <v>98.88</v>
      </c>
      <c r="HV123" s="52">
        <v>166.59</v>
      </c>
      <c r="HW123" s="52">
        <v>119.41</v>
      </c>
      <c r="HX123" s="52">
        <v>109.57</v>
      </c>
      <c r="HY123" s="52">
        <v>210.26</v>
      </c>
      <c r="HZ123" s="52">
        <v>183.58</v>
      </c>
      <c r="IA123" s="52">
        <v>102.93</v>
      </c>
      <c r="IB123" s="52">
        <v>232.38</v>
      </c>
      <c r="IC123" s="52">
        <v>150.78</v>
      </c>
      <c r="ID123" s="52">
        <v>167.5</v>
      </c>
      <c r="IE123" s="52">
        <v>132.83000000000001</v>
      </c>
      <c r="IF123" s="52">
        <v>182.22</v>
      </c>
      <c r="IG123" s="52">
        <v>227.58</v>
      </c>
      <c r="IH123" s="52">
        <v>262.97000000000003</v>
      </c>
      <c r="II123" s="52">
        <v>316.44</v>
      </c>
      <c r="IJ123" s="52">
        <v>373.69</v>
      </c>
      <c r="IK123" s="52">
        <v>311.95999999999998</v>
      </c>
      <c r="IL123" s="52">
        <v>220.34</v>
      </c>
      <c r="IM123" s="52">
        <v>305.68</v>
      </c>
      <c r="IN123" s="52">
        <v>284.47000000000003</v>
      </c>
      <c r="IO123" s="52">
        <v>254.02</v>
      </c>
      <c r="IP123" s="52">
        <v>177.3</v>
      </c>
      <c r="IQ123" s="52">
        <v>250.24</v>
      </c>
      <c r="IR123" s="52">
        <v>327.96</v>
      </c>
      <c r="IS123" s="52">
        <v>320.18</v>
      </c>
      <c r="IT123" s="52">
        <v>42.14</v>
      </c>
      <c r="IU123" s="52">
        <v>138.55000000000001</v>
      </c>
      <c r="IV123" s="52">
        <v>36.6</v>
      </c>
      <c r="IW123" s="52">
        <v>87.36</v>
      </c>
      <c r="IX123" s="52">
        <v>150.19</v>
      </c>
      <c r="IY123" s="52">
        <v>207.6</v>
      </c>
      <c r="IZ123" s="52">
        <v>323.35000000000002</v>
      </c>
      <c r="JA123" s="52">
        <v>225.94</v>
      </c>
      <c r="JB123" s="52"/>
      <c r="JC123" s="52">
        <v>237.91</v>
      </c>
      <c r="JD123" s="52">
        <v>300.73</v>
      </c>
      <c r="JE123" s="52">
        <v>232.35</v>
      </c>
      <c r="JF123" s="52">
        <v>191.76</v>
      </c>
      <c r="JG123" s="52">
        <v>277.5</v>
      </c>
      <c r="JH123" s="52">
        <v>355.79</v>
      </c>
      <c r="JI123" s="52">
        <v>256.16000000000003</v>
      </c>
      <c r="JJ123" s="52">
        <v>211.9</v>
      </c>
      <c r="JK123" s="52">
        <v>311.89999999999998</v>
      </c>
      <c r="JL123" s="52">
        <v>307.20999999999998</v>
      </c>
      <c r="JM123" s="52">
        <v>290.52</v>
      </c>
      <c r="JN123" s="52">
        <v>215.35</v>
      </c>
      <c r="JO123" s="52">
        <v>194.89</v>
      </c>
      <c r="JP123" s="52">
        <v>362.82</v>
      </c>
      <c r="JQ123" s="52">
        <v>311.68</v>
      </c>
      <c r="JR123" s="52">
        <v>267.88</v>
      </c>
      <c r="JS123" s="52">
        <v>321.82</v>
      </c>
      <c r="JT123" s="52">
        <v>320.58999999999997</v>
      </c>
      <c r="JU123" s="52">
        <v>253.95</v>
      </c>
      <c r="JV123" s="52">
        <v>124.65</v>
      </c>
      <c r="JW123" s="52">
        <v>180.23</v>
      </c>
      <c r="JX123" s="52">
        <v>498.73</v>
      </c>
      <c r="JY123" s="52">
        <v>309.61</v>
      </c>
      <c r="JZ123" s="52">
        <v>260.60000000000002</v>
      </c>
      <c r="KA123" s="52">
        <v>286.07</v>
      </c>
      <c r="KB123" s="52">
        <v>252.12</v>
      </c>
      <c r="KC123" s="52">
        <v>240.19</v>
      </c>
      <c r="KD123" s="52">
        <v>256.08</v>
      </c>
      <c r="KE123" s="52">
        <v>332.94</v>
      </c>
      <c r="KF123" s="52">
        <v>314.36</v>
      </c>
    </row>
    <row r="124" spans="1:292" s="41" customFormat="1" ht="12">
      <c r="A124" s="41">
        <v>2014</v>
      </c>
      <c r="B124" s="54" t="s">
        <v>997</v>
      </c>
      <c r="C124" s="55" t="s">
        <v>998</v>
      </c>
      <c r="D124" s="56">
        <v>248.82</v>
      </c>
      <c r="E124" s="56">
        <v>272.63</v>
      </c>
      <c r="F124" s="56">
        <v>413.42</v>
      </c>
      <c r="G124" s="56">
        <v>181.76</v>
      </c>
      <c r="H124" s="56">
        <v>287.58</v>
      </c>
      <c r="I124" s="56">
        <v>194.41</v>
      </c>
      <c r="J124" s="56">
        <v>148.35</v>
      </c>
      <c r="K124" s="56">
        <v>235.25</v>
      </c>
      <c r="L124" s="56">
        <v>124.52</v>
      </c>
      <c r="M124" s="56">
        <v>174.22</v>
      </c>
      <c r="N124" s="56">
        <v>252.09</v>
      </c>
      <c r="O124" s="56">
        <v>350.15</v>
      </c>
      <c r="P124" s="56">
        <v>280.94</v>
      </c>
      <c r="Q124" s="56">
        <v>275.79000000000002</v>
      </c>
      <c r="R124" s="56">
        <v>230.26</v>
      </c>
      <c r="S124" s="56">
        <v>435.12</v>
      </c>
      <c r="T124" s="56">
        <v>411.65</v>
      </c>
      <c r="U124" s="56">
        <v>176.06</v>
      </c>
      <c r="V124" s="56">
        <v>198.25</v>
      </c>
      <c r="W124" s="56">
        <v>336.95</v>
      </c>
      <c r="X124" s="56">
        <v>205.25</v>
      </c>
      <c r="Y124" s="56">
        <v>251.87</v>
      </c>
      <c r="Z124" s="56">
        <v>295.52</v>
      </c>
      <c r="AA124" s="56">
        <v>224.21</v>
      </c>
      <c r="AB124" s="56">
        <v>185.74</v>
      </c>
      <c r="AC124" s="56">
        <v>146.84</v>
      </c>
      <c r="AD124" s="56">
        <v>210.35</v>
      </c>
      <c r="AE124" s="56">
        <v>229.04</v>
      </c>
      <c r="AF124" s="56">
        <v>199.02</v>
      </c>
      <c r="AG124" s="56">
        <v>102.67</v>
      </c>
      <c r="AH124" s="56">
        <v>180.66</v>
      </c>
      <c r="AI124" s="56">
        <v>234.25</v>
      </c>
      <c r="AJ124" s="56">
        <v>163.84</v>
      </c>
      <c r="AK124" s="56">
        <v>264.88</v>
      </c>
      <c r="AL124" s="56">
        <v>286.64999999999998</v>
      </c>
      <c r="AM124" s="56">
        <v>320.18</v>
      </c>
      <c r="AN124" s="56">
        <v>41.55</v>
      </c>
      <c r="AO124" s="56">
        <v>138.55000000000001</v>
      </c>
      <c r="AP124" s="56">
        <v>60.55</v>
      </c>
      <c r="AQ124" s="56">
        <v>210</v>
      </c>
      <c r="AR124" s="56">
        <v>296.68</v>
      </c>
      <c r="AS124" s="56">
        <v>248.7</v>
      </c>
      <c r="AT124" s="56">
        <v>275.7</v>
      </c>
      <c r="AU124" s="56">
        <v>283.04000000000002</v>
      </c>
      <c r="AV124" s="56">
        <v>307.63</v>
      </c>
      <c r="AW124" s="56">
        <v>291.81</v>
      </c>
      <c r="AX124" s="56">
        <v>215.35</v>
      </c>
      <c r="AY124" s="56">
        <v>195.5</v>
      </c>
      <c r="AZ124" s="56">
        <v>350</v>
      </c>
      <c r="BA124" s="56">
        <v>287.3</v>
      </c>
      <c r="BB124" s="56">
        <v>203.88</v>
      </c>
      <c r="BC124" s="56">
        <v>440.5</v>
      </c>
      <c r="BD124" s="56">
        <v>287.10000000000002</v>
      </c>
      <c r="BE124" s="56">
        <v>260.88</v>
      </c>
      <c r="BF124" s="56">
        <v>332.94</v>
      </c>
      <c r="BG124" s="56">
        <v>314.43</v>
      </c>
      <c r="BH124" s="52">
        <v>286.33999999999997</v>
      </c>
      <c r="BI124" s="52">
        <v>279.19</v>
      </c>
      <c r="BJ124" s="52">
        <v>220.58</v>
      </c>
      <c r="BK124" s="52">
        <v>260.12</v>
      </c>
      <c r="BL124" s="52">
        <v>232.13</v>
      </c>
      <c r="BM124" s="52">
        <v>238.23</v>
      </c>
      <c r="BN124" s="52">
        <v>322.22000000000003</v>
      </c>
      <c r="BO124" s="52">
        <v>220.19</v>
      </c>
      <c r="BP124" s="52">
        <v>277.77</v>
      </c>
      <c r="BQ124" s="52">
        <v>270.81</v>
      </c>
      <c r="BR124" s="52">
        <v>198.69</v>
      </c>
      <c r="BS124" s="52">
        <v>466.23</v>
      </c>
      <c r="BT124" s="52">
        <v>278.26</v>
      </c>
      <c r="BU124" s="52">
        <v>413.63</v>
      </c>
      <c r="BV124" s="52">
        <v>411.65</v>
      </c>
      <c r="BW124" s="52">
        <v>174.44</v>
      </c>
      <c r="BX124" s="52">
        <v>185.59</v>
      </c>
      <c r="BY124" s="52">
        <v>253.02</v>
      </c>
      <c r="BZ124" s="52">
        <v>197.72</v>
      </c>
      <c r="CA124" s="52">
        <v>285.39</v>
      </c>
      <c r="CB124" s="53">
        <v>336.95</v>
      </c>
      <c r="CC124" s="52">
        <v>205.25</v>
      </c>
      <c r="CD124" s="52">
        <v>250.9</v>
      </c>
      <c r="CE124" s="52">
        <v>254.9</v>
      </c>
      <c r="CF124" s="52">
        <v>327.71</v>
      </c>
      <c r="CG124" s="52">
        <v>275.38</v>
      </c>
      <c r="CH124" s="52">
        <v>229.66</v>
      </c>
      <c r="CI124" s="52">
        <v>209.08</v>
      </c>
      <c r="CJ124" s="52">
        <v>185.74</v>
      </c>
      <c r="CK124" s="52">
        <v>133.55000000000001</v>
      </c>
      <c r="CL124" s="52">
        <v>153.63</v>
      </c>
      <c r="CM124" s="52">
        <v>317.05</v>
      </c>
      <c r="CN124" s="52">
        <v>210.35</v>
      </c>
      <c r="CO124" s="52">
        <v>229.04</v>
      </c>
      <c r="CP124" s="52">
        <v>156.36000000000001</v>
      </c>
      <c r="CQ124" s="52">
        <v>377.47</v>
      </c>
      <c r="CR124" s="52">
        <v>98.88</v>
      </c>
      <c r="CS124" s="52">
        <v>168.26</v>
      </c>
      <c r="CT124" s="52">
        <v>117.97</v>
      </c>
      <c r="CU124" s="52">
        <v>210.62</v>
      </c>
      <c r="CV124" s="52">
        <v>184.07</v>
      </c>
      <c r="CW124" s="52">
        <v>112.91</v>
      </c>
      <c r="CX124" s="52">
        <v>234.25</v>
      </c>
      <c r="CY124" s="52">
        <v>164.21</v>
      </c>
      <c r="CZ124" s="52">
        <v>133.99</v>
      </c>
      <c r="DA124" s="52">
        <v>182.32</v>
      </c>
      <c r="DB124" s="52">
        <v>227.87</v>
      </c>
      <c r="DC124" s="52">
        <v>251.27</v>
      </c>
      <c r="DD124" s="52">
        <v>318.79000000000002</v>
      </c>
      <c r="DE124" s="52">
        <v>375.05</v>
      </c>
      <c r="DF124" s="52">
        <v>277.49</v>
      </c>
      <c r="DG124" s="52">
        <v>293.14999999999998</v>
      </c>
      <c r="DH124" s="52">
        <v>158.82</v>
      </c>
      <c r="DI124" s="52">
        <v>250.24</v>
      </c>
      <c r="DJ124" s="52">
        <v>326.66000000000003</v>
      </c>
      <c r="DK124" s="52">
        <v>320.18</v>
      </c>
      <c r="DL124" s="52">
        <v>41.55</v>
      </c>
      <c r="DM124" s="52">
        <v>138.55000000000001</v>
      </c>
      <c r="DN124" s="52">
        <v>36.46</v>
      </c>
      <c r="DO124" s="52">
        <v>87.32</v>
      </c>
      <c r="DP124" s="52">
        <v>151.79</v>
      </c>
      <c r="DQ124" s="52">
        <v>210</v>
      </c>
      <c r="DR124" s="52">
        <v>324.95999999999998</v>
      </c>
      <c r="DS124" s="52">
        <v>228.62</v>
      </c>
      <c r="DT124" s="52"/>
      <c r="DU124" s="52">
        <v>238.44</v>
      </c>
      <c r="DV124" s="52">
        <v>301.02</v>
      </c>
      <c r="DW124" s="52">
        <v>200.15</v>
      </c>
      <c r="DX124" s="52">
        <v>277.5</v>
      </c>
      <c r="DY124" s="52">
        <v>353.55</v>
      </c>
      <c r="DZ124" s="52">
        <v>256.16000000000003</v>
      </c>
      <c r="EA124" s="52">
        <v>212.8</v>
      </c>
      <c r="EB124" s="52">
        <v>283.04000000000002</v>
      </c>
      <c r="EC124" s="52">
        <v>307.63</v>
      </c>
      <c r="ED124" s="52">
        <v>291.81</v>
      </c>
      <c r="EE124" s="52">
        <v>215.35</v>
      </c>
      <c r="EF124" s="52">
        <v>195.5</v>
      </c>
      <c r="EG124" s="52">
        <v>350</v>
      </c>
      <c r="EH124" s="52">
        <v>287.3</v>
      </c>
      <c r="EI124" s="52">
        <v>288.18</v>
      </c>
      <c r="EJ124" s="52">
        <v>124.63</v>
      </c>
      <c r="EK124" s="52">
        <v>181.64</v>
      </c>
      <c r="EL124" s="52">
        <v>475.4</v>
      </c>
      <c r="EM124" s="52">
        <v>293.83999999999997</v>
      </c>
      <c r="EN124" s="52">
        <v>287.10000000000002</v>
      </c>
      <c r="EO124" s="52">
        <v>252.28</v>
      </c>
      <c r="EP124" s="52">
        <v>240.19</v>
      </c>
      <c r="EQ124" s="52">
        <v>256.02</v>
      </c>
      <c r="ER124" s="52">
        <v>332.94</v>
      </c>
      <c r="ES124" s="52">
        <v>314.43</v>
      </c>
      <c r="ET124" s="52">
        <v>342.33</v>
      </c>
      <c r="EU124" s="52">
        <v>257.62</v>
      </c>
      <c r="EV124" s="52">
        <v>302.75</v>
      </c>
      <c r="EW124" s="52">
        <v>247.94</v>
      </c>
      <c r="EX124" s="52">
        <v>269.37</v>
      </c>
      <c r="EY124" s="52">
        <v>178.73</v>
      </c>
      <c r="EZ124" s="52">
        <v>292.38</v>
      </c>
      <c r="FA124" s="52">
        <v>292.13</v>
      </c>
      <c r="FB124" s="52">
        <v>222.59</v>
      </c>
      <c r="FC124" s="52">
        <v>308.06</v>
      </c>
      <c r="FD124" s="52">
        <v>276.3</v>
      </c>
      <c r="FE124" s="52">
        <v>220.58</v>
      </c>
      <c r="FF124" s="52"/>
      <c r="FG124" s="52">
        <v>209.9</v>
      </c>
      <c r="FH124" s="52">
        <v>223.07</v>
      </c>
      <c r="FI124" s="52">
        <v>290.52999999999997</v>
      </c>
      <c r="FJ124" s="52">
        <v>307.31</v>
      </c>
      <c r="FK124" s="52">
        <v>371.12</v>
      </c>
      <c r="FL124" s="52">
        <v>225.38</v>
      </c>
      <c r="FM124" s="52">
        <v>215.93</v>
      </c>
      <c r="FN124" s="52">
        <v>198.18</v>
      </c>
      <c r="FO124" s="52">
        <v>451.23</v>
      </c>
      <c r="FP124" s="52">
        <v>306.51</v>
      </c>
      <c r="FQ124" s="52">
        <v>377.3</v>
      </c>
      <c r="FR124" s="52">
        <v>420.21</v>
      </c>
      <c r="FS124" s="52">
        <v>278.58999999999997</v>
      </c>
      <c r="FT124" s="52">
        <v>201.44</v>
      </c>
      <c r="FU124" s="52">
        <v>318.95999999999998</v>
      </c>
      <c r="FV124" s="52">
        <v>219.93</v>
      </c>
      <c r="FW124" s="52">
        <v>154.91999999999999</v>
      </c>
      <c r="FX124" s="52">
        <v>277.77</v>
      </c>
      <c r="FY124" s="52">
        <v>273.55</v>
      </c>
      <c r="FZ124" s="52">
        <v>270.89</v>
      </c>
      <c r="GA124" s="52">
        <v>224.94</v>
      </c>
      <c r="GB124" s="52">
        <v>208.09</v>
      </c>
      <c r="GC124" s="52">
        <v>195</v>
      </c>
      <c r="GD124" s="52">
        <v>186</v>
      </c>
      <c r="GE124" s="52">
        <v>466.23</v>
      </c>
      <c r="GF124" s="52">
        <v>278.26</v>
      </c>
      <c r="GG124" s="52">
        <v>413.63</v>
      </c>
      <c r="GH124" s="52">
        <v>410.97</v>
      </c>
      <c r="GI124" s="52">
        <v>182.06</v>
      </c>
      <c r="GJ124" s="52">
        <v>171.32</v>
      </c>
      <c r="GK124" s="52">
        <v>162.31</v>
      </c>
      <c r="GL124" s="52">
        <v>206.16</v>
      </c>
      <c r="GM124" s="52">
        <v>185.59</v>
      </c>
      <c r="GN124" s="52">
        <v>253.02</v>
      </c>
      <c r="GO124" s="52">
        <v>194.76</v>
      </c>
      <c r="GP124" s="52">
        <v>201.18</v>
      </c>
      <c r="GQ124" s="52">
        <v>197.56</v>
      </c>
      <c r="GR124" s="52">
        <v>285.39</v>
      </c>
      <c r="GS124" s="52">
        <v>336.95</v>
      </c>
      <c r="GT124" s="52">
        <v>205.25</v>
      </c>
      <c r="GU124" s="52">
        <v>250.9</v>
      </c>
      <c r="GV124" s="52">
        <v>254.9</v>
      </c>
      <c r="GW124" s="52">
        <v>314.67</v>
      </c>
      <c r="GX124" s="52">
        <v>313.08</v>
      </c>
      <c r="GY124" s="52">
        <v>275.38</v>
      </c>
      <c r="GZ124" s="52">
        <v>268.10000000000002</v>
      </c>
      <c r="HA124" s="52">
        <v>212.93</v>
      </c>
      <c r="HB124" s="52">
        <v>236.18</v>
      </c>
      <c r="HC124" s="52">
        <v>209.08</v>
      </c>
      <c r="HD124" s="52">
        <v>185.74</v>
      </c>
      <c r="HE124" s="52">
        <v>114</v>
      </c>
      <c r="HF124" s="52">
        <v>122.51</v>
      </c>
      <c r="HG124" s="52">
        <v>154.74</v>
      </c>
      <c r="HH124" s="52">
        <v>181.1</v>
      </c>
      <c r="HI124" s="52">
        <v>90.54</v>
      </c>
      <c r="HJ124" s="52">
        <v>153.63</v>
      </c>
      <c r="HK124" s="52">
        <v>317.05</v>
      </c>
      <c r="HL124" s="52">
        <v>176.06</v>
      </c>
      <c r="HM124" s="52">
        <v>230.06</v>
      </c>
      <c r="HN124" s="52">
        <v>238.97</v>
      </c>
      <c r="HO124" s="52">
        <v>207.34</v>
      </c>
      <c r="HP124" s="52">
        <v>244.94</v>
      </c>
      <c r="HQ124" s="52">
        <v>147.66999999999999</v>
      </c>
      <c r="HR124" s="52">
        <v>221.96</v>
      </c>
      <c r="HS124" s="52">
        <v>385.14</v>
      </c>
      <c r="HT124" s="52">
        <v>227.65</v>
      </c>
      <c r="HU124" s="52">
        <v>98.88</v>
      </c>
      <c r="HV124" s="52">
        <v>168.26</v>
      </c>
      <c r="HW124" s="52">
        <v>119.36</v>
      </c>
      <c r="HX124" s="52">
        <v>107.51</v>
      </c>
      <c r="HY124" s="52">
        <v>210.62</v>
      </c>
      <c r="HZ124" s="52">
        <v>184.07</v>
      </c>
      <c r="IA124" s="52">
        <v>103.14</v>
      </c>
      <c r="IB124" s="52">
        <v>234.25</v>
      </c>
      <c r="IC124" s="52">
        <v>149.47</v>
      </c>
      <c r="ID124" s="52">
        <v>167.05</v>
      </c>
      <c r="IE124" s="52">
        <v>133.99</v>
      </c>
      <c r="IF124" s="52">
        <v>182.32</v>
      </c>
      <c r="IG124" s="52">
        <v>227.87</v>
      </c>
      <c r="IH124" s="52">
        <v>251.27</v>
      </c>
      <c r="II124" s="52">
        <v>318.79000000000002</v>
      </c>
      <c r="IJ124" s="52">
        <v>375.05</v>
      </c>
      <c r="IK124" s="52">
        <v>313.31</v>
      </c>
      <c r="IL124" s="52">
        <v>220.34</v>
      </c>
      <c r="IM124" s="52">
        <v>305.66000000000003</v>
      </c>
      <c r="IN124" s="52">
        <v>285.58</v>
      </c>
      <c r="IO124" s="52">
        <v>247</v>
      </c>
      <c r="IP124" s="52">
        <v>158.82</v>
      </c>
      <c r="IQ124" s="52">
        <v>250.24</v>
      </c>
      <c r="IR124" s="52">
        <v>326.66000000000003</v>
      </c>
      <c r="IS124" s="52">
        <v>320.18</v>
      </c>
      <c r="IT124" s="52">
        <v>41.55</v>
      </c>
      <c r="IU124" s="52">
        <v>138.55000000000001</v>
      </c>
      <c r="IV124" s="52">
        <v>36.479999999999997</v>
      </c>
      <c r="IW124" s="52">
        <v>87.32</v>
      </c>
      <c r="IX124" s="52">
        <v>151.79</v>
      </c>
      <c r="IY124" s="52">
        <v>210</v>
      </c>
      <c r="IZ124" s="52">
        <v>324.95999999999998</v>
      </c>
      <c r="JA124" s="52">
        <v>228.62</v>
      </c>
      <c r="JB124" s="52"/>
      <c r="JC124" s="52">
        <v>238.44</v>
      </c>
      <c r="JD124" s="52">
        <v>301.02</v>
      </c>
      <c r="JE124" s="52">
        <v>232.56</v>
      </c>
      <c r="JF124" s="52">
        <v>192.15</v>
      </c>
      <c r="JG124" s="52">
        <v>277.5</v>
      </c>
      <c r="JH124" s="52">
        <v>353.55</v>
      </c>
      <c r="JI124" s="52">
        <v>256.16000000000003</v>
      </c>
      <c r="JJ124" s="52">
        <v>212.8</v>
      </c>
      <c r="JK124" s="52">
        <v>283.04000000000002</v>
      </c>
      <c r="JL124" s="52">
        <v>307.63</v>
      </c>
      <c r="JM124" s="52">
        <v>291.81</v>
      </c>
      <c r="JN124" s="52">
        <v>215.35</v>
      </c>
      <c r="JO124" s="52">
        <v>195.5</v>
      </c>
      <c r="JP124" s="52">
        <v>365.47</v>
      </c>
      <c r="JQ124" s="52">
        <v>315.12</v>
      </c>
      <c r="JR124" s="52">
        <v>264.5</v>
      </c>
      <c r="JS124" s="52">
        <v>321.64999999999998</v>
      </c>
      <c r="JT124" s="52">
        <v>322.05</v>
      </c>
      <c r="JU124" s="52">
        <v>255.38</v>
      </c>
      <c r="JV124" s="52">
        <v>124.63</v>
      </c>
      <c r="JW124" s="52">
        <v>181.64</v>
      </c>
      <c r="JX124" s="52">
        <v>475.4</v>
      </c>
      <c r="JY124" s="52">
        <v>311.10000000000002</v>
      </c>
      <c r="JZ124" s="52">
        <v>262.8</v>
      </c>
      <c r="KA124" s="52">
        <v>287.10000000000002</v>
      </c>
      <c r="KB124" s="52">
        <v>252.28</v>
      </c>
      <c r="KC124" s="52">
        <v>240.19</v>
      </c>
      <c r="KD124" s="52">
        <v>256.02</v>
      </c>
      <c r="KE124" s="52">
        <v>332.94</v>
      </c>
      <c r="KF124" s="52">
        <v>314.43</v>
      </c>
    </row>
    <row r="125" spans="1:292" s="41" customFormat="1" ht="12">
      <c r="A125" s="41">
        <v>2014</v>
      </c>
      <c r="B125" s="54" t="s">
        <v>999</v>
      </c>
      <c r="C125" s="55" t="s">
        <v>1000</v>
      </c>
      <c r="D125" s="56">
        <v>247.72</v>
      </c>
      <c r="E125" s="56">
        <v>272.64</v>
      </c>
      <c r="F125" s="56">
        <v>413.37</v>
      </c>
      <c r="G125" s="56">
        <v>175.02</v>
      </c>
      <c r="H125" s="56">
        <v>287.95</v>
      </c>
      <c r="I125" s="56">
        <v>194.64</v>
      </c>
      <c r="J125" s="56">
        <v>148.54</v>
      </c>
      <c r="K125" s="56">
        <v>231.07</v>
      </c>
      <c r="L125" s="56">
        <v>124.38</v>
      </c>
      <c r="M125" s="56">
        <v>174.21</v>
      </c>
      <c r="N125" s="56">
        <v>252.11</v>
      </c>
      <c r="O125" s="56">
        <v>351.95</v>
      </c>
      <c r="P125" s="56">
        <v>283.14999999999998</v>
      </c>
      <c r="Q125" s="56">
        <v>275.74</v>
      </c>
      <c r="R125" s="56">
        <v>230.8</v>
      </c>
      <c r="S125" s="56">
        <v>434.26</v>
      </c>
      <c r="T125" s="56">
        <v>411.65</v>
      </c>
      <c r="U125" s="56">
        <v>168.65</v>
      </c>
      <c r="V125" s="56">
        <v>194.09</v>
      </c>
      <c r="W125" s="56">
        <v>338.72</v>
      </c>
      <c r="X125" s="56">
        <v>205.99</v>
      </c>
      <c r="Y125" s="56">
        <v>251.27</v>
      </c>
      <c r="Z125" s="56">
        <v>295.19</v>
      </c>
      <c r="AA125" s="56">
        <v>224.92</v>
      </c>
      <c r="AB125" s="56">
        <v>185.26</v>
      </c>
      <c r="AC125" s="56">
        <v>146.61000000000001</v>
      </c>
      <c r="AD125" s="56">
        <v>211.69</v>
      </c>
      <c r="AE125" s="56">
        <v>230.52</v>
      </c>
      <c r="AF125" s="56">
        <v>199.11</v>
      </c>
      <c r="AG125" s="56">
        <v>102.68</v>
      </c>
      <c r="AH125" s="56">
        <v>180.95</v>
      </c>
      <c r="AI125" s="56">
        <v>234.88</v>
      </c>
      <c r="AJ125" s="56">
        <v>162.88999999999999</v>
      </c>
      <c r="AK125" s="56">
        <v>253.79</v>
      </c>
      <c r="AL125" s="56">
        <v>286.62</v>
      </c>
      <c r="AM125" s="56">
        <v>320.18</v>
      </c>
      <c r="AN125" s="56">
        <v>41.04</v>
      </c>
      <c r="AO125" s="56">
        <v>138.55000000000001</v>
      </c>
      <c r="AP125" s="56">
        <v>60.54</v>
      </c>
      <c r="AQ125" s="56">
        <v>211.71</v>
      </c>
      <c r="AR125" s="56">
        <v>299.22000000000003</v>
      </c>
      <c r="AS125" s="56">
        <v>246.07</v>
      </c>
      <c r="AT125" s="56">
        <v>281.56</v>
      </c>
      <c r="AU125" s="56">
        <v>278.88</v>
      </c>
      <c r="AV125" s="56">
        <v>307.83999999999997</v>
      </c>
      <c r="AW125" s="56">
        <v>291.99</v>
      </c>
      <c r="AX125" s="56">
        <v>215.35</v>
      </c>
      <c r="AY125" s="56">
        <v>194.89</v>
      </c>
      <c r="AZ125" s="56">
        <v>352.53</v>
      </c>
      <c r="BA125" s="56">
        <v>283.58</v>
      </c>
      <c r="BB125" s="56">
        <v>204.88</v>
      </c>
      <c r="BC125" s="56">
        <v>451.46</v>
      </c>
      <c r="BD125" s="56">
        <v>287.81</v>
      </c>
      <c r="BE125" s="56">
        <v>261.27</v>
      </c>
      <c r="BF125" s="56">
        <v>332.94</v>
      </c>
      <c r="BG125" s="56">
        <v>314.52</v>
      </c>
      <c r="BH125" s="52">
        <v>287.81</v>
      </c>
      <c r="BI125" s="52">
        <v>279.39</v>
      </c>
      <c r="BJ125" s="52">
        <v>236.18</v>
      </c>
      <c r="BK125" s="52">
        <v>263.14</v>
      </c>
      <c r="BL125" s="52">
        <v>233.02</v>
      </c>
      <c r="BM125" s="52">
        <v>231</v>
      </c>
      <c r="BN125" s="52">
        <v>320.10000000000002</v>
      </c>
      <c r="BO125" s="52">
        <v>220.7</v>
      </c>
      <c r="BP125" s="52">
        <v>278.73</v>
      </c>
      <c r="BQ125" s="52">
        <v>273.95</v>
      </c>
      <c r="BR125" s="52">
        <v>197.94</v>
      </c>
      <c r="BS125" s="52">
        <v>465.08</v>
      </c>
      <c r="BT125" s="52">
        <v>275.57</v>
      </c>
      <c r="BU125" s="52">
        <v>413.33</v>
      </c>
      <c r="BV125" s="52">
        <v>411.65</v>
      </c>
      <c r="BW125" s="52">
        <v>166.6</v>
      </c>
      <c r="BX125" s="52">
        <v>183.03</v>
      </c>
      <c r="BY125" s="52">
        <v>254</v>
      </c>
      <c r="BZ125" s="52">
        <v>193.52</v>
      </c>
      <c r="CA125" s="52">
        <v>289.19</v>
      </c>
      <c r="CB125" s="53">
        <v>338.72</v>
      </c>
      <c r="CC125" s="52">
        <v>205.99</v>
      </c>
      <c r="CD125" s="52">
        <v>250.31</v>
      </c>
      <c r="CE125" s="52">
        <v>254.9</v>
      </c>
      <c r="CF125" s="52">
        <v>325.16000000000003</v>
      </c>
      <c r="CG125" s="52">
        <v>277.79000000000002</v>
      </c>
      <c r="CH125" s="52">
        <v>230.43</v>
      </c>
      <c r="CI125" s="52">
        <v>209.39</v>
      </c>
      <c r="CJ125" s="52">
        <v>185.26</v>
      </c>
      <c r="CK125" s="52">
        <v>133.22999999999999</v>
      </c>
      <c r="CL125" s="52">
        <v>154.08000000000001</v>
      </c>
      <c r="CM125" s="52">
        <v>317.83</v>
      </c>
      <c r="CN125" s="52">
        <v>211.69</v>
      </c>
      <c r="CO125" s="52">
        <v>230.52</v>
      </c>
      <c r="CP125" s="52">
        <v>157.19999999999999</v>
      </c>
      <c r="CQ125" s="52">
        <v>374.84</v>
      </c>
      <c r="CR125" s="52">
        <v>98.88</v>
      </c>
      <c r="CS125" s="52">
        <v>168.85</v>
      </c>
      <c r="CT125" s="52">
        <v>117.89</v>
      </c>
      <c r="CU125" s="52">
        <v>210.98</v>
      </c>
      <c r="CV125" s="52">
        <v>184.35</v>
      </c>
      <c r="CW125" s="52">
        <v>113.08</v>
      </c>
      <c r="CX125" s="52">
        <v>234.88</v>
      </c>
      <c r="CY125" s="52">
        <v>163.19999999999999</v>
      </c>
      <c r="CZ125" s="52">
        <v>134.88</v>
      </c>
      <c r="DA125" s="52">
        <v>182.76</v>
      </c>
      <c r="DB125" s="52">
        <v>228.29</v>
      </c>
      <c r="DC125" s="52">
        <v>237.18</v>
      </c>
      <c r="DD125" s="52">
        <v>317.58</v>
      </c>
      <c r="DE125" s="52">
        <v>377.11</v>
      </c>
      <c r="DF125" s="52">
        <v>277.49</v>
      </c>
      <c r="DG125" s="52">
        <v>293.08</v>
      </c>
      <c r="DH125" s="52">
        <v>158.47</v>
      </c>
      <c r="DI125" s="52">
        <v>250.24</v>
      </c>
      <c r="DJ125" s="52">
        <v>330.2</v>
      </c>
      <c r="DK125" s="52">
        <v>320.18</v>
      </c>
      <c r="DL125" s="52">
        <v>41.04</v>
      </c>
      <c r="DM125" s="52">
        <v>138.55000000000001</v>
      </c>
      <c r="DN125" s="52">
        <v>36.24</v>
      </c>
      <c r="DO125" s="52">
        <v>88</v>
      </c>
      <c r="DP125" s="52">
        <v>153.41</v>
      </c>
      <c r="DQ125" s="52">
        <v>211.71</v>
      </c>
      <c r="DR125" s="52">
        <v>327.19</v>
      </c>
      <c r="DS125" s="52">
        <v>232.2</v>
      </c>
      <c r="DT125" s="52"/>
      <c r="DU125" s="52">
        <v>238.84</v>
      </c>
      <c r="DV125" s="52">
        <v>295.02999999999997</v>
      </c>
      <c r="DW125" s="52">
        <v>200.16</v>
      </c>
      <c r="DX125" s="52">
        <v>277.5</v>
      </c>
      <c r="DY125" s="52">
        <v>368.31</v>
      </c>
      <c r="DZ125" s="52">
        <v>257.31</v>
      </c>
      <c r="EA125" s="52">
        <v>213.66</v>
      </c>
      <c r="EB125" s="52">
        <v>278.88</v>
      </c>
      <c r="EC125" s="52">
        <v>307.83999999999997</v>
      </c>
      <c r="ED125" s="52">
        <v>291.99</v>
      </c>
      <c r="EE125" s="52">
        <v>215.35</v>
      </c>
      <c r="EF125" s="52">
        <v>194.89</v>
      </c>
      <c r="EG125" s="52">
        <v>352.53</v>
      </c>
      <c r="EH125" s="52">
        <v>283.58</v>
      </c>
      <c r="EI125" s="52">
        <v>290.52</v>
      </c>
      <c r="EJ125" s="52">
        <v>125.44</v>
      </c>
      <c r="EK125" s="52">
        <v>182.22</v>
      </c>
      <c r="EL125" s="52">
        <v>493.63</v>
      </c>
      <c r="EM125" s="52">
        <v>295.58999999999997</v>
      </c>
      <c r="EN125" s="52">
        <v>287.81</v>
      </c>
      <c r="EO125" s="52">
        <v>252.17</v>
      </c>
      <c r="EP125" s="52">
        <v>240.19</v>
      </c>
      <c r="EQ125" s="52">
        <v>256.63</v>
      </c>
      <c r="ER125" s="52">
        <v>332.94</v>
      </c>
      <c r="ES125" s="52">
        <v>314.52</v>
      </c>
      <c r="ET125" s="52">
        <v>346.09</v>
      </c>
      <c r="EU125" s="52">
        <v>259.77</v>
      </c>
      <c r="EV125" s="52">
        <v>303.52999999999997</v>
      </c>
      <c r="EW125" s="52">
        <v>249.86</v>
      </c>
      <c r="EX125" s="52">
        <v>268.99</v>
      </c>
      <c r="EY125" s="52">
        <v>179.82</v>
      </c>
      <c r="EZ125" s="52">
        <v>295.52999999999997</v>
      </c>
      <c r="FA125" s="52">
        <v>289.72000000000003</v>
      </c>
      <c r="FB125" s="52">
        <v>219.65</v>
      </c>
      <c r="FC125" s="52">
        <v>310.64999999999998</v>
      </c>
      <c r="FD125" s="52">
        <v>276.37</v>
      </c>
      <c r="FE125" s="52">
        <v>236.18</v>
      </c>
      <c r="FF125" s="52"/>
      <c r="FG125" s="52">
        <v>212.9</v>
      </c>
      <c r="FH125" s="52">
        <v>223.01</v>
      </c>
      <c r="FI125" s="52">
        <v>290.08999999999997</v>
      </c>
      <c r="FJ125" s="52">
        <v>325.45</v>
      </c>
      <c r="FK125" s="52">
        <v>376.03</v>
      </c>
      <c r="FL125" s="52">
        <v>224.65</v>
      </c>
      <c r="FM125" s="52">
        <v>216.47</v>
      </c>
      <c r="FN125" s="52">
        <v>188.58</v>
      </c>
      <c r="FO125" s="52">
        <v>456.77</v>
      </c>
      <c r="FP125" s="52">
        <v>304</v>
      </c>
      <c r="FQ125" s="52">
        <v>367.51</v>
      </c>
      <c r="FR125" s="52">
        <v>420.93</v>
      </c>
      <c r="FS125" s="52">
        <v>282.11</v>
      </c>
      <c r="FT125" s="52">
        <v>201.82</v>
      </c>
      <c r="FU125" s="52">
        <v>320.20999999999998</v>
      </c>
      <c r="FV125" s="52">
        <v>219.59</v>
      </c>
      <c r="FW125" s="52">
        <v>156.38999999999999</v>
      </c>
      <c r="FX125" s="52">
        <v>278.73</v>
      </c>
      <c r="FY125" s="52">
        <v>271.42</v>
      </c>
      <c r="FZ125" s="52">
        <v>274.91000000000003</v>
      </c>
      <c r="GA125" s="52">
        <v>224.3</v>
      </c>
      <c r="GB125" s="52">
        <v>208.25</v>
      </c>
      <c r="GC125" s="52">
        <v>193.25</v>
      </c>
      <c r="GD125" s="52">
        <v>185.78</v>
      </c>
      <c r="GE125" s="52">
        <v>465.08</v>
      </c>
      <c r="GF125" s="52">
        <v>275.57</v>
      </c>
      <c r="GG125" s="52">
        <v>413.33</v>
      </c>
      <c r="GH125" s="52">
        <v>410.97</v>
      </c>
      <c r="GI125" s="52">
        <v>176.6</v>
      </c>
      <c r="GJ125" s="52">
        <v>160.69</v>
      </c>
      <c r="GK125" s="52">
        <v>156.44999999999999</v>
      </c>
      <c r="GL125" s="52">
        <v>204.33</v>
      </c>
      <c r="GM125" s="52">
        <v>183.03</v>
      </c>
      <c r="GN125" s="52">
        <v>254</v>
      </c>
      <c r="GO125" s="52">
        <v>191.9</v>
      </c>
      <c r="GP125" s="52">
        <v>194.96</v>
      </c>
      <c r="GQ125" s="52">
        <v>194.47</v>
      </c>
      <c r="GR125" s="52">
        <v>289.19</v>
      </c>
      <c r="GS125" s="52">
        <v>338.72</v>
      </c>
      <c r="GT125" s="52">
        <v>205.99</v>
      </c>
      <c r="GU125" s="52">
        <v>250.31</v>
      </c>
      <c r="GV125" s="52">
        <v>254.9</v>
      </c>
      <c r="GW125" s="52">
        <v>314.85000000000002</v>
      </c>
      <c r="GX125" s="52">
        <v>306.7</v>
      </c>
      <c r="GY125" s="52">
        <v>277.79000000000002</v>
      </c>
      <c r="GZ125" s="52">
        <v>270.22000000000003</v>
      </c>
      <c r="HA125" s="52">
        <v>213.29</v>
      </c>
      <c r="HB125" s="52">
        <v>236.86</v>
      </c>
      <c r="HC125" s="52">
        <v>209.39</v>
      </c>
      <c r="HD125" s="52">
        <v>185.26</v>
      </c>
      <c r="HE125" s="52">
        <v>113.81</v>
      </c>
      <c r="HF125" s="52">
        <v>121.35</v>
      </c>
      <c r="HG125" s="52">
        <v>154.77000000000001</v>
      </c>
      <c r="HH125" s="52">
        <v>181.82</v>
      </c>
      <c r="HI125" s="52">
        <v>90.57</v>
      </c>
      <c r="HJ125" s="52">
        <v>154.08000000000001</v>
      </c>
      <c r="HK125" s="52">
        <v>317.83</v>
      </c>
      <c r="HL125" s="52">
        <v>177.67</v>
      </c>
      <c r="HM125" s="52">
        <v>230.5</v>
      </c>
      <c r="HN125" s="52">
        <v>240.13</v>
      </c>
      <c r="HO125" s="52">
        <v>208.9</v>
      </c>
      <c r="HP125" s="52">
        <v>246.19</v>
      </c>
      <c r="HQ125" s="52">
        <v>148.26</v>
      </c>
      <c r="HR125" s="52">
        <v>224.44</v>
      </c>
      <c r="HS125" s="52">
        <v>382.26</v>
      </c>
      <c r="HT125" s="52">
        <v>227.92</v>
      </c>
      <c r="HU125" s="52">
        <v>98.88</v>
      </c>
      <c r="HV125" s="52">
        <v>168.85</v>
      </c>
      <c r="HW125" s="52">
        <v>119.36</v>
      </c>
      <c r="HX125" s="52">
        <v>107.32</v>
      </c>
      <c r="HY125" s="52">
        <v>210.98</v>
      </c>
      <c r="HZ125" s="52">
        <v>184.35</v>
      </c>
      <c r="IA125" s="52">
        <v>103.3</v>
      </c>
      <c r="IB125" s="52">
        <v>234.88</v>
      </c>
      <c r="IC125" s="52">
        <v>148.77000000000001</v>
      </c>
      <c r="ID125" s="52">
        <v>165.5</v>
      </c>
      <c r="IE125" s="52">
        <v>134.88</v>
      </c>
      <c r="IF125" s="52">
        <v>182.76</v>
      </c>
      <c r="IG125" s="52">
        <v>228.29</v>
      </c>
      <c r="IH125" s="52">
        <v>237.18</v>
      </c>
      <c r="II125" s="52">
        <v>317.58</v>
      </c>
      <c r="IJ125" s="52">
        <v>377.11</v>
      </c>
      <c r="IK125" s="52">
        <v>313.31</v>
      </c>
      <c r="IL125" s="52">
        <v>220.34</v>
      </c>
      <c r="IM125" s="52">
        <v>306.17</v>
      </c>
      <c r="IN125" s="52">
        <v>289.68</v>
      </c>
      <c r="IO125" s="52">
        <v>244.17</v>
      </c>
      <c r="IP125" s="52">
        <v>158.47</v>
      </c>
      <c r="IQ125" s="52">
        <v>250.24</v>
      </c>
      <c r="IR125" s="52">
        <v>330.2</v>
      </c>
      <c r="IS125" s="52">
        <v>320.18</v>
      </c>
      <c r="IT125" s="52">
        <v>41.04</v>
      </c>
      <c r="IU125" s="52">
        <v>138.55000000000001</v>
      </c>
      <c r="IV125" s="52">
        <v>36.25</v>
      </c>
      <c r="IW125" s="52">
        <v>88</v>
      </c>
      <c r="IX125" s="52">
        <v>153.41</v>
      </c>
      <c r="IY125" s="52">
        <v>211.71</v>
      </c>
      <c r="IZ125" s="52">
        <v>327.19</v>
      </c>
      <c r="JA125" s="52">
        <v>232.2</v>
      </c>
      <c r="JB125" s="52"/>
      <c r="JC125" s="52">
        <v>238.84</v>
      </c>
      <c r="JD125" s="52">
        <v>295.02999999999997</v>
      </c>
      <c r="JE125" s="52">
        <v>233.13</v>
      </c>
      <c r="JF125" s="52">
        <v>192.07</v>
      </c>
      <c r="JG125" s="52">
        <v>277.5</v>
      </c>
      <c r="JH125" s="52">
        <v>368.31</v>
      </c>
      <c r="JI125" s="52">
        <v>257.31</v>
      </c>
      <c r="JJ125" s="52">
        <v>213.66</v>
      </c>
      <c r="JK125" s="52">
        <v>278.88</v>
      </c>
      <c r="JL125" s="52">
        <v>307.83999999999997</v>
      </c>
      <c r="JM125" s="52">
        <v>291.99</v>
      </c>
      <c r="JN125" s="52">
        <v>215.35</v>
      </c>
      <c r="JO125" s="52">
        <v>194.89</v>
      </c>
      <c r="JP125" s="52">
        <v>367.71</v>
      </c>
      <c r="JQ125" s="52">
        <v>318.7</v>
      </c>
      <c r="JR125" s="52">
        <v>259.47000000000003</v>
      </c>
      <c r="JS125" s="52">
        <v>321.58</v>
      </c>
      <c r="JT125" s="52">
        <v>325.48</v>
      </c>
      <c r="JU125" s="52">
        <v>256.70999999999998</v>
      </c>
      <c r="JV125" s="52">
        <v>125.44</v>
      </c>
      <c r="JW125" s="52">
        <v>182.22</v>
      </c>
      <c r="JX125" s="52">
        <v>493.63</v>
      </c>
      <c r="JY125" s="52">
        <v>312.31</v>
      </c>
      <c r="JZ125" s="52">
        <v>265.35000000000002</v>
      </c>
      <c r="KA125" s="52">
        <v>287.81</v>
      </c>
      <c r="KB125" s="52">
        <v>252.17</v>
      </c>
      <c r="KC125" s="52">
        <v>240.19</v>
      </c>
      <c r="KD125" s="52">
        <v>256.63</v>
      </c>
      <c r="KE125" s="52">
        <v>332.94</v>
      </c>
      <c r="KF125" s="52">
        <v>314.52</v>
      </c>
    </row>
    <row r="126" spans="1:292" s="41" customFormat="1" ht="12">
      <c r="A126" s="41">
        <v>2015</v>
      </c>
      <c r="B126" s="54" t="s">
        <v>977</v>
      </c>
      <c r="C126" s="55" t="s">
        <v>978</v>
      </c>
      <c r="D126" s="56">
        <v>250.45</v>
      </c>
      <c r="E126" s="56">
        <v>282.23</v>
      </c>
      <c r="F126" s="56">
        <v>430.69</v>
      </c>
      <c r="G126" s="56">
        <v>162.80000000000001</v>
      </c>
      <c r="H126" s="56">
        <v>291.19</v>
      </c>
      <c r="I126" s="56">
        <v>198.56</v>
      </c>
      <c r="J126" s="56">
        <v>150.76</v>
      </c>
      <c r="K126" s="56">
        <v>229.77</v>
      </c>
      <c r="L126" s="56">
        <v>125.55</v>
      </c>
      <c r="M126" s="56">
        <v>177.07</v>
      </c>
      <c r="N126" s="56">
        <v>252.16</v>
      </c>
      <c r="O126" s="56">
        <v>355.13</v>
      </c>
      <c r="P126" s="56">
        <v>290.27999999999997</v>
      </c>
      <c r="Q126" s="56">
        <v>286.11</v>
      </c>
      <c r="R126" s="56">
        <v>231.65</v>
      </c>
      <c r="S126" s="56">
        <v>466.86</v>
      </c>
      <c r="T126" s="56">
        <v>427.89</v>
      </c>
      <c r="U126" s="56">
        <v>156.76</v>
      </c>
      <c r="V126" s="56">
        <v>180.94</v>
      </c>
      <c r="W126" s="56">
        <v>340.63</v>
      </c>
      <c r="X126" s="56">
        <v>207.38</v>
      </c>
      <c r="Y126" s="56">
        <v>268.81</v>
      </c>
      <c r="Z126" s="56">
        <v>294.24</v>
      </c>
      <c r="AA126" s="56">
        <v>230.75</v>
      </c>
      <c r="AB126" s="56">
        <v>188.47</v>
      </c>
      <c r="AC126" s="56">
        <v>151.22</v>
      </c>
      <c r="AD126" s="56">
        <v>212.23</v>
      </c>
      <c r="AE126" s="56">
        <v>230.93</v>
      </c>
      <c r="AF126" s="56">
        <v>200.83</v>
      </c>
      <c r="AG126" s="56">
        <v>102.92</v>
      </c>
      <c r="AH126" s="56">
        <v>184.35</v>
      </c>
      <c r="AI126" s="56">
        <v>241.38</v>
      </c>
      <c r="AJ126" s="56">
        <v>166.79</v>
      </c>
      <c r="AK126" s="56">
        <v>243.92</v>
      </c>
      <c r="AL126" s="56">
        <v>286.42</v>
      </c>
      <c r="AM126" s="56">
        <v>320.18</v>
      </c>
      <c r="AN126" s="56">
        <v>40.43</v>
      </c>
      <c r="AO126" s="56">
        <v>140.33000000000001</v>
      </c>
      <c r="AP126" s="56">
        <v>62.37</v>
      </c>
      <c r="AQ126" s="56">
        <v>212.42</v>
      </c>
      <c r="AR126" s="56">
        <v>300.94</v>
      </c>
      <c r="AS126" s="56">
        <v>254.85</v>
      </c>
      <c r="AT126" s="56">
        <v>283.02999999999997</v>
      </c>
      <c r="AU126" s="56">
        <v>270.64</v>
      </c>
      <c r="AV126" s="56">
        <v>307.8</v>
      </c>
      <c r="AW126" s="56">
        <v>291.97000000000003</v>
      </c>
      <c r="AX126" s="56">
        <v>215.35</v>
      </c>
      <c r="AY126" s="56">
        <v>195.32</v>
      </c>
      <c r="AZ126" s="56">
        <v>355.81</v>
      </c>
      <c r="BA126" s="56">
        <v>285.51</v>
      </c>
      <c r="BB126" s="56">
        <v>206.51</v>
      </c>
      <c r="BC126" s="56">
        <v>466.31</v>
      </c>
      <c r="BD126" s="56">
        <v>289.47000000000003</v>
      </c>
      <c r="BE126" s="56">
        <v>265.81</v>
      </c>
      <c r="BF126" s="56">
        <v>335.53</v>
      </c>
      <c r="BG126" s="56">
        <v>343.47</v>
      </c>
      <c r="BH126" s="52">
        <v>289.19</v>
      </c>
      <c r="BI126" s="52">
        <v>285.37</v>
      </c>
      <c r="BJ126" s="52">
        <v>255.84</v>
      </c>
      <c r="BK126" s="52">
        <v>265.58</v>
      </c>
      <c r="BL126" s="52">
        <v>239.92</v>
      </c>
      <c r="BM126" s="52">
        <v>240.44</v>
      </c>
      <c r="BN126" s="52">
        <v>363.43</v>
      </c>
      <c r="BO126" s="52">
        <v>221.5</v>
      </c>
      <c r="BP126" s="52">
        <v>280.47000000000003</v>
      </c>
      <c r="BQ126" s="52">
        <v>276.24</v>
      </c>
      <c r="BR126" s="52">
        <v>198.03</v>
      </c>
      <c r="BS126" s="52">
        <v>506.45</v>
      </c>
      <c r="BT126" s="52">
        <v>286.20999999999998</v>
      </c>
      <c r="BU126" s="52">
        <v>441.54</v>
      </c>
      <c r="BV126" s="52">
        <v>427.89</v>
      </c>
      <c r="BW126" s="52">
        <v>154.16</v>
      </c>
      <c r="BX126" s="52">
        <v>176.6</v>
      </c>
      <c r="BY126" s="52">
        <v>256.39999999999998</v>
      </c>
      <c r="BZ126" s="52">
        <v>180.3</v>
      </c>
      <c r="CA126" s="52">
        <v>291.67</v>
      </c>
      <c r="CB126" s="53">
        <v>340.63</v>
      </c>
      <c r="CC126" s="52">
        <v>207.38</v>
      </c>
      <c r="CD126" s="52">
        <v>267.79000000000002</v>
      </c>
      <c r="CE126" s="52">
        <v>254.51</v>
      </c>
      <c r="CF126" s="52">
        <v>320.32</v>
      </c>
      <c r="CG126" s="52">
        <v>282.14</v>
      </c>
      <c r="CH126" s="52">
        <v>236.9</v>
      </c>
      <c r="CI126" s="52">
        <v>210.41</v>
      </c>
      <c r="CJ126" s="52">
        <v>188.47</v>
      </c>
      <c r="CK126" s="52">
        <v>137.12</v>
      </c>
      <c r="CL126" s="52">
        <v>161.07</v>
      </c>
      <c r="CM126" s="52">
        <v>332.29</v>
      </c>
      <c r="CN126" s="52">
        <v>212.23</v>
      </c>
      <c r="CO126" s="52">
        <v>230.93</v>
      </c>
      <c r="CP126" s="52">
        <v>157.72</v>
      </c>
      <c r="CQ126" s="52">
        <v>381.38</v>
      </c>
      <c r="CR126" s="52">
        <v>98.88</v>
      </c>
      <c r="CS126" s="52">
        <v>172.25</v>
      </c>
      <c r="CT126" s="52">
        <v>118.19</v>
      </c>
      <c r="CU126" s="52">
        <v>212.5</v>
      </c>
      <c r="CV126" s="52">
        <v>189.71</v>
      </c>
      <c r="CW126" s="52">
        <v>115.55</v>
      </c>
      <c r="CX126" s="52">
        <v>241.38</v>
      </c>
      <c r="CY126" s="52">
        <v>167.22</v>
      </c>
      <c r="CZ126" s="52">
        <v>135.74</v>
      </c>
      <c r="DA126" s="52">
        <v>184.6</v>
      </c>
      <c r="DB126" s="52">
        <v>228.51</v>
      </c>
      <c r="DC126" s="52">
        <v>223.58</v>
      </c>
      <c r="DD126" s="52">
        <v>327.5</v>
      </c>
      <c r="DE126" s="52">
        <v>376.42</v>
      </c>
      <c r="DF126" s="52">
        <v>276.45</v>
      </c>
      <c r="DG126" s="52">
        <v>292.91000000000003</v>
      </c>
      <c r="DH126" s="52">
        <v>157.88</v>
      </c>
      <c r="DI126" s="52">
        <v>249.34</v>
      </c>
      <c r="DJ126" s="52">
        <v>332.92</v>
      </c>
      <c r="DK126" s="52">
        <v>320.18</v>
      </c>
      <c r="DL126" s="52">
        <v>40.43</v>
      </c>
      <c r="DM126" s="52">
        <v>140.33000000000001</v>
      </c>
      <c r="DN126" s="52">
        <v>37.909999999999997</v>
      </c>
      <c r="DO126" s="52">
        <v>88.54</v>
      </c>
      <c r="DP126" s="52">
        <v>160.44999999999999</v>
      </c>
      <c r="DQ126" s="52">
        <v>212.42</v>
      </c>
      <c r="DR126" s="52">
        <v>333.92</v>
      </c>
      <c r="DS126" s="52">
        <v>223.37</v>
      </c>
      <c r="DT126" s="52"/>
      <c r="DU126" s="52">
        <v>242.06</v>
      </c>
      <c r="DV126" s="52">
        <v>298.44</v>
      </c>
      <c r="DW126" s="52">
        <v>214.92</v>
      </c>
      <c r="DX126" s="52">
        <v>277.5</v>
      </c>
      <c r="DY126" s="52">
        <v>364.94</v>
      </c>
      <c r="DZ126" s="52">
        <v>267.14999999999998</v>
      </c>
      <c r="EA126" s="52">
        <v>214.43</v>
      </c>
      <c r="EB126" s="52">
        <v>270.64</v>
      </c>
      <c r="EC126" s="52">
        <v>307.8</v>
      </c>
      <c r="ED126" s="52">
        <v>291.97000000000003</v>
      </c>
      <c r="EE126" s="52">
        <v>215.35</v>
      </c>
      <c r="EF126" s="52">
        <v>195.32</v>
      </c>
      <c r="EG126" s="52">
        <v>355.81</v>
      </c>
      <c r="EH126" s="52">
        <v>285.51</v>
      </c>
      <c r="EI126" s="52">
        <v>294</v>
      </c>
      <c r="EJ126" s="52">
        <v>134.19999999999999</v>
      </c>
      <c r="EK126" s="52">
        <v>182.96</v>
      </c>
      <c r="EL126" s="52">
        <v>520.49</v>
      </c>
      <c r="EM126" s="52">
        <v>294.49</v>
      </c>
      <c r="EN126" s="52">
        <v>289.47000000000003</v>
      </c>
      <c r="EO126" s="52">
        <v>252.48</v>
      </c>
      <c r="EP126" s="52">
        <v>248.8</v>
      </c>
      <c r="EQ126" s="52">
        <v>260.64999999999998</v>
      </c>
      <c r="ER126" s="52">
        <v>335.53</v>
      </c>
      <c r="ES126" s="52">
        <v>343.47</v>
      </c>
      <c r="ET126" s="52">
        <v>344.77</v>
      </c>
      <c r="EU126" s="52">
        <v>260.02999999999997</v>
      </c>
      <c r="EV126" s="52">
        <v>305.10000000000002</v>
      </c>
      <c r="EW126" s="52">
        <v>251.54</v>
      </c>
      <c r="EX126" s="52">
        <v>275.5</v>
      </c>
      <c r="EY126" s="52">
        <v>179.4</v>
      </c>
      <c r="EZ126" s="52">
        <v>301.61</v>
      </c>
      <c r="FA126" s="52">
        <v>292.27999999999997</v>
      </c>
      <c r="FB126" s="52">
        <v>228.08</v>
      </c>
      <c r="FC126" s="52">
        <v>315.18</v>
      </c>
      <c r="FD126" s="52">
        <v>279.83</v>
      </c>
      <c r="FE126" s="52">
        <v>255.84</v>
      </c>
      <c r="FF126" s="52"/>
      <c r="FG126" s="52">
        <v>214.77</v>
      </c>
      <c r="FH126" s="52">
        <v>225</v>
      </c>
      <c r="FI126" s="52">
        <v>292.87</v>
      </c>
      <c r="FJ126" s="52">
        <v>328.52</v>
      </c>
      <c r="FK126" s="52">
        <v>381.86</v>
      </c>
      <c r="FL126" s="52">
        <v>229.71</v>
      </c>
      <c r="FM126" s="52">
        <v>223.88</v>
      </c>
      <c r="FN126" s="52">
        <v>199.03</v>
      </c>
      <c r="FO126" s="52">
        <v>462.22</v>
      </c>
      <c r="FP126" s="52">
        <v>367.93</v>
      </c>
      <c r="FQ126" s="52">
        <v>377.58</v>
      </c>
      <c r="FR126" s="52">
        <v>416.37</v>
      </c>
      <c r="FS126" s="52">
        <v>286.89999999999998</v>
      </c>
      <c r="FT126" s="52">
        <v>202.34</v>
      </c>
      <c r="FU126" s="52">
        <v>320.02</v>
      </c>
      <c r="FV126" s="52">
        <v>221.66</v>
      </c>
      <c r="FW126" s="52">
        <v>156.37</v>
      </c>
      <c r="FX126" s="52">
        <v>280.47000000000003</v>
      </c>
      <c r="FY126" s="52">
        <v>276.01</v>
      </c>
      <c r="FZ126" s="52">
        <v>276.91000000000003</v>
      </c>
      <c r="GA126" s="52">
        <v>223.32</v>
      </c>
      <c r="GB126" s="52">
        <v>209.34</v>
      </c>
      <c r="GC126" s="52">
        <v>192.39</v>
      </c>
      <c r="GD126" s="52">
        <v>186</v>
      </c>
      <c r="GE126" s="52">
        <v>506.45</v>
      </c>
      <c r="GF126" s="52">
        <v>286.20999999999998</v>
      </c>
      <c r="GG126" s="52">
        <v>441.54</v>
      </c>
      <c r="GH126" s="52">
        <v>427.18</v>
      </c>
      <c r="GI126" s="52">
        <v>164.72</v>
      </c>
      <c r="GJ126" s="52">
        <v>147.44</v>
      </c>
      <c r="GK126" s="52">
        <v>144.44</v>
      </c>
      <c r="GL126" s="52">
        <v>201.38</v>
      </c>
      <c r="GM126" s="52">
        <v>176.6</v>
      </c>
      <c r="GN126" s="52">
        <v>256.39999999999998</v>
      </c>
      <c r="GO126" s="52">
        <v>180.37</v>
      </c>
      <c r="GP126" s="52">
        <v>179.77</v>
      </c>
      <c r="GQ126" s="52">
        <v>181.41</v>
      </c>
      <c r="GR126" s="52">
        <v>291.67</v>
      </c>
      <c r="GS126" s="52">
        <v>340.63</v>
      </c>
      <c r="GT126" s="52">
        <v>207.38</v>
      </c>
      <c r="GU126" s="52">
        <v>267.79000000000002</v>
      </c>
      <c r="GV126" s="52">
        <v>254.51</v>
      </c>
      <c r="GW126" s="52">
        <v>316.16000000000003</v>
      </c>
      <c r="GX126" s="52">
        <v>291.52</v>
      </c>
      <c r="GY126" s="52">
        <v>282.14</v>
      </c>
      <c r="GZ126" s="52">
        <v>271.91000000000003</v>
      </c>
      <c r="HA126" s="52">
        <v>218.56</v>
      </c>
      <c r="HB126" s="52">
        <v>245.89</v>
      </c>
      <c r="HC126" s="52">
        <v>210.41</v>
      </c>
      <c r="HD126" s="52">
        <v>188.47</v>
      </c>
      <c r="HE126" s="52">
        <v>117.59</v>
      </c>
      <c r="HF126" s="52">
        <v>125.52</v>
      </c>
      <c r="HG126" s="52">
        <v>159.82</v>
      </c>
      <c r="HH126" s="52">
        <v>186.14</v>
      </c>
      <c r="HI126" s="52">
        <v>91.79</v>
      </c>
      <c r="HJ126" s="52">
        <v>161.07</v>
      </c>
      <c r="HK126" s="52">
        <v>332.29</v>
      </c>
      <c r="HL126" s="52">
        <v>178.1</v>
      </c>
      <c r="HM126" s="52">
        <v>231.28</v>
      </c>
      <c r="HN126" s="52">
        <v>240.74</v>
      </c>
      <c r="HO126" s="52">
        <v>208.86</v>
      </c>
      <c r="HP126" s="52">
        <v>247.29</v>
      </c>
      <c r="HQ126" s="52">
        <v>148.78</v>
      </c>
      <c r="HR126" s="52">
        <v>225.04</v>
      </c>
      <c r="HS126" s="52">
        <v>389.03</v>
      </c>
      <c r="HT126" s="52">
        <v>231.1</v>
      </c>
      <c r="HU126" s="52">
        <v>98.88</v>
      </c>
      <c r="HV126" s="52">
        <v>172.25</v>
      </c>
      <c r="HW126" s="52">
        <v>119.43</v>
      </c>
      <c r="HX126" s="52">
        <v>108</v>
      </c>
      <c r="HY126" s="52">
        <v>212.5</v>
      </c>
      <c r="HZ126" s="52">
        <v>189.71</v>
      </c>
      <c r="IA126" s="52">
        <v>105.56</v>
      </c>
      <c r="IB126" s="52">
        <v>241.38</v>
      </c>
      <c r="IC126" s="52">
        <v>151</v>
      </c>
      <c r="ID126" s="52">
        <v>170.59</v>
      </c>
      <c r="IE126" s="52">
        <v>135.74</v>
      </c>
      <c r="IF126" s="52">
        <v>184.6</v>
      </c>
      <c r="IG126" s="52">
        <v>228.51</v>
      </c>
      <c r="IH126" s="52">
        <v>223.58</v>
      </c>
      <c r="II126" s="52">
        <v>327.5</v>
      </c>
      <c r="IJ126" s="52">
        <v>376.42</v>
      </c>
      <c r="IK126" s="52">
        <v>310.89</v>
      </c>
      <c r="IL126" s="52">
        <v>220.34</v>
      </c>
      <c r="IM126" s="52">
        <v>306.49</v>
      </c>
      <c r="IN126" s="52">
        <v>290.33</v>
      </c>
      <c r="IO126" s="52">
        <v>242.44</v>
      </c>
      <c r="IP126" s="52">
        <v>157.88</v>
      </c>
      <c r="IQ126" s="52">
        <v>249.34</v>
      </c>
      <c r="IR126" s="52">
        <v>332.92</v>
      </c>
      <c r="IS126" s="52">
        <v>320.18</v>
      </c>
      <c r="IT126" s="52">
        <v>40.43</v>
      </c>
      <c r="IU126" s="52">
        <v>140.33000000000001</v>
      </c>
      <c r="IV126" s="52">
        <v>37.92</v>
      </c>
      <c r="IW126" s="52">
        <v>88.54</v>
      </c>
      <c r="IX126" s="52">
        <v>160.44999999999999</v>
      </c>
      <c r="IY126" s="52">
        <v>212.42</v>
      </c>
      <c r="IZ126" s="52">
        <v>333.92</v>
      </c>
      <c r="JA126" s="52">
        <v>223.37</v>
      </c>
      <c r="JB126" s="52"/>
      <c r="JC126" s="52">
        <v>242.06</v>
      </c>
      <c r="JD126" s="52">
        <v>298.44</v>
      </c>
      <c r="JE126" s="52">
        <v>238.17</v>
      </c>
      <c r="JF126" s="52">
        <v>207.9</v>
      </c>
      <c r="JG126" s="52">
        <v>277.5</v>
      </c>
      <c r="JH126" s="52">
        <v>364.94</v>
      </c>
      <c r="JI126" s="52">
        <v>267.14999999999998</v>
      </c>
      <c r="JJ126" s="52">
        <v>214.43</v>
      </c>
      <c r="JK126" s="52">
        <v>270.64</v>
      </c>
      <c r="JL126" s="52">
        <v>307.8</v>
      </c>
      <c r="JM126" s="52">
        <v>291.97000000000003</v>
      </c>
      <c r="JN126" s="52">
        <v>215.35</v>
      </c>
      <c r="JO126" s="52">
        <v>195.32</v>
      </c>
      <c r="JP126" s="52">
        <v>370.16</v>
      </c>
      <c r="JQ126" s="52">
        <v>324.92</v>
      </c>
      <c r="JR126" s="52">
        <v>256.48</v>
      </c>
      <c r="JS126" s="52">
        <v>336.93</v>
      </c>
      <c r="JT126" s="52">
        <v>329.64</v>
      </c>
      <c r="JU126" s="52">
        <v>259.56</v>
      </c>
      <c r="JV126" s="52">
        <v>134.19999999999999</v>
      </c>
      <c r="JW126" s="52">
        <v>182.96</v>
      </c>
      <c r="JX126" s="52">
        <v>520.49</v>
      </c>
      <c r="JY126" s="52">
        <v>309.27999999999997</v>
      </c>
      <c r="JZ126" s="52">
        <v>267.64999999999998</v>
      </c>
      <c r="KA126" s="52">
        <v>289.47000000000003</v>
      </c>
      <c r="KB126" s="52">
        <v>252.48</v>
      </c>
      <c r="KC126" s="52">
        <v>248.8</v>
      </c>
      <c r="KD126" s="52">
        <v>260.64999999999998</v>
      </c>
      <c r="KE126" s="52">
        <v>335.53</v>
      </c>
      <c r="KF126" s="52">
        <v>343.47</v>
      </c>
    </row>
    <row r="127" spans="1:292" s="41" customFormat="1" ht="12">
      <c r="A127" s="41">
        <v>2015</v>
      </c>
      <c r="B127" s="54" t="s">
        <v>979</v>
      </c>
      <c r="C127" s="55" t="s">
        <v>980</v>
      </c>
      <c r="D127" s="56">
        <v>252.24</v>
      </c>
      <c r="E127" s="56">
        <v>289.52999999999997</v>
      </c>
      <c r="F127" s="56">
        <v>428.79</v>
      </c>
      <c r="G127" s="56">
        <v>152.09</v>
      </c>
      <c r="H127" s="56">
        <v>292.52</v>
      </c>
      <c r="I127" s="56">
        <v>199.02</v>
      </c>
      <c r="J127" s="56">
        <v>151.99</v>
      </c>
      <c r="K127" s="56">
        <v>233.84</v>
      </c>
      <c r="L127" s="56">
        <v>126.73</v>
      </c>
      <c r="M127" s="56">
        <v>178.1</v>
      </c>
      <c r="N127" s="56">
        <v>251.97</v>
      </c>
      <c r="O127" s="56">
        <v>358.89</v>
      </c>
      <c r="P127" s="56">
        <v>292</v>
      </c>
      <c r="Q127" s="56">
        <v>293.83</v>
      </c>
      <c r="R127" s="56">
        <v>234.19</v>
      </c>
      <c r="S127" s="56">
        <v>468.68</v>
      </c>
      <c r="T127" s="56">
        <v>425.72</v>
      </c>
      <c r="U127" s="56">
        <v>146.69</v>
      </c>
      <c r="V127" s="56">
        <v>168.15</v>
      </c>
      <c r="W127" s="56">
        <v>342.26</v>
      </c>
      <c r="X127" s="56">
        <v>208.96</v>
      </c>
      <c r="Y127" s="56">
        <v>271.88</v>
      </c>
      <c r="Z127" s="56">
        <v>294.58</v>
      </c>
      <c r="AA127" s="56">
        <v>230.53</v>
      </c>
      <c r="AB127" s="56">
        <v>188.76</v>
      </c>
      <c r="AC127" s="56">
        <v>151.79</v>
      </c>
      <c r="AD127" s="56">
        <v>213.83</v>
      </c>
      <c r="AE127" s="56">
        <v>232.02</v>
      </c>
      <c r="AF127" s="56">
        <v>201.56</v>
      </c>
      <c r="AG127" s="56">
        <v>103.86</v>
      </c>
      <c r="AH127" s="56">
        <v>185.39</v>
      </c>
      <c r="AI127" s="56">
        <v>244.66</v>
      </c>
      <c r="AJ127" s="56">
        <v>170.74</v>
      </c>
      <c r="AK127" s="56">
        <v>249.45</v>
      </c>
      <c r="AL127" s="56">
        <v>287.33999999999997</v>
      </c>
      <c r="AM127" s="56">
        <v>320.18</v>
      </c>
      <c r="AN127" s="56">
        <v>40.409999999999997</v>
      </c>
      <c r="AO127" s="56">
        <v>141.85</v>
      </c>
      <c r="AP127" s="56">
        <v>61.91</v>
      </c>
      <c r="AQ127" s="56">
        <v>214.62</v>
      </c>
      <c r="AR127" s="56">
        <v>302.07</v>
      </c>
      <c r="AS127" s="56">
        <v>256.02</v>
      </c>
      <c r="AT127" s="56">
        <v>287.39</v>
      </c>
      <c r="AU127" s="56">
        <v>278.33</v>
      </c>
      <c r="AV127" s="56">
        <v>307.70999999999998</v>
      </c>
      <c r="AW127" s="56">
        <v>291.61</v>
      </c>
      <c r="AX127" s="56">
        <v>215.35</v>
      </c>
      <c r="AY127" s="56">
        <v>195.33</v>
      </c>
      <c r="AZ127" s="56">
        <v>359.73</v>
      </c>
      <c r="BA127" s="56">
        <v>287.52999999999997</v>
      </c>
      <c r="BB127" s="56">
        <v>206.5</v>
      </c>
      <c r="BC127" s="56">
        <v>478.23</v>
      </c>
      <c r="BD127" s="56">
        <v>290.69</v>
      </c>
      <c r="BE127" s="56">
        <v>268.07</v>
      </c>
      <c r="BF127" s="56">
        <v>338.27</v>
      </c>
      <c r="BG127" s="56">
        <v>343.55</v>
      </c>
      <c r="BH127" s="52">
        <v>290.33999999999997</v>
      </c>
      <c r="BI127" s="52">
        <v>294.33</v>
      </c>
      <c r="BJ127" s="52">
        <v>266.02999999999997</v>
      </c>
      <c r="BK127" s="52">
        <v>265.82</v>
      </c>
      <c r="BL127" s="52">
        <v>247.13</v>
      </c>
      <c r="BM127" s="52">
        <v>248.67</v>
      </c>
      <c r="BN127" s="52">
        <v>389.78</v>
      </c>
      <c r="BO127" s="52">
        <v>222.48</v>
      </c>
      <c r="BP127" s="52">
        <v>283.43</v>
      </c>
      <c r="BQ127" s="52">
        <v>281.39999999999998</v>
      </c>
      <c r="BR127" s="52">
        <v>199.16</v>
      </c>
      <c r="BS127" s="52">
        <v>507.44</v>
      </c>
      <c r="BT127" s="52">
        <v>288.64999999999998</v>
      </c>
      <c r="BU127" s="52">
        <v>443.75</v>
      </c>
      <c r="BV127" s="52">
        <v>425.72</v>
      </c>
      <c r="BW127" s="52">
        <v>143.63</v>
      </c>
      <c r="BX127" s="52">
        <v>171.25</v>
      </c>
      <c r="BY127" s="52">
        <v>257.42</v>
      </c>
      <c r="BZ127" s="52">
        <v>167.45</v>
      </c>
      <c r="CA127" s="52">
        <v>294.26</v>
      </c>
      <c r="CB127" s="53">
        <v>342.26</v>
      </c>
      <c r="CC127" s="52">
        <v>208.96</v>
      </c>
      <c r="CD127" s="52">
        <v>270.83999999999997</v>
      </c>
      <c r="CE127" s="52">
        <v>254.51</v>
      </c>
      <c r="CF127" s="52">
        <v>319.54000000000002</v>
      </c>
      <c r="CG127" s="52">
        <v>285.20999999999998</v>
      </c>
      <c r="CH127" s="52">
        <v>236.55</v>
      </c>
      <c r="CI127" s="52">
        <v>211.37</v>
      </c>
      <c r="CJ127" s="52">
        <v>188.76</v>
      </c>
      <c r="CK127" s="52">
        <v>137.55000000000001</v>
      </c>
      <c r="CL127" s="52">
        <v>161.34</v>
      </c>
      <c r="CM127" s="52">
        <v>337</v>
      </c>
      <c r="CN127" s="52">
        <v>213.83</v>
      </c>
      <c r="CO127" s="52">
        <v>232.02</v>
      </c>
      <c r="CP127" s="52">
        <v>158.26</v>
      </c>
      <c r="CQ127" s="52">
        <v>382.95</v>
      </c>
      <c r="CR127" s="52">
        <v>100.13</v>
      </c>
      <c r="CS127" s="52">
        <v>172.83</v>
      </c>
      <c r="CT127" s="52">
        <v>118.07</v>
      </c>
      <c r="CU127" s="52">
        <v>212.87</v>
      </c>
      <c r="CV127" s="52">
        <v>191.66</v>
      </c>
      <c r="CW127" s="52">
        <v>116.06</v>
      </c>
      <c r="CX127" s="52">
        <v>244.66</v>
      </c>
      <c r="CY127" s="52">
        <v>171.3</v>
      </c>
      <c r="CZ127" s="52">
        <v>136.6</v>
      </c>
      <c r="DA127" s="52">
        <v>185.5</v>
      </c>
      <c r="DB127" s="52">
        <v>228.07</v>
      </c>
      <c r="DC127" s="52">
        <v>230.03</v>
      </c>
      <c r="DD127" s="52">
        <v>329.97</v>
      </c>
      <c r="DE127" s="52">
        <v>378.85</v>
      </c>
      <c r="DF127" s="52">
        <v>276.45</v>
      </c>
      <c r="DG127" s="52">
        <v>293.83</v>
      </c>
      <c r="DH127" s="52">
        <v>158.66999999999999</v>
      </c>
      <c r="DI127" s="52">
        <v>249.34</v>
      </c>
      <c r="DJ127" s="52">
        <v>333.51</v>
      </c>
      <c r="DK127" s="52">
        <v>320.18</v>
      </c>
      <c r="DL127" s="52">
        <v>40.409999999999997</v>
      </c>
      <c r="DM127" s="52">
        <v>141.85</v>
      </c>
      <c r="DN127" s="52">
        <v>36.950000000000003</v>
      </c>
      <c r="DO127" s="52">
        <v>89.94</v>
      </c>
      <c r="DP127" s="52">
        <v>161.6</v>
      </c>
      <c r="DQ127" s="52">
        <v>214.62</v>
      </c>
      <c r="DR127" s="52">
        <v>335.1</v>
      </c>
      <c r="DS127" s="52">
        <v>224.23</v>
      </c>
      <c r="DT127" s="52"/>
      <c r="DU127" s="52">
        <v>244.11</v>
      </c>
      <c r="DV127" s="52">
        <v>300.04000000000002</v>
      </c>
      <c r="DW127" s="52">
        <v>215.86</v>
      </c>
      <c r="DX127" s="52">
        <v>277.5</v>
      </c>
      <c r="DY127" s="52">
        <v>367.27</v>
      </c>
      <c r="DZ127" s="52">
        <v>278.42</v>
      </c>
      <c r="EA127" s="52">
        <v>216.46</v>
      </c>
      <c r="EB127" s="52">
        <v>278.33</v>
      </c>
      <c r="EC127" s="52">
        <v>307.70999999999998</v>
      </c>
      <c r="ED127" s="52">
        <v>291.61</v>
      </c>
      <c r="EE127" s="52">
        <v>215.35</v>
      </c>
      <c r="EF127" s="52">
        <v>195.33</v>
      </c>
      <c r="EG127" s="52">
        <v>359.73</v>
      </c>
      <c r="EH127" s="52">
        <v>287.52999999999997</v>
      </c>
      <c r="EI127" s="52">
        <v>295.33</v>
      </c>
      <c r="EJ127" s="52">
        <v>134.68</v>
      </c>
      <c r="EK127" s="52">
        <v>182.47</v>
      </c>
      <c r="EL127" s="52">
        <v>539.84</v>
      </c>
      <c r="EM127" s="52">
        <v>295.86</v>
      </c>
      <c r="EN127" s="52">
        <v>290.69</v>
      </c>
      <c r="EO127" s="52">
        <v>252.9</v>
      </c>
      <c r="EP127" s="52">
        <v>255.95</v>
      </c>
      <c r="EQ127" s="52">
        <v>261.88</v>
      </c>
      <c r="ER127" s="52">
        <v>338.27</v>
      </c>
      <c r="ES127" s="52">
        <v>343.55</v>
      </c>
      <c r="ET127" s="52">
        <v>345.58</v>
      </c>
      <c r="EU127" s="52">
        <v>262.54000000000002</v>
      </c>
      <c r="EV127" s="52">
        <v>305.58999999999997</v>
      </c>
      <c r="EW127" s="52">
        <v>252.87</v>
      </c>
      <c r="EX127" s="52">
        <v>278.07</v>
      </c>
      <c r="EY127" s="52">
        <v>179.6</v>
      </c>
      <c r="EZ127" s="52">
        <v>313.72000000000003</v>
      </c>
      <c r="FA127" s="52">
        <v>298.93</v>
      </c>
      <c r="FB127" s="52">
        <v>236.05</v>
      </c>
      <c r="FC127" s="52">
        <v>325.18</v>
      </c>
      <c r="FD127" s="52">
        <v>281.08</v>
      </c>
      <c r="FE127" s="52">
        <v>266.02999999999997</v>
      </c>
      <c r="FF127" s="52"/>
      <c r="FG127" s="52">
        <v>216.08</v>
      </c>
      <c r="FH127" s="52">
        <v>224.2</v>
      </c>
      <c r="FI127" s="52">
        <v>292.8</v>
      </c>
      <c r="FJ127" s="52">
        <v>329.4</v>
      </c>
      <c r="FK127" s="52">
        <v>386.73</v>
      </c>
      <c r="FL127" s="52">
        <v>230.21</v>
      </c>
      <c r="FM127" s="52">
        <v>232.4</v>
      </c>
      <c r="FN127" s="52">
        <v>206.04</v>
      </c>
      <c r="FO127" s="52">
        <v>477.08</v>
      </c>
      <c r="FP127" s="52">
        <v>399.92</v>
      </c>
      <c r="FQ127" s="52">
        <v>420.37</v>
      </c>
      <c r="FR127" s="52">
        <v>425.09</v>
      </c>
      <c r="FS127" s="52">
        <v>289.64</v>
      </c>
      <c r="FT127" s="52">
        <v>202.72</v>
      </c>
      <c r="FU127" s="52">
        <v>321.20999999999998</v>
      </c>
      <c r="FV127" s="52">
        <v>222.21</v>
      </c>
      <c r="FW127" s="52">
        <v>159.06</v>
      </c>
      <c r="FX127" s="52">
        <v>283.43</v>
      </c>
      <c r="FY127" s="52">
        <v>274.82</v>
      </c>
      <c r="FZ127" s="52">
        <v>283.17</v>
      </c>
      <c r="GA127" s="52">
        <v>225.25</v>
      </c>
      <c r="GB127" s="52">
        <v>211.58</v>
      </c>
      <c r="GC127" s="52">
        <v>192.93</v>
      </c>
      <c r="GD127" s="52">
        <v>186.07</v>
      </c>
      <c r="GE127" s="52">
        <v>507.44</v>
      </c>
      <c r="GF127" s="52">
        <v>288.64999999999998</v>
      </c>
      <c r="GG127" s="52">
        <v>443.75</v>
      </c>
      <c r="GH127" s="52">
        <v>425.02</v>
      </c>
      <c r="GI127" s="52">
        <v>154.44999999999999</v>
      </c>
      <c r="GJ127" s="52">
        <v>135.62</v>
      </c>
      <c r="GK127" s="52">
        <v>136.31</v>
      </c>
      <c r="GL127" s="52">
        <v>198.59</v>
      </c>
      <c r="GM127" s="52">
        <v>171.25</v>
      </c>
      <c r="GN127" s="52">
        <v>257.42</v>
      </c>
      <c r="GO127" s="52">
        <v>168.7</v>
      </c>
      <c r="GP127" s="52">
        <v>165.47</v>
      </c>
      <c r="GQ127" s="52">
        <v>168.83</v>
      </c>
      <c r="GR127" s="52">
        <v>294.26</v>
      </c>
      <c r="GS127" s="52">
        <v>342.26</v>
      </c>
      <c r="GT127" s="52">
        <v>208.96</v>
      </c>
      <c r="GU127" s="52">
        <v>270.83999999999997</v>
      </c>
      <c r="GV127" s="52">
        <v>254.51</v>
      </c>
      <c r="GW127" s="52">
        <v>316.33999999999997</v>
      </c>
      <c r="GX127" s="52">
        <v>289.13</v>
      </c>
      <c r="GY127" s="52">
        <v>285.20999999999998</v>
      </c>
      <c r="GZ127" s="52">
        <v>274.20999999999998</v>
      </c>
      <c r="HA127" s="52">
        <v>219.25</v>
      </c>
      <c r="HB127" s="52">
        <v>243.92</v>
      </c>
      <c r="HC127" s="52">
        <v>211.37</v>
      </c>
      <c r="HD127" s="52">
        <v>188.76</v>
      </c>
      <c r="HE127" s="52">
        <v>117.42</v>
      </c>
      <c r="HF127" s="52">
        <v>125.77</v>
      </c>
      <c r="HG127" s="52">
        <v>160.69</v>
      </c>
      <c r="HH127" s="52">
        <v>187.85</v>
      </c>
      <c r="HI127" s="52">
        <v>92.04</v>
      </c>
      <c r="HJ127" s="52">
        <v>161.34</v>
      </c>
      <c r="HK127" s="52">
        <v>337</v>
      </c>
      <c r="HL127" s="52">
        <v>179.77</v>
      </c>
      <c r="HM127" s="52">
        <v>231.6</v>
      </c>
      <c r="HN127" s="52">
        <v>242.41</v>
      </c>
      <c r="HO127" s="52">
        <v>209.73</v>
      </c>
      <c r="HP127" s="52">
        <v>248.64</v>
      </c>
      <c r="HQ127" s="52">
        <v>149.47</v>
      </c>
      <c r="HR127" s="52">
        <v>224.64</v>
      </c>
      <c r="HS127" s="52">
        <v>390.55</v>
      </c>
      <c r="HT127" s="52">
        <v>232.75</v>
      </c>
      <c r="HU127" s="52">
        <v>100.13</v>
      </c>
      <c r="HV127" s="52">
        <v>172.83</v>
      </c>
      <c r="HW127" s="52">
        <v>119.42</v>
      </c>
      <c r="HX127" s="52">
        <v>107.69</v>
      </c>
      <c r="HY127" s="52">
        <v>212.87</v>
      </c>
      <c r="HZ127" s="52">
        <v>191.66</v>
      </c>
      <c r="IA127" s="52">
        <v>106.02</v>
      </c>
      <c r="IB127" s="52">
        <v>244.66</v>
      </c>
      <c r="IC127" s="52">
        <v>155.33000000000001</v>
      </c>
      <c r="ID127" s="52">
        <v>174.24</v>
      </c>
      <c r="IE127" s="52">
        <v>136.6</v>
      </c>
      <c r="IF127" s="52">
        <v>185.5</v>
      </c>
      <c r="IG127" s="52">
        <v>228.07</v>
      </c>
      <c r="IH127" s="52">
        <v>230.03</v>
      </c>
      <c r="II127" s="52">
        <v>329.97</v>
      </c>
      <c r="IJ127" s="52">
        <v>378.85</v>
      </c>
      <c r="IK127" s="52">
        <v>310.89</v>
      </c>
      <c r="IL127" s="52">
        <v>220.34</v>
      </c>
      <c r="IM127" s="52">
        <v>307.41000000000003</v>
      </c>
      <c r="IN127" s="52">
        <v>290.66000000000003</v>
      </c>
      <c r="IO127" s="52">
        <v>243.51</v>
      </c>
      <c r="IP127" s="52">
        <v>158.66999999999999</v>
      </c>
      <c r="IQ127" s="52">
        <v>249.34</v>
      </c>
      <c r="IR127" s="52">
        <v>333.51</v>
      </c>
      <c r="IS127" s="52">
        <v>320.18</v>
      </c>
      <c r="IT127" s="52">
        <v>40.409999999999997</v>
      </c>
      <c r="IU127" s="52">
        <v>141.85</v>
      </c>
      <c r="IV127" s="52">
        <v>36.96</v>
      </c>
      <c r="IW127" s="52">
        <v>89.94</v>
      </c>
      <c r="IX127" s="52">
        <v>161.6</v>
      </c>
      <c r="IY127" s="52">
        <v>214.62</v>
      </c>
      <c r="IZ127" s="52">
        <v>335.1</v>
      </c>
      <c r="JA127" s="52">
        <v>224.23</v>
      </c>
      <c r="JB127" s="52"/>
      <c r="JC127" s="52">
        <v>244.11</v>
      </c>
      <c r="JD127" s="52">
        <v>300.04000000000002</v>
      </c>
      <c r="JE127" s="52">
        <v>241.16</v>
      </c>
      <c r="JF127" s="52">
        <v>208.54</v>
      </c>
      <c r="JG127" s="52">
        <v>277.5</v>
      </c>
      <c r="JH127" s="52">
        <v>367.27</v>
      </c>
      <c r="JI127" s="52">
        <v>278.42</v>
      </c>
      <c r="JJ127" s="52">
        <v>216.46</v>
      </c>
      <c r="JK127" s="52">
        <v>278.33</v>
      </c>
      <c r="JL127" s="52">
        <v>307.70999999999998</v>
      </c>
      <c r="JM127" s="52">
        <v>291.61</v>
      </c>
      <c r="JN127" s="52">
        <v>215.35</v>
      </c>
      <c r="JO127" s="52">
        <v>195.33</v>
      </c>
      <c r="JP127" s="52">
        <v>374.5</v>
      </c>
      <c r="JQ127" s="52">
        <v>327.60000000000002</v>
      </c>
      <c r="JR127" s="52">
        <v>259.25</v>
      </c>
      <c r="JS127" s="52">
        <v>336.68</v>
      </c>
      <c r="JT127" s="52">
        <v>331.69</v>
      </c>
      <c r="JU127" s="52">
        <v>260.26</v>
      </c>
      <c r="JV127" s="52">
        <v>134.68</v>
      </c>
      <c r="JW127" s="52">
        <v>182.47</v>
      </c>
      <c r="JX127" s="52">
        <v>539.84</v>
      </c>
      <c r="JY127" s="52">
        <v>311.19</v>
      </c>
      <c r="JZ127" s="52">
        <v>268.05</v>
      </c>
      <c r="KA127" s="52">
        <v>290.69</v>
      </c>
      <c r="KB127" s="52">
        <v>252.9</v>
      </c>
      <c r="KC127" s="52">
        <v>255.95</v>
      </c>
      <c r="KD127" s="52">
        <v>261.88</v>
      </c>
      <c r="KE127" s="52">
        <v>338.27</v>
      </c>
      <c r="KF127" s="52">
        <v>343.55</v>
      </c>
    </row>
    <row r="128" spans="1:292" s="41" customFormat="1" ht="12">
      <c r="A128" s="41">
        <v>2015</v>
      </c>
      <c r="B128" s="54" t="s">
        <v>981</v>
      </c>
      <c r="C128" s="55" t="s">
        <v>982</v>
      </c>
      <c r="D128" s="56">
        <v>255.23</v>
      </c>
      <c r="E128" s="56">
        <v>296.69</v>
      </c>
      <c r="F128" s="56">
        <v>428.76</v>
      </c>
      <c r="G128" s="56">
        <v>153.69999999999999</v>
      </c>
      <c r="H128" s="56">
        <v>294.63</v>
      </c>
      <c r="I128" s="56">
        <v>200.15</v>
      </c>
      <c r="J128" s="56">
        <v>153.49</v>
      </c>
      <c r="K128" s="56">
        <v>235.96</v>
      </c>
      <c r="L128" s="56">
        <v>126.69</v>
      </c>
      <c r="M128" s="56">
        <v>180.28</v>
      </c>
      <c r="N128" s="56">
        <v>252.48</v>
      </c>
      <c r="O128" s="56">
        <v>363.99</v>
      </c>
      <c r="P128" s="56">
        <v>293.51</v>
      </c>
      <c r="Q128" s="56">
        <v>301.47000000000003</v>
      </c>
      <c r="R128" s="56">
        <v>235.84</v>
      </c>
      <c r="S128" s="56">
        <v>468.26</v>
      </c>
      <c r="T128" s="56">
        <v>425.72</v>
      </c>
      <c r="U128" s="56">
        <v>147.25</v>
      </c>
      <c r="V128" s="56">
        <v>173.61</v>
      </c>
      <c r="W128" s="56">
        <v>343.69</v>
      </c>
      <c r="X128" s="56">
        <v>210.83</v>
      </c>
      <c r="Y128" s="56">
        <v>273.33999999999997</v>
      </c>
      <c r="Z128" s="56">
        <v>297.45</v>
      </c>
      <c r="AA128" s="56">
        <v>232.43</v>
      </c>
      <c r="AB128" s="56">
        <v>190.61</v>
      </c>
      <c r="AC128" s="56">
        <v>151.38999999999999</v>
      </c>
      <c r="AD128" s="56">
        <v>216.13</v>
      </c>
      <c r="AE128" s="56">
        <v>233.49</v>
      </c>
      <c r="AF128" s="56">
        <v>203.23</v>
      </c>
      <c r="AG128" s="56">
        <v>104.84</v>
      </c>
      <c r="AH128" s="56">
        <v>186.61</v>
      </c>
      <c r="AI128" s="56">
        <v>249.56</v>
      </c>
      <c r="AJ128" s="56">
        <v>171.23</v>
      </c>
      <c r="AK128" s="56">
        <v>255.39</v>
      </c>
      <c r="AL128" s="56">
        <v>286.89999999999998</v>
      </c>
      <c r="AM128" s="56">
        <v>320.18</v>
      </c>
      <c r="AN128" s="56">
        <v>40.619999999999997</v>
      </c>
      <c r="AO128" s="56">
        <v>141.69</v>
      </c>
      <c r="AP128" s="56">
        <v>62.79</v>
      </c>
      <c r="AQ128" s="56">
        <v>215.78</v>
      </c>
      <c r="AR128" s="56">
        <v>304.67</v>
      </c>
      <c r="AS128" s="56">
        <v>256.05</v>
      </c>
      <c r="AT128" s="56">
        <v>290.06</v>
      </c>
      <c r="AU128" s="56">
        <v>289.87</v>
      </c>
      <c r="AV128" s="56">
        <v>309.01</v>
      </c>
      <c r="AW128" s="56">
        <v>291.89</v>
      </c>
      <c r="AX128" s="56">
        <v>215.35</v>
      </c>
      <c r="AY128" s="56">
        <v>195.7</v>
      </c>
      <c r="AZ128" s="56">
        <v>364.54</v>
      </c>
      <c r="BA128" s="56">
        <v>293.64</v>
      </c>
      <c r="BB128" s="56">
        <v>207.27</v>
      </c>
      <c r="BC128" s="56">
        <v>483.2</v>
      </c>
      <c r="BD128" s="56">
        <v>290.81</v>
      </c>
      <c r="BE128" s="56">
        <v>268.45</v>
      </c>
      <c r="BF128" s="56">
        <v>338.27</v>
      </c>
      <c r="BG128" s="56">
        <v>345.3</v>
      </c>
      <c r="BH128" s="52">
        <v>290.48</v>
      </c>
      <c r="BI128" s="52">
        <v>300.10000000000002</v>
      </c>
      <c r="BJ128" s="52">
        <v>268.42</v>
      </c>
      <c r="BK128" s="52">
        <v>266.64999999999998</v>
      </c>
      <c r="BL128" s="52">
        <v>250.85</v>
      </c>
      <c r="BM128" s="52">
        <v>267.67</v>
      </c>
      <c r="BN128" s="52">
        <v>413.14</v>
      </c>
      <c r="BO128" s="52">
        <v>224.98</v>
      </c>
      <c r="BP128" s="52">
        <v>285.23</v>
      </c>
      <c r="BQ128" s="52">
        <v>284.85000000000002</v>
      </c>
      <c r="BR128" s="52">
        <v>199.83</v>
      </c>
      <c r="BS128" s="52">
        <v>506.9</v>
      </c>
      <c r="BT128" s="52">
        <v>287.54000000000002</v>
      </c>
      <c r="BU128" s="52">
        <v>443.59</v>
      </c>
      <c r="BV128" s="52">
        <v>425.72</v>
      </c>
      <c r="BW128" s="52">
        <v>144.03</v>
      </c>
      <c r="BX128" s="52">
        <v>175.24</v>
      </c>
      <c r="BY128" s="52">
        <v>258.93</v>
      </c>
      <c r="BZ128" s="52">
        <v>172.92</v>
      </c>
      <c r="CA128" s="52">
        <v>296.86</v>
      </c>
      <c r="CB128" s="53">
        <v>343.69</v>
      </c>
      <c r="CC128" s="52">
        <v>210.83</v>
      </c>
      <c r="CD128" s="52">
        <v>272.29000000000002</v>
      </c>
      <c r="CE128" s="52">
        <v>254.51</v>
      </c>
      <c r="CF128" s="52">
        <v>326.86</v>
      </c>
      <c r="CG128" s="52">
        <v>287.55</v>
      </c>
      <c r="CH128" s="52">
        <v>238.6</v>
      </c>
      <c r="CI128" s="52">
        <v>212.18</v>
      </c>
      <c r="CJ128" s="52">
        <v>190.61</v>
      </c>
      <c r="CK128" s="52">
        <v>137</v>
      </c>
      <c r="CL128" s="52">
        <v>162.83000000000001</v>
      </c>
      <c r="CM128" s="52">
        <v>337.71</v>
      </c>
      <c r="CN128" s="52">
        <v>216.13</v>
      </c>
      <c r="CO128" s="52">
        <v>233.49</v>
      </c>
      <c r="CP128" s="52">
        <v>159.54</v>
      </c>
      <c r="CQ128" s="52">
        <v>386.22</v>
      </c>
      <c r="CR128" s="52">
        <v>101.22</v>
      </c>
      <c r="CS128" s="52">
        <v>173.9</v>
      </c>
      <c r="CT128" s="52">
        <v>118.7</v>
      </c>
      <c r="CU128" s="52">
        <v>213.5</v>
      </c>
      <c r="CV128" s="52">
        <v>193.75</v>
      </c>
      <c r="CW128" s="52">
        <v>116.72</v>
      </c>
      <c r="CX128" s="52">
        <v>249.56</v>
      </c>
      <c r="CY128" s="52">
        <v>171.56</v>
      </c>
      <c r="CZ128" s="52">
        <v>142.33000000000001</v>
      </c>
      <c r="DA128" s="52">
        <v>189.34</v>
      </c>
      <c r="DB128" s="52">
        <v>227.58</v>
      </c>
      <c r="DC128" s="52">
        <v>237.6</v>
      </c>
      <c r="DD128" s="52">
        <v>328.41</v>
      </c>
      <c r="DE128" s="52">
        <v>380.13</v>
      </c>
      <c r="DF128" s="52">
        <v>276.38</v>
      </c>
      <c r="DG128" s="52">
        <v>293.27</v>
      </c>
      <c r="DH128" s="52">
        <v>158.56</v>
      </c>
      <c r="DI128" s="52">
        <v>249.78</v>
      </c>
      <c r="DJ128" s="52">
        <v>336.11</v>
      </c>
      <c r="DK128" s="52">
        <v>320.18</v>
      </c>
      <c r="DL128" s="52">
        <v>40.619999999999997</v>
      </c>
      <c r="DM128" s="52">
        <v>141.69</v>
      </c>
      <c r="DN128" s="52">
        <v>37.25</v>
      </c>
      <c r="DO128" s="52">
        <v>92.43</v>
      </c>
      <c r="DP128" s="52">
        <v>161.71</v>
      </c>
      <c r="DQ128" s="52">
        <v>215.78</v>
      </c>
      <c r="DR128" s="52">
        <v>337.87</v>
      </c>
      <c r="DS128" s="52">
        <v>226.24</v>
      </c>
      <c r="DT128" s="52"/>
      <c r="DU128" s="52">
        <v>247.59</v>
      </c>
      <c r="DV128" s="52">
        <v>299.31</v>
      </c>
      <c r="DW128" s="52">
        <v>216.59</v>
      </c>
      <c r="DX128" s="52">
        <v>277.5</v>
      </c>
      <c r="DY128" s="52">
        <v>371.81</v>
      </c>
      <c r="DZ128" s="52">
        <v>278.42</v>
      </c>
      <c r="EA128" s="52">
        <v>218.97</v>
      </c>
      <c r="EB128" s="52">
        <v>289.87</v>
      </c>
      <c r="EC128" s="52">
        <v>309.01</v>
      </c>
      <c r="ED128" s="52">
        <v>291.89</v>
      </c>
      <c r="EE128" s="52">
        <v>215.35</v>
      </c>
      <c r="EF128" s="52">
        <v>195.7</v>
      </c>
      <c r="EG128" s="52">
        <v>364.54</v>
      </c>
      <c r="EH128" s="52">
        <v>293.64</v>
      </c>
      <c r="EI128" s="52">
        <v>297.77999999999997</v>
      </c>
      <c r="EJ128" s="52">
        <v>136.16</v>
      </c>
      <c r="EK128" s="52">
        <v>182.67</v>
      </c>
      <c r="EL128" s="52">
        <v>545.66999999999996</v>
      </c>
      <c r="EM128" s="52">
        <v>298.70999999999998</v>
      </c>
      <c r="EN128" s="52">
        <v>290.81</v>
      </c>
      <c r="EO128" s="52">
        <v>250.96</v>
      </c>
      <c r="EP128" s="52">
        <v>256.74</v>
      </c>
      <c r="EQ128" s="52">
        <v>262.52999999999997</v>
      </c>
      <c r="ER128" s="52">
        <v>338.27</v>
      </c>
      <c r="ES128" s="52">
        <v>345.3</v>
      </c>
      <c r="ET128" s="52">
        <v>345.77</v>
      </c>
      <c r="EU128" s="52">
        <v>261.82</v>
      </c>
      <c r="EV128" s="52">
        <v>304.64999999999998</v>
      </c>
      <c r="EW128" s="52">
        <v>254.64</v>
      </c>
      <c r="EX128" s="52">
        <v>282.89999999999998</v>
      </c>
      <c r="EY128" s="52">
        <v>180.97</v>
      </c>
      <c r="EZ128" s="52">
        <v>322.20999999999998</v>
      </c>
      <c r="FA128" s="52">
        <v>305.24</v>
      </c>
      <c r="FB128" s="52">
        <v>235.78</v>
      </c>
      <c r="FC128" s="52">
        <v>332.91</v>
      </c>
      <c r="FD128" s="52">
        <v>288.35000000000002</v>
      </c>
      <c r="FE128" s="52">
        <v>268.42</v>
      </c>
      <c r="FF128" s="52"/>
      <c r="FG128" s="52">
        <v>215</v>
      </c>
      <c r="FH128" s="52">
        <v>223.66</v>
      </c>
      <c r="FI128" s="52">
        <v>294.75</v>
      </c>
      <c r="FJ128" s="52">
        <v>332.64</v>
      </c>
      <c r="FK128" s="52">
        <v>386.37</v>
      </c>
      <c r="FL128" s="52">
        <v>229.01</v>
      </c>
      <c r="FM128" s="52">
        <v>237.42</v>
      </c>
      <c r="FN128" s="52">
        <v>226.27</v>
      </c>
      <c r="FO128" s="52">
        <v>491.94</v>
      </c>
      <c r="FP128" s="52">
        <v>419.84</v>
      </c>
      <c r="FQ128" s="52">
        <v>509.69</v>
      </c>
      <c r="FR128" s="52">
        <v>428.92</v>
      </c>
      <c r="FS128" s="52">
        <v>293.17</v>
      </c>
      <c r="FT128" s="52">
        <v>202.97</v>
      </c>
      <c r="FU128" s="52">
        <v>323.63</v>
      </c>
      <c r="FV128" s="52">
        <v>226.68</v>
      </c>
      <c r="FW128" s="52">
        <v>162.61000000000001</v>
      </c>
      <c r="FX128" s="52">
        <v>285.23</v>
      </c>
      <c r="FY128" s="52">
        <v>277.02</v>
      </c>
      <c r="FZ128" s="52">
        <v>286.83999999999997</v>
      </c>
      <c r="GA128" s="52">
        <v>227.37</v>
      </c>
      <c r="GB128" s="52">
        <v>214.43</v>
      </c>
      <c r="GC128" s="52">
        <v>192.52</v>
      </c>
      <c r="GD128" s="52">
        <v>184.49</v>
      </c>
      <c r="GE128" s="52">
        <v>506.9</v>
      </c>
      <c r="GF128" s="52">
        <v>287.54000000000002</v>
      </c>
      <c r="GG128" s="52">
        <v>443.59</v>
      </c>
      <c r="GH128" s="52">
        <v>425.02</v>
      </c>
      <c r="GI128" s="52">
        <v>154.62</v>
      </c>
      <c r="GJ128" s="52">
        <v>136.47999999999999</v>
      </c>
      <c r="GK128" s="52">
        <v>135.93</v>
      </c>
      <c r="GL128" s="52">
        <v>199.16</v>
      </c>
      <c r="GM128" s="52">
        <v>175.24</v>
      </c>
      <c r="GN128" s="52">
        <v>258.93</v>
      </c>
      <c r="GO128" s="52">
        <v>172.27</v>
      </c>
      <c r="GP128" s="52">
        <v>173.65</v>
      </c>
      <c r="GQ128" s="52">
        <v>173.02</v>
      </c>
      <c r="GR128" s="52">
        <v>296.86</v>
      </c>
      <c r="GS128" s="52">
        <v>343.69</v>
      </c>
      <c r="GT128" s="52">
        <v>210.83</v>
      </c>
      <c r="GU128" s="52">
        <v>272.29000000000002</v>
      </c>
      <c r="GV128" s="52">
        <v>254.51</v>
      </c>
      <c r="GW128" s="52">
        <v>316.89</v>
      </c>
      <c r="GX128" s="52">
        <v>307.58999999999997</v>
      </c>
      <c r="GY128" s="52">
        <v>287.55</v>
      </c>
      <c r="GZ128" s="52">
        <v>275.62</v>
      </c>
      <c r="HA128" s="52">
        <v>221.77</v>
      </c>
      <c r="HB128" s="52">
        <v>245.9</v>
      </c>
      <c r="HC128" s="52">
        <v>212.18</v>
      </c>
      <c r="HD128" s="52">
        <v>190.61</v>
      </c>
      <c r="HE128" s="52">
        <v>117.5</v>
      </c>
      <c r="HF128" s="52">
        <v>122.68</v>
      </c>
      <c r="HG128" s="52">
        <v>162.83000000000001</v>
      </c>
      <c r="HH128" s="52">
        <v>188.88</v>
      </c>
      <c r="HI128" s="52">
        <v>92.53</v>
      </c>
      <c r="HJ128" s="52">
        <v>162.83000000000001</v>
      </c>
      <c r="HK128" s="52">
        <v>337.71</v>
      </c>
      <c r="HL128" s="52">
        <v>182.88</v>
      </c>
      <c r="HM128" s="52">
        <v>232.33</v>
      </c>
      <c r="HN128" s="52">
        <v>244.01</v>
      </c>
      <c r="HO128" s="52">
        <v>211.22</v>
      </c>
      <c r="HP128" s="52">
        <v>249.95</v>
      </c>
      <c r="HQ128" s="52">
        <v>151.1</v>
      </c>
      <c r="HR128" s="52">
        <v>223.79</v>
      </c>
      <c r="HS128" s="52">
        <v>393.96</v>
      </c>
      <c r="HT128" s="52">
        <v>234.11</v>
      </c>
      <c r="HU128" s="52">
        <v>101.22</v>
      </c>
      <c r="HV128" s="52">
        <v>173.9</v>
      </c>
      <c r="HW128" s="52">
        <v>119.45</v>
      </c>
      <c r="HX128" s="52">
        <v>109.33</v>
      </c>
      <c r="HY128" s="52">
        <v>213.5</v>
      </c>
      <c r="HZ128" s="52">
        <v>193.75</v>
      </c>
      <c r="IA128" s="52">
        <v>106.62</v>
      </c>
      <c r="IB128" s="52">
        <v>249.56</v>
      </c>
      <c r="IC128" s="52">
        <v>155.47</v>
      </c>
      <c r="ID128" s="52">
        <v>174.79</v>
      </c>
      <c r="IE128" s="52">
        <v>142.33000000000001</v>
      </c>
      <c r="IF128" s="52">
        <v>189.34</v>
      </c>
      <c r="IG128" s="52">
        <v>227.58</v>
      </c>
      <c r="IH128" s="52">
        <v>237.6</v>
      </c>
      <c r="II128" s="52">
        <v>328.41</v>
      </c>
      <c r="IJ128" s="52">
        <v>380.13</v>
      </c>
      <c r="IK128" s="52">
        <v>310.70999999999998</v>
      </c>
      <c r="IL128" s="52">
        <v>220.34</v>
      </c>
      <c r="IM128" s="52">
        <v>307.38</v>
      </c>
      <c r="IN128" s="52">
        <v>290.64</v>
      </c>
      <c r="IO128" s="52">
        <v>241.39</v>
      </c>
      <c r="IP128" s="52">
        <v>158.56</v>
      </c>
      <c r="IQ128" s="52">
        <v>249.78</v>
      </c>
      <c r="IR128" s="52">
        <v>336.11</v>
      </c>
      <c r="IS128" s="52">
        <v>320.18</v>
      </c>
      <c r="IT128" s="52">
        <v>40.619999999999997</v>
      </c>
      <c r="IU128" s="52">
        <v>141.69</v>
      </c>
      <c r="IV128" s="52">
        <v>37.26</v>
      </c>
      <c r="IW128" s="52">
        <v>92.43</v>
      </c>
      <c r="IX128" s="52">
        <v>161.71</v>
      </c>
      <c r="IY128" s="52">
        <v>215.78</v>
      </c>
      <c r="IZ128" s="52">
        <v>337.87</v>
      </c>
      <c r="JA128" s="52">
        <v>226.24</v>
      </c>
      <c r="JB128" s="52"/>
      <c r="JC128" s="52">
        <v>247.59</v>
      </c>
      <c r="JD128" s="52">
        <v>299.31</v>
      </c>
      <c r="JE128" s="52">
        <v>244.54</v>
      </c>
      <c r="JF128" s="52">
        <v>208.9</v>
      </c>
      <c r="JG128" s="52">
        <v>277.5</v>
      </c>
      <c r="JH128" s="52">
        <v>371.81</v>
      </c>
      <c r="JI128" s="52">
        <v>278.42</v>
      </c>
      <c r="JJ128" s="52">
        <v>218.97</v>
      </c>
      <c r="JK128" s="52">
        <v>289.87</v>
      </c>
      <c r="JL128" s="52">
        <v>309.01</v>
      </c>
      <c r="JM128" s="52">
        <v>291.89</v>
      </c>
      <c r="JN128" s="52">
        <v>215.35</v>
      </c>
      <c r="JO128" s="52">
        <v>195.7</v>
      </c>
      <c r="JP128" s="52">
        <v>379.81</v>
      </c>
      <c r="JQ128" s="52">
        <v>330.98</v>
      </c>
      <c r="JR128" s="52">
        <v>267.33999999999997</v>
      </c>
      <c r="JS128" s="52">
        <v>336.67</v>
      </c>
      <c r="JT128" s="52">
        <v>335.24</v>
      </c>
      <c r="JU128" s="52">
        <v>261.73</v>
      </c>
      <c r="JV128" s="52">
        <v>136.16</v>
      </c>
      <c r="JW128" s="52">
        <v>182.67</v>
      </c>
      <c r="JX128" s="52">
        <v>545.66999999999996</v>
      </c>
      <c r="JY128" s="52">
        <v>314.49</v>
      </c>
      <c r="JZ128" s="52">
        <v>270.11</v>
      </c>
      <c r="KA128" s="52">
        <v>290.81</v>
      </c>
      <c r="KB128" s="52">
        <v>250.96</v>
      </c>
      <c r="KC128" s="52">
        <v>256.74</v>
      </c>
      <c r="KD128" s="52">
        <v>262.52999999999997</v>
      </c>
      <c r="KE128" s="52">
        <v>338.27</v>
      </c>
      <c r="KF128" s="52">
        <v>345.3</v>
      </c>
    </row>
    <row r="129" spans="1:292" s="41" customFormat="1" ht="12">
      <c r="A129" s="41">
        <v>2015</v>
      </c>
      <c r="B129" s="54" t="s">
        <v>983</v>
      </c>
      <c r="C129" s="55" t="s">
        <v>984</v>
      </c>
      <c r="D129" s="56">
        <v>259.39</v>
      </c>
      <c r="E129" s="56">
        <v>301.52999999999997</v>
      </c>
      <c r="F129" s="56">
        <v>428.83</v>
      </c>
      <c r="G129" s="56">
        <v>172.6</v>
      </c>
      <c r="H129" s="56">
        <v>295.83999999999997</v>
      </c>
      <c r="I129" s="56">
        <v>202.85</v>
      </c>
      <c r="J129" s="56">
        <v>153.94</v>
      </c>
      <c r="K129" s="56">
        <v>236.94</v>
      </c>
      <c r="L129" s="56">
        <v>126.34</v>
      </c>
      <c r="M129" s="56">
        <v>182.39</v>
      </c>
      <c r="N129" s="56">
        <v>254.71</v>
      </c>
      <c r="O129" s="56">
        <v>368.6</v>
      </c>
      <c r="P129" s="56">
        <v>297.16000000000003</v>
      </c>
      <c r="Q129" s="56">
        <v>306.64999999999998</v>
      </c>
      <c r="R129" s="56">
        <v>236.96</v>
      </c>
      <c r="S129" s="56">
        <v>469.34</v>
      </c>
      <c r="T129" s="56">
        <v>425.72</v>
      </c>
      <c r="U129" s="56">
        <v>166.14</v>
      </c>
      <c r="V129" s="56">
        <v>192.09</v>
      </c>
      <c r="W129" s="56">
        <v>345.63</v>
      </c>
      <c r="X129" s="56">
        <v>212.54</v>
      </c>
      <c r="Y129" s="56">
        <v>275.45</v>
      </c>
      <c r="Z129" s="56">
        <v>297.64</v>
      </c>
      <c r="AA129" s="56">
        <v>235.28</v>
      </c>
      <c r="AB129" s="56">
        <v>194.73</v>
      </c>
      <c r="AC129" s="56">
        <v>154.13</v>
      </c>
      <c r="AD129" s="56">
        <v>218.88</v>
      </c>
      <c r="AE129" s="56">
        <v>233.24</v>
      </c>
      <c r="AF129" s="56">
        <v>205.09</v>
      </c>
      <c r="AG129" s="56">
        <v>105.05</v>
      </c>
      <c r="AH129" s="56">
        <v>187.38</v>
      </c>
      <c r="AI129" s="56">
        <v>249.89</v>
      </c>
      <c r="AJ129" s="56">
        <v>171.46</v>
      </c>
      <c r="AK129" s="56">
        <v>257.33</v>
      </c>
      <c r="AL129" s="56">
        <v>287.91000000000003</v>
      </c>
      <c r="AM129" s="56">
        <v>320.18</v>
      </c>
      <c r="AN129" s="56">
        <v>40.01</v>
      </c>
      <c r="AO129" s="56">
        <v>141.54</v>
      </c>
      <c r="AP129" s="56">
        <v>62.93</v>
      </c>
      <c r="AQ129" s="56">
        <v>217.46</v>
      </c>
      <c r="AR129" s="56">
        <v>304.57</v>
      </c>
      <c r="AS129" s="56">
        <v>258.08999999999997</v>
      </c>
      <c r="AT129" s="56">
        <v>292.61</v>
      </c>
      <c r="AU129" s="56">
        <v>305.81</v>
      </c>
      <c r="AV129" s="56">
        <v>314.22000000000003</v>
      </c>
      <c r="AW129" s="56">
        <v>295.47000000000003</v>
      </c>
      <c r="AX129" s="56">
        <v>215.35</v>
      </c>
      <c r="AY129" s="56">
        <v>196.25</v>
      </c>
      <c r="AZ129" s="56">
        <v>369.37</v>
      </c>
      <c r="BA129" s="56">
        <v>295.97000000000003</v>
      </c>
      <c r="BB129" s="56">
        <v>209.09</v>
      </c>
      <c r="BC129" s="56">
        <v>497.31</v>
      </c>
      <c r="BD129" s="56">
        <v>292.23</v>
      </c>
      <c r="BE129" s="56">
        <v>275.2</v>
      </c>
      <c r="BF129" s="56">
        <v>338.27</v>
      </c>
      <c r="BG129" s="56">
        <v>345.73</v>
      </c>
      <c r="BH129" s="52">
        <v>291.38</v>
      </c>
      <c r="BI129" s="52">
        <v>303.68</v>
      </c>
      <c r="BJ129" s="52">
        <v>281.87</v>
      </c>
      <c r="BK129" s="52">
        <v>262.70999999999998</v>
      </c>
      <c r="BL129" s="52">
        <v>254.93</v>
      </c>
      <c r="BM129" s="52">
        <v>285.91000000000003</v>
      </c>
      <c r="BN129" s="52">
        <v>424.46</v>
      </c>
      <c r="BO129" s="52">
        <v>227.91</v>
      </c>
      <c r="BP129" s="52">
        <v>290.06</v>
      </c>
      <c r="BQ129" s="52">
        <v>286.95</v>
      </c>
      <c r="BR129" s="52">
        <v>200.4</v>
      </c>
      <c r="BS129" s="52">
        <v>507.6</v>
      </c>
      <c r="BT129" s="52">
        <v>293.16000000000003</v>
      </c>
      <c r="BU129" s="52">
        <v>443.92</v>
      </c>
      <c r="BV129" s="52">
        <v>425.72</v>
      </c>
      <c r="BW129" s="52">
        <v>163.56</v>
      </c>
      <c r="BX129" s="52">
        <v>188.81</v>
      </c>
      <c r="BY129" s="52">
        <v>259.57</v>
      </c>
      <c r="BZ129" s="52">
        <v>191.46</v>
      </c>
      <c r="CA129" s="52">
        <v>299.52999999999997</v>
      </c>
      <c r="CB129" s="53">
        <v>345.63</v>
      </c>
      <c r="CC129" s="52">
        <v>212.54</v>
      </c>
      <c r="CD129" s="52">
        <v>274.39999999999998</v>
      </c>
      <c r="CE129" s="52">
        <v>254.31</v>
      </c>
      <c r="CF129" s="52">
        <v>327.49</v>
      </c>
      <c r="CG129" s="52">
        <v>287.97000000000003</v>
      </c>
      <c r="CH129" s="52">
        <v>241.33</v>
      </c>
      <c r="CI129" s="52">
        <v>216.51</v>
      </c>
      <c r="CJ129" s="52">
        <v>194.73</v>
      </c>
      <c r="CK129" s="52">
        <v>139.65</v>
      </c>
      <c r="CL129" s="52">
        <v>165.62</v>
      </c>
      <c r="CM129" s="52">
        <v>338.88</v>
      </c>
      <c r="CN129" s="52">
        <v>218.88</v>
      </c>
      <c r="CO129" s="52">
        <v>233.24</v>
      </c>
      <c r="CP129" s="52">
        <v>160.81</v>
      </c>
      <c r="CQ129" s="52">
        <v>390.51</v>
      </c>
      <c r="CR129" s="52">
        <v>101.23</v>
      </c>
      <c r="CS129" s="52">
        <v>175.72</v>
      </c>
      <c r="CT129" s="52">
        <v>119.33</v>
      </c>
      <c r="CU129" s="52">
        <v>214.52</v>
      </c>
      <c r="CV129" s="52">
        <v>194.59</v>
      </c>
      <c r="CW129" s="52">
        <v>117.02</v>
      </c>
      <c r="CX129" s="52">
        <v>249.89</v>
      </c>
      <c r="CY129" s="52">
        <v>171.56</v>
      </c>
      <c r="CZ129" s="52">
        <v>146.36000000000001</v>
      </c>
      <c r="DA129" s="52">
        <v>198.65</v>
      </c>
      <c r="DB129" s="52">
        <v>228.93</v>
      </c>
      <c r="DC129" s="52">
        <v>239.57</v>
      </c>
      <c r="DD129" s="52">
        <v>329.62</v>
      </c>
      <c r="DE129" s="52">
        <v>384.11</v>
      </c>
      <c r="DF129" s="52">
        <v>276.3</v>
      </c>
      <c r="DG129" s="52">
        <v>293.45</v>
      </c>
      <c r="DH129" s="52">
        <v>163.86</v>
      </c>
      <c r="DI129" s="52">
        <v>249.78</v>
      </c>
      <c r="DJ129" s="52">
        <v>338.04</v>
      </c>
      <c r="DK129" s="52">
        <v>320.18</v>
      </c>
      <c r="DL129" s="52">
        <v>40.01</v>
      </c>
      <c r="DM129" s="52">
        <v>141.54</v>
      </c>
      <c r="DN129" s="52">
        <v>37.19</v>
      </c>
      <c r="DO129" s="52">
        <v>93.38</v>
      </c>
      <c r="DP129" s="52">
        <v>161.76</v>
      </c>
      <c r="DQ129" s="52">
        <v>217.46</v>
      </c>
      <c r="DR129" s="52">
        <v>336.22</v>
      </c>
      <c r="DS129" s="52">
        <v>228.97</v>
      </c>
      <c r="DT129" s="52"/>
      <c r="DU129" s="52">
        <v>250.58</v>
      </c>
      <c r="DV129" s="52">
        <v>303.33999999999997</v>
      </c>
      <c r="DW129" s="52">
        <v>217.12</v>
      </c>
      <c r="DX129" s="52">
        <v>277.5</v>
      </c>
      <c r="DY129" s="52">
        <v>374.67</v>
      </c>
      <c r="DZ129" s="52">
        <v>278.42</v>
      </c>
      <c r="EA129" s="52">
        <v>222.65</v>
      </c>
      <c r="EB129" s="52">
        <v>305.81</v>
      </c>
      <c r="EC129" s="52">
        <v>314.22000000000003</v>
      </c>
      <c r="ED129" s="52">
        <v>295.47000000000003</v>
      </c>
      <c r="EE129" s="52">
        <v>215.35</v>
      </c>
      <c r="EF129" s="52">
        <v>196.25</v>
      </c>
      <c r="EG129" s="52">
        <v>369.37</v>
      </c>
      <c r="EH129" s="52">
        <v>295.97000000000003</v>
      </c>
      <c r="EI129" s="52">
        <v>300.64</v>
      </c>
      <c r="EJ129" s="52">
        <v>137.22</v>
      </c>
      <c r="EK129" s="52">
        <v>184.19</v>
      </c>
      <c r="EL129" s="52">
        <v>566.96</v>
      </c>
      <c r="EM129" s="52">
        <v>301.97000000000003</v>
      </c>
      <c r="EN129" s="52">
        <v>292.23</v>
      </c>
      <c r="EO129" s="52">
        <v>246.66</v>
      </c>
      <c r="EP129" s="52">
        <v>257.54000000000002</v>
      </c>
      <c r="EQ129" s="52">
        <v>272.36</v>
      </c>
      <c r="ER129" s="52">
        <v>338.27</v>
      </c>
      <c r="ES129" s="52">
        <v>345.73</v>
      </c>
      <c r="ET129" s="52">
        <v>344.17</v>
      </c>
      <c r="EU129" s="52">
        <v>263.16000000000003</v>
      </c>
      <c r="EV129" s="52">
        <v>305.51</v>
      </c>
      <c r="EW129" s="52">
        <v>255.8</v>
      </c>
      <c r="EX129" s="52">
        <v>284.81</v>
      </c>
      <c r="EY129" s="52">
        <v>181.93</v>
      </c>
      <c r="EZ129" s="52">
        <v>326.52999999999997</v>
      </c>
      <c r="FA129" s="52">
        <v>307.91000000000003</v>
      </c>
      <c r="FB129" s="52">
        <v>240.65</v>
      </c>
      <c r="FC129" s="52">
        <v>340.53</v>
      </c>
      <c r="FD129" s="52">
        <v>286.85000000000002</v>
      </c>
      <c r="FE129" s="52">
        <v>281.87</v>
      </c>
      <c r="FF129" s="52"/>
      <c r="FG129" s="52">
        <v>213.72</v>
      </c>
      <c r="FH129" s="52">
        <v>222.67</v>
      </c>
      <c r="FI129" s="52">
        <v>296.27</v>
      </c>
      <c r="FJ129" s="52">
        <v>304.99</v>
      </c>
      <c r="FK129" s="52">
        <v>384.82</v>
      </c>
      <c r="FL129" s="52">
        <v>224.56</v>
      </c>
      <c r="FM129" s="52">
        <v>243.48</v>
      </c>
      <c r="FN129" s="52">
        <v>247.03</v>
      </c>
      <c r="FO129" s="52">
        <v>499.75</v>
      </c>
      <c r="FP129" s="52">
        <v>411.44</v>
      </c>
      <c r="FQ129" s="52">
        <v>654.99</v>
      </c>
      <c r="FR129" s="52">
        <v>443.01</v>
      </c>
      <c r="FS129" s="52">
        <v>295.99</v>
      </c>
      <c r="FT129" s="52">
        <v>203.58</v>
      </c>
      <c r="FU129" s="52">
        <v>326.70999999999998</v>
      </c>
      <c r="FV129" s="52">
        <v>230.46</v>
      </c>
      <c r="FW129" s="52">
        <v>168.52</v>
      </c>
      <c r="FX129" s="52">
        <v>290.06</v>
      </c>
      <c r="FY129" s="52">
        <v>291.18</v>
      </c>
      <c r="FZ129" s="52">
        <v>286.94</v>
      </c>
      <c r="GA129" s="52">
        <v>231.75</v>
      </c>
      <c r="GB129" s="52">
        <v>217.2</v>
      </c>
      <c r="GC129" s="52">
        <v>191.18</v>
      </c>
      <c r="GD129" s="52">
        <v>184.94</v>
      </c>
      <c r="GE129" s="52">
        <v>507.6</v>
      </c>
      <c r="GF129" s="52">
        <v>293.16000000000003</v>
      </c>
      <c r="GG129" s="52">
        <v>443.92</v>
      </c>
      <c r="GH129" s="52">
        <v>425.02</v>
      </c>
      <c r="GI129" s="52">
        <v>173.39</v>
      </c>
      <c r="GJ129" s="52">
        <v>156.58000000000001</v>
      </c>
      <c r="GK129" s="52">
        <v>156.26</v>
      </c>
      <c r="GL129" s="52">
        <v>206.66</v>
      </c>
      <c r="GM129" s="52">
        <v>188.81</v>
      </c>
      <c r="GN129" s="52">
        <v>259.57</v>
      </c>
      <c r="GO129" s="52">
        <v>190.02</v>
      </c>
      <c r="GP129" s="52">
        <v>191.77</v>
      </c>
      <c r="GQ129" s="52">
        <v>194.45</v>
      </c>
      <c r="GR129" s="52">
        <v>299.52999999999997</v>
      </c>
      <c r="GS129" s="52">
        <v>345.63</v>
      </c>
      <c r="GT129" s="52">
        <v>212.54</v>
      </c>
      <c r="GU129" s="52">
        <v>274.39999999999998</v>
      </c>
      <c r="GV129" s="52">
        <v>254.31</v>
      </c>
      <c r="GW129" s="52">
        <v>317.81</v>
      </c>
      <c r="GX129" s="52">
        <v>307.66000000000003</v>
      </c>
      <c r="GY129" s="52">
        <v>287.97000000000003</v>
      </c>
      <c r="GZ129" s="52">
        <v>283.83</v>
      </c>
      <c r="HA129" s="52">
        <v>219.68</v>
      </c>
      <c r="HB129" s="52">
        <v>250.53</v>
      </c>
      <c r="HC129" s="52">
        <v>216.51</v>
      </c>
      <c r="HD129" s="52">
        <v>194.73</v>
      </c>
      <c r="HE129" s="52">
        <v>118.78</v>
      </c>
      <c r="HF129" s="52">
        <v>128.63</v>
      </c>
      <c r="HG129" s="52">
        <v>161.99</v>
      </c>
      <c r="HH129" s="52">
        <v>189.35</v>
      </c>
      <c r="HI129" s="52">
        <v>94.6</v>
      </c>
      <c r="HJ129" s="52">
        <v>165.62</v>
      </c>
      <c r="HK129" s="52">
        <v>338.88</v>
      </c>
      <c r="HL129" s="52">
        <v>186.54</v>
      </c>
      <c r="HM129" s="52">
        <v>233.63</v>
      </c>
      <c r="HN129" s="52">
        <v>245.91</v>
      </c>
      <c r="HO129" s="52">
        <v>210.4</v>
      </c>
      <c r="HP129" s="52">
        <v>250.62</v>
      </c>
      <c r="HQ129" s="52">
        <v>152.5</v>
      </c>
      <c r="HR129" s="52">
        <v>224.35</v>
      </c>
      <c r="HS129" s="52">
        <v>398.14</v>
      </c>
      <c r="HT129" s="52">
        <v>238.24</v>
      </c>
      <c r="HU129" s="52">
        <v>101.23</v>
      </c>
      <c r="HV129" s="52">
        <v>175.72</v>
      </c>
      <c r="HW129" s="52">
        <v>119.63</v>
      </c>
      <c r="HX129" s="52">
        <v>110.71</v>
      </c>
      <c r="HY129" s="52">
        <v>214.52</v>
      </c>
      <c r="HZ129" s="52">
        <v>194.59</v>
      </c>
      <c r="IA129" s="52">
        <v>106.9</v>
      </c>
      <c r="IB129" s="52">
        <v>249.89</v>
      </c>
      <c r="IC129" s="52">
        <v>155.62</v>
      </c>
      <c r="ID129" s="52">
        <v>174.53</v>
      </c>
      <c r="IE129" s="52">
        <v>146.36000000000001</v>
      </c>
      <c r="IF129" s="52">
        <v>198.65</v>
      </c>
      <c r="IG129" s="52">
        <v>228.93</v>
      </c>
      <c r="IH129" s="52">
        <v>239.57</v>
      </c>
      <c r="II129" s="52">
        <v>329.62</v>
      </c>
      <c r="IJ129" s="52">
        <v>384.11</v>
      </c>
      <c r="IK129" s="52">
        <v>310.52999999999997</v>
      </c>
      <c r="IL129" s="52">
        <v>220.34</v>
      </c>
      <c r="IM129" s="52">
        <v>307.83999999999997</v>
      </c>
      <c r="IN129" s="52">
        <v>290.60000000000002</v>
      </c>
      <c r="IO129" s="52">
        <v>240.93</v>
      </c>
      <c r="IP129" s="52">
        <v>163.86</v>
      </c>
      <c r="IQ129" s="52">
        <v>249.78</v>
      </c>
      <c r="IR129" s="52">
        <v>338.04</v>
      </c>
      <c r="IS129" s="52">
        <v>320.18</v>
      </c>
      <c r="IT129" s="52">
        <v>40.01</v>
      </c>
      <c r="IU129" s="52">
        <v>141.54</v>
      </c>
      <c r="IV129" s="52">
        <v>37.200000000000003</v>
      </c>
      <c r="IW129" s="52">
        <v>93.38</v>
      </c>
      <c r="IX129" s="52">
        <v>161.76</v>
      </c>
      <c r="IY129" s="52">
        <v>217.46</v>
      </c>
      <c r="IZ129" s="52">
        <v>336.22</v>
      </c>
      <c r="JA129" s="52">
        <v>228.97</v>
      </c>
      <c r="JB129" s="52"/>
      <c r="JC129" s="52">
        <v>250.58</v>
      </c>
      <c r="JD129" s="52">
        <v>303.33999999999997</v>
      </c>
      <c r="JE129" s="52">
        <v>247.65</v>
      </c>
      <c r="JF129" s="52">
        <v>209.06</v>
      </c>
      <c r="JG129" s="52">
        <v>277.5</v>
      </c>
      <c r="JH129" s="52">
        <v>374.67</v>
      </c>
      <c r="JI129" s="52">
        <v>278.42</v>
      </c>
      <c r="JJ129" s="52">
        <v>222.65</v>
      </c>
      <c r="JK129" s="52">
        <v>305.81</v>
      </c>
      <c r="JL129" s="52">
        <v>314.22000000000003</v>
      </c>
      <c r="JM129" s="52">
        <v>295.47000000000003</v>
      </c>
      <c r="JN129" s="52">
        <v>215.35</v>
      </c>
      <c r="JO129" s="52">
        <v>196.25</v>
      </c>
      <c r="JP129" s="52">
        <v>385.32</v>
      </c>
      <c r="JQ129" s="52">
        <v>333.79</v>
      </c>
      <c r="JR129" s="52">
        <v>270.43</v>
      </c>
      <c r="JS129" s="52">
        <v>336.67</v>
      </c>
      <c r="JT129" s="52">
        <v>336.21</v>
      </c>
      <c r="JU129" s="52">
        <v>266.18</v>
      </c>
      <c r="JV129" s="52">
        <v>137.22</v>
      </c>
      <c r="JW129" s="52">
        <v>184.19</v>
      </c>
      <c r="JX129" s="52">
        <v>566.96</v>
      </c>
      <c r="JY129" s="52">
        <v>318.52</v>
      </c>
      <c r="JZ129" s="52">
        <v>272.02</v>
      </c>
      <c r="KA129" s="52">
        <v>292.23</v>
      </c>
      <c r="KB129" s="52">
        <v>246.66</v>
      </c>
      <c r="KC129" s="52">
        <v>257.54000000000002</v>
      </c>
      <c r="KD129" s="52">
        <v>272.36</v>
      </c>
      <c r="KE129" s="52">
        <v>338.27</v>
      </c>
      <c r="KF129" s="52">
        <v>345.73</v>
      </c>
    </row>
    <row r="130" spans="1:292" s="41" customFormat="1" ht="12">
      <c r="A130" s="41">
        <v>2015</v>
      </c>
      <c r="B130" s="54" t="s">
        <v>985</v>
      </c>
      <c r="C130" s="50" t="s">
        <v>986</v>
      </c>
      <c r="D130" s="56">
        <v>260.85000000000002</v>
      </c>
      <c r="E130" s="56">
        <v>293.44</v>
      </c>
      <c r="F130" s="56">
        <v>428.86</v>
      </c>
      <c r="G130" s="56">
        <v>189.96</v>
      </c>
      <c r="H130" s="56">
        <v>297.19</v>
      </c>
      <c r="I130" s="56">
        <v>204.51</v>
      </c>
      <c r="J130" s="56">
        <v>154.31</v>
      </c>
      <c r="K130" s="56">
        <v>241.11</v>
      </c>
      <c r="L130" s="56">
        <v>126.14</v>
      </c>
      <c r="M130" s="56">
        <v>184.36</v>
      </c>
      <c r="N130" s="56">
        <v>255.87</v>
      </c>
      <c r="O130" s="56">
        <v>373.02</v>
      </c>
      <c r="P130" s="56">
        <v>298.32</v>
      </c>
      <c r="Q130" s="56">
        <v>297.52</v>
      </c>
      <c r="R130" s="56">
        <v>240.39</v>
      </c>
      <c r="S130" s="56">
        <v>469.73</v>
      </c>
      <c r="T130" s="56">
        <v>425.72</v>
      </c>
      <c r="U130" s="56">
        <v>185.07</v>
      </c>
      <c r="V130" s="56">
        <v>203.19</v>
      </c>
      <c r="W130" s="56">
        <v>347.76</v>
      </c>
      <c r="X130" s="56">
        <v>214.09</v>
      </c>
      <c r="Y130" s="56">
        <v>278.51</v>
      </c>
      <c r="Z130" s="56">
        <v>297.72000000000003</v>
      </c>
      <c r="AA130" s="56">
        <v>237.36</v>
      </c>
      <c r="AB130" s="56">
        <v>195.72</v>
      </c>
      <c r="AC130" s="56">
        <v>155.66</v>
      </c>
      <c r="AD130" s="56">
        <v>221.6</v>
      </c>
      <c r="AE130" s="56">
        <v>236.44</v>
      </c>
      <c r="AF130" s="56">
        <v>205.99</v>
      </c>
      <c r="AG130" s="56">
        <v>105.04</v>
      </c>
      <c r="AH130" s="56">
        <v>187.91</v>
      </c>
      <c r="AI130" s="56">
        <v>251.28</v>
      </c>
      <c r="AJ130" s="56">
        <v>173.65</v>
      </c>
      <c r="AK130" s="56">
        <v>264.36</v>
      </c>
      <c r="AL130" s="56">
        <v>291.14</v>
      </c>
      <c r="AM130" s="56">
        <v>320.18</v>
      </c>
      <c r="AN130" s="56">
        <v>39.49</v>
      </c>
      <c r="AO130" s="56">
        <v>141.54</v>
      </c>
      <c r="AP130" s="56">
        <v>63.74</v>
      </c>
      <c r="AQ130" s="56">
        <v>218.24</v>
      </c>
      <c r="AR130" s="56">
        <v>309.04000000000002</v>
      </c>
      <c r="AS130" s="56">
        <v>258.88</v>
      </c>
      <c r="AT130" s="56">
        <v>296.79000000000002</v>
      </c>
      <c r="AU130" s="56">
        <v>310.36</v>
      </c>
      <c r="AV130" s="56">
        <v>317.06</v>
      </c>
      <c r="AW130" s="56">
        <v>297.49</v>
      </c>
      <c r="AX130" s="56">
        <v>215.35</v>
      </c>
      <c r="AY130" s="56">
        <v>196.21</v>
      </c>
      <c r="AZ130" s="56">
        <v>374.18</v>
      </c>
      <c r="BA130" s="56">
        <v>297.02</v>
      </c>
      <c r="BB130" s="56">
        <v>209.78</v>
      </c>
      <c r="BC130" s="56">
        <v>498.6</v>
      </c>
      <c r="BD130" s="56">
        <v>293.23</v>
      </c>
      <c r="BE130" s="56">
        <v>284.44</v>
      </c>
      <c r="BF130" s="56">
        <v>338.27</v>
      </c>
      <c r="BG130" s="56">
        <v>346.11</v>
      </c>
      <c r="BH130" s="52">
        <v>291.73</v>
      </c>
      <c r="BI130" s="52">
        <v>310.01</v>
      </c>
      <c r="BJ130" s="52">
        <v>298.82</v>
      </c>
      <c r="BK130" s="52">
        <v>260.58999999999997</v>
      </c>
      <c r="BL130" s="52">
        <v>256.18</v>
      </c>
      <c r="BM130" s="52">
        <v>300.75</v>
      </c>
      <c r="BN130" s="52">
        <v>339.92</v>
      </c>
      <c r="BO130" s="52">
        <v>229</v>
      </c>
      <c r="BP130" s="52">
        <v>293.11</v>
      </c>
      <c r="BQ130" s="52">
        <v>287.70999999999998</v>
      </c>
      <c r="BR130" s="52">
        <v>204.99</v>
      </c>
      <c r="BS130" s="52">
        <v>507.7</v>
      </c>
      <c r="BT130" s="52">
        <v>296.39999999999998</v>
      </c>
      <c r="BU130" s="52">
        <v>443.9</v>
      </c>
      <c r="BV130" s="52">
        <v>425.72</v>
      </c>
      <c r="BW130" s="52">
        <v>183.56</v>
      </c>
      <c r="BX130" s="52">
        <v>191.81</v>
      </c>
      <c r="BY130" s="52">
        <v>261.66000000000003</v>
      </c>
      <c r="BZ130" s="52">
        <v>202.6</v>
      </c>
      <c r="CA130" s="52">
        <v>301.04000000000002</v>
      </c>
      <c r="CB130" s="53">
        <v>347.76</v>
      </c>
      <c r="CC130" s="52">
        <v>214.09</v>
      </c>
      <c r="CD130" s="52">
        <v>277.44</v>
      </c>
      <c r="CE130" s="52">
        <v>254.31</v>
      </c>
      <c r="CF130" s="52">
        <v>327.7</v>
      </c>
      <c r="CG130" s="52">
        <v>288.04000000000002</v>
      </c>
      <c r="CH130" s="52">
        <v>243.4</v>
      </c>
      <c r="CI130" s="52">
        <v>219.04</v>
      </c>
      <c r="CJ130" s="52">
        <v>195.72</v>
      </c>
      <c r="CK130" s="52">
        <v>141.65</v>
      </c>
      <c r="CL130" s="52">
        <v>163.16</v>
      </c>
      <c r="CM130" s="52">
        <v>332.22</v>
      </c>
      <c r="CN130" s="52">
        <v>221.6</v>
      </c>
      <c r="CO130" s="52">
        <v>236.44</v>
      </c>
      <c r="CP130" s="52">
        <v>161.52000000000001</v>
      </c>
      <c r="CQ130" s="52">
        <v>392.2</v>
      </c>
      <c r="CR130" s="52">
        <v>101.23</v>
      </c>
      <c r="CS130" s="52">
        <v>175.53</v>
      </c>
      <c r="CT130" s="52">
        <v>119.35</v>
      </c>
      <c r="CU130" s="52">
        <v>214.82</v>
      </c>
      <c r="CV130" s="52">
        <v>195.23</v>
      </c>
      <c r="CW130" s="52">
        <v>117.53</v>
      </c>
      <c r="CX130" s="52">
        <v>251.28</v>
      </c>
      <c r="CY130" s="52">
        <v>173.68</v>
      </c>
      <c r="CZ130" s="52">
        <v>148.85</v>
      </c>
      <c r="DA130" s="52">
        <v>206.49</v>
      </c>
      <c r="DB130" s="52">
        <v>230.64</v>
      </c>
      <c r="DC130" s="52">
        <v>246.89</v>
      </c>
      <c r="DD130" s="52">
        <v>337.82</v>
      </c>
      <c r="DE130" s="52">
        <v>387.04</v>
      </c>
      <c r="DF130" s="52">
        <v>276.3</v>
      </c>
      <c r="DG130" s="52">
        <v>295.60000000000002</v>
      </c>
      <c r="DH130" s="52">
        <v>172.32</v>
      </c>
      <c r="DI130" s="52">
        <v>249.78</v>
      </c>
      <c r="DJ130" s="52">
        <v>342.77</v>
      </c>
      <c r="DK130" s="52">
        <v>320.18</v>
      </c>
      <c r="DL130" s="52">
        <v>39.49</v>
      </c>
      <c r="DM130" s="52">
        <v>141.54</v>
      </c>
      <c r="DN130" s="52">
        <v>38.619999999999997</v>
      </c>
      <c r="DO130" s="52">
        <v>91.18</v>
      </c>
      <c r="DP130" s="52">
        <v>164.64</v>
      </c>
      <c r="DQ130" s="52">
        <v>218.24</v>
      </c>
      <c r="DR130" s="52">
        <v>340.62</v>
      </c>
      <c r="DS130" s="52">
        <v>233.54</v>
      </c>
      <c r="DT130" s="52"/>
      <c r="DU130" s="52">
        <v>253.08</v>
      </c>
      <c r="DV130" s="52">
        <v>304.32</v>
      </c>
      <c r="DW130" s="52">
        <v>217.84</v>
      </c>
      <c r="DX130" s="52">
        <v>277.5</v>
      </c>
      <c r="DY130" s="52">
        <v>382.94</v>
      </c>
      <c r="DZ130" s="52">
        <v>278.42</v>
      </c>
      <c r="EA130" s="52">
        <v>225.62</v>
      </c>
      <c r="EB130" s="52">
        <v>310.36</v>
      </c>
      <c r="EC130" s="52">
        <v>317.06</v>
      </c>
      <c r="ED130" s="52">
        <v>297.49</v>
      </c>
      <c r="EE130" s="52">
        <v>215.35</v>
      </c>
      <c r="EF130" s="52">
        <v>196.21</v>
      </c>
      <c r="EG130" s="52">
        <v>374.18</v>
      </c>
      <c r="EH130" s="52">
        <v>297.02</v>
      </c>
      <c r="EI130" s="52">
        <v>303.64</v>
      </c>
      <c r="EJ130" s="52">
        <v>137.18</v>
      </c>
      <c r="EK130" s="52">
        <v>184.13</v>
      </c>
      <c r="EL130" s="52">
        <v>565.65</v>
      </c>
      <c r="EM130" s="52">
        <v>305.58999999999997</v>
      </c>
      <c r="EN130" s="52">
        <v>293.23</v>
      </c>
      <c r="EO130" s="52">
        <v>249.53</v>
      </c>
      <c r="EP130" s="52">
        <v>258.97000000000003</v>
      </c>
      <c r="EQ130" s="52">
        <v>284.25</v>
      </c>
      <c r="ER130" s="52">
        <v>338.27</v>
      </c>
      <c r="ES130" s="52">
        <v>346.11</v>
      </c>
      <c r="ET130" s="52">
        <v>342.95</v>
      </c>
      <c r="EU130" s="52">
        <v>264.37</v>
      </c>
      <c r="EV130" s="52">
        <v>305.64</v>
      </c>
      <c r="EW130" s="52">
        <v>256.81</v>
      </c>
      <c r="EX130" s="52">
        <v>282.77</v>
      </c>
      <c r="EY130" s="52">
        <v>181.07</v>
      </c>
      <c r="EZ130" s="52">
        <v>334.1</v>
      </c>
      <c r="FA130" s="52">
        <v>313.20999999999998</v>
      </c>
      <c r="FB130" s="52">
        <v>247.16</v>
      </c>
      <c r="FC130" s="52">
        <v>355.04</v>
      </c>
      <c r="FD130" s="52">
        <v>288.04000000000002</v>
      </c>
      <c r="FE130" s="52">
        <v>298.82</v>
      </c>
      <c r="FF130" s="52"/>
      <c r="FG130" s="52">
        <v>213.16</v>
      </c>
      <c r="FH130" s="52">
        <v>221.53</v>
      </c>
      <c r="FI130" s="52">
        <v>296.48</v>
      </c>
      <c r="FJ130" s="52">
        <v>292.43</v>
      </c>
      <c r="FK130" s="52">
        <v>382.59</v>
      </c>
      <c r="FL130" s="52">
        <v>224.44</v>
      </c>
      <c r="FM130" s="52">
        <v>245.45</v>
      </c>
      <c r="FN130" s="52">
        <v>263.33999999999997</v>
      </c>
      <c r="FO130" s="52">
        <v>508.84</v>
      </c>
      <c r="FP130" s="52">
        <v>302.56</v>
      </c>
      <c r="FQ130" s="52">
        <v>523.04</v>
      </c>
      <c r="FR130" s="52">
        <v>445.34</v>
      </c>
      <c r="FS130" s="52">
        <v>295.74</v>
      </c>
      <c r="FT130" s="52">
        <v>203.6</v>
      </c>
      <c r="FU130" s="52">
        <v>327.33999999999997</v>
      </c>
      <c r="FV130" s="52">
        <v>231.25</v>
      </c>
      <c r="FW130" s="52">
        <v>172.67</v>
      </c>
      <c r="FX130" s="52">
        <v>293.11</v>
      </c>
      <c r="FY130" s="52">
        <v>293.39</v>
      </c>
      <c r="FZ130" s="52">
        <v>287.48</v>
      </c>
      <c r="GA130" s="52">
        <v>231.58</v>
      </c>
      <c r="GB130" s="52">
        <v>218.18</v>
      </c>
      <c r="GC130" s="52">
        <v>200.88</v>
      </c>
      <c r="GD130" s="52">
        <v>184.61</v>
      </c>
      <c r="GE130" s="52">
        <v>507.7</v>
      </c>
      <c r="GF130" s="52">
        <v>296.39999999999998</v>
      </c>
      <c r="GG130" s="52">
        <v>443.9</v>
      </c>
      <c r="GH130" s="52">
        <v>425.02</v>
      </c>
      <c r="GI130" s="52">
        <v>191.25</v>
      </c>
      <c r="GJ130" s="52">
        <v>180.71</v>
      </c>
      <c r="GK130" s="52">
        <v>170.7</v>
      </c>
      <c r="GL130" s="52">
        <v>210.46</v>
      </c>
      <c r="GM130" s="52">
        <v>191.81</v>
      </c>
      <c r="GN130" s="52">
        <v>261.66000000000003</v>
      </c>
      <c r="GO130" s="52">
        <v>199.48</v>
      </c>
      <c r="GP130" s="52">
        <v>204.83</v>
      </c>
      <c r="GQ130" s="52">
        <v>205.53</v>
      </c>
      <c r="GR130" s="52">
        <v>301.04000000000002</v>
      </c>
      <c r="GS130" s="52">
        <v>347.76</v>
      </c>
      <c r="GT130" s="52">
        <v>214.09</v>
      </c>
      <c r="GU130" s="52">
        <v>277.44</v>
      </c>
      <c r="GV130" s="52">
        <v>254.31</v>
      </c>
      <c r="GW130" s="52">
        <v>318.36</v>
      </c>
      <c r="GX130" s="52">
        <v>307.23</v>
      </c>
      <c r="GY130" s="52">
        <v>288.04000000000002</v>
      </c>
      <c r="GZ130" s="52">
        <v>285.62</v>
      </c>
      <c r="HA130" s="52">
        <v>222.27</v>
      </c>
      <c r="HB130" s="52">
        <v>252.36</v>
      </c>
      <c r="HC130" s="52">
        <v>219.04</v>
      </c>
      <c r="HD130" s="52">
        <v>195.72</v>
      </c>
      <c r="HE130" s="52">
        <v>120.13</v>
      </c>
      <c r="HF130" s="52">
        <v>132</v>
      </c>
      <c r="HG130" s="52">
        <v>167.19</v>
      </c>
      <c r="HH130" s="52">
        <v>191.6</v>
      </c>
      <c r="HI130" s="52">
        <v>92.63</v>
      </c>
      <c r="HJ130" s="52">
        <v>163.16</v>
      </c>
      <c r="HK130" s="52">
        <v>332.22</v>
      </c>
      <c r="HL130" s="52">
        <v>189.4</v>
      </c>
      <c r="HM130" s="52">
        <v>237.08</v>
      </c>
      <c r="HN130" s="52">
        <v>248.27</v>
      </c>
      <c r="HO130" s="52">
        <v>214.91</v>
      </c>
      <c r="HP130" s="52">
        <v>251.5</v>
      </c>
      <c r="HQ130" s="52">
        <v>152.72999999999999</v>
      </c>
      <c r="HR130" s="52">
        <v>228.18</v>
      </c>
      <c r="HS130" s="52">
        <v>399.64</v>
      </c>
      <c r="HT130" s="52">
        <v>240.99</v>
      </c>
      <c r="HU130" s="52">
        <v>101.23</v>
      </c>
      <c r="HV130" s="52">
        <v>175.53</v>
      </c>
      <c r="HW130" s="52">
        <v>119.73</v>
      </c>
      <c r="HX130" s="52">
        <v>110.6</v>
      </c>
      <c r="HY130" s="52">
        <v>214.82</v>
      </c>
      <c r="HZ130" s="52">
        <v>195.23</v>
      </c>
      <c r="IA130" s="52">
        <v>107.37</v>
      </c>
      <c r="IB130" s="52">
        <v>251.28</v>
      </c>
      <c r="IC130" s="52">
        <v>157.94</v>
      </c>
      <c r="ID130" s="52">
        <v>176.11</v>
      </c>
      <c r="IE130" s="52">
        <v>148.85</v>
      </c>
      <c r="IF130" s="52">
        <v>206.49</v>
      </c>
      <c r="IG130" s="52">
        <v>230.64</v>
      </c>
      <c r="IH130" s="52">
        <v>246.89</v>
      </c>
      <c r="II130" s="52">
        <v>337.82</v>
      </c>
      <c r="IJ130" s="52">
        <v>387.04</v>
      </c>
      <c r="IK130" s="52">
        <v>310.52999999999997</v>
      </c>
      <c r="IL130" s="52">
        <v>220.34</v>
      </c>
      <c r="IM130" s="52">
        <v>308.14</v>
      </c>
      <c r="IN130" s="52">
        <v>290.98</v>
      </c>
      <c r="IO130" s="52">
        <v>248.41</v>
      </c>
      <c r="IP130" s="52">
        <v>172.32</v>
      </c>
      <c r="IQ130" s="52">
        <v>249.78</v>
      </c>
      <c r="IR130" s="52">
        <v>342.77</v>
      </c>
      <c r="IS130" s="52">
        <v>320.18</v>
      </c>
      <c r="IT130" s="52">
        <v>39.49</v>
      </c>
      <c r="IU130" s="52">
        <v>141.54</v>
      </c>
      <c r="IV130" s="52">
        <v>38.630000000000003</v>
      </c>
      <c r="IW130" s="52">
        <v>91.18</v>
      </c>
      <c r="IX130" s="52">
        <v>164.64</v>
      </c>
      <c r="IY130" s="52">
        <v>218.24</v>
      </c>
      <c r="IZ130" s="52">
        <v>340.62</v>
      </c>
      <c r="JA130" s="52">
        <v>233.54</v>
      </c>
      <c r="JB130" s="52"/>
      <c r="JC130" s="52">
        <v>253.08</v>
      </c>
      <c r="JD130" s="52">
        <v>304.32</v>
      </c>
      <c r="JE130" s="52">
        <v>251.85</v>
      </c>
      <c r="JF130" s="52">
        <v>209.29</v>
      </c>
      <c r="JG130" s="52">
        <v>277.5</v>
      </c>
      <c r="JH130" s="52">
        <v>382.94</v>
      </c>
      <c r="JI130" s="52">
        <v>278.42</v>
      </c>
      <c r="JJ130" s="52">
        <v>225.62</v>
      </c>
      <c r="JK130" s="52">
        <v>310.36</v>
      </c>
      <c r="JL130" s="52">
        <v>317.06</v>
      </c>
      <c r="JM130" s="52">
        <v>297.49</v>
      </c>
      <c r="JN130" s="52">
        <v>215.35</v>
      </c>
      <c r="JO130" s="52">
        <v>196.21</v>
      </c>
      <c r="JP130" s="52">
        <v>390.38</v>
      </c>
      <c r="JQ130" s="52">
        <v>337.95</v>
      </c>
      <c r="JR130" s="52">
        <v>271.81</v>
      </c>
      <c r="JS130" s="52">
        <v>336.68</v>
      </c>
      <c r="JT130" s="52">
        <v>340.48</v>
      </c>
      <c r="JU130" s="52">
        <v>268.05</v>
      </c>
      <c r="JV130" s="52">
        <v>137.18</v>
      </c>
      <c r="JW130" s="52">
        <v>184.13</v>
      </c>
      <c r="JX130" s="52">
        <v>565.65</v>
      </c>
      <c r="JY130" s="52">
        <v>321.45999999999998</v>
      </c>
      <c r="JZ130" s="52">
        <v>276.82</v>
      </c>
      <c r="KA130" s="52">
        <v>293.23</v>
      </c>
      <c r="KB130" s="52">
        <v>249.53</v>
      </c>
      <c r="KC130" s="52">
        <v>258.97000000000003</v>
      </c>
      <c r="KD130" s="52">
        <v>284.25</v>
      </c>
      <c r="KE130" s="52">
        <v>338.27</v>
      </c>
      <c r="KF130" s="52">
        <v>346.11</v>
      </c>
    </row>
    <row r="131" spans="1:292" s="41" customFormat="1" ht="12">
      <c r="A131" s="41">
        <v>2015</v>
      </c>
      <c r="B131" s="54" t="s">
        <v>987</v>
      </c>
      <c r="C131" s="50" t="s">
        <v>988</v>
      </c>
      <c r="D131" s="56">
        <v>259.51</v>
      </c>
      <c r="E131" s="56">
        <v>285.26</v>
      </c>
      <c r="F131" s="56">
        <v>428.83</v>
      </c>
      <c r="G131" s="56">
        <v>187.45</v>
      </c>
      <c r="H131" s="56">
        <v>298.08999999999997</v>
      </c>
      <c r="I131" s="56">
        <v>204.32</v>
      </c>
      <c r="J131" s="56">
        <v>155.13</v>
      </c>
      <c r="K131" s="56">
        <v>241.08</v>
      </c>
      <c r="L131" s="56">
        <v>126.19</v>
      </c>
      <c r="M131" s="56">
        <v>189.23</v>
      </c>
      <c r="N131" s="56">
        <v>257.66000000000003</v>
      </c>
      <c r="O131" s="56">
        <v>377.07</v>
      </c>
      <c r="P131" s="56">
        <v>300.69</v>
      </c>
      <c r="Q131" s="56">
        <v>288.49</v>
      </c>
      <c r="R131" s="56">
        <v>241.71</v>
      </c>
      <c r="S131" s="56">
        <v>469.27</v>
      </c>
      <c r="T131" s="56">
        <v>425.72</v>
      </c>
      <c r="U131" s="56">
        <v>182.3</v>
      </c>
      <c r="V131" s="56">
        <v>201.7</v>
      </c>
      <c r="W131" s="56">
        <v>349.78</v>
      </c>
      <c r="X131" s="56">
        <v>215.26</v>
      </c>
      <c r="Y131" s="56">
        <v>280.02</v>
      </c>
      <c r="Z131" s="56">
        <v>297.52999999999997</v>
      </c>
      <c r="AA131" s="56">
        <v>235.79</v>
      </c>
      <c r="AB131" s="56">
        <v>196.71</v>
      </c>
      <c r="AC131" s="56">
        <v>154.77000000000001</v>
      </c>
      <c r="AD131" s="56">
        <v>224.18</v>
      </c>
      <c r="AE131" s="56">
        <v>238.15</v>
      </c>
      <c r="AF131" s="56">
        <v>207.07</v>
      </c>
      <c r="AG131" s="56">
        <v>106.24</v>
      </c>
      <c r="AH131" s="56">
        <v>188.42</v>
      </c>
      <c r="AI131" s="56">
        <v>251.72</v>
      </c>
      <c r="AJ131" s="56">
        <v>174.15</v>
      </c>
      <c r="AK131" s="56">
        <v>262.39999999999998</v>
      </c>
      <c r="AL131" s="56">
        <v>292.8</v>
      </c>
      <c r="AM131" s="56">
        <v>288.16000000000003</v>
      </c>
      <c r="AN131" s="56">
        <v>39.64</v>
      </c>
      <c r="AO131" s="56">
        <v>141.54</v>
      </c>
      <c r="AP131" s="56">
        <v>62.73</v>
      </c>
      <c r="AQ131" s="56">
        <v>218.76</v>
      </c>
      <c r="AR131" s="56">
        <v>310.29000000000002</v>
      </c>
      <c r="AS131" s="56">
        <v>262.08</v>
      </c>
      <c r="AT131" s="56">
        <v>297.45</v>
      </c>
      <c r="AU131" s="56">
        <v>369.87</v>
      </c>
      <c r="AV131" s="56">
        <v>321.41000000000003</v>
      </c>
      <c r="AW131" s="56">
        <v>299.58</v>
      </c>
      <c r="AX131" s="56">
        <v>215.35</v>
      </c>
      <c r="AY131" s="56">
        <v>197.16</v>
      </c>
      <c r="AZ131" s="56">
        <v>378.28</v>
      </c>
      <c r="BA131" s="56">
        <v>299.99</v>
      </c>
      <c r="BB131" s="56">
        <v>211.6</v>
      </c>
      <c r="BC131" s="56">
        <v>505.45</v>
      </c>
      <c r="BD131" s="56">
        <v>293.88</v>
      </c>
      <c r="BE131" s="56">
        <v>284.33</v>
      </c>
      <c r="BF131" s="56">
        <v>338.27</v>
      </c>
      <c r="BG131" s="56">
        <v>346.28</v>
      </c>
      <c r="BH131" s="52">
        <v>292.87</v>
      </c>
      <c r="BI131" s="52">
        <v>312.55</v>
      </c>
      <c r="BJ131" s="52">
        <v>288.20999999999998</v>
      </c>
      <c r="BK131" s="52">
        <v>264.64999999999998</v>
      </c>
      <c r="BL131" s="52">
        <v>259.72000000000003</v>
      </c>
      <c r="BM131" s="52">
        <v>281.14999999999998</v>
      </c>
      <c r="BN131" s="52">
        <v>286.98</v>
      </c>
      <c r="BO131" s="52">
        <v>228.73</v>
      </c>
      <c r="BP131" s="52">
        <v>294.41000000000003</v>
      </c>
      <c r="BQ131" s="52">
        <v>288.33999999999997</v>
      </c>
      <c r="BR131" s="52">
        <v>206.58</v>
      </c>
      <c r="BS131" s="52">
        <v>508.01</v>
      </c>
      <c r="BT131" s="52">
        <v>289.68</v>
      </c>
      <c r="BU131" s="52">
        <v>444.21</v>
      </c>
      <c r="BV131" s="52">
        <v>425.72</v>
      </c>
      <c r="BW131" s="52">
        <v>180.64</v>
      </c>
      <c r="BX131" s="52">
        <v>190.24</v>
      </c>
      <c r="BY131" s="52">
        <v>263.39999999999998</v>
      </c>
      <c r="BZ131" s="52">
        <v>201.08</v>
      </c>
      <c r="CA131" s="52">
        <v>305.16000000000003</v>
      </c>
      <c r="CB131" s="53">
        <v>349.78</v>
      </c>
      <c r="CC131" s="52">
        <v>215.26</v>
      </c>
      <c r="CD131" s="52">
        <v>278.95</v>
      </c>
      <c r="CE131" s="52">
        <v>254.31</v>
      </c>
      <c r="CF131" s="52">
        <v>326.98</v>
      </c>
      <c r="CG131" s="52">
        <v>288.25</v>
      </c>
      <c r="CH131" s="52">
        <v>241.56</v>
      </c>
      <c r="CI131" s="52">
        <v>219.52</v>
      </c>
      <c r="CJ131" s="52">
        <v>196.71</v>
      </c>
      <c r="CK131" s="52">
        <v>140.69999999999999</v>
      </c>
      <c r="CL131" s="52">
        <v>163.91</v>
      </c>
      <c r="CM131" s="52">
        <v>330.73</v>
      </c>
      <c r="CN131" s="52">
        <v>224.18</v>
      </c>
      <c r="CO131" s="52">
        <v>238.15</v>
      </c>
      <c r="CP131" s="52">
        <v>162.72</v>
      </c>
      <c r="CQ131" s="52">
        <v>392.85</v>
      </c>
      <c r="CR131" s="52">
        <v>102.83</v>
      </c>
      <c r="CS131" s="52">
        <v>174.99</v>
      </c>
      <c r="CT131" s="52">
        <v>119.58</v>
      </c>
      <c r="CU131" s="52">
        <v>214.55</v>
      </c>
      <c r="CV131" s="52">
        <v>196.61</v>
      </c>
      <c r="CW131" s="52">
        <v>117.79</v>
      </c>
      <c r="CX131" s="52">
        <v>251.72</v>
      </c>
      <c r="CY131" s="52">
        <v>174.15</v>
      </c>
      <c r="CZ131" s="52">
        <v>149.46</v>
      </c>
      <c r="DA131" s="52">
        <v>209.46</v>
      </c>
      <c r="DB131" s="52">
        <v>230.8</v>
      </c>
      <c r="DC131" s="52">
        <v>245.04</v>
      </c>
      <c r="DD131" s="52">
        <v>331.17</v>
      </c>
      <c r="DE131" s="52">
        <v>395.28</v>
      </c>
      <c r="DF131" s="52">
        <v>276.3</v>
      </c>
      <c r="DG131" s="52">
        <v>297.14</v>
      </c>
      <c r="DH131" s="52">
        <v>174.02</v>
      </c>
      <c r="DI131" s="52">
        <v>250.57</v>
      </c>
      <c r="DJ131" s="52">
        <v>346.43</v>
      </c>
      <c r="DK131" s="52">
        <v>288.16000000000003</v>
      </c>
      <c r="DL131" s="52">
        <v>39.64</v>
      </c>
      <c r="DM131" s="52">
        <v>141.54</v>
      </c>
      <c r="DN131" s="52">
        <v>37.65</v>
      </c>
      <c r="DO131" s="52">
        <v>90.89</v>
      </c>
      <c r="DP131" s="52">
        <v>164.88</v>
      </c>
      <c r="DQ131" s="52">
        <v>218.76</v>
      </c>
      <c r="DR131" s="52">
        <v>341.39</v>
      </c>
      <c r="DS131" s="52">
        <v>235.78</v>
      </c>
      <c r="DT131" s="52"/>
      <c r="DU131" s="52">
        <v>254.05</v>
      </c>
      <c r="DV131" s="52">
        <v>311</v>
      </c>
      <c r="DW131" s="52">
        <v>218.36</v>
      </c>
      <c r="DX131" s="52">
        <v>277.5</v>
      </c>
      <c r="DY131" s="52">
        <v>382.94</v>
      </c>
      <c r="DZ131" s="52">
        <v>278.42</v>
      </c>
      <c r="EA131" s="52">
        <v>227.2</v>
      </c>
      <c r="EB131" s="52">
        <v>369.87</v>
      </c>
      <c r="EC131" s="52">
        <v>321.41000000000003</v>
      </c>
      <c r="ED131" s="52">
        <v>299.58</v>
      </c>
      <c r="EE131" s="52">
        <v>215.35</v>
      </c>
      <c r="EF131" s="52">
        <v>197.16</v>
      </c>
      <c r="EG131" s="52">
        <v>378.28</v>
      </c>
      <c r="EH131" s="52">
        <v>299.99</v>
      </c>
      <c r="EI131" s="52">
        <v>306.68</v>
      </c>
      <c r="EJ131" s="52">
        <v>139.19999999999999</v>
      </c>
      <c r="EK131" s="52">
        <v>185.56</v>
      </c>
      <c r="EL131" s="52">
        <v>573.33000000000004</v>
      </c>
      <c r="EM131" s="52">
        <v>309.89</v>
      </c>
      <c r="EN131" s="52">
        <v>293.88</v>
      </c>
      <c r="EO131" s="52">
        <v>253.63</v>
      </c>
      <c r="EP131" s="52">
        <v>257.17</v>
      </c>
      <c r="EQ131" s="52">
        <v>283.86</v>
      </c>
      <c r="ER131" s="52">
        <v>338.27</v>
      </c>
      <c r="ES131" s="52">
        <v>346.28</v>
      </c>
      <c r="ET131" s="52">
        <v>339.58</v>
      </c>
      <c r="EU131" s="52">
        <v>264.39999999999998</v>
      </c>
      <c r="EV131" s="52">
        <v>308.39</v>
      </c>
      <c r="EW131" s="52">
        <v>258.35000000000002</v>
      </c>
      <c r="EX131" s="52">
        <v>273.31</v>
      </c>
      <c r="EY131" s="52">
        <v>182.12</v>
      </c>
      <c r="EZ131" s="52">
        <v>343.79</v>
      </c>
      <c r="FA131" s="52">
        <v>316.48</v>
      </c>
      <c r="FB131" s="52">
        <v>236.28</v>
      </c>
      <c r="FC131" s="52">
        <v>360.66</v>
      </c>
      <c r="FD131" s="52">
        <v>293.02</v>
      </c>
      <c r="FE131" s="52">
        <v>288.20999999999998</v>
      </c>
      <c r="FF131" s="52"/>
      <c r="FG131" s="52">
        <v>212.43</v>
      </c>
      <c r="FH131" s="52">
        <v>220.85</v>
      </c>
      <c r="FI131" s="52">
        <v>295.93</v>
      </c>
      <c r="FJ131" s="52">
        <v>324.39999999999998</v>
      </c>
      <c r="FK131" s="52">
        <v>384.17</v>
      </c>
      <c r="FL131" s="52">
        <v>216.52</v>
      </c>
      <c r="FM131" s="52">
        <v>250.75</v>
      </c>
      <c r="FN131" s="52">
        <v>236.47</v>
      </c>
      <c r="FO131" s="52">
        <v>522.44000000000005</v>
      </c>
      <c r="FP131" s="52">
        <v>243.97</v>
      </c>
      <c r="FQ131" s="52">
        <v>388.06</v>
      </c>
      <c r="FR131" s="52">
        <v>441.92</v>
      </c>
      <c r="FS131" s="52">
        <v>293.68</v>
      </c>
      <c r="FT131" s="52">
        <v>203.98</v>
      </c>
      <c r="FU131" s="52">
        <v>323.79000000000002</v>
      </c>
      <c r="FV131" s="52">
        <v>232.75</v>
      </c>
      <c r="FW131" s="52">
        <v>170.87</v>
      </c>
      <c r="FX131" s="52">
        <v>294.41000000000003</v>
      </c>
      <c r="FY131" s="52">
        <v>293.29000000000002</v>
      </c>
      <c r="FZ131" s="52">
        <v>288.23</v>
      </c>
      <c r="GA131" s="52">
        <v>232.54</v>
      </c>
      <c r="GB131" s="52">
        <v>219.94</v>
      </c>
      <c r="GC131" s="52">
        <v>202.56</v>
      </c>
      <c r="GD131" s="52">
        <v>185.6</v>
      </c>
      <c r="GE131" s="52">
        <v>508.01</v>
      </c>
      <c r="GF131" s="52">
        <v>289.68</v>
      </c>
      <c r="GG131" s="52">
        <v>444.21</v>
      </c>
      <c r="GH131" s="52">
        <v>425.02</v>
      </c>
      <c r="GI131" s="52">
        <v>190.9</v>
      </c>
      <c r="GJ131" s="52">
        <v>175.05</v>
      </c>
      <c r="GK131" s="52">
        <v>169.51</v>
      </c>
      <c r="GL131" s="52">
        <v>211.1</v>
      </c>
      <c r="GM131" s="52">
        <v>190.24</v>
      </c>
      <c r="GN131" s="52">
        <v>263.39999999999998</v>
      </c>
      <c r="GO131" s="52">
        <v>198.1</v>
      </c>
      <c r="GP131" s="52">
        <v>202.59</v>
      </c>
      <c r="GQ131" s="52">
        <v>205.3</v>
      </c>
      <c r="GR131" s="52">
        <v>305.16000000000003</v>
      </c>
      <c r="GS131" s="52">
        <v>349.78</v>
      </c>
      <c r="GT131" s="52">
        <v>215.26</v>
      </c>
      <c r="GU131" s="52">
        <v>278.95</v>
      </c>
      <c r="GV131" s="52">
        <v>254.31</v>
      </c>
      <c r="GW131" s="52">
        <v>319.85000000000002</v>
      </c>
      <c r="GX131" s="52">
        <v>302.68</v>
      </c>
      <c r="GY131" s="52">
        <v>288.25</v>
      </c>
      <c r="GZ131" s="52">
        <v>286.27999999999997</v>
      </c>
      <c r="HA131" s="52">
        <v>221.03</v>
      </c>
      <c r="HB131" s="52">
        <v>249.25</v>
      </c>
      <c r="HC131" s="52">
        <v>219.52</v>
      </c>
      <c r="HD131" s="52">
        <v>196.71</v>
      </c>
      <c r="HE131" s="52">
        <v>121.27</v>
      </c>
      <c r="HF131" s="52">
        <v>127</v>
      </c>
      <c r="HG131" s="52">
        <v>167.75</v>
      </c>
      <c r="HH131" s="52">
        <v>191.71</v>
      </c>
      <c r="HI131" s="52">
        <v>94.02</v>
      </c>
      <c r="HJ131" s="52">
        <v>163.91</v>
      </c>
      <c r="HK131" s="52">
        <v>330.73</v>
      </c>
      <c r="HL131" s="52">
        <v>191.64</v>
      </c>
      <c r="HM131" s="52">
        <v>241.06</v>
      </c>
      <c r="HN131" s="52">
        <v>250.93</v>
      </c>
      <c r="HO131" s="52">
        <v>217.07</v>
      </c>
      <c r="HP131" s="52">
        <v>252.36</v>
      </c>
      <c r="HQ131" s="52">
        <v>153.9</v>
      </c>
      <c r="HR131" s="52">
        <v>229.65</v>
      </c>
      <c r="HS131" s="52">
        <v>400.14</v>
      </c>
      <c r="HT131" s="52">
        <v>242.66</v>
      </c>
      <c r="HU131" s="52">
        <v>102.83</v>
      </c>
      <c r="HV131" s="52">
        <v>174.99</v>
      </c>
      <c r="HW131" s="52">
        <v>119.8</v>
      </c>
      <c r="HX131" s="52">
        <v>111.08</v>
      </c>
      <c r="HY131" s="52">
        <v>214.55</v>
      </c>
      <c r="HZ131" s="52">
        <v>196.61</v>
      </c>
      <c r="IA131" s="52">
        <v>107.6</v>
      </c>
      <c r="IB131" s="52">
        <v>251.72</v>
      </c>
      <c r="IC131" s="52">
        <v>157.61000000000001</v>
      </c>
      <c r="ID131" s="52">
        <v>177.49</v>
      </c>
      <c r="IE131" s="52">
        <v>149.46</v>
      </c>
      <c r="IF131" s="52">
        <v>209.46</v>
      </c>
      <c r="IG131" s="52">
        <v>230.8</v>
      </c>
      <c r="IH131" s="52">
        <v>245.04</v>
      </c>
      <c r="II131" s="52">
        <v>331.17</v>
      </c>
      <c r="IJ131" s="52">
        <v>395.28</v>
      </c>
      <c r="IK131" s="52">
        <v>310.52999999999997</v>
      </c>
      <c r="IL131" s="52">
        <v>220.34</v>
      </c>
      <c r="IM131" s="52">
        <v>308.33999999999997</v>
      </c>
      <c r="IN131" s="52">
        <v>290.95999999999998</v>
      </c>
      <c r="IO131" s="52">
        <v>253.89</v>
      </c>
      <c r="IP131" s="52">
        <v>174.02</v>
      </c>
      <c r="IQ131" s="52">
        <v>250.57</v>
      </c>
      <c r="IR131" s="52">
        <v>346.43</v>
      </c>
      <c r="IS131" s="52">
        <v>288.16000000000003</v>
      </c>
      <c r="IT131" s="52">
        <v>39.64</v>
      </c>
      <c r="IU131" s="52">
        <v>141.54</v>
      </c>
      <c r="IV131" s="52">
        <v>37.659999999999997</v>
      </c>
      <c r="IW131" s="52">
        <v>90.89</v>
      </c>
      <c r="IX131" s="52">
        <v>164.88</v>
      </c>
      <c r="IY131" s="52">
        <v>218.76</v>
      </c>
      <c r="IZ131" s="52">
        <v>341.39</v>
      </c>
      <c r="JA131" s="52">
        <v>235.78</v>
      </c>
      <c r="JB131" s="52"/>
      <c r="JC131" s="52">
        <v>254.05</v>
      </c>
      <c r="JD131" s="52">
        <v>311</v>
      </c>
      <c r="JE131" s="52">
        <v>255.03</v>
      </c>
      <c r="JF131" s="52">
        <v>209.44</v>
      </c>
      <c r="JG131" s="52">
        <v>277.5</v>
      </c>
      <c r="JH131" s="52">
        <v>382.94</v>
      </c>
      <c r="JI131" s="52">
        <v>278.42</v>
      </c>
      <c r="JJ131" s="52">
        <v>227.2</v>
      </c>
      <c r="JK131" s="52">
        <v>369.87</v>
      </c>
      <c r="JL131" s="52">
        <v>321.41000000000003</v>
      </c>
      <c r="JM131" s="52">
        <v>299.58</v>
      </c>
      <c r="JN131" s="52">
        <v>215.35</v>
      </c>
      <c r="JO131" s="52">
        <v>197.16</v>
      </c>
      <c r="JP131" s="52">
        <v>395.11</v>
      </c>
      <c r="JQ131" s="52">
        <v>340.16</v>
      </c>
      <c r="JR131" s="52">
        <v>275.74</v>
      </c>
      <c r="JS131" s="52">
        <v>336.69</v>
      </c>
      <c r="JT131" s="52">
        <v>344.45</v>
      </c>
      <c r="JU131" s="52">
        <v>270.26</v>
      </c>
      <c r="JV131" s="52">
        <v>139.19999999999999</v>
      </c>
      <c r="JW131" s="52">
        <v>185.56</v>
      </c>
      <c r="JX131" s="52">
        <v>573.33000000000004</v>
      </c>
      <c r="JY131" s="52">
        <v>325.5</v>
      </c>
      <c r="JZ131" s="52">
        <v>281.57</v>
      </c>
      <c r="KA131" s="52">
        <v>293.88</v>
      </c>
      <c r="KB131" s="52">
        <v>253.63</v>
      </c>
      <c r="KC131" s="52">
        <v>257.17</v>
      </c>
      <c r="KD131" s="52">
        <v>283.86</v>
      </c>
      <c r="KE131" s="52">
        <v>338.27</v>
      </c>
      <c r="KF131" s="52">
        <v>346.28</v>
      </c>
    </row>
    <row r="132" spans="1:292" s="41" customFormat="1" ht="12">
      <c r="A132" s="41">
        <v>2015</v>
      </c>
      <c r="B132" s="54" t="s">
        <v>989</v>
      </c>
      <c r="C132" s="50" t="s">
        <v>990</v>
      </c>
      <c r="D132" s="56">
        <v>259.74</v>
      </c>
      <c r="E132" s="56">
        <v>286.05</v>
      </c>
      <c r="F132" s="56">
        <v>433.8</v>
      </c>
      <c r="G132" s="56">
        <v>178.13</v>
      </c>
      <c r="H132" s="56">
        <v>299.08</v>
      </c>
      <c r="I132" s="56">
        <v>207.59</v>
      </c>
      <c r="J132" s="56">
        <v>155.62</v>
      </c>
      <c r="K132" s="56">
        <v>242.06</v>
      </c>
      <c r="L132" s="56">
        <v>126.18</v>
      </c>
      <c r="M132" s="56">
        <v>188.88</v>
      </c>
      <c r="N132" s="56">
        <v>258.97000000000003</v>
      </c>
      <c r="O132" s="56">
        <v>381.63</v>
      </c>
      <c r="P132" s="56">
        <v>300.98</v>
      </c>
      <c r="Q132" s="56">
        <v>289.14999999999998</v>
      </c>
      <c r="R132" s="56">
        <v>243.84</v>
      </c>
      <c r="S132" s="56">
        <v>484.45</v>
      </c>
      <c r="T132" s="56">
        <v>429.98</v>
      </c>
      <c r="U132" s="56">
        <v>173.05</v>
      </c>
      <c r="V132" s="56">
        <v>192.38</v>
      </c>
      <c r="W132" s="56">
        <v>352.5</v>
      </c>
      <c r="X132" s="56">
        <v>216.64</v>
      </c>
      <c r="Y132" s="56">
        <v>279.91000000000003</v>
      </c>
      <c r="Z132" s="56">
        <v>297.68</v>
      </c>
      <c r="AA132" s="56">
        <v>242.1</v>
      </c>
      <c r="AB132" s="56">
        <v>199.01</v>
      </c>
      <c r="AC132" s="56">
        <v>157.69</v>
      </c>
      <c r="AD132" s="56">
        <v>225.47</v>
      </c>
      <c r="AE132" s="56">
        <v>239.26</v>
      </c>
      <c r="AF132" s="56">
        <v>207.96</v>
      </c>
      <c r="AG132" s="56">
        <v>106.38</v>
      </c>
      <c r="AH132" s="56">
        <v>189.27</v>
      </c>
      <c r="AI132" s="56">
        <v>252.36</v>
      </c>
      <c r="AJ132" s="56">
        <v>176.27</v>
      </c>
      <c r="AK132" s="56">
        <v>261.3</v>
      </c>
      <c r="AL132" s="56">
        <v>293.92</v>
      </c>
      <c r="AM132" s="56">
        <v>320.18</v>
      </c>
      <c r="AN132" s="56">
        <v>39.36</v>
      </c>
      <c r="AO132" s="56">
        <v>141.65</v>
      </c>
      <c r="AP132" s="56">
        <v>61.68</v>
      </c>
      <c r="AQ132" s="56">
        <v>220.73</v>
      </c>
      <c r="AR132" s="56">
        <v>308.77</v>
      </c>
      <c r="AS132" s="56">
        <v>262.74</v>
      </c>
      <c r="AT132" s="56">
        <v>298.29000000000002</v>
      </c>
      <c r="AU132" s="56">
        <v>374.87</v>
      </c>
      <c r="AV132" s="56">
        <v>323.52</v>
      </c>
      <c r="AW132" s="56">
        <v>300.72000000000003</v>
      </c>
      <c r="AX132" s="56">
        <v>217.32</v>
      </c>
      <c r="AY132" s="56">
        <v>198.24</v>
      </c>
      <c r="AZ132" s="56">
        <v>383.64</v>
      </c>
      <c r="BA132" s="56">
        <v>298.52999999999997</v>
      </c>
      <c r="BB132" s="56">
        <v>213</v>
      </c>
      <c r="BC132" s="56">
        <v>493.51</v>
      </c>
      <c r="BD132" s="56">
        <v>294.60000000000002</v>
      </c>
      <c r="BE132" s="56">
        <v>303.2</v>
      </c>
      <c r="BF132" s="56">
        <v>338.27</v>
      </c>
      <c r="BG132" s="56">
        <v>346.44</v>
      </c>
      <c r="BH132" s="52">
        <v>293.5</v>
      </c>
      <c r="BI132" s="52">
        <v>327.2</v>
      </c>
      <c r="BJ132" s="52">
        <v>297.56</v>
      </c>
      <c r="BK132" s="52">
        <v>265.58999999999997</v>
      </c>
      <c r="BL132" s="52">
        <v>264.85000000000002</v>
      </c>
      <c r="BM132" s="52">
        <v>259.08</v>
      </c>
      <c r="BN132" s="52">
        <v>285.35000000000002</v>
      </c>
      <c r="BO132" s="52">
        <v>230.62</v>
      </c>
      <c r="BP132" s="52">
        <v>295.02999999999997</v>
      </c>
      <c r="BQ132" s="52">
        <v>291.12</v>
      </c>
      <c r="BR132" s="52">
        <v>208.29</v>
      </c>
      <c r="BS132" s="52">
        <v>526.48</v>
      </c>
      <c r="BT132" s="52">
        <v>292.64999999999998</v>
      </c>
      <c r="BU132" s="52">
        <v>458.37</v>
      </c>
      <c r="BV132" s="52">
        <v>429.98</v>
      </c>
      <c r="BW132" s="52">
        <v>170.88</v>
      </c>
      <c r="BX132" s="52">
        <v>186.92</v>
      </c>
      <c r="BY132" s="52">
        <v>265.36</v>
      </c>
      <c r="BZ132" s="52">
        <v>191.72</v>
      </c>
      <c r="CA132" s="52">
        <v>306.22000000000003</v>
      </c>
      <c r="CB132" s="53">
        <v>352.5</v>
      </c>
      <c r="CC132" s="52">
        <v>216.64</v>
      </c>
      <c r="CD132" s="52">
        <v>278.83999999999997</v>
      </c>
      <c r="CE132" s="52">
        <v>254.44</v>
      </c>
      <c r="CF132" s="52">
        <v>327.39</v>
      </c>
      <c r="CG132" s="52">
        <v>287.97000000000003</v>
      </c>
      <c r="CH132" s="52">
        <v>248.44</v>
      </c>
      <c r="CI132" s="52">
        <v>221.83</v>
      </c>
      <c r="CJ132" s="52">
        <v>199.01</v>
      </c>
      <c r="CK132" s="52">
        <v>143.37</v>
      </c>
      <c r="CL132" s="52">
        <v>168.14</v>
      </c>
      <c r="CM132" s="52">
        <v>333.66</v>
      </c>
      <c r="CN132" s="52">
        <v>225.47</v>
      </c>
      <c r="CO132" s="52">
        <v>239.26</v>
      </c>
      <c r="CP132" s="52">
        <v>163.09</v>
      </c>
      <c r="CQ132" s="52">
        <v>395.86</v>
      </c>
      <c r="CR132" s="52">
        <v>102.83</v>
      </c>
      <c r="CS132" s="52">
        <v>175.49</v>
      </c>
      <c r="CT132" s="52">
        <v>120.22</v>
      </c>
      <c r="CU132" s="52">
        <v>214.82</v>
      </c>
      <c r="CV132" s="52">
        <v>198.25</v>
      </c>
      <c r="CW132" s="52">
        <v>118.2</v>
      </c>
      <c r="CX132" s="52">
        <v>252.36</v>
      </c>
      <c r="CY132" s="52">
        <v>176.32</v>
      </c>
      <c r="CZ132" s="52">
        <v>150.5</v>
      </c>
      <c r="DA132" s="52">
        <v>209.77</v>
      </c>
      <c r="DB132" s="52">
        <v>233.07</v>
      </c>
      <c r="DC132" s="52">
        <v>241.3</v>
      </c>
      <c r="DD132" s="52">
        <v>346.05</v>
      </c>
      <c r="DE132" s="52">
        <v>398.55</v>
      </c>
      <c r="DF132" s="52">
        <v>276.68</v>
      </c>
      <c r="DG132" s="52">
        <v>298.42</v>
      </c>
      <c r="DH132" s="52">
        <v>173.6</v>
      </c>
      <c r="DI132" s="52">
        <v>251.41</v>
      </c>
      <c r="DJ132" s="52">
        <v>350.67</v>
      </c>
      <c r="DK132" s="52">
        <v>320.18</v>
      </c>
      <c r="DL132" s="52">
        <v>39.36</v>
      </c>
      <c r="DM132" s="52">
        <v>141.65</v>
      </c>
      <c r="DN132" s="52">
        <v>35.83</v>
      </c>
      <c r="DO132" s="52">
        <v>93.14</v>
      </c>
      <c r="DP132" s="52">
        <v>166.14</v>
      </c>
      <c r="DQ132" s="52">
        <v>220.73</v>
      </c>
      <c r="DR132" s="52">
        <v>344.03</v>
      </c>
      <c r="DS132" s="52">
        <v>225.4</v>
      </c>
      <c r="DT132" s="52"/>
      <c r="DU132" s="52">
        <v>255.72</v>
      </c>
      <c r="DV132" s="52">
        <v>312.19</v>
      </c>
      <c r="DW132" s="52">
        <v>218.65</v>
      </c>
      <c r="DX132" s="52">
        <v>277.5</v>
      </c>
      <c r="DY132" s="52">
        <v>383.01</v>
      </c>
      <c r="DZ132" s="52">
        <v>279.39999999999998</v>
      </c>
      <c r="EA132" s="52">
        <v>228.59</v>
      </c>
      <c r="EB132" s="52">
        <v>374.87</v>
      </c>
      <c r="EC132" s="52">
        <v>323.52</v>
      </c>
      <c r="ED132" s="52">
        <v>300.72000000000003</v>
      </c>
      <c r="EE132" s="52">
        <v>217.32</v>
      </c>
      <c r="EF132" s="52">
        <v>198.24</v>
      </c>
      <c r="EG132" s="52">
        <v>383.64</v>
      </c>
      <c r="EH132" s="52">
        <v>298.52999999999997</v>
      </c>
      <c r="EI132" s="52">
        <v>309.01</v>
      </c>
      <c r="EJ132" s="52">
        <v>140.16</v>
      </c>
      <c r="EK132" s="52">
        <v>186.68</v>
      </c>
      <c r="EL132" s="52">
        <v>548.17999999999995</v>
      </c>
      <c r="EM132" s="52">
        <v>314.38</v>
      </c>
      <c r="EN132" s="52">
        <v>294.60000000000002</v>
      </c>
      <c r="EO132" s="52">
        <v>251.17</v>
      </c>
      <c r="EP132" s="52">
        <v>262.25</v>
      </c>
      <c r="EQ132" s="52">
        <v>309</v>
      </c>
      <c r="ER132" s="52">
        <v>338.27</v>
      </c>
      <c r="ES132" s="52">
        <v>346.44</v>
      </c>
      <c r="ET132" s="52">
        <v>336.25</v>
      </c>
      <c r="EU132" s="52">
        <v>264.39</v>
      </c>
      <c r="EV132" s="52">
        <v>309.62</v>
      </c>
      <c r="EW132" s="52">
        <v>259.47000000000003</v>
      </c>
      <c r="EX132" s="52">
        <v>272.77999999999997</v>
      </c>
      <c r="EY132" s="52">
        <v>182.28</v>
      </c>
      <c r="EZ132" s="52">
        <v>356.52</v>
      </c>
      <c r="FA132" s="52">
        <v>329.34</v>
      </c>
      <c r="FB132" s="52">
        <v>259.64999999999998</v>
      </c>
      <c r="FC132" s="52">
        <v>362.45</v>
      </c>
      <c r="FD132" s="52">
        <v>295.67</v>
      </c>
      <c r="FE132" s="52">
        <v>297.56</v>
      </c>
      <c r="FF132" s="52"/>
      <c r="FG132" s="52">
        <v>211.89</v>
      </c>
      <c r="FH132" s="52">
        <v>220.66</v>
      </c>
      <c r="FI132" s="52">
        <v>298.66000000000003</v>
      </c>
      <c r="FJ132" s="52">
        <v>324.83</v>
      </c>
      <c r="FK132" s="52">
        <v>386.38</v>
      </c>
      <c r="FL132" s="52">
        <v>199.13</v>
      </c>
      <c r="FM132" s="52">
        <v>259.14999999999998</v>
      </c>
      <c r="FN132" s="52">
        <v>209.54</v>
      </c>
      <c r="FO132" s="52">
        <v>521.77</v>
      </c>
      <c r="FP132" s="52">
        <v>243.78</v>
      </c>
      <c r="FQ132" s="52">
        <v>368.44</v>
      </c>
      <c r="FR132" s="52">
        <v>438.37</v>
      </c>
      <c r="FS132" s="52">
        <v>297.25</v>
      </c>
      <c r="FT132" s="52">
        <v>209.96</v>
      </c>
      <c r="FU132" s="52">
        <v>325.70999999999998</v>
      </c>
      <c r="FV132" s="52">
        <v>232.27</v>
      </c>
      <c r="FW132" s="52">
        <v>168.36</v>
      </c>
      <c r="FX132" s="52">
        <v>295.02999999999997</v>
      </c>
      <c r="FY132" s="52">
        <v>293.2</v>
      </c>
      <c r="FZ132" s="52">
        <v>291.52</v>
      </c>
      <c r="GA132" s="52">
        <v>232.89</v>
      </c>
      <c r="GB132" s="52">
        <v>220.3</v>
      </c>
      <c r="GC132" s="52">
        <v>205.63</v>
      </c>
      <c r="GD132" s="52">
        <v>186.9</v>
      </c>
      <c r="GE132" s="52">
        <v>526.48</v>
      </c>
      <c r="GF132" s="52">
        <v>292.64999999999998</v>
      </c>
      <c r="GG132" s="52">
        <v>458.37</v>
      </c>
      <c r="GH132" s="52">
        <v>429.27</v>
      </c>
      <c r="GI132" s="52">
        <v>180.09</v>
      </c>
      <c r="GJ132" s="52">
        <v>165.52</v>
      </c>
      <c r="GK132" s="52">
        <v>161.07</v>
      </c>
      <c r="GL132" s="52">
        <v>205.86</v>
      </c>
      <c r="GM132" s="52">
        <v>186.92</v>
      </c>
      <c r="GN132" s="52">
        <v>265.36</v>
      </c>
      <c r="GO132" s="52">
        <v>188.85</v>
      </c>
      <c r="GP132" s="52">
        <v>194.44</v>
      </c>
      <c r="GQ132" s="52">
        <v>192.97</v>
      </c>
      <c r="GR132" s="52">
        <v>306.22000000000003</v>
      </c>
      <c r="GS132" s="52">
        <v>352.5</v>
      </c>
      <c r="GT132" s="52">
        <v>216.64</v>
      </c>
      <c r="GU132" s="52">
        <v>278.83999999999997</v>
      </c>
      <c r="GV132" s="52">
        <v>254.44</v>
      </c>
      <c r="GW132" s="52">
        <v>321.06</v>
      </c>
      <c r="GX132" s="52">
        <v>301.62</v>
      </c>
      <c r="GY132" s="52">
        <v>287.97000000000003</v>
      </c>
      <c r="GZ132" s="52">
        <v>294.81</v>
      </c>
      <c r="HA132" s="52">
        <v>229.34</v>
      </c>
      <c r="HB132" s="52">
        <v>254.74</v>
      </c>
      <c r="HC132" s="52">
        <v>221.83</v>
      </c>
      <c r="HD132" s="52">
        <v>199.01</v>
      </c>
      <c r="HE132" s="52">
        <v>121.99</v>
      </c>
      <c r="HF132" s="52">
        <v>130.65</v>
      </c>
      <c r="HG132" s="52">
        <v>163.83000000000001</v>
      </c>
      <c r="HH132" s="52">
        <v>191.92</v>
      </c>
      <c r="HI132" s="52">
        <v>104.43</v>
      </c>
      <c r="HJ132" s="52">
        <v>168.14</v>
      </c>
      <c r="HK132" s="52">
        <v>333.66</v>
      </c>
      <c r="HL132" s="52">
        <v>192.47</v>
      </c>
      <c r="HM132" s="52">
        <v>243.81</v>
      </c>
      <c r="HN132" s="52">
        <v>252.48</v>
      </c>
      <c r="HO132" s="52">
        <v>218.53</v>
      </c>
      <c r="HP132" s="52">
        <v>252.81</v>
      </c>
      <c r="HQ132" s="52">
        <v>154.01</v>
      </c>
      <c r="HR132" s="52">
        <v>231.58</v>
      </c>
      <c r="HS132" s="52">
        <v>403.23</v>
      </c>
      <c r="HT132" s="52">
        <v>244.27</v>
      </c>
      <c r="HU132" s="52">
        <v>102.83</v>
      </c>
      <c r="HV132" s="52">
        <v>175.49</v>
      </c>
      <c r="HW132" s="52">
        <v>119.84</v>
      </c>
      <c r="HX132" s="52">
        <v>112.73</v>
      </c>
      <c r="HY132" s="52">
        <v>214.82</v>
      </c>
      <c r="HZ132" s="52">
        <v>198.25</v>
      </c>
      <c r="IA132" s="52">
        <v>107.98</v>
      </c>
      <c r="IB132" s="52">
        <v>252.36</v>
      </c>
      <c r="IC132" s="52">
        <v>159.79</v>
      </c>
      <c r="ID132" s="52">
        <v>179.49</v>
      </c>
      <c r="IE132" s="52">
        <v>150.5</v>
      </c>
      <c r="IF132" s="52">
        <v>209.77</v>
      </c>
      <c r="IG132" s="52">
        <v>233.07</v>
      </c>
      <c r="IH132" s="52">
        <v>241.3</v>
      </c>
      <c r="II132" s="52">
        <v>346.05</v>
      </c>
      <c r="IJ132" s="52">
        <v>398.55</v>
      </c>
      <c r="IK132" s="52">
        <v>311.43</v>
      </c>
      <c r="IL132" s="52">
        <v>220.34</v>
      </c>
      <c r="IM132" s="52">
        <v>308.32</v>
      </c>
      <c r="IN132" s="52">
        <v>291.38</v>
      </c>
      <c r="IO132" s="52">
        <v>258.77</v>
      </c>
      <c r="IP132" s="52">
        <v>173.6</v>
      </c>
      <c r="IQ132" s="52">
        <v>251.41</v>
      </c>
      <c r="IR132" s="52">
        <v>350.67</v>
      </c>
      <c r="IS132" s="52">
        <v>320.18</v>
      </c>
      <c r="IT132" s="52">
        <v>39.36</v>
      </c>
      <c r="IU132" s="52">
        <v>141.65</v>
      </c>
      <c r="IV132" s="52">
        <v>35.840000000000003</v>
      </c>
      <c r="IW132" s="52">
        <v>93.14</v>
      </c>
      <c r="IX132" s="52">
        <v>166.14</v>
      </c>
      <c r="IY132" s="52">
        <v>220.73</v>
      </c>
      <c r="IZ132" s="52">
        <v>344.03</v>
      </c>
      <c r="JA132" s="52">
        <v>225.4</v>
      </c>
      <c r="JB132" s="52"/>
      <c r="JC132" s="52">
        <v>255.72</v>
      </c>
      <c r="JD132" s="52">
        <v>312.19</v>
      </c>
      <c r="JE132" s="52">
        <v>255.78</v>
      </c>
      <c r="JF132" s="52">
        <v>209.66</v>
      </c>
      <c r="JG132" s="52">
        <v>277.5</v>
      </c>
      <c r="JH132" s="52">
        <v>383.01</v>
      </c>
      <c r="JI132" s="52">
        <v>279.39999999999998</v>
      </c>
      <c r="JJ132" s="52">
        <v>228.59</v>
      </c>
      <c r="JK132" s="52">
        <v>374.87</v>
      </c>
      <c r="JL132" s="52">
        <v>323.52</v>
      </c>
      <c r="JM132" s="52">
        <v>300.72000000000003</v>
      </c>
      <c r="JN132" s="52">
        <v>217.32</v>
      </c>
      <c r="JO132" s="52">
        <v>198.24</v>
      </c>
      <c r="JP132" s="52">
        <v>401.12</v>
      </c>
      <c r="JQ132" s="52">
        <v>343.61</v>
      </c>
      <c r="JR132" s="52">
        <v>273.75</v>
      </c>
      <c r="JS132" s="52">
        <v>336.85</v>
      </c>
      <c r="JT132" s="52">
        <v>347.75</v>
      </c>
      <c r="JU132" s="52">
        <v>271.72000000000003</v>
      </c>
      <c r="JV132" s="52">
        <v>140.16</v>
      </c>
      <c r="JW132" s="52">
        <v>186.68</v>
      </c>
      <c r="JX132" s="52">
        <v>548.17999999999995</v>
      </c>
      <c r="JY132" s="52">
        <v>330.06</v>
      </c>
      <c r="JZ132" s="52">
        <v>285.93</v>
      </c>
      <c r="KA132" s="52">
        <v>294.60000000000002</v>
      </c>
      <c r="KB132" s="52">
        <v>251.17</v>
      </c>
      <c r="KC132" s="52">
        <v>262.25</v>
      </c>
      <c r="KD132" s="52">
        <v>309</v>
      </c>
      <c r="KE132" s="52">
        <v>338.27</v>
      </c>
      <c r="KF132" s="52">
        <v>346.44</v>
      </c>
    </row>
    <row r="133" spans="1:292" s="41" customFormat="1" ht="12">
      <c r="A133" s="41">
        <v>2015</v>
      </c>
      <c r="B133" s="54" t="s">
        <v>991</v>
      </c>
      <c r="C133" s="50" t="s">
        <v>992</v>
      </c>
      <c r="D133" s="56">
        <v>260.77999999999997</v>
      </c>
      <c r="E133" s="56">
        <v>289.79000000000002</v>
      </c>
      <c r="F133" s="56">
        <v>435.34</v>
      </c>
      <c r="G133" s="56">
        <v>170.44</v>
      </c>
      <c r="H133" s="56">
        <v>300.13</v>
      </c>
      <c r="I133" s="56">
        <v>208.06</v>
      </c>
      <c r="J133" s="56">
        <v>156.19999999999999</v>
      </c>
      <c r="K133" s="56">
        <v>241.13</v>
      </c>
      <c r="L133" s="56">
        <v>127.4</v>
      </c>
      <c r="M133" s="56">
        <v>192.59</v>
      </c>
      <c r="N133" s="56">
        <v>262.61</v>
      </c>
      <c r="O133" s="56">
        <v>389.47</v>
      </c>
      <c r="P133" s="56">
        <v>304.61</v>
      </c>
      <c r="Q133" s="56">
        <v>292.83999999999997</v>
      </c>
      <c r="R133" s="56">
        <v>247.9</v>
      </c>
      <c r="S133" s="56">
        <v>488.26</v>
      </c>
      <c r="T133" s="56">
        <v>431.36</v>
      </c>
      <c r="U133" s="56">
        <v>165.29</v>
      </c>
      <c r="V133" s="56">
        <v>185.14</v>
      </c>
      <c r="W133" s="56">
        <v>355.12</v>
      </c>
      <c r="X133" s="56">
        <v>217.69</v>
      </c>
      <c r="Y133" s="56">
        <v>280.81</v>
      </c>
      <c r="Z133" s="56">
        <v>297.74</v>
      </c>
      <c r="AA133" s="56">
        <v>242.92</v>
      </c>
      <c r="AB133" s="56">
        <v>199.78</v>
      </c>
      <c r="AC133" s="56">
        <v>158.04</v>
      </c>
      <c r="AD133" s="56">
        <v>227.74</v>
      </c>
      <c r="AE133" s="56">
        <v>240.56</v>
      </c>
      <c r="AF133" s="56">
        <v>207.4</v>
      </c>
      <c r="AG133" s="56">
        <v>106.82</v>
      </c>
      <c r="AH133" s="56">
        <v>189.8</v>
      </c>
      <c r="AI133" s="56">
        <v>253.75</v>
      </c>
      <c r="AJ133" s="56">
        <v>176.9</v>
      </c>
      <c r="AK133" s="56">
        <v>256.74</v>
      </c>
      <c r="AL133" s="56">
        <v>295.10000000000002</v>
      </c>
      <c r="AM133" s="56">
        <v>355.48</v>
      </c>
      <c r="AN133" s="56">
        <v>40.15</v>
      </c>
      <c r="AO133" s="56">
        <v>142.81</v>
      </c>
      <c r="AP133" s="56">
        <v>62.95</v>
      </c>
      <c r="AQ133" s="56">
        <v>222.16</v>
      </c>
      <c r="AR133" s="56">
        <v>312.07</v>
      </c>
      <c r="AS133" s="56">
        <v>268.75</v>
      </c>
      <c r="AT133" s="56">
        <v>299.97000000000003</v>
      </c>
      <c r="AU133" s="56">
        <v>387.48</v>
      </c>
      <c r="AV133" s="56">
        <v>327.61</v>
      </c>
      <c r="AW133" s="56">
        <v>302.29000000000002</v>
      </c>
      <c r="AX133" s="56">
        <v>227.16</v>
      </c>
      <c r="AY133" s="56">
        <v>201.53</v>
      </c>
      <c r="AZ133" s="56">
        <v>391.31</v>
      </c>
      <c r="BA133" s="56">
        <v>306.05</v>
      </c>
      <c r="BB133" s="56">
        <v>214.04</v>
      </c>
      <c r="BC133" s="56">
        <v>509.09</v>
      </c>
      <c r="BD133" s="56">
        <v>297.36</v>
      </c>
      <c r="BE133" s="56">
        <v>319.27999999999997</v>
      </c>
      <c r="BF133" s="56">
        <v>338.27</v>
      </c>
      <c r="BG133" s="56">
        <v>346.56</v>
      </c>
      <c r="BH133" s="52">
        <v>294.45999999999998</v>
      </c>
      <c r="BI133" s="52">
        <v>330.27</v>
      </c>
      <c r="BJ133" s="52">
        <v>297.47000000000003</v>
      </c>
      <c r="BK133" s="52">
        <v>268.95999999999998</v>
      </c>
      <c r="BL133" s="52">
        <v>269.7</v>
      </c>
      <c r="BM133" s="52">
        <v>265.52999999999997</v>
      </c>
      <c r="BN133" s="52">
        <v>291.56</v>
      </c>
      <c r="BO133" s="52">
        <v>234.4</v>
      </c>
      <c r="BP133" s="52">
        <v>296.72000000000003</v>
      </c>
      <c r="BQ133" s="52">
        <v>298.73</v>
      </c>
      <c r="BR133" s="52">
        <v>210.39</v>
      </c>
      <c r="BS133" s="52">
        <v>528.24</v>
      </c>
      <c r="BT133" s="52">
        <v>300.85000000000002</v>
      </c>
      <c r="BU133" s="52">
        <v>462.57</v>
      </c>
      <c r="BV133" s="52">
        <v>431.36</v>
      </c>
      <c r="BW133" s="52">
        <v>162.71</v>
      </c>
      <c r="BX133" s="52">
        <v>183.8</v>
      </c>
      <c r="BY133" s="52">
        <v>267.19</v>
      </c>
      <c r="BZ133" s="52">
        <v>184.45</v>
      </c>
      <c r="CA133" s="52">
        <v>306.83</v>
      </c>
      <c r="CB133" s="53">
        <v>355.12</v>
      </c>
      <c r="CC133" s="52">
        <v>217.69</v>
      </c>
      <c r="CD133" s="52">
        <v>279.74</v>
      </c>
      <c r="CE133" s="52">
        <v>254.44</v>
      </c>
      <c r="CF133" s="52">
        <v>326.44</v>
      </c>
      <c r="CG133" s="52">
        <v>289.88</v>
      </c>
      <c r="CH133" s="52">
        <v>249.15</v>
      </c>
      <c r="CI133" s="52">
        <v>223.65</v>
      </c>
      <c r="CJ133" s="52">
        <v>199.78</v>
      </c>
      <c r="CK133" s="52">
        <v>143.52000000000001</v>
      </c>
      <c r="CL133" s="52">
        <v>170.09</v>
      </c>
      <c r="CM133" s="52">
        <v>335.79</v>
      </c>
      <c r="CN133" s="52">
        <v>227.74</v>
      </c>
      <c r="CO133" s="52">
        <v>240.56</v>
      </c>
      <c r="CP133" s="52">
        <v>162.38</v>
      </c>
      <c r="CQ133" s="52">
        <v>395.89</v>
      </c>
      <c r="CR133" s="52">
        <v>103.02</v>
      </c>
      <c r="CS133" s="52">
        <v>175.48</v>
      </c>
      <c r="CT133" s="52">
        <v>122.04</v>
      </c>
      <c r="CU133" s="52">
        <v>214.89</v>
      </c>
      <c r="CV133" s="52">
        <v>199.12</v>
      </c>
      <c r="CW133" s="52">
        <v>118.71</v>
      </c>
      <c r="CX133" s="52">
        <v>253.75</v>
      </c>
      <c r="CY133" s="52">
        <v>176.99</v>
      </c>
      <c r="CZ133" s="52">
        <v>150.59</v>
      </c>
      <c r="DA133" s="52">
        <v>208.9</v>
      </c>
      <c r="DB133" s="52">
        <v>234.56</v>
      </c>
      <c r="DC133" s="52">
        <v>234.96</v>
      </c>
      <c r="DD133" s="52">
        <v>348.58</v>
      </c>
      <c r="DE133" s="52">
        <v>403.88</v>
      </c>
      <c r="DF133" s="52">
        <v>276.68</v>
      </c>
      <c r="DG133" s="52">
        <v>299.14</v>
      </c>
      <c r="DH133" s="52">
        <v>177.03</v>
      </c>
      <c r="DI133" s="52">
        <v>251.41</v>
      </c>
      <c r="DJ133" s="52">
        <v>352</v>
      </c>
      <c r="DK133" s="52">
        <v>355.48</v>
      </c>
      <c r="DL133" s="52">
        <v>40.15</v>
      </c>
      <c r="DM133" s="52">
        <v>142.81</v>
      </c>
      <c r="DN133" s="52">
        <v>36.840000000000003</v>
      </c>
      <c r="DO133" s="52">
        <v>94.3</v>
      </c>
      <c r="DP133" s="52">
        <v>166.29</v>
      </c>
      <c r="DQ133" s="52">
        <v>222.16</v>
      </c>
      <c r="DR133" s="52">
        <v>346.12</v>
      </c>
      <c r="DS133" s="52">
        <v>231.29</v>
      </c>
      <c r="DT133" s="52"/>
      <c r="DU133" s="52">
        <v>256.67</v>
      </c>
      <c r="DV133" s="52">
        <v>313.33999999999997</v>
      </c>
      <c r="DW133" s="52">
        <v>229.81</v>
      </c>
      <c r="DX133" s="52">
        <v>277.5</v>
      </c>
      <c r="DY133" s="52">
        <v>385.92</v>
      </c>
      <c r="DZ133" s="52">
        <v>279.39999999999998</v>
      </c>
      <c r="EA133" s="52">
        <v>230.12</v>
      </c>
      <c r="EB133" s="52">
        <v>387.48</v>
      </c>
      <c r="EC133" s="52">
        <v>327.61</v>
      </c>
      <c r="ED133" s="52">
        <v>302.29000000000002</v>
      </c>
      <c r="EE133" s="52">
        <v>227.16</v>
      </c>
      <c r="EF133" s="52">
        <v>201.53</v>
      </c>
      <c r="EG133" s="52">
        <v>391.31</v>
      </c>
      <c r="EH133" s="52">
        <v>306.05</v>
      </c>
      <c r="EI133" s="52">
        <v>310.11</v>
      </c>
      <c r="EJ133" s="52">
        <v>141.18</v>
      </c>
      <c r="EK133" s="52">
        <v>187.72</v>
      </c>
      <c r="EL133" s="52">
        <v>569.58000000000004</v>
      </c>
      <c r="EM133" s="52">
        <v>320.14999999999998</v>
      </c>
      <c r="EN133" s="52">
        <v>297.36</v>
      </c>
      <c r="EO133" s="52">
        <v>252.24</v>
      </c>
      <c r="EP133" s="52">
        <v>265.13</v>
      </c>
      <c r="EQ133" s="52">
        <v>330.25</v>
      </c>
      <c r="ER133" s="52">
        <v>338.27</v>
      </c>
      <c r="ES133" s="52">
        <v>346.56</v>
      </c>
      <c r="ET133" s="52">
        <v>335.56</v>
      </c>
      <c r="EU133" s="52">
        <v>264.72000000000003</v>
      </c>
      <c r="EV133" s="52">
        <v>310.42</v>
      </c>
      <c r="EW133" s="52">
        <v>261.5</v>
      </c>
      <c r="EX133" s="52">
        <v>273.41000000000003</v>
      </c>
      <c r="EY133" s="52">
        <v>182.59</v>
      </c>
      <c r="EZ133" s="52">
        <v>363.18</v>
      </c>
      <c r="FA133" s="52">
        <v>329.1</v>
      </c>
      <c r="FB133" s="52">
        <v>261.32</v>
      </c>
      <c r="FC133" s="52">
        <v>363.07</v>
      </c>
      <c r="FD133" s="52">
        <v>293.01</v>
      </c>
      <c r="FE133" s="52">
        <v>297.47000000000003</v>
      </c>
      <c r="FF133" s="52"/>
      <c r="FG133" s="52">
        <v>212.63</v>
      </c>
      <c r="FH133" s="52">
        <v>222.25</v>
      </c>
      <c r="FI133" s="52">
        <v>298.61</v>
      </c>
      <c r="FJ133" s="52">
        <v>344.52</v>
      </c>
      <c r="FK133" s="52">
        <v>386.16</v>
      </c>
      <c r="FL133" s="52">
        <v>194.48</v>
      </c>
      <c r="FM133" s="52">
        <v>266.02</v>
      </c>
      <c r="FN133" s="52">
        <v>217.34</v>
      </c>
      <c r="FO133" s="52">
        <v>522.32000000000005</v>
      </c>
      <c r="FP133" s="52">
        <v>258.57</v>
      </c>
      <c r="FQ133" s="52">
        <v>328</v>
      </c>
      <c r="FR133" s="52">
        <v>440.56</v>
      </c>
      <c r="FS133" s="52">
        <v>300.85000000000002</v>
      </c>
      <c r="FT133" s="52">
        <v>217.09</v>
      </c>
      <c r="FU133" s="52">
        <v>326.39</v>
      </c>
      <c r="FV133" s="52">
        <v>232.85</v>
      </c>
      <c r="FW133" s="52">
        <v>173.3</v>
      </c>
      <c r="FX133" s="52">
        <v>296.72000000000003</v>
      </c>
      <c r="FY133" s="52">
        <v>302.82</v>
      </c>
      <c r="FZ133" s="52">
        <v>299.02999999999997</v>
      </c>
      <c r="GA133" s="52">
        <v>231.82</v>
      </c>
      <c r="GB133" s="52">
        <v>221.63</v>
      </c>
      <c r="GC133" s="52">
        <v>208.1</v>
      </c>
      <c r="GD133" s="52">
        <v>189.82</v>
      </c>
      <c r="GE133" s="52">
        <v>528.24</v>
      </c>
      <c r="GF133" s="52">
        <v>300.85000000000002</v>
      </c>
      <c r="GG133" s="52">
        <v>462.57</v>
      </c>
      <c r="GH133" s="52">
        <v>430.65</v>
      </c>
      <c r="GI133" s="52">
        <v>172.09</v>
      </c>
      <c r="GJ133" s="52">
        <v>156.88</v>
      </c>
      <c r="GK133" s="52">
        <v>153.30000000000001</v>
      </c>
      <c r="GL133" s="52">
        <v>205.24</v>
      </c>
      <c r="GM133" s="52">
        <v>183.8</v>
      </c>
      <c r="GN133" s="52">
        <v>267.19</v>
      </c>
      <c r="GO133" s="52">
        <v>185.65</v>
      </c>
      <c r="GP133" s="52">
        <v>182.72</v>
      </c>
      <c r="GQ133" s="52">
        <v>185.45</v>
      </c>
      <c r="GR133" s="52">
        <v>306.83</v>
      </c>
      <c r="GS133" s="52">
        <v>355.12</v>
      </c>
      <c r="GT133" s="52">
        <v>217.69</v>
      </c>
      <c r="GU133" s="52">
        <v>279.74</v>
      </c>
      <c r="GV133" s="52">
        <v>254.44</v>
      </c>
      <c r="GW133" s="52">
        <v>321.14</v>
      </c>
      <c r="GX133" s="52">
        <v>298.97000000000003</v>
      </c>
      <c r="GY133" s="52">
        <v>289.88</v>
      </c>
      <c r="GZ133" s="52">
        <v>298.29000000000002</v>
      </c>
      <c r="HA133" s="52">
        <v>228.88</v>
      </c>
      <c r="HB133" s="52">
        <v>255.47</v>
      </c>
      <c r="HC133" s="52">
        <v>223.65</v>
      </c>
      <c r="HD133" s="52">
        <v>199.78</v>
      </c>
      <c r="HE133" s="52">
        <v>119.96</v>
      </c>
      <c r="HF133" s="52">
        <v>132.32</v>
      </c>
      <c r="HG133" s="52">
        <v>165.86</v>
      </c>
      <c r="HH133" s="52">
        <v>192.96</v>
      </c>
      <c r="HI133" s="52">
        <v>104.27</v>
      </c>
      <c r="HJ133" s="52">
        <v>170.09</v>
      </c>
      <c r="HK133" s="52">
        <v>335.79</v>
      </c>
      <c r="HL133" s="52">
        <v>194.2</v>
      </c>
      <c r="HM133" s="52">
        <v>246.23</v>
      </c>
      <c r="HN133" s="52">
        <v>255.25</v>
      </c>
      <c r="HO133" s="52">
        <v>220.14</v>
      </c>
      <c r="HP133" s="52">
        <v>253.53</v>
      </c>
      <c r="HQ133" s="52">
        <v>152.85</v>
      </c>
      <c r="HR133" s="52">
        <v>233.68</v>
      </c>
      <c r="HS133" s="52">
        <v>403.08</v>
      </c>
      <c r="HT133" s="52">
        <v>245.7</v>
      </c>
      <c r="HU133" s="52">
        <v>103.02</v>
      </c>
      <c r="HV133" s="52">
        <v>175.48</v>
      </c>
      <c r="HW133" s="52">
        <v>121.89</v>
      </c>
      <c r="HX133" s="52">
        <v>114.01</v>
      </c>
      <c r="HY133" s="52">
        <v>214.89</v>
      </c>
      <c r="HZ133" s="52">
        <v>199.12</v>
      </c>
      <c r="IA133" s="52">
        <v>108.44</v>
      </c>
      <c r="IB133" s="52">
        <v>253.75</v>
      </c>
      <c r="IC133" s="52">
        <v>159.94</v>
      </c>
      <c r="ID133" s="52">
        <v>180.76</v>
      </c>
      <c r="IE133" s="52">
        <v>150.59</v>
      </c>
      <c r="IF133" s="52">
        <v>208.9</v>
      </c>
      <c r="IG133" s="52">
        <v>234.56</v>
      </c>
      <c r="IH133" s="52">
        <v>234.96</v>
      </c>
      <c r="II133" s="52">
        <v>348.58</v>
      </c>
      <c r="IJ133" s="52">
        <v>403.88</v>
      </c>
      <c r="IK133" s="52">
        <v>311.43</v>
      </c>
      <c r="IL133" s="52">
        <v>220.34</v>
      </c>
      <c r="IM133" s="52">
        <v>308.35000000000002</v>
      </c>
      <c r="IN133" s="52">
        <v>291.57</v>
      </c>
      <c r="IO133" s="52">
        <v>261.45999999999998</v>
      </c>
      <c r="IP133" s="52">
        <v>177.03</v>
      </c>
      <c r="IQ133" s="52">
        <v>251.41</v>
      </c>
      <c r="IR133" s="52">
        <v>352</v>
      </c>
      <c r="IS133" s="52">
        <v>355.48</v>
      </c>
      <c r="IT133" s="52">
        <v>40.15</v>
      </c>
      <c r="IU133" s="52">
        <v>142.81</v>
      </c>
      <c r="IV133" s="52">
        <v>36.85</v>
      </c>
      <c r="IW133" s="52">
        <v>94.3</v>
      </c>
      <c r="IX133" s="52">
        <v>166.29</v>
      </c>
      <c r="IY133" s="52">
        <v>222.16</v>
      </c>
      <c r="IZ133" s="52">
        <v>346.12</v>
      </c>
      <c r="JA133" s="52">
        <v>231.29</v>
      </c>
      <c r="JB133" s="52"/>
      <c r="JC133" s="52">
        <v>256.67</v>
      </c>
      <c r="JD133" s="52">
        <v>313.33999999999997</v>
      </c>
      <c r="JE133" s="52">
        <v>257.17</v>
      </c>
      <c r="JF133" s="52">
        <v>221.96</v>
      </c>
      <c r="JG133" s="52">
        <v>277.5</v>
      </c>
      <c r="JH133" s="52">
        <v>385.92</v>
      </c>
      <c r="JI133" s="52">
        <v>279.39999999999998</v>
      </c>
      <c r="JJ133" s="52">
        <v>230.12</v>
      </c>
      <c r="JK133" s="52">
        <v>387.48</v>
      </c>
      <c r="JL133" s="52">
        <v>327.61</v>
      </c>
      <c r="JM133" s="52">
        <v>302.29000000000002</v>
      </c>
      <c r="JN133" s="52">
        <v>227.16</v>
      </c>
      <c r="JO133" s="52">
        <v>201.53</v>
      </c>
      <c r="JP133" s="52">
        <v>410.09</v>
      </c>
      <c r="JQ133" s="52">
        <v>347.36</v>
      </c>
      <c r="JR133" s="52">
        <v>282.70999999999998</v>
      </c>
      <c r="JS133" s="52">
        <v>339.61</v>
      </c>
      <c r="JT133" s="52">
        <v>348.49</v>
      </c>
      <c r="JU133" s="52">
        <v>273.12</v>
      </c>
      <c r="JV133" s="52">
        <v>141.18</v>
      </c>
      <c r="JW133" s="52">
        <v>187.72</v>
      </c>
      <c r="JX133" s="52">
        <v>569.58000000000004</v>
      </c>
      <c r="JY133" s="52">
        <v>337.52</v>
      </c>
      <c r="JZ133" s="52">
        <v>288.68</v>
      </c>
      <c r="KA133" s="52">
        <v>297.36</v>
      </c>
      <c r="KB133" s="52">
        <v>252.24</v>
      </c>
      <c r="KC133" s="52">
        <v>265.13</v>
      </c>
      <c r="KD133" s="52">
        <v>330.25</v>
      </c>
      <c r="KE133" s="52">
        <v>338.27</v>
      </c>
      <c r="KF133" s="52">
        <v>346.56</v>
      </c>
    </row>
    <row r="134" spans="1:292" s="41" customFormat="1" ht="12">
      <c r="A134" s="41">
        <v>2015</v>
      </c>
      <c r="B134" s="54" t="s">
        <v>993</v>
      </c>
      <c r="C134" s="50" t="s">
        <v>994</v>
      </c>
      <c r="D134" s="56">
        <v>263.11</v>
      </c>
      <c r="E134" s="56">
        <v>293.38</v>
      </c>
      <c r="F134" s="56">
        <v>436.87</v>
      </c>
      <c r="G134" s="56">
        <v>165.74</v>
      </c>
      <c r="H134" s="56">
        <v>301.88</v>
      </c>
      <c r="I134" s="56">
        <v>210.48</v>
      </c>
      <c r="J134" s="56">
        <v>157.88999999999999</v>
      </c>
      <c r="K134" s="56">
        <v>245.78</v>
      </c>
      <c r="L134" s="56">
        <v>128.32</v>
      </c>
      <c r="M134" s="56">
        <v>194.82</v>
      </c>
      <c r="N134" s="56">
        <v>264.93</v>
      </c>
      <c r="O134" s="56">
        <v>393.24</v>
      </c>
      <c r="P134" s="56">
        <v>310.49</v>
      </c>
      <c r="Q134" s="56">
        <v>296.37</v>
      </c>
      <c r="R134" s="56">
        <v>252.14</v>
      </c>
      <c r="S134" s="56">
        <v>488.65</v>
      </c>
      <c r="T134" s="56">
        <v>432.97</v>
      </c>
      <c r="U134" s="56">
        <v>158.76</v>
      </c>
      <c r="V134" s="56">
        <v>187.29</v>
      </c>
      <c r="W134" s="56">
        <v>358.09</v>
      </c>
      <c r="X134" s="56">
        <v>219.86</v>
      </c>
      <c r="Y134" s="56">
        <v>282.02</v>
      </c>
      <c r="Z134" s="56">
        <v>298.72000000000003</v>
      </c>
      <c r="AA134" s="56">
        <v>243.4</v>
      </c>
      <c r="AB134" s="56">
        <v>201.04</v>
      </c>
      <c r="AC134" s="56">
        <v>163.56</v>
      </c>
      <c r="AD134" s="56">
        <v>230.91</v>
      </c>
      <c r="AE134" s="56">
        <v>242.94</v>
      </c>
      <c r="AF134" s="56">
        <v>207.52</v>
      </c>
      <c r="AG134" s="56">
        <v>109.46</v>
      </c>
      <c r="AH134" s="56">
        <v>190.57</v>
      </c>
      <c r="AI134" s="56">
        <v>254.91</v>
      </c>
      <c r="AJ134" s="56">
        <v>183.8</v>
      </c>
      <c r="AK134" s="56">
        <v>258.81</v>
      </c>
      <c r="AL134" s="56">
        <v>296.92</v>
      </c>
      <c r="AM134" s="56">
        <v>355.48</v>
      </c>
      <c r="AN134" s="56">
        <v>40.76</v>
      </c>
      <c r="AO134" s="56">
        <v>143.69</v>
      </c>
      <c r="AP134" s="56">
        <v>63.65</v>
      </c>
      <c r="AQ134" s="56">
        <v>225.75</v>
      </c>
      <c r="AR134" s="56">
        <v>313.82</v>
      </c>
      <c r="AS134" s="56">
        <v>270.48</v>
      </c>
      <c r="AT134" s="56">
        <v>308.39</v>
      </c>
      <c r="AU134" s="56">
        <v>390.66</v>
      </c>
      <c r="AV134" s="56">
        <v>333.26</v>
      </c>
      <c r="AW134" s="56">
        <v>303.29000000000002</v>
      </c>
      <c r="AX134" s="56">
        <v>228.22</v>
      </c>
      <c r="AY134" s="56">
        <v>203.3</v>
      </c>
      <c r="AZ134" s="56">
        <v>394.94</v>
      </c>
      <c r="BA134" s="56">
        <v>310.06</v>
      </c>
      <c r="BB134" s="56">
        <v>215.42</v>
      </c>
      <c r="BC134" s="56">
        <v>534.36</v>
      </c>
      <c r="BD134" s="56">
        <v>311.74</v>
      </c>
      <c r="BE134" s="56">
        <v>338.82</v>
      </c>
      <c r="BF134" s="56">
        <v>338.27</v>
      </c>
      <c r="BG134" s="56">
        <v>346.91</v>
      </c>
      <c r="BH134" s="52">
        <v>295.23</v>
      </c>
      <c r="BI134" s="52">
        <v>328.2</v>
      </c>
      <c r="BJ134" s="52">
        <v>256.74</v>
      </c>
      <c r="BK134" s="52">
        <v>276.70999999999998</v>
      </c>
      <c r="BL134" s="52">
        <v>272.57</v>
      </c>
      <c r="BM134" s="52">
        <v>278.64</v>
      </c>
      <c r="BN134" s="52">
        <v>301.48</v>
      </c>
      <c r="BO134" s="52">
        <v>235.8</v>
      </c>
      <c r="BP134" s="52">
        <v>298.39</v>
      </c>
      <c r="BQ134" s="52">
        <v>310.32</v>
      </c>
      <c r="BR134" s="52">
        <v>210.78</v>
      </c>
      <c r="BS134" s="52">
        <v>528.02</v>
      </c>
      <c r="BT134" s="52">
        <v>302.55</v>
      </c>
      <c r="BU134" s="52">
        <v>463.1</v>
      </c>
      <c r="BV134" s="52">
        <v>432.97</v>
      </c>
      <c r="BW134" s="52">
        <v>155.6</v>
      </c>
      <c r="BX134" s="52">
        <v>186.33</v>
      </c>
      <c r="BY134" s="52">
        <v>269.25</v>
      </c>
      <c r="BZ134" s="52">
        <v>186.61</v>
      </c>
      <c r="CA134" s="52">
        <v>306.14999999999998</v>
      </c>
      <c r="CB134" s="53">
        <v>358.09</v>
      </c>
      <c r="CC134" s="52">
        <v>219.86</v>
      </c>
      <c r="CD134" s="52">
        <v>280.94</v>
      </c>
      <c r="CE134" s="52">
        <v>254.44</v>
      </c>
      <c r="CF134" s="52">
        <v>326.51</v>
      </c>
      <c r="CG134" s="52">
        <v>294.8</v>
      </c>
      <c r="CH134" s="52">
        <v>249.3</v>
      </c>
      <c r="CI134" s="52">
        <v>227.19</v>
      </c>
      <c r="CJ134" s="52">
        <v>201.04</v>
      </c>
      <c r="CK134" s="52">
        <v>148.75</v>
      </c>
      <c r="CL134" s="52">
        <v>176.7</v>
      </c>
      <c r="CM134" s="52">
        <v>339.18</v>
      </c>
      <c r="CN134" s="52">
        <v>230.91</v>
      </c>
      <c r="CO134" s="52">
        <v>242.94</v>
      </c>
      <c r="CP134" s="52">
        <v>162.13</v>
      </c>
      <c r="CQ134" s="52">
        <v>397.49</v>
      </c>
      <c r="CR134" s="52">
        <v>106.43</v>
      </c>
      <c r="CS134" s="52">
        <v>175.84</v>
      </c>
      <c r="CT134" s="52">
        <v>122.53</v>
      </c>
      <c r="CU134" s="52">
        <v>215.74</v>
      </c>
      <c r="CV134" s="52">
        <v>200.07</v>
      </c>
      <c r="CW134" s="52">
        <v>119.08</v>
      </c>
      <c r="CX134" s="52">
        <v>254.91</v>
      </c>
      <c r="CY134" s="52">
        <v>184.1</v>
      </c>
      <c r="CZ134" s="52">
        <v>153.03</v>
      </c>
      <c r="DA134" s="52">
        <v>208.66</v>
      </c>
      <c r="DB134" s="52">
        <v>238.5</v>
      </c>
      <c r="DC134" s="52">
        <v>237.12</v>
      </c>
      <c r="DD134" s="52">
        <v>347.94</v>
      </c>
      <c r="DE134" s="52">
        <v>408.47</v>
      </c>
      <c r="DF134" s="52">
        <v>276.68</v>
      </c>
      <c r="DG134" s="52">
        <v>300.7</v>
      </c>
      <c r="DH134" s="52">
        <v>179.75</v>
      </c>
      <c r="DI134" s="52">
        <v>251.41</v>
      </c>
      <c r="DJ134" s="52">
        <v>356.08</v>
      </c>
      <c r="DK134" s="52">
        <v>355.48</v>
      </c>
      <c r="DL134" s="52">
        <v>40.76</v>
      </c>
      <c r="DM134" s="52">
        <v>143.69</v>
      </c>
      <c r="DN134" s="52">
        <v>37.36</v>
      </c>
      <c r="DO134" s="52">
        <v>95.19</v>
      </c>
      <c r="DP134" s="52">
        <v>166.41</v>
      </c>
      <c r="DQ134" s="52">
        <v>225.75</v>
      </c>
      <c r="DR134" s="52">
        <v>344.54</v>
      </c>
      <c r="DS134" s="52">
        <v>240.01</v>
      </c>
      <c r="DT134" s="52"/>
      <c r="DU134" s="52">
        <v>256.39999999999998</v>
      </c>
      <c r="DV134" s="52">
        <v>316.94</v>
      </c>
      <c r="DW134" s="52">
        <v>230.1</v>
      </c>
      <c r="DX134" s="52">
        <v>277.5</v>
      </c>
      <c r="DY134" s="52">
        <v>403.32</v>
      </c>
      <c r="DZ134" s="52">
        <v>279.39999999999998</v>
      </c>
      <c r="EA134" s="52">
        <v>235.49</v>
      </c>
      <c r="EB134" s="52">
        <v>390.66</v>
      </c>
      <c r="EC134" s="52">
        <v>333.26</v>
      </c>
      <c r="ED134" s="52">
        <v>303.29000000000002</v>
      </c>
      <c r="EE134" s="52">
        <v>228.22</v>
      </c>
      <c r="EF134" s="52">
        <v>203.3</v>
      </c>
      <c r="EG134" s="52">
        <v>394.94</v>
      </c>
      <c r="EH134" s="52">
        <v>310.06</v>
      </c>
      <c r="EI134" s="52">
        <v>312.48</v>
      </c>
      <c r="EJ134" s="52">
        <v>146.08000000000001</v>
      </c>
      <c r="EK134" s="52">
        <v>188.65</v>
      </c>
      <c r="EL134" s="52">
        <v>604.72</v>
      </c>
      <c r="EM134" s="52">
        <v>329.03</v>
      </c>
      <c r="EN134" s="52">
        <v>311.74</v>
      </c>
      <c r="EO134" s="52">
        <v>252.79</v>
      </c>
      <c r="EP134" s="52">
        <v>271.67</v>
      </c>
      <c r="EQ134" s="52">
        <v>355.43</v>
      </c>
      <c r="ER134" s="52">
        <v>338.27</v>
      </c>
      <c r="ES134" s="52">
        <v>346.91</v>
      </c>
      <c r="ET134" s="52">
        <v>334.15</v>
      </c>
      <c r="EU134" s="52">
        <v>265.18</v>
      </c>
      <c r="EV134" s="52">
        <v>311.48</v>
      </c>
      <c r="EW134" s="52">
        <v>262.52</v>
      </c>
      <c r="EX134" s="52">
        <v>273.10000000000002</v>
      </c>
      <c r="EY134" s="52">
        <v>185.37</v>
      </c>
      <c r="EZ134" s="52">
        <v>363.53</v>
      </c>
      <c r="FA134" s="52">
        <v>331.98</v>
      </c>
      <c r="FB134" s="52">
        <v>251.05</v>
      </c>
      <c r="FC134" s="52">
        <v>362.96</v>
      </c>
      <c r="FD134" s="52">
        <v>294.39</v>
      </c>
      <c r="FE134" s="52">
        <v>256.74</v>
      </c>
      <c r="FF134" s="52"/>
      <c r="FG134" s="52">
        <v>211.36</v>
      </c>
      <c r="FH134" s="52">
        <v>222.11</v>
      </c>
      <c r="FI134" s="52">
        <v>299.55</v>
      </c>
      <c r="FJ134" s="52">
        <v>398.12</v>
      </c>
      <c r="FK134" s="52">
        <v>384.81</v>
      </c>
      <c r="FL134" s="52">
        <v>193.57</v>
      </c>
      <c r="FM134" s="52">
        <v>270.05</v>
      </c>
      <c r="FN134" s="52">
        <v>235.5</v>
      </c>
      <c r="FO134" s="52">
        <v>512.28</v>
      </c>
      <c r="FP134" s="52">
        <v>275.56</v>
      </c>
      <c r="FQ134" s="52">
        <v>311.39999999999998</v>
      </c>
      <c r="FR134" s="52">
        <v>446.32</v>
      </c>
      <c r="FS134" s="52">
        <v>302.43</v>
      </c>
      <c r="FT134" s="52">
        <v>218.14</v>
      </c>
      <c r="FU134" s="52">
        <v>329.56</v>
      </c>
      <c r="FV134" s="52">
        <v>233.56</v>
      </c>
      <c r="FW134" s="52">
        <v>174.96</v>
      </c>
      <c r="FX134" s="52">
        <v>298.39</v>
      </c>
      <c r="FY134" s="52">
        <v>307.54000000000002</v>
      </c>
      <c r="FZ134" s="52">
        <v>311.97000000000003</v>
      </c>
      <c r="GA134" s="52">
        <v>233.42</v>
      </c>
      <c r="GB134" s="52">
        <v>223.02</v>
      </c>
      <c r="GC134" s="52">
        <v>207.62</v>
      </c>
      <c r="GD134" s="52">
        <v>190.12</v>
      </c>
      <c r="GE134" s="52">
        <v>528.02</v>
      </c>
      <c r="GF134" s="52">
        <v>302.55</v>
      </c>
      <c r="GG134" s="52">
        <v>463.1</v>
      </c>
      <c r="GH134" s="52">
        <v>432.25</v>
      </c>
      <c r="GI134" s="52">
        <v>166.64</v>
      </c>
      <c r="GJ134" s="52">
        <v>147.93</v>
      </c>
      <c r="GK134" s="52">
        <v>146.94</v>
      </c>
      <c r="GL134" s="52">
        <v>208.58</v>
      </c>
      <c r="GM134" s="52">
        <v>186.33</v>
      </c>
      <c r="GN134" s="52">
        <v>269.25</v>
      </c>
      <c r="GO134" s="52">
        <v>189.79</v>
      </c>
      <c r="GP134" s="52">
        <v>182.12</v>
      </c>
      <c r="GQ134" s="52">
        <v>188.77</v>
      </c>
      <c r="GR134" s="52">
        <v>306.14999999999998</v>
      </c>
      <c r="GS134" s="52">
        <v>358.09</v>
      </c>
      <c r="GT134" s="52">
        <v>219.86</v>
      </c>
      <c r="GU134" s="52">
        <v>280.94</v>
      </c>
      <c r="GV134" s="52">
        <v>254.44</v>
      </c>
      <c r="GW134" s="52">
        <v>321.56</v>
      </c>
      <c r="GX134" s="52">
        <v>298.41000000000003</v>
      </c>
      <c r="GY134" s="52">
        <v>294.8</v>
      </c>
      <c r="GZ134" s="52">
        <v>300.37</v>
      </c>
      <c r="HA134" s="52">
        <v>229.45</v>
      </c>
      <c r="HB134" s="52">
        <v>254.7</v>
      </c>
      <c r="HC134" s="52">
        <v>227.19</v>
      </c>
      <c r="HD134" s="52">
        <v>201.04</v>
      </c>
      <c r="HE134" s="52">
        <v>123.76</v>
      </c>
      <c r="HF134" s="52">
        <v>138.55000000000001</v>
      </c>
      <c r="HG134" s="52">
        <v>176.76</v>
      </c>
      <c r="HH134" s="52">
        <v>195.9</v>
      </c>
      <c r="HI134" s="52">
        <v>109.04</v>
      </c>
      <c r="HJ134" s="52">
        <v>176.7</v>
      </c>
      <c r="HK134" s="52">
        <v>339.18</v>
      </c>
      <c r="HL134" s="52">
        <v>197.21</v>
      </c>
      <c r="HM134" s="52">
        <v>248.19</v>
      </c>
      <c r="HN134" s="52">
        <v>258.69</v>
      </c>
      <c r="HO134" s="52">
        <v>222.53</v>
      </c>
      <c r="HP134" s="52">
        <v>255.72</v>
      </c>
      <c r="HQ134" s="52">
        <v>152.33000000000001</v>
      </c>
      <c r="HR134" s="52">
        <v>235.08</v>
      </c>
      <c r="HS134" s="52">
        <v>404.82</v>
      </c>
      <c r="HT134" s="52">
        <v>245.9</v>
      </c>
      <c r="HU134" s="52">
        <v>106.43</v>
      </c>
      <c r="HV134" s="52">
        <v>175.84</v>
      </c>
      <c r="HW134" s="52">
        <v>121.9</v>
      </c>
      <c r="HX134" s="52">
        <v>115.35</v>
      </c>
      <c r="HY134" s="52">
        <v>215.74</v>
      </c>
      <c r="HZ134" s="52">
        <v>200.07</v>
      </c>
      <c r="IA134" s="52">
        <v>108.78</v>
      </c>
      <c r="IB134" s="52">
        <v>254.91</v>
      </c>
      <c r="IC134" s="52">
        <v>166.37</v>
      </c>
      <c r="ID134" s="52">
        <v>188.68</v>
      </c>
      <c r="IE134" s="52">
        <v>153.03</v>
      </c>
      <c r="IF134" s="52">
        <v>208.66</v>
      </c>
      <c r="IG134" s="52">
        <v>238.5</v>
      </c>
      <c r="IH134" s="52">
        <v>237.12</v>
      </c>
      <c r="II134" s="52">
        <v>347.94</v>
      </c>
      <c r="IJ134" s="52">
        <v>408.47</v>
      </c>
      <c r="IK134" s="52">
        <v>311.43</v>
      </c>
      <c r="IL134" s="52">
        <v>220.34</v>
      </c>
      <c r="IM134" s="52">
        <v>310.57</v>
      </c>
      <c r="IN134" s="52">
        <v>292.83999999999997</v>
      </c>
      <c r="IO134" s="52">
        <v>261.27999999999997</v>
      </c>
      <c r="IP134" s="52">
        <v>179.75</v>
      </c>
      <c r="IQ134" s="52">
        <v>251.41</v>
      </c>
      <c r="IR134" s="52">
        <v>356.08</v>
      </c>
      <c r="IS134" s="52">
        <v>355.48</v>
      </c>
      <c r="IT134" s="52">
        <v>40.76</v>
      </c>
      <c r="IU134" s="52">
        <v>143.69</v>
      </c>
      <c r="IV134" s="52">
        <v>37.369999999999997</v>
      </c>
      <c r="IW134" s="52">
        <v>95.19</v>
      </c>
      <c r="IX134" s="52">
        <v>166.41</v>
      </c>
      <c r="IY134" s="52">
        <v>225.75</v>
      </c>
      <c r="IZ134" s="52">
        <v>344.54</v>
      </c>
      <c r="JA134" s="52">
        <v>240.01</v>
      </c>
      <c r="JB134" s="52"/>
      <c r="JC134" s="52">
        <v>256.39999999999998</v>
      </c>
      <c r="JD134" s="52">
        <v>316.94</v>
      </c>
      <c r="JE134" s="52">
        <v>257.68</v>
      </c>
      <c r="JF134" s="52">
        <v>222.22</v>
      </c>
      <c r="JG134" s="52">
        <v>277.5</v>
      </c>
      <c r="JH134" s="52">
        <v>403.32</v>
      </c>
      <c r="JI134" s="52">
        <v>279.39999999999998</v>
      </c>
      <c r="JJ134" s="52">
        <v>235.49</v>
      </c>
      <c r="JK134" s="52">
        <v>390.66</v>
      </c>
      <c r="JL134" s="52">
        <v>333.26</v>
      </c>
      <c r="JM134" s="52">
        <v>303.29000000000002</v>
      </c>
      <c r="JN134" s="52">
        <v>228.22</v>
      </c>
      <c r="JO134" s="52">
        <v>203.3</v>
      </c>
      <c r="JP134" s="52">
        <v>413.34</v>
      </c>
      <c r="JQ134" s="52">
        <v>352.41</v>
      </c>
      <c r="JR134" s="52">
        <v>285.82</v>
      </c>
      <c r="JS134" s="52">
        <v>345.74</v>
      </c>
      <c r="JT134" s="52">
        <v>350.85</v>
      </c>
      <c r="JU134" s="52">
        <v>275.45999999999998</v>
      </c>
      <c r="JV134" s="52">
        <v>146.08000000000001</v>
      </c>
      <c r="JW134" s="52">
        <v>188.65</v>
      </c>
      <c r="JX134" s="52">
        <v>604.72</v>
      </c>
      <c r="JY134" s="52">
        <v>349.19</v>
      </c>
      <c r="JZ134" s="52">
        <v>292.64</v>
      </c>
      <c r="KA134" s="52">
        <v>311.74</v>
      </c>
      <c r="KB134" s="52">
        <v>252.79</v>
      </c>
      <c r="KC134" s="52">
        <v>271.67</v>
      </c>
      <c r="KD134" s="52">
        <v>355.43</v>
      </c>
      <c r="KE134" s="52">
        <v>338.27</v>
      </c>
      <c r="KF134" s="52">
        <v>346.91</v>
      </c>
    </row>
    <row r="135" spans="1:292" s="41" customFormat="1" ht="12">
      <c r="A135" s="41">
        <v>2015</v>
      </c>
      <c r="B135" s="54" t="s">
        <v>995</v>
      </c>
      <c r="C135" s="50" t="s">
        <v>996</v>
      </c>
      <c r="D135" s="56">
        <v>267.2</v>
      </c>
      <c r="E135" s="56">
        <v>295.60000000000002</v>
      </c>
      <c r="F135" s="56">
        <v>436.83</v>
      </c>
      <c r="G135" s="56">
        <v>184.69</v>
      </c>
      <c r="H135" s="56">
        <v>304.33</v>
      </c>
      <c r="I135" s="56">
        <v>213.41</v>
      </c>
      <c r="J135" s="56">
        <v>158.54</v>
      </c>
      <c r="K135" s="56">
        <v>249.21</v>
      </c>
      <c r="L135" s="56">
        <v>128.63999999999999</v>
      </c>
      <c r="M135" s="56">
        <v>195.73</v>
      </c>
      <c r="N135" s="56">
        <v>267.64999999999998</v>
      </c>
      <c r="O135" s="56">
        <v>395.88</v>
      </c>
      <c r="P135" s="56">
        <v>313.76</v>
      </c>
      <c r="Q135" s="56">
        <v>298.64999999999998</v>
      </c>
      <c r="R135" s="56">
        <v>253.61</v>
      </c>
      <c r="S135" s="56">
        <v>488.16</v>
      </c>
      <c r="T135" s="56">
        <v>432.97</v>
      </c>
      <c r="U135" s="56">
        <v>177.93</v>
      </c>
      <c r="V135" s="56">
        <v>204.95</v>
      </c>
      <c r="W135" s="56">
        <v>360.65</v>
      </c>
      <c r="X135" s="56">
        <v>221.89</v>
      </c>
      <c r="Y135" s="56">
        <v>283.98</v>
      </c>
      <c r="Z135" s="56">
        <v>301.42</v>
      </c>
      <c r="AA135" s="56">
        <v>247.73</v>
      </c>
      <c r="AB135" s="56">
        <v>204.81</v>
      </c>
      <c r="AC135" s="56">
        <v>166.45</v>
      </c>
      <c r="AD135" s="56">
        <v>233.25</v>
      </c>
      <c r="AE135" s="56">
        <v>245.44</v>
      </c>
      <c r="AF135" s="56">
        <v>208.37</v>
      </c>
      <c r="AG135" s="56">
        <v>109.56</v>
      </c>
      <c r="AH135" s="56">
        <v>191.41</v>
      </c>
      <c r="AI135" s="56">
        <v>257.29000000000002</v>
      </c>
      <c r="AJ135" s="56">
        <v>187.45</v>
      </c>
      <c r="AK135" s="56">
        <v>260.93</v>
      </c>
      <c r="AL135" s="56">
        <v>300.77999999999997</v>
      </c>
      <c r="AM135" s="56">
        <v>319.93</v>
      </c>
      <c r="AN135" s="56">
        <v>40.49</v>
      </c>
      <c r="AO135" s="56">
        <v>144.24</v>
      </c>
      <c r="AP135" s="56">
        <v>64.709999999999994</v>
      </c>
      <c r="AQ135" s="56">
        <v>230.03</v>
      </c>
      <c r="AR135" s="56">
        <v>320.58</v>
      </c>
      <c r="AS135" s="56">
        <v>271.95</v>
      </c>
      <c r="AT135" s="56">
        <v>314.97000000000003</v>
      </c>
      <c r="AU135" s="56">
        <v>372.95</v>
      </c>
      <c r="AV135" s="56">
        <v>336.6</v>
      </c>
      <c r="AW135" s="56">
        <v>306.48</v>
      </c>
      <c r="AX135" s="56">
        <v>229.52</v>
      </c>
      <c r="AY135" s="56">
        <v>206.69</v>
      </c>
      <c r="AZ135" s="56">
        <v>398.82</v>
      </c>
      <c r="BA135" s="56">
        <v>304.12</v>
      </c>
      <c r="BB135" s="56">
        <v>217.01</v>
      </c>
      <c r="BC135" s="56">
        <v>540.11</v>
      </c>
      <c r="BD135" s="56">
        <v>316.11</v>
      </c>
      <c r="BE135" s="56">
        <v>364.88</v>
      </c>
      <c r="BF135" s="56">
        <v>338.27</v>
      </c>
      <c r="BG135" s="56">
        <v>347.43</v>
      </c>
      <c r="BH135" s="52">
        <v>297.29000000000002</v>
      </c>
      <c r="BI135" s="52">
        <v>327.52999999999997</v>
      </c>
      <c r="BJ135" s="52">
        <v>264.89</v>
      </c>
      <c r="BK135" s="52">
        <v>275.88</v>
      </c>
      <c r="BL135" s="52">
        <v>276.02</v>
      </c>
      <c r="BM135" s="52">
        <v>281.39</v>
      </c>
      <c r="BN135" s="52">
        <v>309.83999999999997</v>
      </c>
      <c r="BO135" s="52">
        <v>236.29</v>
      </c>
      <c r="BP135" s="52">
        <v>301</v>
      </c>
      <c r="BQ135" s="52">
        <v>314.61</v>
      </c>
      <c r="BR135" s="52">
        <v>210.77</v>
      </c>
      <c r="BS135" s="52">
        <v>527.82000000000005</v>
      </c>
      <c r="BT135" s="52">
        <v>301.06</v>
      </c>
      <c r="BU135" s="52">
        <v>462.65</v>
      </c>
      <c r="BV135" s="52">
        <v>432.97</v>
      </c>
      <c r="BW135" s="52">
        <v>175.49</v>
      </c>
      <c r="BX135" s="52">
        <v>197.45</v>
      </c>
      <c r="BY135" s="52">
        <v>272.55</v>
      </c>
      <c r="BZ135" s="52">
        <v>204.33</v>
      </c>
      <c r="CA135" s="52">
        <v>308.60000000000002</v>
      </c>
      <c r="CB135" s="53">
        <v>360.65</v>
      </c>
      <c r="CC135" s="52">
        <v>221.89</v>
      </c>
      <c r="CD135" s="52">
        <v>282.89999999999998</v>
      </c>
      <c r="CE135" s="52">
        <v>254.25</v>
      </c>
      <c r="CF135" s="52">
        <v>331.59</v>
      </c>
      <c r="CG135" s="52">
        <v>300.55</v>
      </c>
      <c r="CH135" s="52">
        <v>253.6</v>
      </c>
      <c r="CI135" s="52">
        <v>232.41</v>
      </c>
      <c r="CJ135" s="52">
        <v>204.81</v>
      </c>
      <c r="CK135" s="52">
        <v>151.32</v>
      </c>
      <c r="CL135" s="52">
        <v>177.78</v>
      </c>
      <c r="CM135" s="52">
        <v>351.95</v>
      </c>
      <c r="CN135" s="52">
        <v>233.25</v>
      </c>
      <c r="CO135" s="52">
        <v>245.44</v>
      </c>
      <c r="CP135" s="52">
        <v>162.56</v>
      </c>
      <c r="CQ135" s="52">
        <v>400.02</v>
      </c>
      <c r="CR135" s="52">
        <v>106.43</v>
      </c>
      <c r="CS135" s="52">
        <v>177.03</v>
      </c>
      <c r="CT135" s="52">
        <v>122.74</v>
      </c>
      <c r="CU135" s="52">
        <v>216.08</v>
      </c>
      <c r="CV135" s="52">
        <v>201.8</v>
      </c>
      <c r="CW135" s="52">
        <v>119.3</v>
      </c>
      <c r="CX135" s="52">
        <v>257.29000000000002</v>
      </c>
      <c r="CY135" s="52">
        <v>187.76</v>
      </c>
      <c r="CZ135" s="52">
        <v>156.36000000000001</v>
      </c>
      <c r="DA135" s="52">
        <v>210.32</v>
      </c>
      <c r="DB135" s="52">
        <v>244.52</v>
      </c>
      <c r="DC135" s="52">
        <v>238.55</v>
      </c>
      <c r="DD135" s="52">
        <v>353.91</v>
      </c>
      <c r="DE135" s="52">
        <v>405.87</v>
      </c>
      <c r="DF135" s="52">
        <v>276.68</v>
      </c>
      <c r="DG135" s="52">
        <v>305.22000000000003</v>
      </c>
      <c r="DH135" s="52">
        <v>179.3</v>
      </c>
      <c r="DI135" s="52">
        <v>251.41</v>
      </c>
      <c r="DJ135" s="52">
        <v>359.09</v>
      </c>
      <c r="DK135" s="52">
        <v>319.93</v>
      </c>
      <c r="DL135" s="52">
        <v>40.49</v>
      </c>
      <c r="DM135" s="52">
        <v>144.24</v>
      </c>
      <c r="DN135" s="52">
        <v>38.14</v>
      </c>
      <c r="DO135" s="52">
        <v>96.85</v>
      </c>
      <c r="DP135" s="52">
        <v>166.32</v>
      </c>
      <c r="DQ135" s="52">
        <v>230.03</v>
      </c>
      <c r="DR135" s="52">
        <v>349.69</v>
      </c>
      <c r="DS135" s="52">
        <v>250.45</v>
      </c>
      <c r="DT135" s="52"/>
      <c r="DU135" s="52">
        <v>256.64999999999998</v>
      </c>
      <c r="DV135" s="52">
        <v>319.97000000000003</v>
      </c>
      <c r="DW135" s="52">
        <v>230.38</v>
      </c>
      <c r="DX135" s="52">
        <v>277.5</v>
      </c>
      <c r="DY135" s="52">
        <v>414.43</v>
      </c>
      <c r="DZ135" s="52">
        <v>279.39999999999998</v>
      </c>
      <c r="EA135" s="52">
        <v>241.78</v>
      </c>
      <c r="EB135" s="52">
        <v>372.95</v>
      </c>
      <c r="EC135" s="52">
        <v>336.6</v>
      </c>
      <c r="ED135" s="52">
        <v>306.48</v>
      </c>
      <c r="EE135" s="52">
        <v>229.52</v>
      </c>
      <c r="EF135" s="52">
        <v>206.69</v>
      </c>
      <c r="EG135" s="52">
        <v>398.82</v>
      </c>
      <c r="EH135" s="52">
        <v>304.12</v>
      </c>
      <c r="EI135" s="52">
        <v>314.94</v>
      </c>
      <c r="EJ135" s="52">
        <v>149.04</v>
      </c>
      <c r="EK135" s="52">
        <v>189.91</v>
      </c>
      <c r="EL135" s="52">
        <v>605.82000000000005</v>
      </c>
      <c r="EM135" s="52">
        <v>338.09</v>
      </c>
      <c r="EN135" s="52">
        <v>316.11</v>
      </c>
      <c r="EO135" s="52">
        <v>246.42</v>
      </c>
      <c r="EP135" s="52">
        <v>276.61</v>
      </c>
      <c r="EQ135" s="52">
        <v>391.19</v>
      </c>
      <c r="ER135" s="52">
        <v>338.27</v>
      </c>
      <c r="ES135" s="52">
        <v>347.43</v>
      </c>
      <c r="ET135" s="52">
        <v>331.63</v>
      </c>
      <c r="EU135" s="52">
        <v>266.88</v>
      </c>
      <c r="EV135" s="52">
        <v>313.75</v>
      </c>
      <c r="EW135" s="52">
        <v>264.14</v>
      </c>
      <c r="EX135" s="52">
        <v>285.44</v>
      </c>
      <c r="EY135" s="52">
        <v>186.61</v>
      </c>
      <c r="EZ135" s="52">
        <v>368.1</v>
      </c>
      <c r="FA135" s="52">
        <v>333.1</v>
      </c>
      <c r="FB135" s="52">
        <v>239.75</v>
      </c>
      <c r="FC135" s="52">
        <v>365.34</v>
      </c>
      <c r="FD135" s="52">
        <v>296.17</v>
      </c>
      <c r="FE135" s="52">
        <v>264.89</v>
      </c>
      <c r="FF135" s="52"/>
      <c r="FG135" s="52">
        <v>212.51</v>
      </c>
      <c r="FH135" s="52">
        <v>221.1</v>
      </c>
      <c r="FI135" s="52">
        <v>299.14</v>
      </c>
      <c r="FJ135" s="52">
        <v>393.07</v>
      </c>
      <c r="FK135" s="52">
        <v>385.16</v>
      </c>
      <c r="FL135" s="52">
        <v>190.65</v>
      </c>
      <c r="FM135" s="52">
        <v>274.8</v>
      </c>
      <c r="FN135" s="52">
        <v>240.7</v>
      </c>
      <c r="FO135" s="52">
        <v>503.52</v>
      </c>
      <c r="FP135" s="52">
        <v>288.47000000000003</v>
      </c>
      <c r="FQ135" s="52">
        <v>304.55</v>
      </c>
      <c r="FR135" s="52">
        <v>450.89</v>
      </c>
      <c r="FS135" s="52">
        <v>304.55</v>
      </c>
      <c r="FT135" s="52">
        <v>217.57</v>
      </c>
      <c r="FU135" s="52">
        <v>329.57</v>
      </c>
      <c r="FV135" s="52">
        <v>235.47</v>
      </c>
      <c r="FW135" s="52">
        <v>175.56</v>
      </c>
      <c r="FX135" s="52">
        <v>301</v>
      </c>
      <c r="FY135" s="52">
        <v>311.77999999999997</v>
      </c>
      <c r="FZ135" s="52">
        <v>316.36</v>
      </c>
      <c r="GA135" s="52">
        <v>234.14</v>
      </c>
      <c r="GB135" s="52">
        <v>223.98</v>
      </c>
      <c r="GC135" s="52">
        <v>207.09</v>
      </c>
      <c r="GD135" s="52">
        <v>189.22</v>
      </c>
      <c r="GE135" s="52">
        <v>527.82000000000005</v>
      </c>
      <c r="GF135" s="52">
        <v>301.06</v>
      </c>
      <c r="GG135" s="52">
        <v>462.65</v>
      </c>
      <c r="GH135" s="52">
        <v>432.25</v>
      </c>
      <c r="GI135" s="52">
        <v>186.33</v>
      </c>
      <c r="GJ135" s="52">
        <v>169.99</v>
      </c>
      <c r="GK135" s="52">
        <v>161.96</v>
      </c>
      <c r="GL135" s="52">
        <v>218.44</v>
      </c>
      <c r="GM135" s="52">
        <v>197.45</v>
      </c>
      <c r="GN135" s="52">
        <v>272.55</v>
      </c>
      <c r="GO135" s="52">
        <v>206.98</v>
      </c>
      <c r="GP135" s="52">
        <v>200.01</v>
      </c>
      <c r="GQ135" s="52">
        <v>207.47</v>
      </c>
      <c r="GR135" s="52">
        <v>308.60000000000002</v>
      </c>
      <c r="GS135" s="52">
        <v>360.65</v>
      </c>
      <c r="GT135" s="52">
        <v>221.89</v>
      </c>
      <c r="GU135" s="52">
        <v>282.89999999999998</v>
      </c>
      <c r="GV135" s="52">
        <v>254.25</v>
      </c>
      <c r="GW135" s="52">
        <v>322.74</v>
      </c>
      <c r="GX135" s="52">
        <v>309.83</v>
      </c>
      <c r="GY135" s="52">
        <v>300.55</v>
      </c>
      <c r="GZ135" s="52">
        <v>304.81</v>
      </c>
      <c r="HA135" s="52">
        <v>233.22</v>
      </c>
      <c r="HB135" s="52">
        <v>259.47000000000003</v>
      </c>
      <c r="HC135" s="52">
        <v>232.41</v>
      </c>
      <c r="HD135" s="52">
        <v>204.81</v>
      </c>
      <c r="HE135" s="52">
        <v>127.43</v>
      </c>
      <c r="HF135" s="52">
        <v>141.12</v>
      </c>
      <c r="HG135" s="52">
        <v>179.06</v>
      </c>
      <c r="HH135" s="52">
        <v>197.68</v>
      </c>
      <c r="HI135" s="52">
        <v>109.37</v>
      </c>
      <c r="HJ135" s="52">
        <v>177.78</v>
      </c>
      <c r="HK135" s="52">
        <v>351.95</v>
      </c>
      <c r="HL135" s="52">
        <v>199.27</v>
      </c>
      <c r="HM135" s="52">
        <v>251.14</v>
      </c>
      <c r="HN135" s="52">
        <v>261.19</v>
      </c>
      <c r="HO135" s="52">
        <v>223.71</v>
      </c>
      <c r="HP135" s="52">
        <v>260.08999999999997</v>
      </c>
      <c r="HQ135" s="52">
        <v>152.47999999999999</v>
      </c>
      <c r="HR135" s="52">
        <v>237.31</v>
      </c>
      <c r="HS135" s="52">
        <v>407.53</v>
      </c>
      <c r="HT135" s="52">
        <v>246.44</v>
      </c>
      <c r="HU135" s="52">
        <v>106.43</v>
      </c>
      <c r="HV135" s="52">
        <v>177.03</v>
      </c>
      <c r="HW135" s="52">
        <v>121.97</v>
      </c>
      <c r="HX135" s="52">
        <v>115.77</v>
      </c>
      <c r="HY135" s="52">
        <v>216.08</v>
      </c>
      <c r="HZ135" s="52">
        <v>201.8</v>
      </c>
      <c r="IA135" s="52">
        <v>108.98</v>
      </c>
      <c r="IB135" s="52">
        <v>257.29000000000002</v>
      </c>
      <c r="IC135" s="52">
        <v>169.57</v>
      </c>
      <c r="ID135" s="52">
        <v>192.86</v>
      </c>
      <c r="IE135" s="52">
        <v>156.36000000000001</v>
      </c>
      <c r="IF135" s="52">
        <v>210.32</v>
      </c>
      <c r="IG135" s="52">
        <v>244.52</v>
      </c>
      <c r="IH135" s="52">
        <v>238.55</v>
      </c>
      <c r="II135" s="52">
        <v>353.91</v>
      </c>
      <c r="IJ135" s="52">
        <v>405.87</v>
      </c>
      <c r="IK135" s="52">
        <v>311.43</v>
      </c>
      <c r="IL135" s="52">
        <v>220.34</v>
      </c>
      <c r="IM135" s="52">
        <v>318.35000000000002</v>
      </c>
      <c r="IN135" s="52">
        <v>292.92</v>
      </c>
      <c r="IO135" s="52">
        <v>258.49</v>
      </c>
      <c r="IP135" s="52">
        <v>179.3</v>
      </c>
      <c r="IQ135" s="52">
        <v>251.41</v>
      </c>
      <c r="IR135" s="52">
        <v>359.09</v>
      </c>
      <c r="IS135" s="52">
        <v>319.93</v>
      </c>
      <c r="IT135" s="52">
        <v>40.49</v>
      </c>
      <c r="IU135" s="52">
        <v>144.24</v>
      </c>
      <c r="IV135" s="52">
        <v>38.15</v>
      </c>
      <c r="IW135" s="52">
        <v>96.85</v>
      </c>
      <c r="IX135" s="52">
        <v>166.32</v>
      </c>
      <c r="IY135" s="52">
        <v>230.03</v>
      </c>
      <c r="IZ135" s="52">
        <v>349.69</v>
      </c>
      <c r="JA135" s="52">
        <v>250.45</v>
      </c>
      <c r="JB135" s="52"/>
      <c r="JC135" s="52">
        <v>256.64999999999998</v>
      </c>
      <c r="JD135" s="52">
        <v>319.97000000000003</v>
      </c>
      <c r="JE135" s="52">
        <v>259.70999999999998</v>
      </c>
      <c r="JF135" s="52">
        <v>222.24</v>
      </c>
      <c r="JG135" s="52">
        <v>277.5</v>
      </c>
      <c r="JH135" s="52">
        <v>414.43</v>
      </c>
      <c r="JI135" s="52">
        <v>279.39999999999998</v>
      </c>
      <c r="JJ135" s="52">
        <v>241.78</v>
      </c>
      <c r="JK135" s="52">
        <v>372.95</v>
      </c>
      <c r="JL135" s="52">
        <v>336.6</v>
      </c>
      <c r="JM135" s="52">
        <v>306.48</v>
      </c>
      <c r="JN135" s="52">
        <v>229.52</v>
      </c>
      <c r="JO135" s="52">
        <v>206.69</v>
      </c>
      <c r="JP135" s="52">
        <v>417.16</v>
      </c>
      <c r="JQ135" s="52">
        <v>356.67</v>
      </c>
      <c r="JR135" s="52">
        <v>277.85000000000002</v>
      </c>
      <c r="JS135" s="52">
        <v>346.01</v>
      </c>
      <c r="JT135" s="52">
        <v>353.26</v>
      </c>
      <c r="JU135" s="52">
        <v>277.92</v>
      </c>
      <c r="JV135" s="52">
        <v>149.04</v>
      </c>
      <c r="JW135" s="52">
        <v>189.91</v>
      </c>
      <c r="JX135" s="52">
        <v>605.82000000000005</v>
      </c>
      <c r="JY135" s="52">
        <v>359.37</v>
      </c>
      <c r="JZ135" s="52">
        <v>299.72000000000003</v>
      </c>
      <c r="KA135" s="52">
        <v>316.11</v>
      </c>
      <c r="KB135" s="52">
        <v>246.42</v>
      </c>
      <c r="KC135" s="52">
        <v>276.61</v>
      </c>
      <c r="KD135" s="52">
        <v>391.19</v>
      </c>
      <c r="KE135" s="52">
        <v>338.27</v>
      </c>
      <c r="KF135" s="52">
        <v>347.43</v>
      </c>
    </row>
    <row r="136" spans="1:292" s="41" customFormat="1" ht="12">
      <c r="A136" s="41">
        <v>2015</v>
      </c>
      <c r="B136" s="54" t="s">
        <v>997</v>
      </c>
      <c r="C136" s="50" t="s">
        <v>998</v>
      </c>
      <c r="D136" s="56">
        <v>268.98</v>
      </c>
      <c r="E136" s="56">
        <v>298.57</v>
      </c>
      <c r="F136" s="56">
        <v>436.85</v>
      </c>
      <c r="G136" s="56">
        <v>194.6</v>
      </c>
      <c r="H136" s="56">
        <v>305.97000000000003</v>
      </c>
      <c r="I136" s="56">
        <v>214.82</v>
      </c>
      <c r="J136" s="56">
        <v>158.96</v>
      </c>
      <c r="K136" s="56">
        <v>247.27</v>
      </c>
      <c r="L136" s="56">
        <v>129.09</v>
      </c>
      <c r="M136" s="56">
        <v>194.67</v>
      </c>
      <c r="N136" s="56">
        <v>268.11</v>
      </c>
      <c r="O136" s="56">
        <v>397.2</v>
      </c>
      <c r="P136" s="56">
        <v>312.89</v>
      </c>
      <c r="Q136" s="56">
        <v>301.8</v>
      </c>
      <c r="R136" s="56">
        <v>254.54</v>
      </c>
      <c r="S136" s="56">
        <v>488.41</v>
      </c>
      <c r="T136" s="56">
        <v>432.97</v>
      </c>
      <c r="U136" s="56">
        <v>188.12</v>
      </c>
      <c r="V136" s="56">
        <v>213.59</v>
      </c>
      <c r="W136" s="56">
        <v>363.26</v>
      </c>
      <c r="X136" s="56">
        <v>223.21</v>
      </c>
      <c r="Y136" s="56">
        <v>285.83</v>
      </c>
      <c r="Z136" s="56">
        <v>302.43</v>
      </c>
      <c r="AA136" s="56">
        <v>250.21</v>
      </c>
      <c r="AB136" s="56">
        <v>206.76</v>
      </c>
      <c r="AC136" s="56">
        <v>166.84</v>
      </c>
      <c r="AD136" s="56">
        <v>234.86</v>
      </c>
      <c r="AE136" s="56">
        <v>248.31</v>
      </c>
      <c r="AF136" s="56">
        <v>209.37</v>
      </c>
      <c r="AG136" s="56">
        <v>109.62</v>
      </c>
      <c r="AH136" s="56">
        <v>191.68</v>
      </c>
      <c r="AI136" s="56">
        <v>259.76</v>
      </c>
      <c r="AJ136" s="56">
        <v>186.92</v>
      </c>
      <c r="AK136" s="56">
        <v>257.41000000000003</v>
      </c>
      <c r="AL136" s="56">
        <v>298.5</v>
      </c>
      <c r="AM136" s="56">
        <v>355.48</v>
      </c>
      <c r="AN136" s="56">
        <v>40.92</v>
      </c>
      <c r="AO136" s="56">
        <v>144.59</v>
      </c>
      <c r="AP136" s="56">
        <v>65.010000000000005</v>
      </c>
      <c r="AQ136" s="56">
        <v>231.18</v>
      </c>
      <c r="AR136" s="56">
        <v>319.07</v>
      </c>
      <c r="AS136" s="56">
        <v>273.91000000000003</v>
      </c>
      <c r="AT136" s="56">
        <v>316.45999999999998</v>
      </c>
      <c r="AU136" s="56">
        <v>351.69</v>
      </c>
      <c r="AV136" s="56">
        <v>337.1</v>
      </c>
      <c r="AW136" s="56">
        <v>306.66000000000003</v>
      </c>
      <c r="AX136" s="56">
        <v>229.52</v>
      </c>
      <c r="AY136" s="56">
        <v>207.75</v>
      </c>
      <c r="AZ136" s="56">
        <v>401.02</v>
      </c>
      <c r="BA136" s="56">
        <v>299.49</v>
      </c>
      <c r="BB136" s="56">
        <v>218.58</v>
      </c>
      <c r="BC136" s="56">
        <v>517.21</v>
      </c>
      <c r="BD136" s="56">
        <v>316.2</v>
      </c>
      <c r="BE136" s="56">
        <v>388.38</v>
      </c>
      <c r="BF136" s="56">
        <v>338.27</v>
      </c>
      <c r="BG136" s="56">
        <v>347.63</v>
      </c>
      <c r="BH136" s="52">
        <v>299.27999999999997</v>
      </c>
      <c r="BI136" s="52">
        <v>323.02999999999997</v>
      </c>
      <c r="BJ136" s="52">
        <v>267.14999999999998</v>
      </c>
      <c r="BK136" s="52">
        <v>275.14999999999998</v>
      </c>
      <c r="BL136" s="52">
        <v>280.85000000000002</v>
      </c>
      <c r="BM136" s="52">
        <v>263.33999999999997</v>
      </c>
      <c r="BN136" s="52">
        <v>346.17</v>
      </c>
      <c r="BO136" s="52">
        <v>237.63</v>
      </c>
      <c r="BP136" s="52">
        <v>305.17</v>
      </c>
      <c r="BQ136" s="52">
        <v>316.74</v>
      </c>
      <c r="BR136" s="52">
        <v>211.07</v>
      </c>
      <c r="BS136" s="52">
        <v>528.13</v>
      </c>
      <c r="BT136" s="52">
        <v>301.51</v>
      </c>
      <c r="BU136" s="52">
        <v>462.79</v>
      </c>
      <c r="BV136" s="52">
        <v>432.97</v>
      </c>
      <c r="BW136" s="52">
        <v>186.03</v>
      </c>
      <c r="BX136" s="52">
        <v>204.15</v>
      </c>
      <c r="BY136" s="52">
        <v>273.69</v>
      </c>
      <c r="BZ136" s="52">
        <v>213</v>
      </c>
      <c r="CA136" s="52">
        <v>311.81</v>
      </c>
      <c r="CB136" s="53">
        <v>363.26</v>
      </c>
      <c r="CC136" s="52">
        <v>223.21</v>
      </c>
      <c r="CD136" s="52">
        <v>284.74</v>
      </c>
      <c r="CE136" s="52">
        <v>254.25</v>
      </c>
      <c r="CF136" s="52">
        <v>332.03</v>
      </c>
      <c r="CG136" s="52">
        <v>304.99</v>
      </c>
      <c r="CH136" s="52">
        <v>255.9</v>
      </c>
      <c r="CI136" s="52">
        <v>236.76</v>
      </c>
      <c r="CJ136" s="52">
        <v>206.76</v>
      </c>
      <c r="CK136" s="52">
        <v>151.58000000000001</v>
      </c>
      <c r="CL136" s="52">
        <v>178.74</v>
      </c>
      <c r="CM136" s="52">
        <v>354.36</v>
      </c>
      <c r="CN136" s="52">
        <v>234.86</v>
      </c>
      <c r="CO136" s="52">
        <v>248.31</v>
      </c>
      <c r="CP136" s="52">
        <v>162.77000000000001</v>
      </c>
      <c r="CQ136" s="52">
        <v>404.2</v>
      </c>
      <c r="CR136" s="52">
        <v>106.43</v>
      </c>
      <c r="CS136" s="52">
        <v>177.37</v>
      </c>
      <c r="CT136" s="52">
        <v>122.99</v>
      </c>
      <c r="CU136" s="52">
        <v>216.15</v>
      </c>
      <c r="CV136" s="52">
        <v>202.07</v>
      </c>
      <c r="CW136" s="52">
        <v>119.69</v>
      </c>
      <c r="CX136" s="52">
        <v>259.76</v>
      </c>
      <c r="CY136" s="52">
        <v>187.19</v>
      </c>
      <c r="CZ136" s="52">
        <v>157.03</v>
      </c>
      <c r="DA136" s="52">
        <v>210.2</v>
      </c>
      <c r="DB136" s="52">
        <v>249.03</v>
      </c>
      <c r="DC136" s="52">
        <v>233.88</v>
      </c>
      <c r="DD136" s="52">
        <v>353.11</v>
      </c>
      <c r="DE136" s="52">
        <v>406.97</v>
      </c>
      <c r="DF136" s="52">
        <v>276.68</v>
      </c>
      <c r="DG136" s="52">
        <v>304.43</v>
      </c>
      <c r="DH136" s="52">
        <v>168.57</v>
      </c>
      <c r="DI136" s="52">
        <v>251.41</v>
      </c>
      <c r="DJ136" s="52">
        <v>361.52</v>
      </c>
      <c r="DK136" s="52">
        <v>355.48</v>
      </c>
      <c r="DL136" s="52">
        <v>40.92</v>
      </c>
      <c r="DM136" s="52">
        <v>144.59</v>
      </c>
      <c r="DN136" s="52">
        <v>38.29</v>
      </c>
      <c r="DO136" s="52">
        <v>97.41</v>
      </c>
      <c r="DP136" s="52">
        <v>166.29</v>
      </c>
      <c r="DQ136" s="52">
        <v>231.18</v>
      </c>
      <c r="DR136" s="52">
        <v>345.48</v>
      </c>
      <c r="DS136" s="52">
        <v>254.3</v>
      </c>
      <c r="DT136" s="52"/>
      <c r="DU136" s="52">
        <v>257.49</v>
      </c>
      <c r="DV136" s="52">
        <v>323.72000000000003</v>
      </c>
      <c r="DW136" s="52">
        <v>230.99</v>
      </c>
      <c r="DX136" s="52">
        <v>277.5</v>
      </c>
      <c r="DY136" s="52">
        <v>416.64</v>
      </c>
      <c r="DZ136" s="52">
        <v>279.39999999999998</v>
      </c>
      <c r="EA136" s="52">
        <v>243.47</v>
      </c>
      <c r="EB136" s="52">
        <v>351.69</v>
      </c>
      <c r="EC136" s="52">
        <v>337.1</v>
      </c>
      <c r="ED136" s="52">
        <v>306.66000000000003</v>
      </c>
      <c r="EE136" s="52">
        <v>229.52</v>
      </c>
      <c r="EF136" s="52">
        <v>207.75</v>
      </c>
      <c r="EG136" s="52">
        <v>401.02</v>
      </c>
      <c r="EH136" s="52">
        <v>299.49</v>
      </c>
      <c r="EI136" s="52">
        <v>316.55</v>
      </c>
      <c r="EJ136" s="52">
        <v>148.47</v>
      </c>
      <c r="EK136" s="52">
        <v>191.59</v>
      </c>
      <c r="EL136" s="52">
        <v>560.5</v>
      </c>
      <c r="EM136" s="52">
        <v>343.76</v>
      </c>
      <c r="EN136" s="52">
        <v>316.2</v>
      </c>
      <c r="EO136" s="52">
        <v>245.55</v>
      </c>
      <c r="EP136" s="52">
        <v>278.14</v>
      </c>
      <c r="EQ136" s="52">
        <v>423.34</v>
      </c>
      <c r="ER136" s="52">
        <v>338.27</v>
      </c>
      <c r="ES136" s="52">
        <v>347.63</v>
      </c>
      <c r="ET136" s="52">
        <v>331.68</v>
      </c>
      <c r="EU136" s="52">
        <v>270.95999999999998</v>
      </c>
      <c r="EV136" s="52">
        <v>315.25</v>
      </c>
      <c r="EW136" s="52">
        <v>265.82</v>
      </c>
      <c r="EX136" s="52">
        <v>290.10000000000002</v>
      </c>
      <c r="EY136" s="52">
        <v>187.27</v>
      </c>
      <c r="EZ136" s="52">
        <v>366.19</v>
      </c>
      <c r="FA136" s="52">
        <v>331.3</v>
      </c>
      <c r="FB136" s="52">
        <v>227.88</v>
      </c>
      <c r="FC136" s="52">
        <v>370.96</v>
      </c>
      <c r="FD136" s="52">
        <v>295.51</v>
      </c>
      <c r="FE136" s="52">
        <v>267.14999999999998</v>
      </c>
      <c r="FF136" s="52"/>
      <c r="FG136" s="52">
        <v>213.96</v>
      </c>
      <c r="FH136" s="52">
        <v>221.08</v>
      </c>
      <c r="FI136" s="52">
        <v>300.24</v>
      </c>
      <c r="FJ136" s="52">
        <v>382.61</v>
      </c>
      <c r="FK136" s="52">
        <v>387.83</v>
      </c>
      <c r="FL136" s="52">
        <v>190.56</v>
      </c>
      <c r="FM136" s="52">
        <v>280.66000000000003</v>
      </c>
      <c r="FN136" s="52">
        <v>217.65</v>
      </c>
      <c r="FO136" s="52">
        <v>507.87</v>
      </c>
      <c r="FP136" s="52">
        <v>343.71</v>
      </c>
      <c r="FQ136" s="52">
        <v>298.87</v>
      </c>
      <c r="FR136" s="52">
        <v>456.73</v>
      </c>
      <c r="FS136" s="52">
        <v>308.14</v>
      </c>
      <c r="FT136" s="52">
        <v>219.1</v>
      </c>
      <c r="FU136" s="52">
        <v>331.09</v>
      </c>
      <c r="FV136" s="52">
        <v>237.42</v>
      </c>
      <c r="FW136" s="52">
        <v>175.18</v>
      </c>
      <c r="FX136" s="52">
        <v>305.17</v>
      </c>
      <c r="FY136" s="52">
        <v>312.19</v>
      </c>
      <c r="FZ136" s="52">
        <v>318.82</v>
      </c>
      <c r="GA136" s="52">
        <v>233.91</v>
      </c>
      <c r="GB136" s="52">
        <v>224.66</v>
      </c>
      <c r="GC136" s="52">
        <v>206.14</v>
      </c>
      <c r="GD136" s="52">
        <v>191.85</v>
      </c>
      <c r="GE136" s="52">
        <v>528.13</v>
      </c>
      <c r="GF136" s="52">
        <v>301.51</v>
      </c>
      <c r="GG136" s="52">
        <v>462.79</v>
      </c>
      <c r="GH136" s="52">
        <v>432.25</v>
      </c>
      <c r="GI136" s="52">
        <v>195.78</v>
      </c>
      <c r="GJ136" s="52">
        <v>182.21</v>
      </c>
      <c r="GK136" s="52">
        <v>170.55</v>
      </c>
      <c r="GL136" s="52">
        <v>224.03</v>
      </c>
      <c r="GM136" s="52">
        <v>204.15</v>
      </c>
      <c r="GN136" s="52">
        <v>273.69</v>
      </c>
      <c r="GO136" s="52">
        <v>213.81</v>
      </c>
      <c r="GP136" s="52">
        <v>211.48</v>
      </c>
      <c r="GQ136" s="52">
        <v>214.48</v>
      </c>
      <c r="GR136" s="52">
        <v>311.81</v>
      </c>
      <c r="GS136" s="52">
        <v>363.26</v>
      </c>
      <c r="GT136" s="52">
        <v>223.21</v>
      </c>
      <c r="GU136" s="52">
        <v>284.74</v>
      </c>
      <c r="GV136" s="52">
        <v>254.25</v>
      </c>
      <c r="GW136" s="52">
        <v>323.23</v>
      </c>
      <c r="GX136" s="52">
        <v>310.12</v>
      </c>
      <c r="GY136" s="52">
        <v>304.99</v>
      </c>
      <c r="GZ136" s="52">
        <v>306.95</v>
      </c>
      <c r="HA136" s="52">
        <v>235.62</v>
      </c>
      <c r="HB136" s="52">
        <v>261.82</v>
      </c>
      <c r="HC136" s="52">
        <v>236.76</v>
      </c>
      <c r="HD136" s="52">
        <v>206.76</v>
      </c>
      <c r="HE136" s="52">
        <v>127.57</v>
      </c>
      <c r="HF136" s="52">
        <v>141.16999999999999</v>
      </c>
      <c r="HG136" s="52">
        <v>179.75</v>
      </c>
      <c r="HH136" s="52">
        <v>198.44</v>
      </c>
      <c r="HI136" s="52">
        <v>109.51</v>
      </c>
      <c r="HJ136" s="52">
        <v>178.74</v>
      </c>
      <c r="HK136" s="52">
        <v>354.36</v>
      </c>
      <c r="HL136" s="52">
        <v>200.38</v>
      </c>
      <c r="HM136" s="52">
        <v>253.79</v>
      </c>
      <c r="HN136" s="52">
        <v>263.14</v>
      </c>
      <c r="HO136" s="52">
        <v>226.98</v>
      </c>
      <c r="HP136" s="52">
        <v>262.10000000000002</v>
      </c>
      <c r="HQ136" s="52">
        <v>152.55000000000001</v>
      </c>
      <c r="HR136" s="52">
        <v>238.4</v>
      </c>
      <c r="HS136" s="52">
        <v>412.12</v>
      </c>
      <c r="HT136" s="52">
        <v>246.41</v>
      </c>
      <c r="HU136" s="52">
        <v>106.43</v>
      </c>
      <c r="HV136" s="52">
        <v>177.37</v>
      </c>
      <c r="HW136" s="52">
        <v>122.08</v>
      </c>
      <c r="HX136" s="52">
        <v>116.25</v>
      </c>
      <c r="HY136" s="52">
        <v>216.15</v>
      </c>
      <c r="HZ136" s="52">
        <v>202.07</v>
      </c>
      <c r="IA136" s="52">
        <v>109.34</v>
      </c>
      <c r="IB136" s="52">
        <v>259.76</v>
      </c>
      <c r="IC136" s="52">
        <v>169.44</v>
      </c>
      <c r="ID136" s="52">
        <v>191.47</v>
      </c>
      <c r="IE136" s="52">
        <v>157.03</v>
      </c>
      <c r="IF136" s="52">
        <v>210.2</v>
      </c>
      <c r="IG136" s="52">
        <v>249.03</v>
      </c>
      <c r="IH136" s="52">
        <v>233.88</v>
      </c>
      <c r="II136" s="52">
        <v>353.11</v>
      </c>
      <c r="IJ136" s="52">
        <v>406.97</v>
      </c>
      <c r="IK136" s="52">
        <v>311.43</v>
      </c>
      <c r="IL136" s="52">
        <v>220.34</v>
      </c>
      <c r="IM136" s="52">
        <v>318.66000000000003</v>
      </c>
      <c r="IN136" s="52">
        <v>293.60000000000002</v>
      </c>
      <c r="IO136" s="52">
        <v>254.36</v>
      </c>
      <c r="IP136" s="52">
        <v>168.57</v>
      </c>
      <c r="IQ136" s="52">
        <v>251.41</v>
      </c>
      <c r="IR136" s="52">
        <v>361.52</v>
      </c>
      <c r="IS136" s="52">
        <v>355.48</v>
      </c>
      <c r="IT136" s="52">
        <v>40.92</v>
      </c>
      <c r="IU136" s="52">
        <v>144.59</v>
      </c>
      <c r="IV136" s="52">
        <v>38.31</v>
      </c>
      <c r="IW136" s="52">
        <v>97.41</v>
      </c>
      <c r="IX136" s="52">
        <v>166.29</v>
      </c>
      <c r="IY136" s="52">
        <v>231.18</v>
      </c>
      <c r="IZ136" s="52">
        <v>345.48</v>
      </c>
      <c r="JA136" s="52">
        <v>254.3</v>
      </c>
      <c r="JB136" s="52"/>
      <c r="JC136" s="52">
        <v>257.49</v>
      </c>
      <c r="JD136" s="52">
        <v>323.72000000000003</v>
      </c>
      <c r="JE136" s="52">
        <v>261.25</v>
      </c>
      <c r="JF136" s="52">
        <v>222.72</v>
      </c>
      <c r="JG136" s="52">
        <v>277.5</v>
      </c>
      <c r="JH136" s="52">
        <v>416.64</v>
      </c>
      <c r="JI136" s="52">
        <v>279.39999999999998</v>
      </c>
      <c r="JJ136" s="52">
        <v>243.47</v>
      </c>
      <c r="JK136" s="52">
        <v>351.69</v>
      </c>
      <c r="JL136" s="52">
        <v>337.1</v>
      </c>
      <c r="JM136" s="52">
        <v>306.66000000000003</v>
      </c>
      <c r="JN136" s="52">
        <v>229.52</v>
      </c>
      <c r="JO136" s="52">
        <v>207.75</v>
      </c>
      <c r="JP136" s="52">
        <v>419.15</v>
      </c>
      <c r="JQ136" s="52">
        <v>359.68</v>
      </c>
      <c r="JR136" s="52">
        <v>271.61</v>
      </c>
      <c r="JS136" s="52">
        <v>346.32</v>
      </c>
      <c r="JT136" s="52">
        <v>354.68</v>
      </c>
      <c r="JU136" s="52">
        <v>279.68</v>
      </c>
      <c r="JV136" s="52">
        <v>148.47</v>
      </c>
      <c r="JW136" s="52">
        <v>191.59</v>
      </c>
      <c r="JX136" s="52">
        <v>560.5</v>
      </c>
      <c r="JY136" s="52">
        <v>364.77</v>
      </c>
      <c r="JZ136" s="52">
        <v>305.86</v>
      </c>
      <c r="KA136" s="52">
        <v>316.2</v>
      </c>
      <c r="KB136" s="52">
        <v>245.55</v>
      </c>
      <c r="KC136" s="52">
        <v>278.14</v>
      </c>
      <c r="KD136" s="52">
        <v>423.34</v>
      </c>
      <c r="KE136" s="52">
        <v>338.27</v>
      </c>
      <c r="KF136" s="52">
        <v>347.63</v>
      </c>
    </row>
    <row r="137" spans="1:292" s="41" customFormat="1" ht="12">
      <c r="A137" s="41">
        <v>2015</v>
      </c>
      <c r="B137" s="54" t="s">
        <v>999</v>
      </c>
      <c r="C137" s="50" t="s">
        <v>1000</v>
      </c>
      <c r="D137" s="56">
        <v>269.54000000000002</v>
      </c>
      <c r="E137" s="56">
        <v>302.27</v>
      </c>
      <c r="F137" s="56">
        <v>436.87</v>
      </c>
      <c r="G137" s="56">
        <v>190.75</v>
      </c>
      <c r="H137" s="56">
        <v>307.27999999999997</v>
      </c>
      <c r="I137" s="56">
        <v>215.96</v>
      </c>
      <c r="J137" s="56">
        <v>159.18</v>
      </c>
      <c r="K137" s="56">
        <v>245.87</v>
      </c>
      <c r="L137" s="56">
        <v>128.81</v>
      </c>
      <c r="M137" s="56">
        <v>194.34</v>
      </c>
      <c r="N137" s="56">
        <v>268.22000000000003</v>
      </c>
      <c r="O137" s="56">
        <v>398.51</v>
      </c>
      <c r="P137" s="56">
        <v>314.29000000000002</v>
      </c>
      <c r="Q137" s="56">
        <v>305.74</v>
      </c>
      <c r="R137" s="56">
        <v>255.53</v>
      </c>
      <c r="S137" s="56">
        <v>488.72</v>
      </c>
      <c r="T137" s="56">
        <v>432.97</v>
      </c>
      <c r="U137" s="56">
        <v>183.31</v>
      </c>
      <c r="V137" s="56">
        <v>213.34</v>
      </c>
      <c r="W137" s="56">
        <v>364.9</v>
      </c>
      <c r="X137" s="56">
        <v>224.72</v>
      </c>
      <c r="Y137" s="56">
        <v>288.43</v>
      </c>
      <c r="Z137" s="56">
        <v>302.92</v>
      </c>
      <c r="AA137" s="56">
        <v>249.68</v>
      </c>
      <c r="AB137" s="56">
        <v>207.5</v>
      </c>
      <c r="AC137" s="56">
        <v>168.33</v>
      </c>
      <c r="AD137" s="56">
        <v>236.32</v>
      </c>
      <c r="AE137" s="56">
        <v>251.59</v>
      </c>
      <c r="AF137" s="56">
        <v>211.73</v>
      </c>
      <c r="AG137" s="56">
        <v>109.56</v>
      </c>
      <c r="AH137" s="56">
        <v>192.21</v>
      </c>
      <c r="AI137" s="56">
        <v>260.07</v>
      </c>
      <c r="AJ137" s="56">
        <v>185.87</v>
      </c>
      <c r="AK137" s="56">
        <v>254.74</v>
      </c>
      <c r="AL137" s="56">
        <v>298.58</v>
      </c>
      <c r="AM137" s="56">
        <v>355.48</v>
      </c>
      <c r="AN137" s="56">
        <v>40.18</v>
      </c>
      <c r="AO137" s="56">
        <v>144.59</v>
      </c>
      <c r="AP137" s="56">
        <v>64.8</v>
      </c>
      <c r="AQ137" s="56">
        <v>232.12</v>
      </c>
      <c r="AR137" s="56">
        <v>319.08</v>
      </c>
      <c r="AS137" s="56">
        <v>272.49</v>
      </c>
      <c r="AT137" s="56">
        <v>317.02999999999997</v>
      </c>
      <c r="AU137" s="56">
        <v>352.3</v>
      </c>
      <c r="AV137" s="56">
        <v>337.44</v>
      </c>
      <c r="AW137" s="56">
        <v>306.67</v>
      </c>
      <c r="AX137" s="56">
        <v>229.52</v>
      </c>
      <c r="AY137" s="56">
        <v>207.78</v>
      </c>
      <c r="AZ137" s="56">
        <v>402.68</v>
      </c>
      <c r="BA137" s="56">
        <v>298.25</v>
      </c>
      <c r="BB137" s="56">
        <v>219.76</v>
      </c>
      <c r="BC137" s="56">
        <v>517.04999999999995</v>
      </c>
      <c r="BD137" s="56">
        <v>316.41000000000003</v>
      </c>
      <c r="BE137" s="56">
        <v>400.97</v>
      </c>
      <c r="BF137" s="56">
        <v>338.27</v>
      </c>
      <c r="BG137" s="56">
        <v>347.68</v>
      </c>
      <c r="BH137" s="52">
        <v>302.62</v>
      </c>
      <c r="BI137" s="52">
        <v>323.58999999999997</v>
      </c>
      <c r="BJ137" s="52">
        <v>280.52999999999997</v>
      </c>
      <c r="BK137" s="52">
        <v>276.5</v>
      </c>
      <c r="BL137" s="52">
        <v>285.20999999999998</v>
      </c>
      <c r="BM137" s="52">
        <v>256.60000000000002</v>
      </c>
      <c r="BN137" s="52">
        <v>365.97</v>
      </c>
      <c r="BO137" s="52">
        <v>239.7</v>
      </c>
      <c r="BP137" s="52">
        <v>308.69</v>
      </c>
      <c r="BQ137" s="52">
        <v>317.04000000000002</v>
      </c>
      <c r="BR137" s="52">
        <v>212.35</v>
      </c>
      <c r="BS137" s="52">
        <v>528.09</v>
      </c>
      <c r="BT137" s="52">
        <v>302.41000000000003</v>
      </c>
      <c r="BU137" s="52">
        <v>463.21</v>
      </c>
      <c r="BV137" s="52">
        <v>432.97</v>
      </c>
      <c r="BW137" s="52">
        <v>180.94</v>
      </c>
      <c r="BX137" s="52">
        <v>202.05</v>
      </c>
      <c r="BY137" s="52">
        <v>275.14999999999998</v>
      </c>
      <c r="BZ137" s="52">
        <v>212.73</v>
      </c>
      <c r="CA137" s="52">
        <v>312.8</v>
      </c>
      <c r="CB137" s="53">
        <v>364.9</v>
      </c>
      <c r="CC137" s="52">
        <v>224.72</v>
      </c>
      <c r="CD137" s="52">
        <v>287.33</v>
      </c>
      <c r="CE137" s="52">
        <v>254.25</v>
      </c>
      <c r="CF137" s="52">
        <v>332.39</v>
      </c>
      <c r="CG137" s="52">
        <v>306.87</v>
      </c>
      <c r="CH137" s="52">
        <v>255.09</v>
      </c>
      <c r="CI137" s="52">
        <v>238.54</v>
      </c>
      <c r="CJ137" s="52">
        <v>207.5</v>
      </c>
      <c r="CK137" s="52">
        <v>153.12</v>
      </c>
      <c r="CL137" s="52">
        <v>178.57</v>
      </c>
      <c r="CM137" s="52">
        <v>355.86</v>
      </c>
      <c r="CN137" s="52">
        <v>236.32</v>
      </c>
      <c r="CO137" s="52">
        <v>251.59</v>
      </c>
      <c r="CP137" s="52">
        <v>165.44</v>
      </c>
      <c r="CQ137" s="52">
        <v>405.43</v>
      </c>
      <c r="CR137" s="52">
        <v>106.43</v>
      </c>
      <c r="CS137" s="52">
        <v>176.05</v>
      </c>
      <c r="CT137" s="52">
        <v>123.05</v>
      </c>
      <c r="CU137" s="52">
        <v>216.53</v>
      </c>
      <c r="CV137" s="52">
        <v>202.67</v>
      </c>
      <c r="CW137" s="52">
        <v>120.19</v>
      </c>
      <c r="CX137" s="52">
        <v>260.07</v>
      </c>
      <c r="CY137" s="52">
        <v>186.06</v>
      </c>
      <c r="CZ137" s="52">
        <v>157.57</v>
      </c>
      <c r="DA137" s="52">
        <v>211.2</v>
      </c>
      <c r="DB137" s="52">
        <v>250.3</v>
      </c>
      <c r="DC137" s="52">
        <v>230.26</v>
      </c>
      <c r="DD137" s="52">
        <v>354.53</v>
      </c>
      <c r="DE137" s="52">
        <v>407.22</v>
      </c>
      <c r="DF137" s="52">
        <v>276.68</v>
      </c>
      <c r="DG137" s="52">
        <v>304.27</v>
      </c>
      <c r="DH137" s="52">
        <v>169.26</v>
      </c>
      <c r="DI137" s="52">
        <v>251.41</v>
      </c>
      <c r="DJ137" s="52">
        <v>367.21</v>
      </c>
      <c r="DK137" s="52">
        <v>355.48</v>
      </c>
      <c r="DL137" s="52">
        <v>40.18</v>
      </c>
      <c r="DM137" s="52">
        <v>144.59</v>
      </c>
      <c r="DN137" s="52">
        <v>38.229999999999997</v>
      </c>
      <c r="DO137" s="52">
        <v>96.64</v>
      </c>
      <c r="DP137" s="52">
        <v>166.33</v>
      </c>
      <c r="DQ137" s="52">
        <v>232.12</v>
      </c>
      <c r="DR137" s="52">
        <v>344.68</v>
      </c>
      <c r="DS137" s="52">
        <v>255.95</v>
      </c>
      <c r="DT137" s="52"/>
      <c r="DU137" s="52">
        <v>257.58</v>
      </c>
      <c r="DV137" s="52">
        <v>319.91000000000003</v>
      </c>
      <c r="DW137" s="52">
        <v>231.53</v>
      </c>
      <c r="DX137" s="52">
        <v>277.5</v>
      </c>
      <c r="DY137" s="52">
        <v>416.43</v>
      </c>
      <c r="DZ137" s="52">
        <v>280.13</v>
      </c>
      <c r="EA137" s="52">
        <v>244.59</v>
      </c>
      <c r="EB137" s="52">
        <v>352.3</v>
      </c>
      <c r="EC137" s="52">
        <v>337.44</v>
      </c>
      <c r="ED137" s="52">
        <v>306.67</v>
      </c>
      <c r="EE137" s="52">
        <v>229.52</v>
      </c>
      <c r="EF137" s="52">
        <v>207.78</v>
      </c>
      <c r="EG137" s="52">
        <v>402.68</v>
      </c>
      <c r="EH137" s="52">
        <v>298.25</v>
      </c>
      <c r="EI137" s="52">
        <v>317.74</v>
      </c>
      <c r="EJ137" s="52">
        <v>148.56</v>
      </c>
      <c r="EK137" s="52">
        <v>192.82</v>
      </c>
      <c r="EL137" s="52">
        <v>560.37</v>
      </c>
      <c r="EM137" s="52">
        <v>343.61</v>
      </c>
      <c r="EN137" s="52">
        <v>316.41000000000003</v>
      </c>
      <c r="EO137" s="52">
        <v>245.68</v>
      </c>
      <c r="EP137" s="52">
        <v>278.14</v>
      </c>
      <c r="EQ137" s="52">
        <v>440.67</v>
      </c>
      <c r="ER137" s="52">
        <v>338.27</v>
      </c>
      <c r="ES137" s="52">
        <v>347.68</v>
      </c>
      <c r="ET137" s="52">
        <v>333.51</v>
      </c>
      <c r="EU137" s="52">
        <v>274.13</v>
      </c>
      <c r="EV137" s="52">
        <v>319.99</v>
      </c>
      <c r="EW137" s="52">
        <v>268.64</v>
      </c>
      <c r="EX137" s="52">
        <v>282.31</v>
      </c>
      <c r="EY137" s="52">
        <v>188.68</v>
      </c>
      <c r="EZ137" s="52">
        <v>364.42</v>
      </c>
      <c r="FA137" s="52">
        <v>334.06</v>
      </c>
      <c r="FB137" s="52">
        <v>230.76</v>
      </c>
      <c r="FC137" s="52">
        <v>384.94</v>
      </c>
      <c r="FD137" s="52">
        <v>295.51</v>
      </c>
      <c r="FE137" s="52">
        <v>280.52999999999997</v>
      </c>
      <c r="FF137" s="52"/>
      <c r="FG137" s="52">
        <v>215.73</v>
      </c>
      <c r="FH137" s="52">
        <v>220.8</v>
      </c>
      <c r="FI137" s="52">
        <v>300.51</v>
      </c>
      <c r="FJ137" s="52">
        <v>388.65</v>
      </c>
      <c r="FK137" s="52">
        <v>391.86</v>
      </c>
      <c r="FL137" s="52">
        <v>193.21</v>
      </c>
      <c r="FM137" s="52">
        <v>285.36</v>
      </c>
      <c r="FN137" s="52">
        <v>208.81</v>
      </c>
      <c r="FO137" s="52">
        <v>510.61</v>
      </c>
      <c r="FP137" s="52">
        <v>374.9</v>
      </c>
      <c r="FQ137" s="52">
        <v>287.83999999999997</v>
      </c>
      <c r="FR137" s="52">
        <v>467.86</v>
      </c>
      <c r="FS137" s="52">
        <v>308.7</v>
      </c>
      <c r="FT137" s="52">
        <v>220.03</v>
      </c>
      <c r="FU137" s="52">
        <v>334.31</v>
      </c>
      <c r="FV137" s="52">
        <v>240.57</v>
      </c>
      <c r="FW137" s="52">
        <v>176.51</v>
      </c>
      <c r="FX137" s="52">
        <v>308.69</v>
      </c>
      <c r="FY137" s="52">
        <v>313.18</v>
      </c>
      <c r="FZ137" s="52">
        <v>318.94</v>
      </c>
      <c r="GA137" s="52">
        <v>236.7</v>
      </c>
      <c r="GB137" s="52">
        <v>225.08</v>
      </c>
      <c r="GC137" s="52">
        <v>207.9</v>
      </c>
      <c r="GD137" s="52">
        <v>193.91</v>
      </c>
      <c r="GE137" s="52">
        <v>528.09</v>
      </c>
      <c r="GF137" s="52">
        <v>302.41000000000003</v>
      </c>
      <c r="GG137" s="52">
        <v>463.21</v>
      </c>
      <c r="GH137" s="52">
        <v>432.25</v>
      </c>
      <c r="GI137" s="52">
        <v>191.19</v>
      </c>
      <c r="GJ137" s="52">
        <v>175.64</v>
      </c>
      <c r="GK137" s="52">
        <v>168.16</v>
      </c>
      <c r="GL137" s="52">
        <v>222.66</v>
      </c>
      <c r="GM137" s="52">
        <v>202.05</v>
      </c>
      <c r="GN137" s="52">
        <v>275.14999999999998</v>
      </c>
      <c r="GO137" s="52">
        <v>214.04</v>
      </c>
      <c r="GP137" s="52">
        <v>210.72</v>
      </c>
      <c r="GQ137" s="52">
        <v>214.1</v>
      </c>
      <c r="GR137" s="52">
        <v>312.8</v>
      </c>
      <c r="GS137" s="52">
        <v>364.9</v>
      </c>
      <c r="GT137" s="52">
        <v>224.72</v>
      </c>
      <c r="GU137" s="52">
        <v>287.33</v>
      </c>
      <c r="GV137" s="52">
        <v>254.25</v>
      </c>
      <c r="GW137" s="52">
        <v>322.92</v>
      </c>
      <c r="GX137" s="52">
        <v>311.64</v>
      </c>
      <c r="GY137" s="52">
        <v>306.87</v>
      </c>
      <c r="GZ137" s="52">
        <v>309.08</v>
      </c>
      <c r="HA137" s="52">
        <v>236.18</v>
      </c>
      <c r="HB137" s="52">
        <v>259.05</v>
      </c>
      <c r="HC137" s="52">
        <v>238.54</v>
      </c>
      <c r="HD137" s="52">
        <v>207.5</v>
      </c>
      <c r="HE137" s="52">
        <v>129.28</v>
      </c>
      <c r="HF137" s="52">
        <v>140.69999999999999</v>
      </c>
      <c r="HG137" s="52">
        <v>180.16</v>
      </c>
      <c r="HH137" s="52">
        <v>204.14</v>
      </c>
      <c r="HI137" s="52">
        <v>109.87</v>
      </c>
      <c r="HJ137" s="52">
        <v>178.57</v>
      </c>
      <c r="HK137" s="52">
        <v>355.86</v>
      </c>
      <c r="HL137" s="52">
        <v>201.62</v>
      </c>
      <c r="HM137" s="52">
        <v>256.58999999999997</v>
      </c>
      <c r="HN137" s="52">
        <v>264.58999999999997</v>
      </c>
      <c r="HO137" s="52">
        <v>231.43</v>
      </c>
      <c r="HP137" s="52">
        <v>263.26</v>
      </c>
      <c r="HQ137" s="52">
        <v>155.33000000000001</v>
      </c>
      <c r="HR137" s="52">
        <v>240.6</v>
      </c>
      <c r="HS137" s="52">
        <v>413.42</v>
      </c>
      <c r="HT137" s="52">
        <v>246.84</v>
      </c>
      <c r="HU137" s="52">
        <v>106.43</v>
      </c>
      <c r="HV137" s="52">
        <v>176.05</v>
      </c>
      <c r="HW137" s="52">
        <v>122.11</v>
      </c>
      <c r="HX137" s="52">
        <v>116.37</v>
      </c>
      <c r="HY137" s="52">
        <v>216.53</v>
      </c>
      <c r="HZ137" s="52">
        <v>202.67</v>
      </c>
      <c r="IA137" s="52">
        <v>109.79</v>
      </c>
      <c r="IB137" s="52">
        <v>260.07</v>
      </c>
      <c r="IC137" s="52">
        <v>168.88</v>
      </c>
      <c r="ID137" s="52">
        <v>189.46</v>
      </c>
      <c r="IE137" s="52">
        <v>157.57</v>
      </c>
      <c r="IF137" s="52">
        <v>211.2</v>
      </c>
      <c r="IG137" s="52">
        <v>250.3</v>
      </c>
      <c r="IH137" s="52">
        <v>230.26</v>
      </c>
      <c r="II137" s="52">
        <v>354.53</v>
      </c>
      <c r="IJ137" s="52">
        <v>407.22</v>
      </c>
      <c r="IK137" s="52">
        <v>311.43</v>
      </c>
      <c r="IL137" s="52">
        <v>220.34</v>
      </c>
      <c r="IM137" s="52">
        <v>319.29000000000002</v>
      </c>
      <c r="IN137" s="52">
        <v>293.58999999999997</v>
      </c>
      <c r="IO137" s="52">
        <v>252.09</v>
      </c>
      <c r="IP137" s="52">
        <v>169.26</v>
      </c>
      <c r="IQ137" s="52">
        <v>251.41</v>
      </c>
      <c r="IR137" s="52">
        <v>367.21</v>
      </c>
      <c r="IS137" s="52">
        <v>355.48</v>
      </c>
      <c r="IT137" s="52">
        <v>40.18</v>
      </c>
      <c r="IU137" s="52">
        <v>144.59</v>
      </c>
      <c r="IV137" s="52">
        <v>38.24</v>
      </c>
      <c r="IW137" s="52">
        <v>96.64</v>
      </c>
      <c r="IX137" s="52">
        <v>166.33</v>
      </c>
      <c r="IY137" s="52">
        <v>232.12</v>
      </c>
      <c r="IZ137" s="52">
        <v>344.68</v>
      </c>
      <c r="JA137" s="52">
        <v>255.95</v>
      </c>
      <c r="JB137" s="52"/>
      <c r="JC137" s="52">
        <v>257.58</v>
      </c>
      <c r="JD137" s="52">
        <v>319.91000000000003</v>
      </c>
      <c r="JE137" s="52">
        <v>262.33</v>
      </c>
      <c r="JF137" s="52">
        <v>223.17</v>
      </c>
      <c r="JG137" s="52">
        <v>277.5</v>
      </c>
      <c r="JH137" s="52">
        <v>416.43</v>
      </c>
      <c r="JI137" s="52">
        <v>280.13</v>
      </c>
      <c r="JJ137" s="52">
        <v>244.59</v>
      </c>
      <c r="JK137" s="52">
        <v>352.3</v>
      </c>
      <c r="JL137" s="52">
        <v>337.44</v>
      </c>
      <c r="JM137" s="52">
        <v>306.67</v>
      </c>
      <c r="JN137" s="52">
        <v>229.52</v>
      </c>
      <c r="JO137" s="52">
        <v>207.78</v>
      </c>
      <c r="JP137" s="52">
        <v>420.89</v>
      </c>
      <c r="JQ137" s="52">
        <v>361.17</v>
      </c>
      <c r="JR137" s="52">
        <v>269.95999999999998</v>
      </c>
      <c r="JS137" s="52">
        <v>346.33</v>
      </c>
      <c r="JT137" s="52">
        <v>356.44</v>
      </c>
      <c r="JU137" s="52">
        <v>280.38</v>
      </c>
      <c r="JV137" s="52">
        <v>148.56</v>
      </c>
      <c r="JW137" s="52">
        <v>192.82</v>
      </c>
      <c r="JX137" s="52">
        <v>560.37</v>
      </c>
      <c r="JY137" s="52">
        <v>363.52</v>
      </c>
      <c r="JZ137" s="52">
        <v>307.61</v>
      </c>
      <c r="KA137" s="52">
        <v>316.41000000000003</v>
      </c>
      <c r="KB137" s="52">
        <v>245.68</v>
      </c>
      <c r="KC137" s="52">
        <v>278.14</v>
      </c>
      <c r="KD137" s="52">
        <v>440.67</v>
      </c>
      <c r="KE137" s="52">
        <v>338.27</v>
      </c>
      <c r="KF137" s="52">
        <v>347.68</v>
      </c>
    </row>
    <row r="138" spans="1:292" s="41" customFormat="1" ht="12">
      <c r="A138" s="41">
        <v>2016</v>
      </c>
      <c r="B138" s="54" t="s">
        <v>977</v>
      </c>
      <c r="C138" s="50" t="s">
        <v>978</v>
      </c>
      <c r="D138" s="56">
        <v>274.44</v>
      </c>
      <c r="E138" s="56">
        <v>315.22000000000003</v>
      </c>
      <c r="F138" s="56">
        <v>478.81</v>
      </c>
      <c r="G138" s="56">
        <v>177.96</v>
      </c>
      <c r="H138" s="56">
        <v>312.52999999999997</v>
      </c>
      <c r="I138" s="56">
        <v>219.9</v>
      </c>
      <c r="J138" s="56">
        <v>163.03</v>
      </c>
      <c r="K138" s="56">
        <v>246.71</v>
      </c>
      <c r="L138" s="56">
        <v>128.87</v>
      </c>
      <c r="M138" s="56">
        <v>198.4</v>
      </c>
      <c r="N138" s="56">
        <v>268.44</v>
      </c>
      <c r="O138" s="56">
        <v>402.81</v>
      </c>
      <c r="P138" s="56">
        <v>322.82</v>
      </c>
      <c r="Q138" s="56">
        <v>319.69</v>
      </c>
      <c r="R138" s="56">
        <v>257.54000000000002</v>
      </c>
      <c r="S138" s="56">
        <v>541.07000000000005</v>
      </c>
      <c r="T138" s="56">
        <v>474.17</v>
      </c>
      <c r="U138" s="56">
        <v>170.6</v>
      </c>
      <c r="V138" s="56">
        <v>200.65</v>
      </c>
      <c r="W138" s="56">
        <v>367.72</v>
      </c>
      <c r="X138" s="56">
        <v>226.47</v>
      </c>
      <c r="Y138" s="56">
        <v>293.32</v>
      </c>
      <c r="Z138" s="56">
        <v>311.04000000000002</v>
      </c>
      <c r="AA138" s="56">
        <v>258.56</v>
      </c>
      <c r="AB138" s="56">
        <v>209.54</v>
      </c>
      <c r="AC138" s="56">
        <v>170.7</v>
      </c>
      <c r="AD138" s="56">
        <v>237.02</v>
      </c>
      <c r="AE138" s="56">
        <v>252.18</v>
      </c>
      <c r="AF138" s="56">
        <v>213.47</v>
      </c>
      <c r="AG138" s="56">
        <v>109.97</v>
      </c>
      <c r="AH138" s="56">
        <v>198.74</v>
      </c>
      <c r="AI138" s="56">
        <v>268.66000000000003</v>
      </c>
      <c r="AJ138" s="56">
        <v>188.76</v>
      </c>
      <c r="AK138" s="56">
        <v>252.83</v>
      </c>
      <c r="AL138" s="56">
        <v>299.77</v>
      </c>
      <c r="AM138" s="56">
        <v>355.48</v>
      </c>
      <c r="AN138" s="56">
        <v>40.32</v>
      </c>
      <c r="AO138" s="56">
        <v>144.59</v>
      </c>
      <c r="AP138" s="56">
        <v>66.489999999999995</v>
      </c>
      <c r="AQ138" s="56">
        <v>233.21</v>
      </c>
      <c r="AR138" s="56">
        <v>322.3</v>
      </c>
      <c r="AS138" s="56">
        <v>278.45</v>
      </c>
      <c r="AT138" s="56">
        <v>321.24</v>
      </c>
      <c r="AU138" s="56">
        <v>360.85</v>
      </c>
      <c r="AV138" s="56">
        <v>337.43</v>
      </c>
      <c r="AW138" s="56">
        <v>306.72000000000003</v>
      </c>
      <c r="AX138" s="56">
        <v>229.52</v>
      </c>
      <c r="AY138" s="56">
        <v>208.96</v>
      </c>
      <c r="AZ138" s="56">
        <v>406.6</v>
      </c>
      <c r="BA138" s="56">
        <v>304.02999999999997</v>
      </c>
      <c r="BB138" s="56">
        <v>221.99</v>
      </c>
      <c r="BC138" s="56">
        <v>533.53</v>
      </c>
      <c r="BD138" s="56">
        <v>318.04000000000002</v>
      </c>
      <c r="BE138" s="56">
        <v>423.08</v>
      </c>
      <c r="BF138" s="56">
        <v>361.58</v>
      </c>
      <c r="BG138" s="56">
        <v>376.68</v>
      </c>
      <c r="BH138" s="52">
        <v>306.92</v>
      </c>
      <c r="BI138" s="52">
        <v>332.98</v>
      </c>
      <c r="BJ138" s="52">
        <v>290.08999999999997</v>
      </c>
      <c r="BK138" s="52">
        <v>277.54000000000002</v>
      </c>
      <c r="BL138" s="52">
        <v>286.8</v>
      </c>
      <c r="BM138" s="52">
        <v>269.14</v>
      </c>
      <c r="BN138" s="52">
        <v>425.69</v>
      </c>
      <c r="BO138" s="52">
        <v>240.61</v>
      </c>
      <c r="BP138" s="52">
        <v>310.26</v>
      </c>
      <c r="BQ138" s="52">
        <v>320.94</v>
      </c>
      <c r="BR138" s="52">
        <v>213.33</v>
      </c>
      <c r="BS138" s="52">
        <v>588.39</v>
      </c>
      <c r="BT138" s="52">
        <v>330.06</v>
      </c>
      <c r="BU138" s="52">
        <v>510.85</v>
      </c>
      <c r="BV138" s="52">
        <v>474.17</v>
      </c>
      <c r="BW138" s="52">
        <v>167.61</v>
      </c>
      <c r="BX138" s="52">
        <v>195.6</v>
      </c>
      <c r="BY138" s="52">
        <v>278.36</v>
      </c>
      <c r="BZ138" s="52">
        <v>199.97</v>
      </c>
      <c r="CA138" s="52">
        <v>317.52</v>
      </c>
      <c r="CB138" s="53">
        <v>367.72</v>
      </c>
      <c r="CC138" s="52">
        <v>226.47</v>
      </c>
      <c r="CD138" s="52">
        <v>292.2</v>
      </c>
      <c r="CE138" s="52">
        <v>268.19</v>
      </c>
      <c r="CF138" s="52">
        <v>331.76</v>
      </c>
      <c r="CG138" s="52">
        <v>311.33</v>
      </c>
      <c r="CH138" s="52">
        <v>265.62</v>
      </c>
      <c r="CI138" s="52">
        <v>234.46</v>
      </c>
      <c r="CJ138" s="52">
        <v>209.54</v>
      </c>
      <c r="CK138" s="52">
        <v>154.80000000000001</v>
      </c>
      <c r="CL138" s="52">
        <v>185.17</v>
      </c>
      <c r="CM138" s="52">
        <v>366.24</v>
      </c>
      <c r="CN138" s="52">
        <v>237.02</v>
      </c>
      <c r="CO138" s="52">
        <v>252.18</v>
      </c>
      <c r="CP138" s="52">
        <v>166.04</v>
      </c>
      <c r="CQ138" s="52">
        <v>412.04</v>
      </c>
      <c r="CR138" s="52">
        <v>106.43</v>
      </c>
      <c r="CS138" s="52">
        <v>179.23</v>
      </c>
      <c r="CT138" s="52">
        <v>124.18</v>
      </c>
      <c r="CU138" s="52">
        <v>218.29</v>
      </c>
      <c r="CV138" s="52">
        <v>213.83</v>
      </c>
      <c r="CW138" s="52">
        <v>125.35</v>
      </c>
      <c r="CX138" s="52">
        <v>268.66000000000003</v>
      </c>
      <c r="CY138" s="52">
        <v>189.01</v>
      </c>
      <c r="CZ138" s="52">
        <v>158.72999999999999</v>
      </c>
      <c r="DA138" s="52">
        <v>215.86</v>
      </c>
      <c r="DB138" s="52">
        <v>249.67</v>
      </c>
      <c r="DC138" s="52">
        <v>223.94</v>
      </c>
      <c r="DD138" s="52">
        <v>363.7</v>
      </c>
      <c r="DE138" s="52">
        <v>496.35</v>
      </c>
      <c r="DF138" s="52">
        <v>297.93</v>
      </c>
      <c r="DG138" s="52">
        <v>305.33</v>
      </c>
      <c r="DH138" s="52">
        <v>170.08</v>
      </c>
      <c r="DI138" s="52">
        <v>251.79</v>
      </c>
      <c r="DJ138" s="52">
        <v>365.61</v>
      </c>
      <c r="DK138" s="52">
        <v>355.48</v>
      </c>
      <c r="DL138" s="52">
        <v>40.32</v>
      </c>
      <c r="DM138" s="52">
        <v>144.59</v>
      </c>
      <c r="DN138" s="52">
        <v>39.200000000000003</v>
      </c>
      <c r="DO138" s="52">
        <v>101.04</v>
      </c>
      <c r="DP138" s="52">
        <v>167.99</v>
      </c>
      <c r="DQ138" s="52">
        <v>233.21</v>
      </c>
      <c r="DR138" s="52">
        <v>350.23</v>
      </c>
      <c r="DS138" s="52">
        <v>254.09</v>
      </c>
      <c r="DT138" s="52"/>
      <c r="DU138" s="52">
        <v>265.06</v>
      </c>
      <c r="DV138" s="52">
        <v>320.10000000000002</v>
      </c>
      <c r="DW138" s="52">
        <v>243.92</v>
      </c>
      <c r="DX138" s="52">
        <v>277.5</v>
      </c>
      <c r="DY138" s="52">
        <v>417.24</v>
      </c>
      <c r="DZ138" s="52">
        <v>296.75</v>
      </c>
      <c r="EA138" s="52">
        <v>245.52</v>
      </c>
      <c r="EB138" s="52">
        <v>360.85</v>
      </c>
      <c r="EC138" s="52">
        <v>337.43</v>
      </c>
      <c r="ED138" s="52">
        <v>306.72000000000003</v>
      </c>
      <c r="EE138" s="52">
        <v>229.52</v>
      </c>
      <c r="EF138" s="52">
        <v>208.96</v>
      </c>
      <c r="EG138" s="52">
        <v>406.6</v>
      </c>
      <c r="EH138" s="52">
        <v>304.02999999999997</v>
      </c>
      <c r="EI138" s="52">
        <v>322.45999999999998</v>
      </c>
      <c r="EJ138" s="52">
        <v>152.46</v>
      </c>
      <c r="EK138" s="52">
        <v>194.14</v>
      </c>
      <c r="EL138" s="52">
        <v>589.98</v>
      </c>
      <c r="EM138" s="52">
        <v>342.69</v>
      </c>
      <c r="EN138" s="52">
        <v>318.04000000000002</v>
      </c>
      <c r="EO138" s="52">
        <v>251.25</v>
      </c>
      <c r="EP138" s="52">
        <v>283.25</v>
      </c>
      <c r="EQ138" s="52">
        <v>470.06</v>
      </c>
      <c r="ER138" s="52">
        <v>361.58</v>
      </c>
      <c r="ES138" s="52">
        <v>376.68</v>
      </c>
      <c r="ET138" s="52">
        <v>331.97</v>
      </c>
      <c r="EU138" s="52">
        <v>275.85000000000002</v>
      </c>
      <c r="EV138" s="52">
        <v>327.14</v>
      </c>
      <c r="EW138" s="52">
        <v>270.73</v>
      </c>
      <c r="EX138" s="52">
        <v>285.87</v>
      </c>
      <c r="EY138" s="52">
        <v>186.55</v>
      </c>
      <c r="EZ138" s="52">
        <v>367.77</v>
      </c>
      <c r="FA138" s="52">
        <v>349.56</v>
      </c>
      <c r="FB138" s="52">
        <v>247.07</v>
      </c>
      <c r="FC138" s="52">
        <v>403.08</v>
      </c>
      <c r="FD138" s="52">
        <v>299</v>
      </c>
      <c r="FE138" s="52">
        <v>290.08999999999997</v>
      </c>
      <c r="FF138" s="52"/>
      <c r="FG138" s="52">
        <v>219.01</v>
      </c>
      <c r="FH138" s="52">
        <v>221.19</v>
      </c>
      <c r="FI138" s="52">
        <v>301.49</v>
      </c>
      <c r="FJ138" s="52">
        <v>386.86</v>
      </c>
      <c r="FK138" s="52">
        <v>397.03</v>
      </c>
      <c r="FL138" s="52">
        <v>195.83</v>
      </c>
      <c r="FM138" s="52">
        <v>286.3</v>
      </c>
      <c r="FN138" s="52">
        <v>223.28</v>
      </c>
      <c r="FO138" s="52">
        <v>511.83</v>
      </c>
      <c r="FP138" s="52">
        <v>457.51</v>
      </c>
      <c r="FQ138" s="52">
        <v>306.36</v>
      </c>
      <c r="FR138" s="52">
        <v>482.54</v>
      </c>
      <c r="FS138" s="52">
        <v>313.20999999999998</v>
      </c>
      <c r="FT138" s="52">
        <v>220.41</v>
      </c>
      <c r="FU138" s="52">
        <v>336.3</v>
      </c>
      <c r="FV138" s="52">
        <v>241.37</v>
      </c>
      <c r="FW138" s="52">
        <v>177.7</v>
      </c>
      <c r="FX138" s="52">
        <v>310.26</v>
      </c>
      <c r="FY138" s="52">
        <v>317.11</v>
      </c>
      <c r="FZ138" s="52">
        <v>322.85000000000002</v>
      </c>
      <c r="GA138" s="52">
        <v>239.59</v>
      </c>
      <c r="GB138" s="52">
        <v>226.73</v>
      </c>
      <c r="GC138" s="52">
        <v>208.15</v>
      </c>
      <c r="GD138" s="52">
        <v>195.11</v>
      </c>
      <c r="GE138" s="52">
        <v>588.39</v>
      </c>
      <c r="GF138" s="52">
        <v>330.06</v>
      </c>
      <c r="GG138" s="52">
        <v>510.85</v>
      </c>
      <c r="GH138" s="52">
        <v>473.38</v>
      </c>
      <c r="GI138" s="52">
        <v>179.37</v>
      </c>
      <c r="GJ138" s="52">
        <v>161.36000000000001</v>
      </c>
      <c r="GK138" s="52">
        <v>153.86000000000001</v>
      </c>
      <c r="GL138" s="52">
        <v>216.55</v>
      </c>
      <c r="GM138" s="52">
        <v>195.6</v>
      </c>
      <c r="GN138" s="52">
        <v>278.36</v>
      </c>
      <c r="GO138" s="52">
        <v>202.47</v>
      </c>
      <c r="GP138" s="52">
        <v>196.95</v>
      </c>
      <c r="GQ138" s="52">
        <v>200.72</v>
      </c>
      <c r="GR138" s="52">
        <v>317.52</v>
      </c>
      <c r="GS138" s="52">
        <v>367.72</v>
      </c>
      <c r="GT138" s="52">
        <v>226.47</v>
      </c>
      <c r="GU138" s="52">
        <v>292.2</v>
      </c>
      <c r="GV138" s="52">
        <v>268.19</v>
      </c>
      <c r="GW138" s="52">
        <v>323.27</v>
      </c>
      <c r="GX138" s="52">
        <v>308.92</v>
      </c>
      <c r="GY138" s="52">
        <v>311.33</v>
      </c>
      <c r="GZ138" s="52">
        <v>314.04000000000002</v>
      </c>
      <c r="HA138" s="52">
        <v>246.9</v>
      </c>
      <c r="HB138" s="52">
        <v>271.45</v>
      </c>
      <c r="HC138" s="52">
        <v>234.46</v>
      </c>
      <c r="HD138" s="52">
        <v>209.54</v>
      </c>
      <c r="HE138" s="52">
        <v>129.71</v>
      </c>
      <c r="HF138" s="52">
        <v>143.07</v>
      </c>
      <c r="HG138" s="52">
        <v>182.7</v>
      </c>
      <c r="HH138" s="52">
        <v>207.18</v>
      </c>
      <c r="HI138" s="52">
        <v>110.34</v>
      </c>
      <c r="HJ138" s="52">
        <v>185.17</v>
      </c>
      <c r="HK138" s="52">
        <v>366.24</v>
      </c>
      <c r="HL138" s="52">
        <v>202.19</v>
      </c>
      <c r="HM138" s="52">
        <v>257.39999999999998</v>
      </c>
      <c r="HN138" s="52">
        <v>265.39999999999998</v>
      </c>
      <c r="HO138" s="52">
        <v>231.07</v>
      </c>
      <c r="HP138" s="52">
        <v>265.32</v>
      </c>
      <c r="HQ138" s="52">
        <v>155.83000000000001</v>
      </c>
      <c r="HR138" s="52">
        <v>241.87</v>
      </c>
      <c r="HS138" s="52">
        <v>420.46</v>
      </c>
      <c r="HT138" s="52">
        <v>249.1</v>
      </c>
      <c r="HU138" s="52">
        <v>106.43</v>
      </c>
      <c r="HV138" s="52">
        <v>179.23</v>
      </c>
      <c r="HW138" s="52">
        <v>123.16</v>
      </c>
      <c r="HX138" s="52">
        <v>117.6</v>
      </c>
      <c r="HY138" s="52">
        <v>218.29</v>
      </c>
      <c r="HZ138" s="52">
        <v>213.83</v>
      </c>
      <c r="IA138" s="52">
        <v>114.5</v>
      </c>
      <c r="IB138" s="52">
        <v>268.66000000000003</v>
      </c>
      <c r="IC138" s="52">
        <v>172.06</v>
      </c>
      <c r="ID138" s="52">
        <v>191.56</v>
      </c>
      <c r="IE138" s="52">
        <v>158.72999999999999</v>
      </c>
      <c r="IF138" s="52">
        <v>215.86</v>
      </c>
      <c r="IG138" s="52">
        <v>249.67</v>
      </c>
      <c r="IH138" s="52">
        <v>223.94</v>
      </c>
      <c r="II138" s="52">
        <v>363.7</v>
      </c>
      <c r="IJ138" s="52">
        <v>496.35</v>
      </c>
      <c r="IK138" s="52">
        <v>316.55</v>
      </c>
      <c r="IL138" s="52">
        <v>245.18</v>
      </c>
      <c r="IM138" s="52">
        <v>321.25</v>
      </c>
      <c r="IN138" s="52">
        <v>294.17</v>
      </c>
      <c r="IO138" s="52">
        <v>250.82</v>
      </c>
      <c r="IP138" s="52">
        <v>170.08</v>
      </c>
      <c r="IQ138" s="52">
        <v>251.79</v>
      </c>
      <c r="IR138" s="52">
        <v>365.61</v>
      </c>
      <c r="IS138" s="52">
        <v>355.48</v>
      </c>
      <c r="IT138" s="52">
        <v>40.32</v>
      </c>
      <c r="IU138" s="52">
        <v>144.59</v>
      </c>
      <c r="IV138" s="52">
        <v>39.21</v>
      </c>
      <c r="IW138" s="52">
        <v>101.04</v>
      </c>
      <c r="IX138" s="52">
        <v>167.99</v>
      </c>
      <c r="IY138" s="52">
        <v>233.21</v>
      </c>
      <c r="IZ138" s="52">
        <v>350.23</v>
      </c>
      <c r="JA138" s="52">
        <v>254.09</v>
      </c>
      <c r="JB138" s="52"/>
      <c r="JC138" s="52">
        <v>265.06</v>
      </c>
      <c r="JD138" s="52">
        <v>320.10000000000002</v>
      </c>
      <c r="JE138" s="52">
        <v>268.79000000000002</v>
      </c>
      <c r="JF138" s="52">
        <v>235.88</v>
      </c>
      <c r="JG138" s="52">
        <v>277.5</v>
      </c>
      <c r="JH138" s="52">
        <v>417.24</v>
      </c>
      <c r="JI138" s="52">
        <v>296.75</v>
      </c>
      <c r="JJ138" s="52">
        <v>245.52</v>
      </c>
      <c r="JK138" s="52">
        <v>360.85</v>
      </c>
      <c r="JL138" s="52">
        <v>337.43</v>
      </c>
      <c r="JM138" s="52">
        <v>306.72000000000003</v>
      </c>
      <c r="JN138" s="52">
        <v>229.52</v>
      </c>
      <c r="JO138" s="52">
        <v>208.96</v>
      </c>
      <c r="JP138" s="52">
        <v>424.1</v>
      </c>
      <c r="JQ138" s="52">
        <v>367.79</v>
      </c>
      <c r="JR138" s="52">
        <v>272.33999999999997</v>
      </c>
      <c r="JS138" s="52">
        <v>362.41</v>
      </c>
      <c r="JT138" s="52">
        <v>362.38</v>
      </c>
      <c r="JU138" s="52">
        <v>284.05</v>
      </c>
      <c r="JV138" s="52">
        <v>152.46</v>
      </c>
      <c r="JW138" s="52">
        <v>194.14</v>
      </c>
      <c r="JX138" s="52">
        <v>589.98</v>
      </c>
      <c r="JY138" s="52">
        <v>359.33</v>
      </c>
      <c r="JZ138" s="52">
        <v>311.70999999999998</v>
      </c>
      <c r="KA138" s="52">
        <v>318.04000000000002</v>
      </c>
      <c r="KB138" s="52">
        <v>251.25</v>
      </c>
      <c r="KC138" s="52">
        <v>283.25</v>
      </c>
      <c r="KD138" s="52">
        <v>470.06</v>
      </c>
      <c r="KE138" s="52">
        <v>361.58</v>
      </c>
      <c r="KF138" s="52">
        <v>376.68</v>
      </c>
    </row>
    <row r="139" spans="1:292" s="41" customFormat="1" ht="12">
      <c r="A139" s="41">
        <v>2016</v>
      </c>
      <c r="B139" s="54" t="s">
        <v>979</v>
      </c>
      <c r="C139" s="50" t="s">
        <v>980</v>
      </c>
      <c r="D139" s="56">
        <v>274.38</v>
      </c>
      <c r="E139" s="56">
        <v>315.10000000000002</v>
      </c>
      <c r="F139" s="56">
        <v>483.58</v>
      </c>
      <c r="G139" s="56">
        <v>167</v>
      </c>
      <c r="H139" s="56">
        <v>313.64999999999998</v>
      </c>
      <c r="I139" s="56">
        <v>220.99</v>
      </c>
      <c r="J139" s="56">
        <v>165.97</v>
      </c>
      <c r="K139" s="56">
        <v>248.61</v>
      </c>
      <c r="L139" s="56">
        <v>128.33000000000001</v>
      </c>
      <c r="M139" s="56">
        <v>198.14</v>
      </c>
      <c r="N139" s="56">
        <v>268.74</v>
      </c>
      <c r="O139" s="56">
        <v>405.97</v>
      </c>
      <c r="P139" s="56">
        <v>327.04000000000002</v>
      </c>
      <c r="Q139" s="56">
        <v>319.31</v>
      </c>
      <c r="R139" s="56">
        <v>260.10000000000002</v>
      </c>
      <c r="S139" s="56">
        <v>546.36</v>
      </c>
      <c r="T139" s="56">
        <v>478.9</v>
      </c>
      <c r="U139" s="56">
        <v>160.4</v>
      </c>
      <c r="V139" s="56">
        <v>187.11</v>
      </c>
      <c r="W139" s="56">
        <v>369.7</v>
      </c>
      <c r="X139" s="56">
        <v>228.15</v>
      </c>
      <c r="Y139" s="56">
        <v>296.39</v>
      </c>
      <c r="Z139" s="56">
        <v>310.64999999999998</v>
      </c>
      <c r="AA139" s="56">
        <v>260.20999999999998</v>
      </c>
      <c r="AB139" s="56">
        <v>209.59</v>
      </c>
      <c r="AC139" s="56">
        <v>171.46</v>
      </c>
      <c r="AD139" s="56">
        <v>237.82</v>
      </c>
      <c r="AE139" s="56">
        <v>254.25</v>
      </c>
      <c r="AF139" s="56">
        <v>214.62</v>
      </c>
      <c r="AG139" s="56">
        <v>113.23</v>
      </c>
      <c r="AH139" s="56">
        <v>201.02</v>
      </c>
      <c r="AI139" s="56">
        <v>273.10000000000002</v>
      </c>
      <c r="AJ139" s="56">
        <v>194.28</v>
      </c>
      <c r="AK139" s="56">
        <v>249.61</v>
      </c>
      <c r="AL139" s="56">
        <v>302.58999999999997</v>
      </c>
      <c r="AM139" s="56">
        <v>355.48</v>
      </c>
      <c r="AN139" s="56">
        <v>39.14</v>
      </c>
      <c r="AO139" s="56">
        <v>144.59</v>
      </c>
      <c r="AP139" s="56">
        <v>66.849999999999994</v>
      </c>
      <c r="AQ139" s="56">
        <v>235.43</v>
      </c>
      <c r="AR139" s="56">
        <v>320.2</v>
      </c>
      <c r="AS139" s="56">
        <v>278.55</v>
      </c>
      <c r="AT139" s="56">
        <v>328.48</v>
      </c>
      <c r="AU139" s="56">
        <v>346.61</v>
      </c>
      <c r="AV139" s="56">
        <v>338.08</v>
      </c>
      <c r="AW139" s="56">
        <v>308.87</v>
      </c>
      <c r="AX139" s="56">
        <v>229.52</v>
      </c>
      <c r="AY139" s="56">
        <v>207.07</v>
      </c>
      <c r="AZ139" s="56">
        <v>410.31</v>
      </c>
      <c r="BA139" s="56">
        <v>303.23</v>
      </c>
      <c r="BB139" s="56">
        <v>222.99</v>
      </c>
      <c r="BC139" s="56">
        <v>554.44000000000005</v>
      </c>
      <c r="BD139" s="56">
        <v>319.38</v>
      </c>
      <c r="BE139" s="56">
        <v>438.77</v>
      </c>
      <c r="BF139" s="56">
        <v>386.86</v>
      </c>
      <c r="BG139" s="56">
        <v>376.82</v>
      </c>
      <c r="BH139" s="52">
        <v>312.60000000000002</v>
      </c>
      <c r="BI139" s="52">
        <v>332.61</v>
      </c>
      <c r="BJ139" s="52">
        <v>293.08</v>
      </c>
      <c r="BK139" s="52">
        <v>274.08</v>
      </c>
      <c r="BL139" s="52">
        <v>288.76</v>
      </c>
      <c r="BM139" s="52">
        <v>273</v>
      </c>
      <c r="BN139" s="52">
        <v>413.13</v>
      </c>
      <c r="BO139" s="52">
        <v>242.72</v>
      </c>
      <c r="BP139" s="52">
        <v>312.7</v>
      </c>
      <c r="BQ139" s="52">
        <v>324.29000000000002</v>
      </c>
      <c r="BR139" s="52">
        <v>215.38</v>
      </c>
      <c r="BS139" s="52">
        <v>589.42999999999995</v>
      </c>
      <c r="BT139" s="52">
        <v>327.63</v>
      </c>
      <c r="BU139" s="52">
        <v>521.04</v>
      </c>
      <c r="BV139" s="52">
        <v>478.9</v>
      </c>
      <c r="BW139" s="52">
        <v>156.83000000000001</v>
      </c>
      <c r="BX139" s="52">
        <v>191.8</v>
      </c>
      <c r="BY139" s="52">
        <v>281.88</v>
      </c>
      <c r="BZ139" s="52">
        <v>186.38</v>
      </c>
      <c r="CA139" s="52">
        <v>319.58</v>
      </c>
      <c r="CB139" s="53">
        <v>369.7</v>
      </c>
      <c r="CC139" s="52">
        <v>228.15</v>
      </c>
      <c r="CD139" s="52">
        <v>295.26</v>
      </c>
      <c r="CE139" s="52">
        <v>268.19</v>
      </c>
      <c r="CF139" s="52">
        <v>330.26</v>
      </c>
      <c r="CG139" s="52">
        <v>311.86</v>
      </c>
      <c r="CH139" s="52">
        <v>267.45</v>
      </c>
      <c r="CI139" s="52">
        <v>234.72</v>
      </c>
      <c r="CJ139" s="52">
        <v>209.59</v>
      </c>
      <c r="CK139" s="52">
        <v>155.19999999999999</v>
      </c>
      <c r="CL139" s="52">
        <v>188.16</v>
      </c>
      <c r="CM139" s="52">
        <v>372.08</v>
      </c>
      <c r="CN139" s="52">
        <v>237.82</v>
      </c>
      <c r="CO139" s="52">
        <v>254.25</v>
      </c>
      <c r="CP139" s="52">
        <v>166.71</v>
      </c>
      <c r="CQ139" s="52">
        <v>415.23</v>
      </c>
      <c r="CR139" s="52">
        <v>110.96</v>
      </c>
      <c r="CS139" s="52">
        <v>179.26</v>
      </c>
      <c r="CT139" s="52">
        <v>124.54</v>
      </c>
      <c r="CU139" s="52">
        <v>218.69</v>
      </c>
      <c r="CV139" s="52">
        <v>219.03</v>
      </c>
      <c r="CW139" s="52">
        <v>126.11</v>
      </c>
      <c r="CX139" s="52">
        <v>273.10000000000002</v>
      </c>
      <c r="CY139" s="52">
        <v>194.83</v>
      </c>
      <c r="CZ139" s="52">
        <v>158.66999999999999</v>
      </c>
      <c r="DA139" s="52">
        <v>218.62</v>
      </c>
      <c r="DB139" s="52">
        <v>251.85</v>
      </c>
      <c r="DC139" s="52">
        <v>218.74</v>
      </c>
      <c r="DD139" s="52">
        <v>371.04</v>
      </c>
      <c r="DE139" s="52">
        <v>501.69</v>
      </c>
      <c r="DF139" s="52">
        <v>305.64999999999998</v>
      </c>
      <c r="DG139" s="52">
        <v>308.14999999999998</v>
      </c>
      <c r="DH139" s="52">
        <v>170.75</v>
      </c>
      <c r="DI139" s="52">
        <v>273.95</v>
      </c>
      <c r="DJ139" s="52">
        <v>366.87</v>
      </c>
      <c r="DK139" s="52">
        <v>355.48</v>
      </c>
      <c r="DL139" s="52">
        <v>39.14</v>
      </c>
      <c r="DM139" s="52">
        <v>144.59</v>
      </c>
      <c r="DN139" s="52">
        <v>39.61</v>
      </c>
      <c r="DO139" s="52">
        <v>101.42</v>
      </c>
      <c r="DP139" s="52">
        <v>167.99</v>
      </c>
      <c r="DQ139" s="52">
        <v>235.43</v>
      </c>
      <c r="DR139" s="52">
        <v>349.38</v>
      </c>
      <c r="DS139" s="52">
        <v>248.62</v>
      </c>
      <c r="DT139" s="52"/>
      <c r="DU139" s="52">
        <v>271.68</v>
      </c>
      <c r="DV139" s="52">
        <v>318.8</v>
      </c>
      <c r="DW139" s="52">
        <v>245.38</v>
      </c>
      <c r="DX139" s="52">
        <v>277.5</v>
      </c>
      <c r="DY139" s="52">
        <v>417.31</v>
      </c>
      <c r="DZ139" s="52">
        <v>326.16000000000003</v>
      </c>
      <c r="EA139" s="52">
        <v>247.92</v>
      </c>
      <c r="EB139" s="52">
        <v>346.61</v>
      </c>
      <c r="EC139" s="52">
        <v>338.08</v>
      </c>
      <c r="ED139" s="52">
        <v>308.87</v>
      </c>
      <c r="EE139" s="52">
        <v>229.52</v>
      </c>
      <c r="EF139" s="52">
        <v>207.07</v>
      </c>
      <c r="EG139" s="52">
        <v>410.31</v>
      </c>
      <c r="EH139" s="52">
        <v>303.23</v>
      </c>
      <c r="EI139" s="52">
        <v>326.57</v>
      </c>
      <c r="EJ139" s="52">
        <v>154.38</v>
      </c>
      <c r="EK139" s="52">
        <v>194.02</v>
      </c>
      <c r="EL139" s="52">
        <v>626.66</v>
      </c>
      <c r="EM139" s="52">
        <v>342.4</v>
      </c>
      <c r="EN139" s="52">
        <v>319.38</v>
      </c>
      <c r="EO139" s="52">
        <v>257.04000000000002</v>
      </c>
      <c r="EP139" s="52">
        <v>285.19</v>
      </c>
      <c r="EQ139" s="52">
        <v>491.1</v>
      </c>
      <c r="ER139" s="52">
        <v>386.86</v>
      </c>
      <c r="ES139" s="52">
        <v>376.82</v>
      </c>
      <c r="ET139" s="52">
        <v>329.89</v>
      </c>
      <c r="EU139" s="52">
        <v>279.31</v>
      </c>
      <c r="EV139" s="52">
        <v>336.28</v>
      </c>
      <c r="EW139" s="52">
        <v>273.67</v>
      </c>
      <c r="EX139" s="52">
        <v>286.93</v>
      </c>
      <c r="EY139" s="52">
        <v>188.98</v>
      </c>
      <c r="EZ139" s="52">
        <v>363.11</v>
      </c>
      <c r="FA139" s="52">
        <v>355.91</v>
      </c>
      <c r="FB139" s="52">
        <v>248.54</v>
      </c>
      <c r="FC139" s="52">
        <v>415.91</v>
      </c>
      <c r="FD139" s="52">
        <v>299.3</v>
      </c>
      <c r="FE139" s="52">
        <v>293.08</v>
      </c>
      <c r="FF139" s="52"/>
      <c r="FG139" s="52">
        <v>218.14</v>
      </c>
      <c r="FH139" s="52">
        <v>220.66</v>
      </c>
      <c r="FI139" s="52">
        <v>300.94</v>
      </c>
      <c r="FJ139" s="52">
        <v>366.41</v>
      </c>
      <c r="FK139" s="52">
        <v>396.71</v>
      </c>
      <c r="FL139" s="52">
        <v>198.64</v>
      </c>
      <c r="FM139" s="52">
        <v>288.60000000000002</v>
      </c>
      <c r="FN139" s="52">
        <v>228.49</v>
      </c>
      <c r="FO139" s="52">
        <v>507.99</v>
      </c>
      <c r="FP139" s="52">
        <v>436.32</v>
      </c>
      <c r="FQ139" s="52">
        <v>320.51</v>
      </c>
      <c r="FR139" s="52">
        <v>493.42</v>
      </c>
      <c r="FS139" s="52">
        <v>315.35000000000002</v>
      </c>
      <c r="FT139" s="52">
        <v>222.03</v>
      </c>
      <c r="FU139" s="52">
        <v>341.13</v>
      </c>
      <c r="FV139" s="52">
        <v>242.99</v>
      </c>
      <c r="FW139" s="52">
        <v>179.09</v>
      </c>
      <c r="FX139" s="52">
        <v>312.7</v>
      </c>
      <c r="FY139" s="52">
        <v>317.52999999999997</v>
      </c>
      <c r="FZ139" s="52">
        <v>326.83999999999997</v>
      </c>
      <c r="GA139" s="52">
        <v>239.72</v>
      </c>
      <c r="GB139" s="52">
        <v>226.62</v>
      </c>
      <c r="GC139" s="52">
        <v>212.79</v>
      </c>
      <c r="GD139" s="52">
        <v>195.87</v>
      </c>
      <c r="GE139" s="52">
        <v>589.42999999999995</v>
      </c>
      <c r="GF139" s="52">
        <v>327.63</v>
      </c>
      <c r="GG139" s="52">
        <v>521.04</v>
      </c>
      <c r="GH139" s="52">
        <v>478.1</v>
      </c>
      <c r="GI139" s="52">
        <v>169.1</v>
      </c>
      <c r="GJ139" s="52">
        <v>148.97</v>
      </c>
      <c r="GK139" s="52">
        <v>145.9</v>
      </c>
      <c r="GL139" s="52">
        <v>214.94</v>
      </c>
      <c r="GM139" s="52">
        <v>191.8</v>
      </c>
      <c r="GN139" s="52">
        <v>281.88</v>
      </c>
      <c r="GO139" s="52">
        <v>191.93</v>
      </c>
      <c r="GP139" s="52">
        <v>180.23</v>
      </c>
      <c r="GQ139" s="52">
        <v>186.71</v>
      </c>
      <c r="GR139" s="52">
        <v>319.58</v>
      </c>
      <c r="GS139" s="52">
        <v>369.7</v>
      </c>
      <c r="GT139" s="52">
        <v>228.15</v>
      </c>
      <c r="GU139" s="52">
        <v>295.26</v>
      </c>
      <c r="GV139" s="52">
        <v>268.19</v>
      </c>
      <c r="GW139" s="52">
        <v>323.48</v>
      </c>
      <c r="GX139" s="52">
        <v>303.81</v>
      </c>
      <c r="GY139" s="52">
        <v>311.86</v>
      </c>
      <c r="GZ139" s="52">
        <v>318.42</v>
      </c>
      <c r="HA139" s="52">
        <v>249.06</v>
      </c>
      <c r="HB139" s="52">
        <v>272.27999999999997</v>
      </c>
      <c r="HC139" s="52">
        <v>234.72</v>
      </c>
      <c r="HD139" s="52">
        <v>209.59</v>
      </c>
      <c r="HE139" s="52">
        <v>129.32</v>
      </c>
      <c r="HF139" s="52">
        <v>143.52000000000001</v>
      </c>
      <c r="HG139" s="52">
        <v>184.61</v>
      </c>
      <c r="HH139" s="52">
        <v>208.42</v>
      </c>
      <c r="HI139" s="52">
        <v>110.51</v>
      </c>
      <c r="HJ139" s="52">
        <v>188.16</v>
      </c>
      <c r="HK139" s="52">
        <v>372.08</v>
      </c>
      <c r="HL139" s="52">
        <v>202.58</v>
      </c>
      <c r="HM139" s="52">
        <v>258.19</v>
      </c>
      <c r="HN139" s="52">
        <v>266.66000000000003</v>
      </c>
      <c r="HO139" s="52">
        <v>233.6</v>
      </c>
      <c r="HP139" s="52">
        <v>266.5</v>
      </c>
      <c r="HQ139" s="52">
        <v>156.76</v>
      </c>
      <c r="HR139" s="52">
        <v>240.96</v>
      </c>
      <c r="HS139" s="52">
        <v>423.91</v>
      </c>
      <c r="HT139" s="52">
        <v>249.82</v>
      </c>
      <c r="HU139" s="52">
        <v>110.96</v>
      </c>
      <c r="HV139" s="52">
        <v>179.26</v>
      </c>
      <c r="HW139" s="52">
        <v>123.18</v>
      </c>
      <c r="HX139" s="52">
        <v>118.67</v>
      </c>
      <c r="HY139" s="52">
        <v>218.69</v>
      </c>
      <c r="HZ139" s="52">
        <v>219.03</v>
      </c>
      <c r="IA139" s="52">
        <v>115.2</v>
      </c>
      <c r="IB139" s="52">
        <v>273.10000000000002</v>
      </c>
      <c r="IC139" s="52">
        <v>177.61</v>
      </c>
      <c r="ID139" s="52">
        <v>197.01</v>
      </c>
      <c r="IE139" s="52">
        <v>158.66999999999999</v>
      </c>
      <c r="IF139" s="52">
        <v>218.62</v>
      </c>
      <c r="IG139" s="52">
        <v>251.85</v>
      </c>
      <c r="IH139" s="52">
        <v>218.74</v>
      </c>
      <c r="II139" s="52">
        <v>371.04</v>
      </c>
      <c r="IJ139" s="52">
        <v>501.69</v>
      </c>
      <c r="IK139" s="52">
        <v>342.53</v>
      </c>
      <c r="IL139" s="52">
        <v>244.05</v>
      </c>
      <c r="IM139" s="52">
        <v>325.14</v>
      </c>
      <c r="IN139" s="52">
        <v>294.20999999999998</v>
      </c>
      <c r="IO139" s="52">
        <v>251.6</v>
      </c>
      <c r="IP139" s="52">
        <v>170.75</v>
      </c>
      <c r="IQ139" s="52">
        <v>273.95</v>
      </c>
      <c r="IR139" s="52">
        <v>366.87</v>
      </c>
      <c r="IS139" s="52">
        <v>355.48</v>
      </c>
      <c r="IT139" s="52">
        <v>39.14</v>
      </c>
      <c r="IU139" s="52">
        <v>144.59</v>
      </c>
      <c r="IV139" s="52">
        <v>39.619999999999997</v>
      </c>
      <c r="IW139" s="52">
        <v>101.42</v>
      </c>
      <c r="IX139" s="52">
        <v>167.99</v>
      </c>
      <c r="IY139" s="52">
        <v>235.43</v>
      </c>
      <c r="IZ139" s="52">
        <v>349.38</v>
      </c>
      <c r="JA139" s="52">
        <v>248.62</v>
      </c>
      <c r="JB139" s="52"/>
      <c r="JC139" s="52">
        <v>271.68</v>
      </c>
      <c r="JD139" s="52">
        <v>318.8</v>
      </c>
      <c r="JE139" s="52">
        <v>274.85000000000002</v>
      </c>
      <c r="JF139" s="52">
        <v>236.85</v>
      </c>
      <c r="JG139" s="52">
        <v>277.5</v>
      </c>
      <c r="JH139" s="52">
        <v>417.31</v>
      </c>
      <c r="JI139" s="52">
        <v>326.16000000000003</v>
      </c>
      <c r="JJ139" s="52">
        <v>247.92</v>
      </c>
      <c r="JK139" s="52">
        <v>346.61</v>
      </c>
      <c r="JL139" s="52">
        <v>338.08</v>
      </c>
      <c r="JM139" s="52">
        <v>308.87</v>
      </c>
      <c r="JN139" s="52">
        <v>229.52</v>
      </c>
      <c r="JO139" s="52">
        <v>207.07</v>
      </c>
      <c r="JP139" s="52">
        <v>428.25</v>
      </c>
      <c r="JQ139" s="52">
        <v>370.19</v>
      </c>
      <c r="JR139" s="52">
        <v>271.33</v>
      </c>
      <c r="JS139" s="52">
        <v>362.43</v>
      </c>
      <c r="JT139" s="52">
        <v>369.69</v>
      </c>
      <c r="JU139" s="52">
        <v>285.57</v>
      </c>
      <c r="JV139" s="52">
        <v>154.38</v>
      </c>
      <c r="JW139" s="52">
        <v>194.02</v>
      </c>
      <c r="JX139" s="52">
        <v>626.66</v>
      </c>
      <c r="JY139" s="52">
        <v>357.77</v>
      </c>
      <c r="JZ139" s="52">
        <v>313.36</v>
      </c>
      <c r="KA139" s="52">
        <v>319.38</v>
      </c>
      <c r="KB139" s="52">
        <v>257.04000000000002</v>
      </c>
      <c r="KC139" s="52">
        <v>285.19</v>
      </c>
      <c r="KD139" s="52">
        <v>491.1</v>
      </c>
      <c r="KE139" s="52">
        <v>386.86</v>
      </c>
      <c r="KF139" s="52">
        <v>376.82</v>
      </c>
    </row>
    <row r="140" spans="1:292" s="41" customFormat="1" ht="12">
      <c r="A140" s="41">
        <v>2016</v>
      </c>
      <c r="B140" s="54" t="s">
        <v>981</v>
      </c>
      <c r="C140" s="50" t="s">
        <v>982</v>
      </c>
      <c r="D140" s="56">
        <v>274.27</v>
      </c>
      <c r="E140" s="56">
        <v>310.29000000000002</v>
      </c>
      <c r="F140" s="56">
        <v>483.59</v>
      </c>
      <c r="G140" s="56">
        <v>167.58</v>
      </c>
      <c r="H140" s="56">
        <v>314.16000000000003</v>
      </c>
      <c r="I140" s="56">
        <v>222.35</v>
      </c>
      <c r="J140" s="56">
        <v>167.97</v>
      </c>
      <c r="K140" s="56">
        <v>250.57</v>
      </c>
      <c r="L140" s="56">
        <v>128.19999999999999</v>
      </c>
      <c r="M140" s="56">
        <v>197.58</v>
      </c>
      <c r="N140" s="56">
        <v>270.01</v>
      </c>
      <c r="O140" s="56">
        <v>408.61</v>
      </c>
      <c r="P140" s="56">
        <v>329.88</v>
      </c>
      <c r="Q140" s="56">
        <v>313.70999999999998</v>
      </c>
      <c r="R140" s="56">
        <v>263.76</v>
      </c>
      <c r="S140" s="56">
        <v>546.57000000000005</v>
      </c>
      <c r="T140" s="56">
        <v>478.9</v>
      </c>
      <c r="U140" s="56">
        <v>159.72</v>
      </c>
      <c r="V140" s="56">
        <v>192.48</v>
      </c>
      <c r="W140" s="56">
        <v>371.46</v>
      </c>
      <c r="X140" s="56">
        <v>229.56</v>
      </c>
      <c r="Y140" s="56">
        <v>296.72000000000003</v>
      </c>
      <c r="Z140" s="56">
        <v>310.11</v>
      </c>
      <c r="AA140" s="56">
        <v>262.26</v>
      </c>
      <c r="AB140" s="56">
        <v>209.61</v>
      </c>
      <c r="AC140" s="56">
        <v>173.09</v>
      </c>
      <c r="AD140" s="56">
        <v>239.93</v>
      </c>
      <c r="AE140" s="56">
        <v>253.31</v>
      </c>
      <c r="AF140" s="56">
        <v>215.06</v>
      </c>
      <c r="AG140" s="56">
        <v>116.73</v>
      </c>
      <c r="AH140" s="56">
        <v>201.85</v>
      </c>
      <c r="AI140" s="56">
        <v>273.38</v>
      </c>
      <c r="AJ140" s="56">
        <v>194.79</v>
      </c>
      <c r="AK140" s="56">
        <v>254.05</v>
      </c>
      <c r="AL140" s="56">
        <v>302.97000000000003</v>
      </c>
      <c r="AM140" s="56">
        <v>355.48</v>
      </c>
      <c r="AN140" s="56">
        <v>38.86</v>
      </c>
      <c r="AO140" s="56">
        <v>144.59</v>
      </c>
      <c r="AP140" s="56">
        <v>66.42</v>
      </c>
      <c r="AQ140" s="56">
        <v>237.13</v>
      </c>
      <c r="AR140" s="56">
        <v>324.23</v>
      </c>
      <c r="AS140" s="56">
        <v>280.11</v>
      </c>
      <c r="AT140" s="56">
        <v>329.4</v>
      </c>
      <c r="AU140" s="56">
        <v>336.63</v>
      </c>
      <c r="AV140" s="56">
        <v>340.95</v>
      </c>
      <c r="AW140" s="56">
        <v>312.27999999999997</v>
      </c>
      <c r="AX140" s="56">
        <v>229.52</v>
      </c>
      <c r="AY140" s="56">
        <v>205.83</v>
      </c>
      <c r="AZ140" s="56">
        <v>413.29</v>
      </c>
      <c r="BA140" s="56">
        <v>303.37</v>
      </c>
      <c r="BB140" s="56">
        <v>223.91</v>
      </c>
      <c r="BC140" s="56">
        <v>565.61</v>
      </c>
      <c r="BD140" s="56">
        <v>320.77999999999997</v>
      </c>
      <c r="BE140" s="56">
        <v>449.65</v>
      </c>
      <c r="BF140" s="56">
        <v>386.86</v>
      </c>
      <c r="BG140" s="56">
        <v>378.18</v>
      </c>
      <c r="BH140" s="52">
        <v>314.49</v>
      </c>
      <c r="BI140" s="52">
        <v>330.77</v>
      </c>
      <c r="BJ140" s="52">
        <v>293.89</v>
      </c>
      <c r="BK140" s="52">
        <v>269.14999999999998</v>
      </c>
      <c r="BL140" s="52">
        <v>289.67</v>
      </c>
      <c r="BM140" s="52">
        <v>277.37</v>
      </c>
      <c r="BN140" s="52">
        <v>375.16</v>
      </c>
      <c r="BO140" s="52">
        <v>245.41</v>
      </c>
      <c r="BP140" s="52">
        <v>313.42</v>
      </c>
      <c r="BQ140" s="52">
        <v>326.97000000000003</v>
      </c>
      <c r="BR140" s="52">
        <v>219.33</v>
      </c>
      <c r="BS140" s="52">
        <v>588.98</v>
      </c>
      <c r="BT140" s="52">
        <v>328.93</v>
      </c>
      <c r="BU140" s="52">
        <v>521.53</v>
      </c>
      <c r="BV140" s="52">
        <v>478.9</v>
      </c>
      <c r="BW140" s="52">
        <v>155.9</v>
      </c>
      <c r="BX140" s="52">
        <v>196.04</v>
      </c>
      <c r="BY140" s="52">
        <v>283.87</v>
      </c>
      <c r="BZ140" s="52">
        <v>191.75</v>
      </c>
      <c r="CA140" s="52">
        <v>321.88</v>
      </c>
      <c r="CB140" s="53">
        <v>371.46</v>
      </c>
      <c r="CC140" s="52">
        <v>229.56</v>
      </c>
      <c r="CD140" s="52">
        <v>295.58999999999997</v>
      </c>
      <c r="CE140" s="52">
        <v>268.19</v>
      </c>
      <c r="CF140" s="52">
        <v>329.77</v>
      </c>
      <c r="CG140" s="52">
        <v>309.82</v>
      </c>
      <c r="CH140" s="52">
        <v>269.67</v>
      </c>
      <c r="CI140" s="52">
        <v>235.63</v>
      </c>
      <c r="CJ140" s="52">
        <v>209.61</v>
      </c>
      <c r="CK140" s="52">
        <v>156.63999999999999</v>
      </c>
      <c r="CL140" s="52">
        <v>188.06</v>
      </c>
      <c r="CM140" s="52">
        <v>381.04</v>
      </c>
      <c r="CN140" s="52">
        <v>239.93</v>
      </c>
      <c r="CO140" s="52">
        <v>253.31</v>
      </c>
      <c r="CP140" s="52">
        <v>166.76</v>
      </c>
      <c r="CQ140" s="52">
        <v>417.28</v>
      </c>
      <c r="CR140" s="52">
        <v>115.8</v>
      </c>
      <c r="CS140" s="52">
        <v>178.48</v>
      </c>
      <c r="CT140" s="52">
        <v>125.21</v>
      </c>
      <c r="CU140" s="52">
        <v>218.92</v>
      </c>
      <c r="CV140" s="52">
        <v>220.52</v>
      </c>
      <c r="CW140" s="52">
        <v>126.71</v>
      </c>
      <c r="CX140" s="52">
        <v>273.38</v>
      </c>
      <c r="CY140" s="52">
        <v>195.27</v>
      </c>
      <c r="CZ140" s="52">
        <v>159.72999999999999</v>
      </c>
      <c r="DA140" s="52">
        <v>222.49</v>
      </c>
      <c r="DB140" s="52">
        <v>253.41</v>
      </c>
      <c r="DC140" s="52">
        <v>223.73</v>
      </c>
      <c r="DD140" s="52">
        <v>372.22</v>
      </c>
      <c r="DE140" s="52">
        <v>505.52</v>
      </c>
      <c r="DF140" s="52">
        <v>306.07</v>
      </c>
      <c r="DG140" s="52">
        <v>308.61</v>
      </c>
      <c r="DH140" s="52">
        <v>170.68</v>
      </c>
      <c r="DI140" s="52">
        <v>273.95</v>
      </c>
      <c r="DJ140" s="52">
        <v>367.36</v>
      </c>
      <c r="DK140" s="52">
        <v>355.48</v>
      </c>
      <c r="DL140" s="52">
        <v>38.86</v>
      </c>
      <c r="DM140" s="52">
        <v>144.59</v>
      </c>
      <c r="DN140" s="52">
        <v>39.6</v>
      </c>
      <c r="DO140" s="52">
        <v>99.92</v>
      </c>
      <c r="DP140" s="52">
        <v>168.86</v>
      </c>
      <c r="DQ140" s="52">
        <v>237.13</v>
      </c>
      <c r="DR140" s="52">
        <v>351.71</v>
      </c>
      <c r="DS140" s="52">
        <v>255.67</v>
      </c>
      <c r="DT140" s="52"/>
      <c r="DU140" s="52">
        <v>273.5</v>
      </c>
      <c r="DV140" s="52">
        <v>317.33</v>
      </c>
      <c r="DW140" s="52">
        <v>246.04</v>
      </c>
      <c r="DX140" s="52">
        <v>311.32</v>
      </c>
      <c r="DY140" s="52">
        <v>417.09</v>
      </c>
      <c r="DZ140" s="52">
        <v>326.16000000000003</v>
      </c>
      <c r="EA140" s="52">
        <v>250.39</v>
      </c>
      <c r="EB140" s="52">
        <v>336.63</v>
      </c>
      <c r="EC140" s="52">
        <v>340.95</v>
      </c>
      <c r="ED140" s="52">
        <v>312.27999999999997</v>
      </c>
      <c r="EE140" s="52">
        <v>229.52</v>
      </c>
      <c r="EF140" s="52">
        <v>205.83</v>
      </c>
      <c r="EG140" s="52">
        <v>413.29</v>
      </c>
      <c r="EH140" s="52">
        <v>303.37</v>
      </c>
      <c r="EI140" s="52">
        <v>328.89</v>
      </c>
      <c r="EJ140" s="52">
        <v>155.16999999999999</v>
      </c>
      <c r="EK140" s="52">
        <v>194.46</v>
      </c>
      <c r="EL140" s="52">
        <v>642.64</v>
      </c>
      <c r="EM140" s="52">
        <v>345.92</v>
      </c>
      <c r="EN140" s="52">
        <v>320.77999999999997</v>
      </c>
      <c r="EO140" s="52">
        <v>258.88</v>
      </c>
      <c r="EP140" s="52">
        <v>291.36</v>
      </c>
      <c r="EQ140" s="52">
        <v>504.51</v>
      </c>
      <c r="ER140" s="52">
        <v>386.86</v>
      </c>
      <c r="ES140" s="52">
        <v>378.18</v>
      </c>
      <c r="ET140" s="52">
        <v>327.13</v>
      </c>
      <c r="EU140" s="52">
        <v>283.75</v>
      </c>
      <c r="EV140" s="52">
        <v>338.02</v>
      </c>
      <c r="EW140" s="52">
        <v>276.04000000000002</v>
      </c>
      <c r="EX140" s="52">
        <v>283.60000000000002</v>
      </c>
      <c r="EY140" s="52">
        <v>188.88</v>
      </c>
      <c r="EZ140" s="52">
        <v>354.53</v>
      </c>
      <c r="FA140" s="52">
        <v>356.9</v>
      </c>
      <c r="FB140" s="52">
        <v>254.17</v>
      </c>
      <c r="FC140" s="52">
        <v>422.94</v>
      </c>
      <c r="FD140" s="52">
        <v>299.81</v>
      </c>
      <c r="FE140" s="52">
        <v>293.89</v>
      </c>
      <c r="FF140" s="52"/>
      <c r="FG140" s="52">
        <v>217.23</v>
      </c>
      <c r="FH140" s="52">
        <v>220.42</v>
      </c>
      <c r="FI140" s="52">
        <v>301.7</v>
      </c>
      <c r="FJ140" s="52">
        <v>331.64</v>
      </c>
      <c r="FK140" s="52">
        <v>400.35</v>
      </c>
      <c r="FL140" s="52">
        <v>197.77</v>
      </c>
      <c r="FM140" s="52">
        <v>289.27999999999997</v>
      </c>
      <c r="FN140" s="52">
        <v>234.47</v>
      </c>
      <c r="FO140" s="52">
        <v>503.16</v>
      </c>
      <c r="FP140" s="52">
        <v>384.23</v>
      </c>
      <c r="FQ140" s="52">
        <v>280.62</v>
      </c>
      <c r="FR140" s="52">
        <v>493.72</v>
      </c>
      <c r="FS140" s="52">
        <v>318.67</v>
      </c>
      <c r="FT140" s="52">
        <v>222.86</v>
      </c>
      <c r="FU140" s="52">
        <v>347.24</v>
      </c>
      <c r="FV140" s="52">
        <v>245.47</v>
      </c>
      <c r="FW140" s="52">
        <v>182.72</v>
      </c>
      <c r="FX140" s="52">
        <v>313.42</v>
      </c>
      <c r="FY140" s="52">
        <v>319.14999999999998</v>
      </c>
      <c r="FZ140" s="52">
        <v>329.76</v>
      </c>
      <c r="GA140" s="52">
        <v>240.77</v>
      </c>
      <c r="GB140" s="52">
        <v>227.45</v>
      </c>
      <c r="GC140" s="52">
        <v>221.12</v>
      </c>
      <c r="GD140" s="52">
        <v>196.37</v>
      </c>
      <c r="GE140" s="52">
        <v>588.98</v>
      </c>
      <c r="GF140" s="52">
        <v>328.93</v>
      </c>
      <c r="GG140" s="52">
        <v>521.53</v>
      </c>
      <c r="GH140" s="52">
        <v>478.1</v>
      </c>
      <c r="GI140" s="52">
        <v>168.23</v>
      </c>
      <c r="GJ140" s="52">
        <v>147.54</v>
      </c>
      <c r="GK140" s="52">
        <v>146.12</v>
      </c>
      <c r="GL140" s="52">
        <v>215.78</v>
      </c>
      <c r="GM140" s="52">
        <v>196.04</v>
      </c>
      <c r="GN140" s="52">
        <v>283.87</v>
      </c>
      <c r="GO140" s="52">
        <v>195.77</v>
      </c>
      <c r="GP140" s="52">
        <v>185.5</v>
      </c>
      <c r="GQ140" s="52">
        <v>196.23</v>
      </c>
      <c r="GR140" s="52">
        <v>321.88</v>
      </c>
      <c r="GS140" s="52">
        <v>371.46</v>
      </c>
      <c r="GT140" s="52">
        <v>229.56</v>
      </c>
      <c r="GU140" s="52">
        <v>295.58999999999997</v>
      </c>
      <c r="GV140" s="52">
        <v>268.19</v>
      </c>
      <c r="GW140" s="52">
        <v>323.77</v>
      </c>
      <c r="GX140" s="52">
        <v>301.66000000000003</v>
      </c>
      <c r="GY140" s="52">
        <v>309.82</v>
      </c>
      <c r="GZ140" s="52">
        <v>319.55</v>
      </c>
      <c r="HA140" s="52">
        <v>253.76</v>
      </c>
      <c r="HB140" s="52">
        <v>273.02</v>
      </c>
      <c r="HC140" s="52">
        <v>235.63</v>
      </c>
      <c r="HD140" s="52">
        <v>209.61</v>
      </c>
      <c r="HE140" s="52">
        <v>131.13999999999999</v>
      </c>
      <c r="HF140" s="52">
        <v>146.65</v>
      </c>
      <c r="HG140" s="52">
        <v>183.21</v>
      </c>
      <c r="HH140" s="52">
        <v>208.11</v>
      </c>
      <c r="HI140" s="52">
        <v>110.63</v>
      </c>
      <c r="HJ140" s="52">
        <v>188.06</v>
      </c>
      <c r="HK140" s="52">
        <v>381.04</v>
      </c>
      <c r="HL140" s="52">
        <v>205.69</v>
      </c>
      <c r="HM140" s="52">
        <v>259.48</v>
      </c>
      <c r="HN140" s="52">
        <v>267.64</v>
      </c>
      <c r="HO140" s="52">
        <v>231.42</v>
      </c>
      <c r="HP140" s="52">
        <v>267.57</v>
      </c>
      <c r="HQ140" s="52">
        <v>157.08000000000001</v>
      </c>
      <c r="HR140" s="52">
        <v>239.29</v>
      </c>
      <c r="HS140" s="52">
        <v>425.76</v>
      </c>
      <c r="HT140" s="52">
        <v>252.57</v>
      </c>
      <c r="HU140" s="52">
        <v>115.8</v>
      </c>
      <c r="HV140" s="52">
        <v>178.48</v>
      </c>
      <c r="HW140" s="52">
        <v>123.3</v>
      </c>
      <c r="HX140" s="52">
        <v>120.47</v>
      </c>
      <c r="HY140" s="52">
        <v>218.92</v>
      </c>
      <c r="HZ140" s="52">
        <v>220.52</v>
      </c>
      <c r="IA140" s="52">
        <v>115.74</v>
      </c>
      <c r="IB140" s="52">
        <v>273.38</v>
      </c>
      <c r="IC140" s="52">
        <v>178.05</v>
      </c>
      <c r="ID140" s="52">
        <v>197.38</v>
      </c>
      <c r="IE140" s="52">
        <v>159.72999999999999</v>
      </c>
      <c r="IF140" s="52">
        <v>222.49</v>
      </c>
      <c r="IG140" s="52">
        <v>253.41</v>
      </c>
      <c r="IH140" s="52">
        <v>223.73</v>
      </c>
      <c r="II140" s="52">
        <v>372.22</v>
      </c>
      <c r="IJ140" s="52">
        <v>505.52</v>
      </c>
      <c r="IK140" s="52">
        <v>343.78</v>
      </c>
      <c r="IL140" s="52">
        <v>244.05</v>
      </c>
      <c r="IM140" s="52">
        <v>326.43</v>
      </c>
      <c r="IN140" s="52">
        <v>294.29000000000002</v>
      </c>
      <c r="IO140" s="52">
        <v>249.9</v>
      </c>
      <c r="IP140" s="52">
        <v>170.68</v>
      </c>
      <c r="IQ140" s="52">
        <v>273.95</v>
      </c>
      <c r="IR140" s="52">
        <v>367.36</v>
      </c>
      <c r="IS140" s="52">
        <v>355.48</v>
      </c>
      <c r="IT140" s="52">
        <v>38.86</v>
      </c>
      <c r="IU140" s="52">
        <v>144.59</v>
      </c>
      <c r="IV140" s="52">
        <v>39.61</v>
      </c>
      <c r="IW140" s="52">
        <v>99.92</v>
      </c>
      <c r="IX140" s="52">
        <v>168.86</v>
      </c>
      <c r="IY140" s="52">
        <v>237.13</v>
      </c>
      <c r="IZ140" s="52">
        <v>351.71</v>
      </c>
      <c r="JA140" s="52">
        <v>255.67</v>
      </c>
      <c r="JB140" s="52"/>
      <c r="JC140" s="52">
        <v>273.5</v>
      </c>
      <c r="JD140" s="52">
        <v>317.33</v>
      </c>
      <c r="JE140" s="52">
        <v>280.14</v>
      </c>
      <c r="JF140" s="52">
        <v>237.02</v>
      </c>
      <c r="JG140" s="52">
        <v>311.32</v>
      </c>
      <c r="JH140" s="52">
        <v>417.09</v>
      </c>
      <c r="JI140" s="52">
        <v>326.16000000000003</v>
      </c>
      <c r="JJ140" s="52">
        <v>250.39</v>
      </c>
      <c r="JK140" s="52">
        <v>336.63</v>
      </c>
      <c r="JL140" s="52">
        <v>340.95</v>
      </c>
      <c r="JM140" s="52">
        <v>312.27999999999997</v>
      </c>
      <c r="JN140" s="52">
        <v>229.52</v>
      </c>
      <c r="JO140" s="52">
        <v>205.83</v>
      </c>
      <c r="JP140" s="52">
        <v>431.71</v>
      </c>
      <c r="JQ140" s="52">
        <v>371.62</v>
      </c>
      <c r="JR140" s="52">
        <v>271.44</v>
      </c>
      <c r="JS140" s="52">
        <v>362.65</v>
      </c>
      <c r="JT140" s="52">
        <v>371.62</v>
      </c>
      <c r="JU140" s="52">
        <v>288.14</v>
      </c>
      <c r="JV140" s="52">
        <v>155.16999999999999</v>
      </c>
      <c r="JW140" s="52">
        <v>194.46</v>
      </c>
      <c r="JX140" s="52">
        <v>642.64</v>
      </c>
      <c r="JY140" s="52">
        <v>363.32</v>
      </c>
      <c r="JZ140" s="52">
        <v>313.70999999999998</v>
      </c>
      <c r="KA140" s="52">
        <v>320.77999999999997</v>
      </c>
      <c r="KB140" s="52">
        <v>258.88</v>
      </c>
      <c r="KC140" s="52">
        <v>291.36</v>
      </c>
      <c r="KD140" s="52">
        <v>504.51</v>
      </c>
      <c r="KE140" s="52">
        <v>386.86</v>
      </c>
      <c r="KF140" s="52">
        <v>378.18</v>
      </c>
    </row>
    <row r="141" spans="1:292" s="41" customFormat="1" ht="12">
      <c r="A141" s="41">
        <v>2016</v>
      </c>
      <c r="B141" s="54" t="s">
        <v>983</v>
      </c>
      <c r="C141" s="50" t="s">
        <v>984</v>
      </c>
      <c r="D141" s="56">
        <v>276.42</v>
      </c>
      <c r="E141" s="56">
        <v>305.7</v>
      </c>
      <c r="F141" s="56">
        <v>483.88</v>
      </c>
      <c r="G141" s="56">
        <v>188.69</v>
      </c>
      <c r="H141" s="56">
        <v>315.33</v>
      </c>
      <c r="I141" s="56">
        <v>223.91</v>
      </c>
      <c r="J141" s="56">
        <v>168.68</v>
      </c>
      <c r="K141" s="56">
        <v>252.13</v>
      </c>
      <c r="L141" s="56">
        <v>128.57</v>
      </c>
      <c r="M141" s="56">
        <v>199.09</v>
      </c>
      <c r="N141" s="56">
        <v>272.37</v>
      </c>
      <c r="O141" s="56">
        <v>410.45</v>
      </c>
      <c r="P141" s="56">
        <v>330.59</v>
      </c>
      <c r="Q141" s="56">
        <v>308.42</v>
      </c>
      <c r="R141" s="56">
        <v>266.70999999999998</v>
      </c>
      <c r="S141" s="56">
        <v>551.15</v>
      </c>
      <c r="T141" s="56">
        <v>478.9</v>
      </c>
      <c r="U141" s="56">
        <v>180.76</v>
      </c>
      <c r="V141" s="56">
        <v>213.21</v>
      </c>
      <c r="W141" s="56">
        <v>374.64</v>
      </c>
      <c r="X141" s="56">
        <v>231.54</v>
      </c>
      <c r="Y141" s="56">
        <v>297.70999999999998</v>
      </c>
      <c r="Z141" s="56">
        <v>309.75</v>
      </c>
      <c r="AA141" s="56">
        <v>264.70999999999998</v>
      </c>
      <c r="AB141" s="56">
        <v>211.78</v>
      </c>
      <c r="AC141" s="56">
        <v>174.38</v>
      </c>
      <c r="AD141" s="56">
        <v>242.08</v>
      </c>
      <c r="AE141" s="56">
        <v>255.81</v>
      </c>
      <c r="AF141" s="56">
        <v>215.22</v>
      </c>
      <c r="AG141" s="56">
        <v>117.47</v>
      </c>
      <c r="AH141" s="56">
        <v>202.53</v>
      </c>
      <c r="AI141" s="56">
        <v>274.20999999999998</v>
      </c>
      <c r="AJ141" s="56">
        <v>194.82</v>
      </c>
      <c r="AK141" s="56">
        <v>256.27</v>
      </c>
      <c r="AL141" s="56">
        <v>306.08999999999997</v>
      </c>
      <c r="AM141" s="56">
        <v>355.48</v>
      </c>
      <c r="AN141" s="56">
        <v>39.32</v>
      </c>
      <c r="AO141" s="56">
        <v>144.79</v>
      </c>
      <c r="AP141" s="56">
        <v>66.099999999999994</v>
      </c>
      <c r="AQ141" s="56">
        <v>238.87</v>
      </c>
      <c r="AR141" s="56">
        <v>327.41000000000003</v>
      </c>
      <c r="AS141" s="56">
        <v>285.60000000000002</v>
      </c>
      <c r="AT141" s="56">
        <v>337.36</v>
      </c>
      <c r="AU141" s="56">
        <v>332.76</v>
      </c>
      <c r="AV141" s="56">
        <v>345.66</v>
      </c>
      <c r="AW141" s="56">
        <v>317.49</v>
      </c>
      <c r="AX141" s="56">
        <v>229.52</v>
      </c>
      <c r="AY141" s="56">
        <v>205.8</v>
      </c>
      <c r="AZ141" s="56">
        <v>415.36</v>
      </c>
      <c r="BA141" s="56">
        <v>303.54000000000002</v>
      </c>
      <c r="BB141" s="56">
        <v>225.13</v>
      </c>
      <c r="BC141" s="56">
        <v>558.73</v>
      </c>
      <c r="BD141" s="56">
        <v>320.94</v>
      </c>
      <c r="BE141" s="56">
        <v>464.23</v>
      </c>
      <c r="BF141" s="56">
        <v>386.86</v>
      </c>
      <c r="BG141" s="56">
        <v>378.26</v>
      </c>
      <c r="BH141" s="52">
        <v>316.14999999999998</v>
      </c>
      <c r="BI141" s="52">
        <v>336.44</v>
      </c>
      <c r="BJ141" s="52">
        <v>294.87</v>
      </c>
      <c r="BK141" s="52">
        <v>266.79000000000002</v>
      </c>
      <c r="BL141" s="52">
        <v>289.83999999999997</v>
      </c>
      <c r="BM141" s="52">
        <v>279.11</v>
      </c>
      <c r="BN141" s="52">
        <v>331.17</v>
      </c>
      <c r="BO141" s="52">
        <v>246.46</v>
      </c>
      <c r="BP141" s="52">
        <v>317.26</v>
      </c>
      <c r="BQ141" s="52">
        <v>329.81</v>
      </c>
      <c r="BR141" s="52">
        <v>222.18</v>
      </c>
      <c r="BS141" s="52">
        <v>599.14</v>
      </c>
      <c r="BT141" s="52">
        <v>327.04000000000002</v>
      </c>
      <c r="BU141" s="52">
        <v>522.66</v>
      </c>
      <c r="BV141" s="52">
        <v>478.9</v>
      </c>
      <c r="BW141" s="52">
        <v>177.73</v>
      </c>
      <c r="BX141" s="52">
        <v>209.51</v>
      </c>
      <c r="BY141" s="52">
        <v>285.3</v>
      </c>
      <c r="BZ141" s="52">
        <v>212.55</v>
      </c>
      <c r="CA141" s="52">
        <v>323.61</v>
      </c>
      <c r="CB141" s="53">
        <v>374.64</v>
      </c>
      <c r="CC141" s="52">
        <v>231.54</v>
      </c>
      <c r="CD141" s="52">
        <v>296.57</v>
      </c>
      <c r="CE141" s="52">
        <v>268.58</v>
      </c>
      <c r="CF141" s="52">
        <v>329.43</v>
      </c>
      <c r="CG141" s="52">
        <v>307.33</v>
      </c>
      <c r="CH141" s="52">
        <v>272.24</v>
      </c>
      <c r="CI141" s="52">
        <v>237.38</v>
      </c>
      <c r="CJ141" s="52">
        <v>211.78</v>
      </c>
      <c r="CK141" s="52">
        <v>157.97</v>
      </c>
      <c r="CL141" s="52">
        <v>188.3</v>
      </c>
      <c r="CM141" s="52">
        <v>381.43</v>
      </c>
      <c r="CN141" s="52">
        <v>242.08</v>
      </c>
      <c r="CO141" s="52">
        <v>255.81</v>
      </c>
      <c r="CP141" s="52">
        <v>165.95</v>
      </c>
      <c r="CQ141" s="52">
        <v>421.69</v>
      </c>
      <c r="CR141" s="52">
        <v>115.84</v>
      </c>
      <c r="CS141" s="52">
        <v>180.05</v>
      </c>
      <c r="CT141" s="52">
        <v>128.36000000000001</v>
      </c>
      <c r="CU141" s="52">
        <v>219.04</v>
      </c>
      <c r="CV141" s="52">
        <v>221.61</v>
      </c>
      <c r="CW141" s="52">
        <v>127.35</v>
      </c>
      <c r="CX141" s="52">
        <v>274.20999999999998</v>
      </c>
      <c r="CY141" s="52">
        <v>195.17</v>
      </c>
      <c r="CZ141" s="52">
        <v>161.16999999999999</v>
      </c>
      <c r="DA141" s="52">
        <v>228.7</v>
      </c>
      <c r="DB141" s="52">
        <v>253.65</v>
      </c>
      <c r="DC141" s="52">
        <v>226.23</v>
      </c>
      <c r="DD141" s="52">
        <v>373.32</v>
      </c>
      <c r="DE141" s="52">
        <v>506.45</v>
      </c>
      <c r="DF141" s="52">
        <v>306.07</v>
      </c>
      <c r="DG141" s="52">
        <v>309.35000000000002</v>
      </c>
      <c r="DH141" s="52">
        <v>184.6</v>
      </c>
      <c r="DI141" s="52">
        <v>273.95</v>
      </c>
      <c r="DJ141" s="52">
        <v>372.93</v>
      </c>
      <c r="DK141" s="52">
        <v>355.48</v>
      </c>
      <c r="DL141" s="52">
        <v>39.32</v>
      </c>
      <c r="DM141" s="52">
        <v>144.79</v>
      </c>
      <c r="DN141" s="52">
        <v>39.58</v>
      </c>
      <c r="DO141" s="52">
        <v>97.16</v>
      </c>
      <c r="DP141" s="52">
        <v>169.74</v>
      </c>
      <c r="DQ141" s="52">
        <v>238.87</v>
      </c>
      <c r="DR141" s="52">
        <v>353.25</v>
      </c>
      <c r="DS141" s="52">
        <v>261.58</v>
      </c>
      <c r="DT141" s="52"/>
      <c r="DU141" s="52">
        <v>276.12</v>
      </c>
      <c r="DV141" s="52">
        <v>329.35</v>
      </c>
      <c r="DW141" s="52">
        <v>245.98</v>
      </c>
      <c r="DX141" s="52">
        <v>311.32</v>
      </c>
      <c r="DY141" s="52">
        <v>435.31</v>
      </c>
      <c r="DZ141" s="52">
        <v>326.16000000000003</v>
      </c>
      <c r="EA141" s="52">
        <v>252.92</v>
      </c>
      <c r="EB141" s="52">
        <v>332.76</v>
      </c>
      <c r="EC141" s="52">
        <v>345.66</v>
      </c>
      <c r="ED141" s="52">
        <v>317.49</v>
      </c>
      <c r="EE141" s="52">
        <v>229.52</v>
      </c>
      <c r="EF141" s="52">
        <v>205.8</v>
      </c>
      <c r="EG141" s="52">
        <v>415.36</v>
      </c>
      <c r="EH141" s="52">
        <v>303.54000000000002</v>
      </c>
      <c r="EI141" s="52">
        <v>331.68</v>
      </c>
      <c r="EJ141" s="52">
        <v>154.93</v>
      </c>
      <c r="EK141" s="52">
        <v>195.21</v>
      </c>
      <c r="EL141" s="52">
        <v>629.32000000000005</v>
      </c>
      <c r="EM141" s="52">
        <v>347.27</v>
      </c>
      <c r="EN141" s="52">
        <v>320.94</v>
      </c>
      <c r="EO141" s="52">
        <v>262.12</v>
      </c>
      <c r="EP141" s="52">
        <v>300.79000000000002</v>
      </c>
      <c r="EQ141" s="52">
        <v>521.92999999999995</v>
      </c>
      <c r="ER141" s="52">
        <v>386.86</v>
      </c>
      <c r="ES141" s="52">
        <v>378.26</v>
      </c>
      <c r="ET141" s="52">
        <v>324.63</v>
      </c>
      <c r="EU141" s="52">
        <v>286.27999999999997</v>
      </c>
      <c r="EV141" s="52">
        <v>339.71</v>
      </c>
      <c r="EW141" s="52">
        <v>277.85000000000002</v>
      </c>
      <c r="EX141" s="52">
        <v>285.66000000000003</v>
      </c>
      <c r="EY141" s="52">
        <v>190.8</v>
      </c>
      <c r="EZ141" s="52">
        <v>357.42</v>
      </c>
      <c r="FA141" s="52">
        <v>360.65</v>
      </c>
      <c r="FB141" s="52">
        <v>266.54000000000002</v>
      </c>
      <c r="FC141" s="52">
        <v>428.31</v>
      </c>
      <c r="FD141" s="52">
        <v>301.32</v>
      </c>
      <c r="FE141" s="52">
        <v>294.87</v>
      </c>
      <c r="FF141" s="52"/>
      <c r="FG141" s="52">
        <v>216.54</v>
      </c>
      <c r="FH141" s="52">
        <v>218.5</v>
      </c>
      <c r="FI141" s="52">
        <v>300.58999999999997</v>
      </c>
      <c r="FJ141" s="52">
        <v>322.32</v>
      </c>
      <c r="FK141" s="52">
        <v>401.1</v>
      </c>
      <c r="FL141" s="52">
        <v>198.17</v>
      </c>
      <c r="FM141" s="52">
        <v>289.33</v>
      </c>
      <c r="FN141" s="52">
        <v>237.36</v>
      </c>
      <c r="FO141" s="52">
        <v>498.42</v>
      </c>
      <c r="FP141" s="52">
        <v>319.83</v>
      </c>
      <c r="FQ141" s="52">
        <v>274.39</v>
      </c>
      <c r="FR141" s="52">
        <v>495.23</v>
      </c>
      <c r="FS141" s="52">
        <v>321.60000000000002</v>
      </c>
      <c r="FT141" s="52">
        <v>222.85</v>
      </c>
      <c r="FU141" s="52">
        <v>346.38</v>
      </c>
      <c r="FV141" s="52">
        <v>245.84</v>
      </c>
      <c r="FW141" s="52">
        <v>188.66</v>
      </c>
      <c r="FX141" s="52">
        <v>317.26</v>
      </c>
      <c r="FY141" s="52">
        <v>319.33999999999997</v>
      </c>
      <c r="FZ141" s="52">
        <v>333.06</v>
      </c>
      <c r="GA141" s="52">
        <v>244.62</v>
      </c>
      <c r="GB141" s="52">
        <v>230.74</v>
      </c>
      <c r="GC141" s="52">
        <v>224.13</v>
      </c>
      <c r="GD141" s="52">
        <v>197.74</v>
      </c>
      <c r="GE141" s="52">
        <v>599.14</v>
      </c>
      <c r="GF141" s="52">
        <v>327.04000000000002</v>
      </c>
      <c r="GG141" s="52">
        <v>522.66</v>
      </c>
      <c r="GH141" s="52">
        <v>478.1</v>
      </c>
      <c r="GI141" s="52">
        <v>191.23</v>
      </c>
      <c r="GJ141" s="52">
        <v>169.72</v>
      </c>
      <c r="GK141" s="52">
        <v>165.43</v>
      </c>
      <c r="GL141" s="52">
        <v>222.54</v>
      </c>
      <c r="GM141" s="52">
        <v>209.51</v>
      </c>
      <c r="GN141" s="52">
        <v>285.3</v>
      </c>
      <c r="GO141" s="52">
        <v>215.12</v>
      </c>
      <c r="GP141" s="52">
        <v>208.91</v>
      </c>
      <c r="GQ141" s="52">
        <v>214.56</v>
      </c>
      <c r="GR141" s="52">
        <v>323.61</v>
      </c>
      <c r="GS141" s="52">
        <v>374.64</v>
      </c>
      <c r="GT141" s="52">
        <v>231.54</v>
      </c>
      <c r="GU141" s="52">
        <v>296.57</v>
      </c>
      <c r="GV141" s="52">
        <v>268.58</v>
      </c>
      <c r="GW141" s="52">
        <v>323.61</v>
      </c>
      <c r="GX141" s="52">
        <v>300.99</v>
      </c>
      <c r="GY141" s="52">
        <v>307.33</v>
      </c>
      <c r="GZ141" s="52">
        <v>321.99</v>
      </c>
      <c r="HA141" s="52">
        <v>258.70999999999998</v>
      </c>
      <c r="HB141" s="52">
        <v>273.91000000000003</v>
      </c>
      <c r="HC141" s="52">
        <v>237.38</v>
      </c>
      <c r="HD141" s="52">
        <v>211.78</v>
      </c>
      <c r="HE141" s="52">
        <v>131.47999999999999</v>
      </c>
      <c r="HF141" s="52">
        <v>150.57</v>
      </c>
      <c r="HG141" s="52">
        <v>183.24</v>
      </c>
      <c r="HH141" s="52">
        <v>207.25</v>
      </c>
      <c r="HI141" s="52">
        <v>111.86</v>
      </c>
      <c r="HJ141" s="52">
        <v>188.3</v>
      </c>
      <c r="HK141" s="52">
        <v>381.43</v>
      </c>
      <c r="HL141" s="52">
        <v>208.55</v>
      </c>
      <c r="HM141" s="52">
        <v>260.87</v>
      </c>
      <c r="HN141" s="52">
        <v>268.97000000000003</v>
      </c>
      <c r="HO141" s="52">
        <v>235.04</v>
      </c>
      <c r="HP141" s="52">
        <v>268.10000000000002</v>
      </c>
      <c r="HQ141" s="52">
        <v>155.79</v>
      </c>
      <c r="HR141" s="52">
        <v>241.45</v>
      </c>
      <c r="HS141" s="52">
        <v>430.48</v>
      </c>
      <c r="HT141" s="52">
        <v>253.91</v>
      </c>
      <c r="HU141" s="52">
        <v>115.84</v>
      </c>
      <c r="HV141" s="52">
        <v>180.05</v>
      </c>
      <c r="HW141" s="52">
        <v>126.98</v>
      </c>
      <c r="HX141" s="52">
        <v>122.26</v>
      </c>
      <c r="HY141" s="52">
        <v>219.04</v>
      </c>
      <c r="HZ141" s="52">
        <v>221.61</v>
      </c>
      <c r="IA141" s="52">
        <v>116.33</v>
      </c>
      <c r="IB141" s="52">
        <v>274.20999999999998</v>
      </c>
      <c r="IC141" s="52">
        <v>177.86</v>
      </c>
      <c r="ID141" s="52">
        <v>197.46</v>
      </c>
      <c r="IE141" s="52">
        <v>161.16999999999999</v>
      </c>
      <c r="IF141" s="52">
        <v>228.7</v>
      </c>
      <c r="IG141" s="52">
        <v>253.65</v>
      </c>
      <c r="IH141" s="52">
        <v>226.23</v>
      </c>
      <c r="II141" s="52">
        <v>373.32</v>
      </c>
      <c r="IJ141" s="52">
        <v>506.45</v>
      </c>
      <c r="IK141" s="52">
        <v>343.78</v>
      </c>
      <c r="IL141" s="52">
        <v>244.05</v>
      </c>
      <c r="IM141" s="52">
        <v>326.99</v>
      </c>
      <c r="IN141" s="52">
        <v>293.99</v>
      </c>
      <c r="IO141" s="52">
        <v>251.47</v>
      </c>
      <c r="IP141" s="52">
        <v>184.6</v>
      </c>
      <c r="IQ141" s="52">
        <v>273.95</v>
      </c>
      <c r="IR141" s="52">
        <v>372.93</v>
      </c>
      <c r="IS141" s="52">
        <v>355.48</v>
      </c>
      <c r="IT141" s="52">
        <v>39.32</v>
      </c>
      <c r="IU141" s="52">
        <v>144.79</v>
      </c>
      <c r="IV141" s="52">
        <v>39.590000000000003</v>
      </c>
      <c r="IW141" s="52">
        <v>97.16</v>
      </c>
      <c r="IX141" s="52">
        <v>169.74</v>
      </c>
      <c r="IY141" s="52">
        <v>238.87</v>
      </c>
      <c r="IZ141" s="52">
        <v>353.25</v>
      </c>
      <c r="JA141" s="52">
        <v>261.58</v>
      </c>
      <c r="JB141" s="52"/>
      <c r="JC141" s="52">
        <v>276.12</v>
      </c>
      <c r="JD141" s="52">
        <v>329.35</v>
      </c>
      <c r="JE141" s="52">
        <v>284.04000000000002</v>
      </c>
      <c r="JF141" s="52">
        <v>236.55</v>
      </c>
      <c r="JG141" s="52">
        <v>311.32</v>
      </c>
      <c r="JH141" s="52">
        <v>435.31</v>
      </c>
      <c r="JI141" s="52">
        <v>326.16000000000003</v>
      </c>
      <c r="JJ141" s="52">
        <v>252.92</v>
      </c>
      <c r="JK141" s="52">
        <v>332.76</v>
      </c>
      <c r="JL141" s="52">
        <v>345.66</v>
      </c>
      <c r="JM141" s="52">
        <v>317.49</v>
      </c>
      <c r="JN141" s="52">
        <v>229.52</v>
      </c>
      <c r="JO141" s="52">
        <v>205.8</v>
      </c>
      <c r="JP141" s="52">
        <v>433.82</v>
      </c>
      <c r="JQ141" s="52">
        <v>373.64</v>
      </c>
      <c r="JR141" s="52">
        <v>271.70999999999998</v>
      </c>
      <c r="JS141" s="52">
        <v>362.47</v>
      </c>
      <c r="JT141" s="52">
        <v>374.87</v>
      </c>
      <c r="JU141" s="52">
        <v>290.51</v>
      </c>
      <c r="JV141" s="52">
        <v>154.93</v>
      </c>
      <c r="JW141" s="52">
        <v>195.21</v>
      </c>
      <c r="JX141" s="52">
        <v>629.32000000000005</v>
      </c>
      <c r="JY141" s="52">
        <v>365.15</v>
      </c>
      <c r="JZ141" s="52">
        <v>314.31</v>
      </c>
      <c r="KA141" s="52">
        <v>320.94</v>
      </c>
      <c r="KB141" s="52">
        <v>262.12</v>
      </c>
      <c r="KC141" s="52">
        <v>300.79000000000002</v>
      </c>
      <c r="KD141" s="52">
        <v>521.92999999999995</v>
      </c>
      <c r="KE141" s="52">
        <v>386.86</v>
      </c>
      <c r="KF141" s="52">
        <v>378.26</v>
      </c>
    </row>
    <row r="142" spans="1:292" s="41" customFormat="1" ht="12">
      <c r="A142" s="41">
        <v>2016</v>
      </c>
      <c r="B142" s="54" t="s">
        <v>985</v>
      </c>
      <c r="C142" s="50" t="s">
        <v>986</v>
      </c>
      <c r="D142" s="56">
        <v>278.02</v>
      </c>
      <c r="E142" s="56">
        <v>300.69</v>
      </c>
      <c r="F142" s="56">
        <v>483.73</v>
      </c>
      <c r="G142" s="56">
        <v>203.87</v>
      </c>
      <c r="H142" s="56">
        <v>316.52999999999997</v>
      </c>
      <c r="I142" s="56">
        <v>223.29</v>
      </c>
      <c r="J142" s="56">
        <v>169.1</v>
      </c>
      <c r="K142" s="56">
        <v>254.9</v>
      </c>
      <c r="L142" s="56">
        <v>129.75</v>
      </c>
      <c r="M142" s="56">
        <v>200.9</v>
      </c>
      <c r="N142" s="56">
        <v>275.20999999999998</v>
      </c>
      <c r="O142" s="56">
        <v>412.54</v>
      </c>
      <c r="P142" s="56">
        <v>333.72</v>
      </c>
      <c r="Q142" s="56">
        <v>302.8</v>
      </c>
      <c r="R142" s="56">
        <v>268.18</v>
      </c>
      <c r="S142" s="56">
        <v>548.74</v>
      </c>
      <c r="T142" s="56">
        <v>478.9</v>
      </c>
      <c r="U142" s="56">
        <v>197.63</v>
      </c>
      <c r="V142" s="56">
        <v>221.48</v>
      </c>
      <c r="W142" s="56">
        <v>377.52</v>
      </c>
      <c r="X142" s="56">
        <v>233.28</v>
      </c>
      <c r="Y142" s="56">
        <v>298.97000000000003</v>
      </c>
      <c r="Z142" s="56">
        <v>309.64999999999998</v>
      </c>
      <c r="AA142" s="56">
        <v>263.69</v>
      </c>
      <c r="AB142" s="56">
        <v>212.39</v>
      </c>
      <c r="AC142" s="56">
        <v>172.64</v>
      </c>
      <c r="AD142" s="56">
        <v>243.38</v>
      </c>
      <c r="AE142" s="56">
        <v>257.61</v>
      </c>
      <c r="AF142" s="56">
        <v>215.59</v>
      </c>
      <c r="AG142" s="56">
        <v>117.74</v>
      </c>
      <c r="AH142" s="56">
        <v>202.89</v>
      </c>
      <c r="AI142" s="56">
        <v>275.57</v>
      </c>
      <c r="AJ142" s="56">
        <v>195.09</v>
      </c>
      <c r="AK142" s="56">
        <v>262.95</v>
      </c>
      <c r="AL142" s="56">
        <v>306.85000000000002</v>
      </c>
      <c r="AM142" s="56">
        <v>355.48</v>
      </c>
      <c r="AN142" s="56">
        <v>39.22</v>
      </c>
      <c r="AO142" s="56">
        <v>146.41</v>
      </c>
      <c r="AP142" s="56">
        <v>65.47</v>
      </c>
      <c r="AQ142" s="56">
        <v>240.09</v>
      </c>
      <c r="AR142" s="56">
        <v>327.42</v>
      </c>
      <c r="AS142" s="56">
        <v>284.17</v>
      </c>
      <c r="AT142" s="56">
        <v>333.37</v>
      </c>
      <c r="AU142" s="56">
        <v>369.59</v>
      </c>
      <c r="AV142" s="56">
        <v>350.26</v>
      </c>
      <c r="AW142" s="56">
        <v>323.83999999999997</v>
      </c>
      <c r="AX142" s="56">
        <v>229.52</v>
      </c>
      <c r="AY142" s="56">
        <v>207.28</v>
      </c>
      <c r="AZ142" s="56">
        <v>417.84</v>
      </c>
      <c r="BA142" s="56">
        <v>302.88</v>
      </c>
      <c r="BB142" s="56">
        <v>225.62</v>
      </c>
      <c r="BC142" s="56">
        <v>579.21</v>
      </c>
      <c r="BD142" s="56">
        <v>320.08999999999997</v>
      </c>
      <c r="BE142" s="56">
        <v>467.61</v>
      </c>
      <c r="BF142" s="56">
        <v>386.86</v>
      </c>
      <c r="BG142" s="56">
        <v>378.36</v>
      </c>
      <c r="BH142" s="52">
        <v>317.16000000000003</v>
      </c>
      <c r="BI142" s="52">
        <v>339.87</v>
      </c>
      <c r="BJ142" s="52">
        <v>314.27999999999997</v>
      </c>
      <c r="BK142" s="52">
        <v>263.92</v>
      </c>
      <c r="BL142" s="52">
        <v>289.88</v>
      </c>
      <c r="BM142" s="52">
        <v>290.60000000000002</v>
      </c>
      <c r="BN142" s="52">
        <v>279.18</v>
      </c>
      <c r="BO142" s="52">
        <v>247.26</v>
      </c>
      <c r="BP142" s="52">
        <v>319.26</v>
      </c>
      <c r="BQ142" s="52">
        <v>332.19</v>
      </c>
      <c r="BR142" s="52">
        <v>223.13</v>
      </c>
      <c r="BS142" s="52">
        <v>598.83000000000004</v>
      </c>
      <c r="BT142" s="52">
        <v>327.45999999999998</v>
      </c>
      <c r="BU142" s="52">
        <v>518.03</v>
      </c>
      <c r="BV142" s="52">
        <v>478.9</v>
      </c>
      <c r="BW142" s="52">
        <v>195.53</v>
      </c>
      <c r="BX142" s="52">
        <v>212.79</v>
      </c>
      <c r="BY142" s="52">
        <v>285.19</v>
      </c>
      <c r="BZ142" s="52">
        <v>220.85</v>
      </c>
      <c r="CA142" s="52">
        <v>324.32</v>
      </c>
      <c r="CB142" s="53">
        <v>377.52</v>
      </c>
      <c r="CC142" s="52">
        <v>233.28</v>
      </c>
      <c r="CD142" s="52">
        <v>297.83</v>
      </c>
      <c r="CE142" s="52">
        <v>268.58</v>
      </c>
      <c r="CF142" s="52">
        <v>330.07</v>
      </c>
      <c r="CG142" s="52">
        <v>305.64999999999998</v>
      </c>
      <c r="CH142" s="52">
        <v>270.92</v>
      </c>
      <c r="CI142" s="52">
        <v>238.82</v>
      </c>
      <c r="CJ142" s="52">
        <v>212.39</v>
      </c>
      <c r="CK142" s="52">
        <v>156.11000000000001</v>
      </c>
      <c r="CL142" s="52">
        <v>188.37</v>
      </c>
      <c r="CM142" s="52">
        <v>382.16</v>
      </c>
      <c r="CN142" s="52">
        <v>243.38</v>
      </c>
      <c r="CO142" s="52">
        <v>257.61</v>
      </c>
      <c r="CP142" s="52">
        <v>165.89</v>
      </c>
      <c r="CQ142" s="52">
        <v>423.86</v>
      </c>
      <c r="CR142" s="52">
        <v>115.84</v>
      </c>
      <c r="CS142" s="52">
        <v>183.24</v>
      </c>
      <c r="CT142" s="52">
        <v>128.75</v>
      </c>
      <c r="CU142" s="52">
        <v>219.22</v>
      </c>
      <c r="CV142" s="52">
        <v>221.99</v>
      </c>
      <c r="CW142" s="52">
        <v>127.79</v>
      </c>
      <c r="CX142" s="52">
        <v>275.57</v>
      </c>
      <c r="CY142" s="52">
        <v>195.31</v>
      </c>
      <c r="CZ142" s="52">
        <v>162.59</v>
      </c>
      <c r="DA142" s="52">
        <v>234.95</v>
      </c>
      <c r="DB142" s="52">
        <v>253.46</v>
      </c>
      <c r="DC142" s="52">
        <v>233.97</v>
      </c>
      <c r="DD142" s="52">
        <v>375.69</v>
      </c>
      <c r="DE142" s="52">
        <v>509.52</v>
      </c>
      <c r="DF142" s="52">
        <v>306.07</v>
      </c>
      <c r="DG142" s="52">
        <v>309.66000000000003</v>
      </c>
      <c r="DH142" s="52">
        <v>187.24</v>
      </c>
      <c r="DI142" s="52">
        <v>273.95</v>
      </c>
      <c r="DJ142" s="52">
        <v>374.86</v>
      </c>
      <c r="DK142" s="52">
        <v>355.48</v>
      </c>
      <c r="DL142" s="52">
        <v>39.22</v>
      </c>
      <c r="DM142" s="52">
        <v>146.41</v>
      </c>
      <c r="DN142" s="52">
        <v>39.049999999999997</v>
      </c>
      <c r="DO142" s="52">
        <v>95.97</v>
      </c>
      <c r="DP142" s="52">
        <v>169.74</v>
      </c>
      <c r="DQ142" s="52">
        <v>240.09</v>
      </c>
      <c r="DR142" s="52">
        <v>350.94</v>
      </c>
      <c r="DS142" s="52">
        <v>265.67</v>
      </c>
      <c r="DT142" s="52"/>
      <c r="DU142" s="52">
        <v>276.39999999999998</v>
      </c>
      <c r="DV142" s="52">
        <v>325.77999999999997</v>
      </c>
      <c r="DW142" s="52">
        <v>246.41</v>
      </c>
      <c r="DX142" s="52">
        <v>311.32</v>
      </c>
      <c r="DY142" s="52">
        <v>423.32</v>
      </c>
      <c r="DZ142" s="52">
        <v>326.16000000000003</v>
      </c>
      <c r="EA142" s="52">
        <v>254.36</v>
      </c>
      <c r="EB142" s="52">
        <v>369.59</v>
      </c>
      <c r="EC142" s="52">
        <v>350.26</v>
      </c>
      <c r="ED142" s="52">
        <v>323.83999999999997</v>
      </c>
      <c r="EE142" s="52">
        <v>229.52</v>
      </c>
      <c r="EF142" s="52">
        <v>207.28</v>
      </c>
      <c r="EG142" s="52">
        <v>417.84</v>
      </c>
      <c r="EH142" s="52">
        <v>302.88</v>
      </c>
      <c r="EI142" s="52">
        <v>334.01</v>
      </c>
      <c r="EJ142" s="52">
        <v>158.22999999999999</v>
      </c>
      <c r="EK142" s="52">
        <v>194.95</v>
      </c>
      <c r="EL142" s="52">
        <v>662.5</v>
      </c>
      <c r="EM142" s="52">
        <v>349.76</v>
      </c>
      <c r="EN142" s="52">
        <v>320.08999999999997</v>
      </c>
      <c r="EO142" s="52">
        <v>262.43</v>
      </c>
      <c r="EP142" s="52">
        <v>300.66000000000003</v>
      </c>
      <c r="EQ142" s="52">
        <v>526.84</v>
      </c>
      <c r="ER142" s="52">
        <v>386.86</v>
      </c>
      <c r="ES142" s="52">
        <v>378.36</v>
      </c>
      <c r="ET142" s="52">
        <v>321.63</v>
      </c>
      <c r="EU142" s="52">
        <v>286.52</v>
      </c>
      <c r="EV142" s="52">
        <v>340.9</v>
      </c>
      <c r="EW142" s="52">
        <v>279.14999999999998</v>
      </c>
      <c r="EX142" s="52">
        <v>290.82</v>
      </c>
      <c r="EY142" s="52">
        <v>192.33</v>
      </c>
      <c r="EZ142" s="52">
        <v>360.61</v>
      </c>
      <c r="FA142" s="52">
        <v>359.5</v>
      </c>
      <c r="FB142" s="52">
        <v>275.54000000000002</v>
      </c>
      <c r="FC142" s="52">
        <v>431.92</v>
      </c>
      <c r="FD142" s="52">
        <v>298.51</v>
      </c>
      <c r="FE142" s="52">
        <v>314.27999999999997</v>
      </c>
      <c r="FF142" s="52"/>
      <c r="FG142" s="52">
        <v>217.8</v>
      </c>
      <c r="FH142" s="52">
        <v>220.7</v>
      </c>
      <c r="FI142" s="52">
        <v>302.32</v>
      </c>
      <c r="FJ142" s="52">
        <v>291.67</v>
      </c>
      <c r="FK142" s="52">
        <v>397.27</v>
      </c>
      <c r="FL142" s="52">
        <v>198.04</v>
      </c>
      <c r="FM142" s="52">
        <v>290.02</v>
      </c>
      <c r="FN142" s="52">
        <v>251.09</v>
      </c>
      <c r="FO142" s="52">
        <v>496.93</v>
      </c>
      <c r="FP142" s="52">
        <v>246.85</v>
      </c>
      <c r="FQ142" s="52">
        <v>235.44</v>
      </c>
      <c r="FR142" s="52">
        <v>494.24</v>
      </c>
      <c r="FS142" s="52">
        <v>326.39999999999998</v>
      </c>
      <c r="FT142" s="52">
        <v>223.53</v>
      </c>
      <c r="FU142" s="52">
        <v>349.35</v>
      </c>
      <c r="FV142" s="52">
        <v>245.56</v>
      </c>
      <c r="FW142" s="52">
        <v>189.67</v>
      </c>
      <c r="FX142" s="52">
        <v>319.26</v>
      </c>
      <c r="FY142" s="52">
        <v>319.14</v>
      </c>
      <c r="FZ142" s="52">
        <v>336.01</v>
      </c>
      <c r="GA142" s="52">
        <v>244.05</v>
      </c>
      <c r="GB142" s="52">
        <v>233.61</v>
      </c>
      <c r="GC142" s="52">
        <v>223</v>
      </c>
      <c r="GD142" s="52">
        <v>199.31</v>
      </c>
      <c r="GE142" s="52">
        <v>598.83000000000004</v>
      </c>
      <c r="GF142" s="52">
        <v>327.45999999999998</v>
      </c>
      <c r="GG142" s="52">
        <v>518.03</v>
      </c>
      <c r="GH142" s="52">
        <v>478.1</v>
      </c>
      <c r="GI142" s="52">
        <v>208.96</v>
      </c>
      <c r="GJ142" s="52">
        <v>190.41</v>
      </c>
      <c r="GK142" s="52">
        <v>176.22</v>
      </c>
      <c r="GL142" s="52">
        <v>226.66</v>
      </c>
      <c r="GM142" s="52">
        <v>212.79</v>
      </c>
      <c r="GN142" s="52">
        <v>285.19</v>
      </c>
      <c r="GO142" s="52">
        <v>222.08</v>
      </c>
      <c r="GP142" s="52">
        <v>218.47</v>
      </c>
      <c r="GQ142" s="52">
        <v>223.28</v>
      </c>
      <c r="GR142" s="52">
        <v>324.32</v>
      </c>
      <c r="GS142" s="52">
        <v>377.52</v>
      </c>
      <c r="GT142" s="52">
        <v>233.28</v>
      </c>
      <c r="GU142" s="52">
        <v>297.83</v>
      </c>
      <c r="GV142" s="52">
        <v>268.58</v>
      </c>
      <c r="GW142" s="52">
        <v>323.5</v>
      </c>
      <c r="GX142" s="52">
        <v>303.18</v>
      </c>
      <c r="GY142" s="52">
        <v>305.64999999999998</v>
      </c>
      <c r="GZ142" s="52">
        <v>323</v>
      </c>
      <c r="HA142" s="52">
        <v>257.91000000000003</v>
      </c>
      <c r="HB142" s="52">
        <v>271.43</v>
      </c>
      <c r="HC142" s="52">
        <v>238.82</v>
      </c>
      <c r="HD142" s="52">
        <v>212.39</v>
      </c>
      <c r="HE142" s="52">
        <v>129.11000000000001</v>
      </c>
      <c r="HF142" s="52">
        <v>147.84</v>
      </c>
      <c r="HG142" s="52">
        <v>178.55</v>
      </c>
      <c r="HH142" s="52">
        <v>207.59</v>
      </c>
      <c r="HI142" s="52">
        <v>112.39</v>
      </c>
      <c r="HJ142" s="52">
        <v>188.37</v>
      </c>
      <c r="HK142" s="52">
        <v>382.16</v>
      </c>
      <c r="HL142" s="52">
        <v>209.53</v>
      </c>
      <c r="HM142" s="52">
        <v>262.63</v>
      </c>
      <c r="HN142" s="52">
        <v>270.52</v>
      </c>
      <c r="HO142" s="52">
        <v>237.33</v>
      </c>
      <c r="HP142" s="52">
        <v>268.98</v>
      </c>
      <c r="HQ142" s="52">
        <v>155.47</v>
      </c>
      <c r="HR142" s="52">
        <v>243.09</v>
      </c>
      <c r="HS142" s="52">
        <v>432.69</v>
      </c>
      <c r="HT142" s="52">
        <v>255.23</v>
      </c>
      <c r="HU142" s="52">
        <v>115.84</v>
      </c>
      <c r="HV142" s="52">
        <v>183.24</v>
      </c>
      <c r="HW142" s="52">
        <v>127.09</v>
      </c>
      <c r="HX142" s="52">
        <v>123.23</v>
      </c>
      <c r="HY142" s="52">
        <v>219.22</v>
      </c>
      <c r="HZ142" s="52">
        <v>221.99</v>
      </c>
      <c r="IA142" s="52">
        <v>116.74</v>
      </c>
      <c r="IB142" s="52">
        <v>275.57</v>
      </c>
      <c r="IC142" s="52">
        <v>178.28</v>
      </c>
      <c r="ID142" s="52">
        <v>197.08</v>
      </c>
      <c r="IE142" s="52">
        <v>162.59</v>
      </c>
      <c r="IF142" s="52">
        <v>234.95</v>
      </c>
      <c r="IG142" s="52">
        <v>253.46</v>
      </c>
      <c r="IH142" s="52">
        <v>233.97</v>
      </c>
      <c r="II142" s="52">
        <v>375.69</v>
      </c>
      <c r="IJ142" s="52">
        <v>509.52</v>
      </c>
      <c r="IK142" s="52">
        <v>343.78</v>
      </c>
      <c r="IL142" s="52">
        <v>244.05</v>
      </c>
      <c r="IM142" s="52">
        <v>327.08999999999997</v>
      </c>
      <c r="IN142" s="52">
        <v>293.99</v>
      </c>
      <c r="IO142" s="52">
        <v>252.43</v>
      </c>
      <c r="IP142" s="52">
        <v>187.24</v>
      </c>
      <c r="IQ142" s="52">
        <v>273.95</v>
      </c>
      <c r="IR142" s="52">
        <v>374.86</v>
      </c>
      <c r="IS142" s="52">
        <v>355.48</v>
      </c>
      <c r="IT142" s="52">
        <v>39.22</v>
      </c>
      <c r="IU142" s="52">
        <v>146.41</v>
      </c>
      <c r="IV142" s="52">
        <v>39.06</v>
      </c>
      <c r="IW142" s="52">
        <v>95.97</v>
      </c>
      <c r="IX142" s="52">
        <v>169.74</v>
      </c>
      <c r="IY142" s="52">
        <v>240.09</v>
      </c>
      <c r="IZ142" s="52">
        <v>350.94</v>
      </c>
      <c r="JA142" s="52">
        <v>265.67</v>
      </c>
      <c r="JB142" s="52"/>
      <c r="JC142" s="52">
        <v>276.39999999999998</v>
      </c>
      <c r="JD142" s="52">
        <v>325.77999999999997</v>
      </c>
      <c r="JE142" s="52">
        <v>284.75</v>
      </c>
      <c r="JF142" s="52">
        <v>236.95</v>
      </c>
      <c r="JG142" s="52">
        <v>311.32</v>
      </c>
      <c r="JH142" s="52">
        <v>423.32</v>
      </c>
      <c r="JI142" s="52">
        <v>326.16000000000003</v>
      </c>
      <c r="JJ142" s="52">
        <v>254.36</v>
      </c>
      <c r="JK142" s="52">
        <v>369.59</v>
      </c>
      <c r="JL142" s="52">
        <v>350.26</v>
      </c>
      <c r="JM142" s="52">
        <v>323.83999999999997</v>
      </c>
      <c r="JN142" s="52">
        <v>229.52</v>
      </c>
      <c r="JO142" s="52">
        <v>207.28</v>
      </c>
      <c r="JP142" s="52">
        <v>436.15</v>
      </c>
      <c r="JQ142" s="52">
        <v>376.8</v>
      </c>
      <c r="JR142" s="52">
        <v>270.88</v>
      </c>
      <c r="JS142" s="52">
        <v>362.47</v>
      </c>
      <c r="JT142" s="52">
        <v>377.09</v>
      </c>
      <c r="JU142" s="52">
        <v>292.86</v>
      </c>
      <c r="JV142" s="52">
        <v>158.22999999999999</v>
      </c>
      <c r="JW142" s="52">
        <v>194.95</v>
      </c>
      <c r="JX142" s="52">
        <v>662.5</v>
      </c>
      <c r="JY142" s="52">
        <v>367.69</v>
      </c>
      <c r="JZ142" s="52">
        <v>316.7</v>
      </c>
      <c r="KA142" s="52">
        <v>320.08999999999997</v>
      </c>
      <c r="KB142" s="52">
        <v>262.43</v>
      </c>
      <c r="KC142" s="52">
        <v>300.66000000000003</v>
      </c>
      <c r="KD142" s="52">
        <v>526.84</v>
      </c>
      <c r="KE142" s="52">
        <v>386.86</v>
      </c>
      <c r="KF142" s="52">
        <v>378.36</v>
      </c>
    </row>
    <row r="143" spans="1:292" s="41" customFormat="1" ht="12">
      <c r="A143" s="41">
        <v>2016</v>
      </c>
      <c r="B143" s="54" t="s">
        <v>987</v>
      </c>
      <c r="C143" s="50" t="s">
        <v>988</v>
      </c>
      <c r="D143" s="56">
        <v>279.33</v>
      </c>
      <c r="E143" s="56">
        <v>304.18</v>
      </c>
      <c r="F143" s="56">
        <v>483.72</v>
      </c>
      <c r="G143" s="56">
        <v>201.16</v>
      </c>
      <c r="H143" s="56">
        <v>318.01</v>
      </c>
      <c r="I143" s="56">
        <v>224.24</v>
      </c>
      <c r="J143" s="56">
        <v>170.35</v>
      </c>
      <c r="K143" s="56">
        <v>256.62</v>
      </c>
      <c r="L143" s="56">
        <v>130.06</v>
      </c>
      <c r="M143" s="56">
        <v>200.52</v>
      </c>
      <c r="N143" s="56">
        <v>277.82</v>
      </c>
      <c r="O143" s="56">
        <v>414.58</v>
      </c>
      <c r="P143" s="56">
        <v>334.75</v>
      </c>
      <c r="Q143" s="56">
        <v>306.54000000000002</v>
      </c>
      <c r="R143" s="56">
        <v>269.01</v>
      </c>
      <c r="S143" s="56">
        <v>548.59</v>
      </c>
      <c r="T143" s="56">
        <v>478.9</v>
      </c>
      <c r="U143" s="56">
        <v>195.03</v>
      </c>
      <c r="V143" s="56">
        <v>218.44</v>
      </c>
      <c r="W143" s="56">
        <v>380.66</v>
      </c>
      <c r="X143" s="56">
        <v>234.72</v>
      </c>
      <c r="Y143" s="56">
        <v>301.67</v>
      </c>
      <c r="Z143" s="56">
        <v>309.58</v>
      </c>
      <c r="AA143" s="56">
        <v>265.11</v>
      </c>
      <c r="AB143" s="56">
        <v>213.27</v>
      </c>
      <c r="AC143" s="56">
        <v>172.69</v>
      </c>
      <c r="AD143" s="56">
        <v>245.57</v>
      </c>
      <c r="AE143" s="56">
        <v>258.76</v>
      </c>
      <c r="AF143" s="56">
        <v>216.87</v>
      </c>
      <c r="AG143" s="56">
        <v>120</v>
      </c>
      <c r="AH143" s="56">
        <v>203.26</v>
      </c>
      <c r="AI143" s="56">
        <v>275.92</v>
      </c>
      <c r="AJ143" s="56">
        <v>197.42</v>
      </c>
      <c r="AK143" s="56">
        <v>264.19</v>
      </c>
      <c r="AL143" s="56">
        <v>307.85000000000002</v>
      </c>
      <c r="AM143" s="56">
        <v>411.61</v>
      </c>
      <c r="AN143" s="56">
        <v>38.42</v>
      </c>
      <c r="AO143" s="56">
        <v>147.28</v>
      </c>
      <c r="AP143" s="56">
        <v>65.02</v>
      </c>
      <c r="AQ143" s="56">
        <v>240.67</v>
      </c>
      <c r="AR143" s="56">
        <v>324.16000000000003</v>
      </c>
      <c r="AS143" s="56">
        <v>280.86</v>
      </c>
      <c r="AT143" s="56">
        <v>338.29</v>
      </c>
      <c r="AU143" s="56">
        <v>374.82</v>
      </c>
      <c r="AV143" s="56">
        <v>355.15</v>
      </c>
      <c r="AW143" s="56">
        <v>330.72</v>
      </c>
      <c r="AX143" s="56">
        <v>229.52</v>
      </c>
      <c r="AY143" s="56">
        <v>206.31</v>
      </c>
      <c r="AZ143" s="56">
        <v>421.08</v>
      </c>
      <c r="BA143" s="56">
        <v>297.31</v>
      </c>
      <c r="BB143" s="56">
        <v>226.96</v>
      </c>
      <c r="BC143" s="56">
        <v>579.59</v>
      </c>
      <c r="BD143" s="56">
        <v>323.07</v>
      </c>
      <c r="BE143" s="56">
        <v>462.42</v>
      </c>
      <c r="BF143" s="56">
        <v>386.86</v>
      </c>
      <c r="BG143" s="56">
        <v>378.44</v>
      </c>
      <c r="BH143" s="52">
        <v>318.3</v>
      </c>
      <c r="BI143" s="52">
        <v>343.52</v>
      </c>
      <c r="BJ143" s="52">
        <v>321.66000000000003</v>
      </c>
      <c r="BK143" s="52">
        <v>264.32</v>
      </c>
      <c r="BL143" s="52">
        <v>290.54000000000002</v>
      </c>
      <c r="BM143" s="52">
        <v>315.89</v>
      </c>
      <c r="BN143" s="52">
        <v>275.60000000000002</v>
      </c>
      <c r="BO143" s="52">
        <v>247.1</v>
      </c>
      <c r="BP143" s="52">
        <v>317.12</v>
      </c>
      <c r="BQ143" s="52">
        <v>332.24</v>
      </c>
      <c r="BR143" s="52">
        <v>224.29</v>
      </c>
      <c r="BS143" s="52">
        <v>598.76</v>
      </c>
      <c r="BT143" s="52">
        <v>326.7</v>
      </c>
      <c r="BU143" s="52">
        <v>517.97</v>
      </c>
      <c r="BV143" s="52">
        <v>478.9</v>
      </c>
      <c r="BW143" s="52">
        <v>192.84</v>
      </c>
      <c r="BX143" s="52">
        <v>210.35</v>
      </c>
      <c r="BY143" s="52">
        <v>285.93</v>
      </c>
      <c r="BZ143" s="52">
        <v>217.79</v>
      </c>
      <c r="CA143" s="52">
        <v>325.92</v>
      </c>
      <c r="CB143" s="53">
        <v>380.66</v>
      </c>
      <c r="CC143" s="52">
        <v>234.72</v>
      </c>
      <c r="CD143" s="52">
        <v>300.52</v>
      </c>
      <c r="CE143" s="52">
        <v>268.58</v>
      </c>
      <c r="CF143" s="52">
        <v>330.58</v>
      </c>
      <c r="CG143" s="52">
        <v>304.39</v>
      </c>
      <c r="CH143" s="52">
        <v>272.44</v>
      </c>
      <c r="CI143" s="52">
        <v>239.56</v>
      </c>
      <c r="CJ143" s="52">
        <v>213.27</v>
      </c>
      <c r="CK143" s="52">
        <v>156.15</v>
      </c>
      <c r="CL143" s="52">
        <v>188.86</v>
      </c>
      <c r="CM143" s="52">
        <v>381.35</v>
      </c>
      <c r="CN143" s="52">
        <v>245.57</v>
      </c>
      <c r="CO143" s="52">
        <v>258.76</v>
      </c>
      <c r="CP143" s="52">
        <v>166.98</v>
      </c>
      <c r="CQ143" s="52">
        <v>425.93</v>
      </c>
      <c r="CR143" s="52">
        <v>119.11</v>
      </c>
      <c r="CS143" s="52">
        <v>181.63</v>
      </c>
      <c r="CT143" s="52">
        <v>129.08000000000001</v>
      </c>
      <c r="CU143" s="52">
        <v>219.19</v>
      </c>
      <c r="CV143" s="52">
        <v>222.85</v>
      </c>
      <c r="CW143" s="52">
        <v>127.98</v>
      </c>
      <c r="CX143" s="52">
        <v>275.92</v>
      </c>
      <c r="CY143" s="52">
        <v>197.77</v>
      </c>
      <c r="CZ143" s="52">
        <v>162.69</v>
      </c>
      <c r="DA143" s="52">
        <v>235.75</v>
      </c>
      <c r="DB143" s="52">
        <v>254.44</v>
      </c>
      <c r="DC143" s="52">
        <v>236.52</v>
      </c>
      <c r="DD143" s="52">
        <v>366.28</v>
      </c>
      <c r="DE143" s="52">
        <v>512.04</v>
      </c>
      <c r="DF143" s="52">
        <v>306.07</v>
      </c>
      <c r="DG143" s="52">
        <v>310.8</v>
      </c>
      <c r="DH143" s="52">
        <v>186.85</v>
      </c>
      <c r="DI143" s="52">
        <v>274.48</v>
      </c>
      <c r="DJ143" s="52">
        <v>379.47</v>
      </c>
      <c r="DK143" s="52">
        <v>411.61</v>
      </c>
      <c r="DL143" s="52">
        <v>38.42</v>
      </c>
      <c r="DM143" s="52">
        <v>147.28</v>
      </c>
      <c r="DN143" s="52">
        <v>38.67</v>
      </c>
      <c r="DO143" s="52">
        <v>95.99</v>
      </c>
      <c r="DP143" s="52">
        <v>169.74</v>
      </c>
      <c r="DQ143" s="52">
        <v>240.67</v>
      </c>
      <c r="DR143" s="52">
        <v>345.98</v>
      </c>
      <c r="DS143" s="52">
        <v>265.07</v>
      </c>
      <c r="DT143" s="52"/>
      <c r="DU143" s="52">
        <v>277.3</v>
      </c>
      <c r="DV143" s="52">
        <v>318.95</v>
      </c>
      <c r="DW143" s="52">
        <v>246.05</v>
      </c>
      <c r="DX143" s="52">
        <v>311.32</v>
      </c>
      <c r="DY143" s="52">
        <v>425.79</v>
      </c>
      <c r="DZ143" s="52">
        <v>341.09</v>
      </c>
      <c r="EA143" s="52">
        <v>256.35000000000002</v>
      </c>
      <c r="EB143" s="52">
        <v>374.82</v>
      </c>
      <c r="EC143" s="52">
        <v>355.15</v>
      </c>
      <c r="ED143" s="52">
        <v>330.72</v>
      </c>
      <c r="EE143" s="52">
        <v>229.52</v>
      </c>
      <c r="EF143" s="52">
        <v>206.31</v>
      </c>
      <c r="EG143" s="52">
        <v>421.08</v>
      </c>
      <c r="EH143" s="52">
        <v>297.31</v>
      </c>
      <c r="EI143" s="52">
        <v>336.83</v>
      </c>
      <c r="EJ143" s="52">
        <v>159.66</v>
      </c>
      <c r="EK143" s="52">
        <v>195.78</v>
      </c>
      <c r="EL143" s="52">
        <v>661.16</v>
      </c>
      <c r="EM143" s="52">
        <v>351.8</v>
      </c>
      <c r="EN143" s="52">
        <v>323.07</v>
      </c>
      <c r="EO143" s="52">
        <v>262.18</v>
      </c>
      <c r="EP143" s="52">
        <v>296.11</v>
      </c>
      <c r="EQ143" s="52">
        <v>520.86</v>
      </c>
      <c r="ER143" s="52">
        <v>386.86</v>
      </c>
      <c r="ES143" s="52">
        <v>378.44</v>
      </c>
      <c r="ET143" s="52">
        <v>318.25</v>
      </c>
      <c r="EU143" s="52">
        <v>286.74</v>
      </c>
      <c r="EV143" s="52">
        <v>343.13</v>
      </c>
      <c r="EW143" s="52">
        <v>280.58</v>
      </c>
      <c r="EX143" s="52">
        <v>286.11</v>
      </c>
      <c r="EY143" s="52">
        <v>192.49</v>
      </c>
      <c r="EZ143" s="52">
        <v>364.11</v>
      </c>
      <c r="FA143" s="52">
        <v>363.78</v>
      </c>
      <c r="FB143" s="52">
        <v>279.63</v>
      </c>
      <c r="FC143" s="52">
        <v>430.48</v>
      </c>
      <c r="FD143" s="52">
        <v>300.24</v>
      </c>
      <c r="FE143" s="52">
        <v>321.66000000000003</v>
      </c>
      <c r="FF143" s="52"/>
      <c r="FG143" s="52">
        <v>217.64</v>
      </c>
      <c r="FH143" s="52">
        <v>220.09</v>
      </c>
      <c r="FI143" s="52">
        <v>299.29000000000002</v>
      </c>
      <c r="FJ143" s="52">
        <v>304.02</v>
      </c>
      <c r="FK143" s="52">
        <v>396.46</v>
      </c>
      <c r="FL143" s="52">
        <v>197.87</v>
      </c>
      <c r="FM143" s="52">
        <v>291.02</v>
      </c>
      <c r="FN143" s="52">
        <v>280.70999999999998</v>
      </c>
      <c r="FO143" s="52">
        <v>496.93</v>
      </c>
      <c r="FP143" s="52">
        <v>245.86</v>
      </c>
      <c r="FQ143" s="52">
        <v>200.47</v>
      </c>
      <c r="FR143" s="52">
        <v>491.43</v>
      </c>
      <c r="FS143" s="52">
        <v>325.44</v>
      </c>
      <c r="FT143" s="52">
        <v>223.5</v>
      </c>
      <c r="FU143" s="52">
        <v>346.3</v>
      </c>
      <c r="FV143" s="52">
        <v>247.13</v>
      </c>
      <c r="FW143" s="52">
        <v>188.67</v>
      </c>
      <c r="FX143" s="52">
        <v>317.12</v>
      </c>
      <c r="FY143" s="52">
        <v>316.58999999999997</v>
      </c>
      <c r="FZ143" s="52">
        <v>336.56</v>
      </c>
      <c r="GA143" s="52">
        <v>243.82</v>
      </c>
      <c r="GB143" s="52">
        <v>234.13</v>
      </c>
      <c r="GC143" s="52">
        <v>224.24</v>
      </c>
      <c r="GD143" s="52">
        <v>201.83</v>
      </c>
      <c r="GE143" s="52">
        <v>598.76</v>
      </c>
      <c r="GF143" s="52">
        <v>326.7</v>
      </c>
      <c r="GG143" s="52">
        <v>517.97</v>
      </c>
      <c r="GH143" s="52">
        <v>478.1</v>
      </c>
      <c r="GI143" s="52">
        <v>207.46</v>
      </c>
      <c r="GJ143" s="52">
        <v>186.38</v>
      </c>
      <c r="GK143" s="52">
        <v>174.75</v>
      </c>
      <c r="GL143" s="52">
        <v>224.65</v>
      </c>
      <c r="GM143" s="52">
        <v>210.35</v>
      </c>
      <c r="GN143" s="52">
        <v>285.93</v>
      </c>
      <c r="GO143" s="52">
        <v>218.32</v>
      </c>
      <c r="GP143" s="52">
        <v>216.37</v>
      </c>
      <c r="GQ143" s="52">
        <v>219.75</v>
      </c>
      <c r="GR143" s="52">
        <v>325.92</v>
      </c>
      <c r="GS143" s="52">
        <v>380.66</v>
      </c>
      <c r="GT143" s="52">
        <v>234.72</v>
      </c>
      <c r="GU143" s="52">
        <v>300.52</v>
      </c>
      <c r="GV143" s="52">
        <v>268.58</v>
      </c>
      <c r="GW143" s="52">
        <v>323.79000000000002</v>
      </c>
      <c r="GX143" s="52">
        <v>304.11</v>
      </c>
      <c r="GY143" s="52">
        <v>304.39</v>
      </c>
      <c r="GZ143" s="52">
        <v>323.92</v>
      </c>
      <c r="HA143" s="52">
        <v>256.08</v>
      </c>
      <c r="HB143" s="52">
        <v>275.70999999999998</v>
      </c>
      <c r="HC143" s="52">
        <v>239.56</v>
      </c>
      <c r="HD143" s="52">
        <v>213.27</v>
      </c>
      <c r="HE143" s="52">
        <v>129.9</v>
      </c>
      <c r="HF143" s="52">
        <v>146.28</v>
      </c>
      <c r="HG143" s="52">
        <v>178.79</v>
      </c>
      <c r="HH143" s="52">
        <v>207.54</v>
      </c>
      <c r="HI143" s="52">
        <v>114.15</v>
      </c>
      <c r="HJ143" s="52">
        <v>188.86</v>
      </c>
      <c r="HK143" s="52">
        <v>381.35</v>
      </c>
      <c r="HL143" s="52">
        <v>212.35</v>
      </c>
      <c r="HM143" s="52">
        <v>264.77999999999997</v>
      </c>
      <c r="HN143" s="52">
        <v>271.88</v>
      </c>
      <c r="HO143" s="52">
        <v>238.62</v>
      </c>
      <c r="HP143" s="52">
        <v>269.82</v>
      </c>
      <c r="HQ143" s="52">
        <v>156.94</v>
      </c>
      <c r="HR143" s="52">
        <v>241.75</v>
      </c>
      <c r="HS143" s="52">
        <v>434.88</v>
      </c>
      <c r="HT143" s="52">
        <v>256.01</v>
      </c>
      <c r="HU143" s="52">
        <v>119.11</v>
      </c>
      <c r="HV143" s="52">
        <v>181.63</v>
      </c>
      <c r="HW143" s="52">
        <v>127.14</v>
      </c>
      <c r="HX143" s="52">
        <v>124.16</v>
      </c>
      <c r="HY143" s="52">
        <v>219.19</v>
      </c>
      <c r="HZ143" s="52">
        <v>222.85</v>
      </c>
      <c r="IA143" s="52">
        <v>116.9</v>
      </c>
      <c r="IB143" s="52">
        <v>275.92</v>
      </c>
      <c r="IC143" s="52">
        <v>180.74</v>
      </c>
      <c r="ID143" s="52">
        <v>199.16</v>
      </c>
      <c r="IE143" s="52">
        <v>162.69</v>
      </c>
      <c r="IF143" s="52">
        <v>235.75</v>
      </c>
      <c r="IG143" s="52">
        <v>254.44</v>
      </c>
      <c r="IH143" s="52">
        <v>236.52</v>
      </c>
      <c r="II143" s="52">
        <v>366.28</v>
      </c>
      <c r="IJ143" s="52">
        <v>512.04</v>
      </c>
      <c r="IK143" s="52">
        <v>343.78</v>
      </c>
      <c r="IL143" s="52">
        <v>244.05</v>
      </c>
      <c r="IM143" s="52">
        <v>327.66000000000003</v>
      </c>
      <c r="IN143" s="52">
        <v>294.08999999999997</v>
      </c>
      <c r="IO143" s="52">
        <v>255.42</v>
      </c>
      <c r="IP143" s="52">
        <v>186.85</v>
      </c>
      <c r="IQ143" s="52">
        <v>274.48</v>
      </c>
      <c r="IR143" s="52">
        <v>379.47</v>
      </c>
      <c r="IS143" s="52">
        <v>411.61</v>
      </c>
      <c r="IT143" s="52">
        <v>38.42</v>
      </c>
      <c r="IU143" s="52">
        <v>147.28</v>
      </c>
      <c r="IV143" s="52">
        <v>38.68</v>
      </c>
      <c r="IW143" s="52">
        <v>95.99</v>
      </c>
      <c r="IX143" s="52">
        <v>169.74</v>
      </c>
      <c r="IY143" s="52">
        <v>240.67</v>
      </c>
      <c r="IZ143" s="52">
        <v>345.98</v>
      </c>
      <c r="JA143" s="52">
        <v>265.07</v>
      </c>
      <c r="JB143" s="52"/>
      <c r="JC143" s="52">
        <v>277.3</v>
      </c>
      <c r="JD143" s="52">
        <v>318.95</v>
      </c>
      <c r="JE143" s="52">
        <v>285.66000000000003</v>
      </c>
      <c r="JF143" s="52">
        <v>236.46</v>
      </c>
      <c r="JG143" s="52">
        <v>311.32</v>
      </c>
      <c r="JH143" s="52">
        <v>425.79</v>
      </c>
      <c r="JI143" s="52">
        <v>341.09</v>
      </c>
      <c r="JJ143" s="52">
        <v>256.35000000000002</v>
      </c>
      <c r="JK143" s="52">
        <v>374.82</v>
      </c>
      <c r="JL143" s="52">
        <v>355.15</v>
      </c>
      <c r="JM143" s="52">
        <v>330.72</v>
      </c>
      <c r="JN143" s="52">
        <v>229.52</v>
      </c>
      <c r="JO143" s="52">
        <v>206.31</v>
      </c>
      <c r="JP143" s="52">
        <v>439.37</v>
      </c>
      <c r="JQ143" s="52">
        <v>380.32</v>
      </c>
      <c r="JR143" s="52">
        <v>263.86</v>
      </c>
      <c r="JS143" s="52">
        <v>362.47</v>
      </c>
      <c r="JT143" s="52">
        <v>380.86</v>
      </c>
      <c r="JU143" s="52">
        <v>294.88</v>
      </c>
      <c r="JV143" s="52">
        <v>159.66</v>
      </c>
      <c r="JW143" s="52">
        <v>195.78</v>
      </c>
      <c r="JX143" s="52">
        <v>661.16</v>
      </c>
      <c r="JY143" s="52">
        <v>369.76</v>
      </c>
      <c r="JZ143" s="52">
        <v>318.64</v>
      </c>
      <c r="KA143" s="52">
        <v>323.07</v>
      </c>
      <c r="KB143" s="52">
        <v>262.18</v>
      </c>
      <c r="KC143" s="52">
        <v>296.11</v>
      </c>
      <c r="KD143" s="52">
        <v>520.86</v>
      </c>
      <c r="KE143" s="52">
        <v>386.86</v>
      </c>
      <c r="KF143" s="52">
        <v>378.44</v>
      </c>
    </row>
    <row r="144" spans="1:292" s="41" customFormat="1" ht="12">
      <c r="A144" s="41">
        <v>2016</v>
      </c>
      <c r="B144" s="54" t="s">
        <v>989</v>
      </c>
      <c r="C144" s="50" t="s">
        <v>990</v>
      </c>
      <c r="D144" s="56">
        <v>282.58</v>
      </c>
      <c r="E144" s="56">
        <v>313.76</v>
      </c>
      <c r="F144" s="56">
        <v>517.79999999999995</v>
      </c>
      <c r="G144" s="56">
        <v>192.84</v>
      </c>
      <c r="H144" s="56">
        <v>319.08</v>
      </c>
      <c r="I144" s="56">
        <v>224.63</v>
      </c>
      <c r="J144" s="56">
        <v>172.09</v>
      </c>
      <c r="K144" s="56">
        <v>256.89999999999998</v>
      </c>
      <c r="L144" s="56">
        <v>131.85</v>
      </c>
      <c r="M144" s="56">
        <v>202.69</v>
      </c>
      <c r="N144" s="56">
        <v>279.41000000000003</v>
      </c>
      <c r="O144" s="56">
        <v>419.63</v>
      </c>
      <c r="P144" s="56">
        <v>339.14</v>
      </c>
      <c r="Q144" s="56">
        <v>316.83999999999997</v>
      </c>
      <c r="R144" s="56">
        <v>270.64999999999998</v>
      </c>
      <c r="S144" s="56">
        <v>563.86</v>
      </c>
      <c r="T144" s="56">
        <v>514.22</v>
      </c>
      <c r="U144" s="56">
        <v>187.33</v>
      </c>
      <c r="V144" s="56">
        <v>207.99</v>
      </c>
      <c r="W144" s="56">
        <v>383.45</v>
      </c>
      <c r="X144" s="56">
        <v>235.55</v>
      </c>
      <c r="Y144" s="56">
        <v>302.37</v>
      </c>
      <c r="Z144" s="56">
        <v>309.73</v>
      </c>
      <c r="AA144" s="56">
        <v>267.89999999999998</v>
      </c>
      <c r="AB144" s="56">
        <v>213.14</v>
      </c>
      <c r="AC144" s="56">
        <v>170.07</v>
      </c>
      <c r="AD144" s="56">
        <v>247.38</v>
      </c>
      <c r="AE144" s="56">
        <v>259.75</v>
      </c>
      <c r="AF144" s="56">
        <v>218.53</v>
      </c>
      <c r="AG144" s="56">
        <v>123.22</v>
      </c>
      <c r="AH144" s="56">
        <v>203.76</v>
      </c>
      <c r="AI144" s="56">
        <v>276.3</v>
      </c>
      <c r="AJ144" s="56">
        <v>197.36</v>
      </c>
      <c r="AK144" s="56">
        <v>262.23</v>
      </c>
      <c r="AL144" s="56">
        <v>312.27</v>
      </c>
      <c r="AM144" s="56">
        <v>411.61</v>
      </c>
      <c r="AN144" s="56">
        <v>38.630000000000003</v>
      </c>
      <c r="AO144" s="56">
        <v>149.5</v>
      </c>
      <c r="AP144" s="56">
        <v>65.66</v>
      </c>
      <c r="AQ144" s="56">
        <v>241.21</v>
      </c>
      <c r="AR144" s="56">
        <v>322.10000000000002</v>
      </c>
      <c r="AS144" s="56">
        <v>282.85000000000002</v>
      </c>
      <c r="AT144" s="56">
        <v>336.87</v>
      </c>
      <c r="AU144" s="56">
        <v>392.26</v>
      </c>
      <c r="AV144" s="56">
        <v>357.88</v>
      </c>
      <c r="AW144" s="56">
        <v>333.46</v>
      </c>
      <c r="AX144" s="56">
        <v>229.52</v>
      </c>
      <c r="AY144" s="56">
        <v>207.89</v>
      </c>
      <c r="AZ144" s="56">
        <v>426.59</v>
      </c>
      <c r="BA144" s="56">
        <v>298.63</v>
      </c>
      <c r="BB144" s="56">
        <v>228.12</v>
      </c>
      <c r="BC144" s="56">
        <v>603.58000000000004</v>
      </c>
      <c r="BD144" s="56">
        <v>325.27999999999997</v>
      </c>
      <c r="BE144" s="56">
        <v>469.28</v>
      </c>
      <c r="BF144" s="56">
        <v>401.51</v>
      </c>
      <c r="BG144" s="56">
        <v>378.51</v>
      </c>
      <c r="BH144" s="52">
        <v>319.77</v>
      </c>
      <c r="BI144" s="52">
        <v>348.12</v>
      </c>
      <c r="BJ144" s="52">
        <v>322.69</v>
      </c>
      <c r="BK144" s="52">
        <v>265.5</v>
      </c>
      <c r="BL144" s="52">
        <v>293.26</v>
      </c>
      <c r="BM144" s="52">
        <v>330.38</v>
      </c>
      <c r="BN144" s="52">
        <v>319.22000000000003</v>
      </c>
      <c r="BO144" s="52">
        <v>249.27</v>
      </c>
      <c r="BP144" s="52">
        <v>321.17</v>
      </c>
      <c r="BQ144" s="52">
        <v>335.3</v>
      </c>
      <c r="BR144" s="52">
        <v>225.16</v>
      </c>
      <c r="BS144" s="52">
        <v>613.84</v>
      </c>
      <c r="BT144" s="52">
        <v>330.97</v>
      </c>
      <c r="BU144" s="52">
        <v>534.82000000000005</v>
      </c>
      <c r="BV144" s="52">
        <v>514.22</v>
      </c>
      <c r="BW144" s="52">
        <v>184.82</v>
      </c>
      <c r="BX144" s="52">
        <v>205.37</v>
      </c>
      <c r="BY144" s="52">
        <v>286.91000000000003</v>
      </c>
      <c r="BZ144" s="52">
        <v>207.3</v>
      </c>
      <c r="CA144" s="52">
        <v>326.72000000000003</v>
      </c>
      <c r="CB144" s="53">
        <v>383.45</v>
      </c>
      <c r="CC144" s="52">
        <v>235.55</v>
      </c>
      <c r="CD144" s="52">
        <v>301.22000000000003</v>
      </c>
      <c r="CE144" s="52">
        <v>268.64999999999998</v>
      </c>
      <c r="CF144" s="52">
        <v>331.4</v>
      </c>
      <c r="CG144" s="52">
        <v>303.57</v>
      </c>
      <c r="CH144" s="52">
        <v>275.58999999999997</v>
      </c>
      <c r="CI144" s="52">
        <v>239.71</v>
      </c>
      <c r="CJ144" s="52">
        <v>213.14</v>
      </c>
      <c r="CK144" s="52">
        <v>153.44999999999999</v>
      </c>
      <c r="CL144" s="52">
        <v>189.26</v>
      </c>
      <c r="CM144" s="52">
        <v>378.42</v>
      </c>
      <c r="CN144" s="52">
        <v>247.38</v>
      </c>
      <c r="CO144" s="52">
        <v>259.75</v>
      </c>
      <c r="CP144" s="52">
        <v>168.42</v>
      </c>
      <c r="CQ144" s="52">
        <v>428.49</v>
      </c>
      <c r="CR144" s="52">
        <v>123.36</v>
      </c>
      <c r="CS144" s="52">
        <v>181.98</v>
      </c>
      <c r="CT144" s="52">
        <v>130.13</v>
      </c>
      <c r="CU144" s="52">
        <v>219.3</v>
      </c>
      <c r="CV144" s="52">
        <v>224.07</v>
      </c>
      <c r="CW144" s="52">
        <v>128.07</v>
      </c>
      <c r="CX144" s="52">
        <v>276.3</v>
      </c>
      <c r="CY144" s="52">
        <v>197.67</v>
      </c>
      <c r="CZ144" s="52">
        <v>163.04</v>
      </c>
      <c r="DA144" s="52">
        <v>236.75</v>
      </c>
      <c r="DB144" s="52">
        <v>256.52</v>
      </c>
      <c r="DC144" s="52">
        <v>232.92</v>
      </c>
      <c r="DD144" s="52">
        <v>374.13</v>
      </c>
      <c r="DE144" s="52">
        <v>513.09</v>
      </c>
      <c r="DF144" s="52">
        <v>306.62</v>
      </c>
      <c r="DG144" s="52">
        <v>315.47000000000003</v>
      </c>
      <c r="DH144" s="52">
        <v>189.26</v>
      </c>
      <c r="DI144" s="52">
        <v>275.13</v>
      </c>
      <c r="DJ144" s="52">
        <v>382.27</v>
      </c>
      <c r="DK144" s="52">
        <v>411.61</v>
      </c>
      <c r="DL144" s="52">
        <v>38.630000000000003</v>
      </c>
      <c r="DM144" s="52">
        <v>149.5</v>
      </c>
      <c r="DN144" s="52">
        <v>39.159999999999997</v>
      </c>
      <c r="DO144" s="52">
        <v>96.49</v>
      </c>
      <c r="DP144" s="52">
        <v>169.74</v>
      </c>
      <c r="DQ144" s="52">
        <v>241.21</v>
      </c>
      <c r="DR144" s="52">
        <v>346.03</v>
      </c>
      <c r="DS144" s="52">
        <v>258.98</v>
      </c>
      <c r="DT144" s="52"/>
      <c r="DU144" s="52">
        <v>278.16000000000003</v>
      </c>
      <c r="DV144" s="52">
        <v>323.05</v>
      </c>
      <c r="DW144" s="52">
        <v>246.27</v>
      </c>
      <c r="DX144" s="52">
        <v>311.32</v>
      </c>
      <c r="DY144" s="52">
        <v>419.62</v>
      </c>
      <c r="DZ144" s="52">
        <v>343.86</v>
      </c>
      <c r="EA144" s="52">
        <v>257.2</v>
      </c>
      <c r="EB144" s="52">
        <v>392.26</v>
      </c>
      <c r="EC144" s="52">
        <v>357.88</v>
      </c>
      <c r="ED144" s="52">
        <v>333.46</v>
      </c>
      <c r="EE144" s="52">
        <v>229.52</v>
      </c>
      <c r="EF144" s="52">
        <v>207.89</v>
      </c>
      <c r="EG144" s="52">
        <v>426.59</v>
      </c>
      <c r="EH144" s="52">
        <v>298.63</v>
      </c>
      <c r="EI144" s="52">
        <v>339.09</v>
      </c>
      <c r="EJ144" s="52">
        <v>158.93</v>
      </c>
      <c r="EK144" s="52">
        <v>196.65</v>
      </c>
      <c r="EL144" s="52">
        <v>703.33</v>
      </c>
      <c r="EM144" s="52">
        <v>351.39</v>
      </c>
      <c r="EN144" s="52">
        <v>325.27999999999997</v>
      </c>
      <c r="EO144" s="52">
        <v>261.47000000000003</v>
      </c>
      <c r="EP144" s="52">
        <v>296.11</v>
      </c>
      <c r="EQ144" s="52">
        <v>531.01</v>
      </c>
      <c r="ER144" s="52">
        <v>401.51</v>
      </c>
      <c r="ES144" s="52">
        <v>378.51</v>
      </c>
      <c r="ET144" s="52">
        <v>317.87</v>
      </c>
      <c r="EU144" s="52">
        <v>287.89</v>
      </c>
      <c r="EV144" s="52">
        <v>344.18</v>
      </c>
      <c r="EW144" s="52">
        <v>282.70999999999998</v>
      </c>
      <c r="EX144" s="52">
        <v>291.67</v>
      </c>
      <c r="EY144" s="52">
        <v>192.45</v>
      </c>
      <c r="EZ144" s="52">
        <v>370.73</v>
      </c>
      <c r="FA144" s="52">
        <v>370.23</v>
      </c>
      <c r="FB144" s="52">
        <v>281.32</v>
      </c>
      <c r="FC144" s="52">
        <v>433.9</v>
      </c>
      <c r="FD144" s="52">
        <v>300.89999999999998</v>
      </c>
      <c r="FE144" s="52">
        <v>322.69</v>
      </c>
      <c r="FF144" s="52"/>
      <c r="FG144" s="52">
        <v>218.66</v>
      </c>
      <c r="FH144" s="52">
        <v>220.15</v>
      </c>
      <c r="FI144" s="52">
        <v>302.86</v>
      </c>
      <c r="FJ144" s="52">
        <v>300.62</v>
      </c>
      <c r="FK144" s="52">
        <v>398.4</v>
      </c>
      <c r="FL144" s="52">
        <v>201.15</v>
      </c>
      <c r="FM144" s="52">
        <v>293.87</v>
      </c>
      <c r="FN144" s="52">
        <v>297.98</v>
      </c>
      <c r="FO144" s="52">
        <v>495.25</v>
      </c>
      <c r="FP144" s="52">
        <v>307.70999999999998</v>
      </c>
      <c r="FQ144" s="52">
        <v>200.94</v>
      </c>
      <c r="FR144" s="52">
        <v>497.91</v>
      </c>
      <c r="FS144" s="52">
        <v>329.24</v>
      </c>
      <c r="FT144" s="52">
        <v>225.55</v>
      </c>
      <c r="FU144" s="52">
        <v>351.46</v>
      </c>
      <c r="FV144" s="52">
        <v>248.06</v>
      </c>
      <c r="FW144" s="52">
        <v>190.54</v>
      </c>
      <c r="FX144" s="52">
        <v>321.17</v>
      </c>
      <c r="FY144" s="52">
        <v>318.54000000000002</v>
      </c>
      <c r="FZ144" s="52">
        <v>339.91</v>
      </c>
      <c r="GA144" s="52">
        <v>244.16</v>
      </c>
      <c r="GB144" s="52">
        <v>236.2</v>
      </c>
      <c r="GC144" s="52">
        <v>224.08</v>
      </c>
      <c r="GD144" s="52">
        <v>202.42</v>
      </c>
      <c r="GE144" s="52">
        <v>613.84</v>
      </c>
      <c r="GF144" s="52">
        <v>330.97</v>
      </c>
      <c r="GG144" s="52">
        <v>534.82000000000005</v>
      </c>
      <c r="GH144" s="52">
        <v>513.36</v>
      </c>
      <c r="GI144" s="52">
        <v>200.54</v>
      </c>
      <c r="GJ144" s="52">
        <v>177.45</v>
      </c>
      <c r="GK144" s="52">
        <v>166.67</v>
      </c>
      <c r="GL144" s="52">
        <v>221.45</v>
      </c>
      <c r="GM144" s="52">
        <v>205.37</v>
      </c>
      <c r="GN144" s="52">
        <v>286.91000000000003</v>
      </c>
      <c r="GO144" s="52">
        <v>210.44</v>
      </c>
      <c r="GP144" s="52">
        <v>204.39</v>
      </c>
      <c r="GQ144" s="52">
        <v>206.13</v>
      </c>
      <c r="GR144" s="52">
        <v>326.72000000000003</v>
      </c>
      <c r="GS144" s="52">
        <v>383.45</v>
      </c>
      <c r="GT144" s="52">
        <v>235.55</v>
      </c>
      <c r="GU144" s="52">
        <v>301.22000000000003</v>
      </c>
      <c r="GV144" s="52">
        <v>268.64999999999998</v>
      </c>
      <c r="GW144" s="52">
        <v>324.82</v>
      </c>
      <c r="GX144" s="52">
        <v>304.37</v>
      </c>
      <c r="GY144" s="52">
        <v>303.57</v>
      </c>
      <c r="GZ144" s="52">
        <v>323.57</v>
      </c>
      <c r="HA144" s="52">
        <v>259.63</v>
      </c>
      <c r="HB144" s="52">
        <v>279.72000000000003</v>
      </c>
      <c r="HC144" s="52">
        <v>239.71</v>
      </c>
      <c r="HD144" s="52">
        <v>213.14</v>
      </c>
      <c r="HE144" s="52">
        <v>126.84</v>
      </c>
      <c r="HF144" s="52">
        <v>142.25</v>
      </c>
      <c r="HG144" s="52">
        <v>180.25</v>
      </c>
      <c r="HH144" s="52">
        <v>204.48</v>
      </c>
      <c r="HI144" s="52">
        <v>114.51</v>
      </c>
      <c r="HJ144" s="52">
        <v>189.26</v>
      </c>
      <c r="HK144" s="52">
        <v>378.42</v>
      </c>
      <c r="HL144" s="52">
        <v>214.9</v>
      </c>
      <c r="HM144" s="52">
        <v>265.16000000000003</v>
      </c>
      <c r="HN144" s="52">
        <v>272.97000000000003</v>
      </c>
      <c r="HO144" s="52">
        <v>239.98</v>
      </c>
      <c r="HP144" s="52">
        <v>270.14</v>
      </c>
      <c r="HQ144" s="52">
        <v>158.1</v>
      </c>
      <c r="HR144" s="52">
        <v>245.14</v>
      </c>
      <c r="HS144" s="52">
        <v>437.49</v>
      </c>
      <c r="HT144" s="52">
        <v>257.52</v>
      </c>
      <c r="HU144" s="52">
        <v>123.36</v>
      </c>
      <c r="HV144" s="52">
        <v>181.98</v>
      </c>
      <c r="HW144" s="52">
        <v>128.53</v>
      </c>
      <c r="HX144" s="52">
        <v>124.38</v>
      </c>
      <c r="HY144" s="52">
        <v>219.3</v>
      </c>
      <c r="HZ144" s="52">
        <v>224.07</v>
      </c>
      <c r="IA144" s="52">
        <v>116.99</v>
      </c>
      <c r="IB144" s="52">
        <v>276.3</v>
      </c>
      <c r="IC144" s="52">
        <v>180.25</v>
      </c>
      <c r="ID144" s="52">
        <v>199.77</v>
      </c>
      <c r="IE144" s="52">
        <v>163.04</v>
      </c>
      <c r="IF144" s="52">
        <v>236.75</v>
      </c>
      <c r="IG144" s="52">
        <v>256.52</v>
      </c>
      <c r="IH144" s="52">
        <v>232.92</v>
      </c>
      <c r="II144" s="52">
        <v>374.13</v>
      </c>
      <c r="IJ144" s="52">
        <v>513.09</v>
      </c>
      <c r="IK144" s="52">
        <v>345.43</v>
      </c>
      <c r="IL144" s="52">
        <v>244.05</v>
      </c>
      <c r="IM144" s="52">
        <v>327.87</v>
      </c>
      <c r="IN144" s="52">
        <v>294.85000000000002</v>
      </c>
      <c r="IO144" s="52">
        <v>273.39999999999998</v>
      </c>
      <c r="IP144" s="52">
        <v>189.26</v>
      </c>
      <c r="IQ144" s="52">
        <v>275.13</v>
      </c>
      <c r="IR144" s="52">
        <v>382.27</v>
      </c>
      <c r="IS144" s="52">
        <v>411.61</v>
      </c>
      <c r="IT144" s="52">
        <v>38.630000000000003</v>
      </c>
      <c r="IU144" s="52">
        <v>149.5</v>
      </c>
      <c r="IV144" s="52">
        <v>39.17</v>
      </c>
      <c r="IW144" s="52">
        <v>96.49</v>
      </c>
      <c r="IX144" s="52">
        <v>169.74</v>
      </c>
      <c r="IY144" s="52">
        <v>241.21</v>
      </c>
      <c r="IZ144" s="52">
        <v>346.03</v>
      </c>
      <c r="JA144" s="52">
        <v>258.98</v>
      </c>
      <c r="JB144" s="52"/>
      <c r="JC144" s="52">
        <v>278.16000000000003</v>
      </c>
      <c r="JD144" s="52">
        <v>323.05</v>
      </c>
      <c r="JE144" s="52">
        <v>286.06</v>
      </c>
      <c r="JF144" s="52">
        <v>236.66</v>
      </c>
      <c r="JG144" s="52">
        <v>311.32</v>
      </c>
      <c r="JH144" s="52">
        <v>419.62</v>
      </c>
      <c r="JI144" s="52">
        <v>343.86</v>
      </c>
      <c r="JJ144" s="52">
        <v>257.2</v>
      </c>
      <c r="JK144" s="52">
        <v>392.26</v>
      </c>
      <c r="JL144" s="52">
        <v>357.88</v>
      </c>
      <c r="JM144" s="52">
        <v>333.46</v>
      </c>
      <c r="JN144" s="52">
        <v>229.52</v>
      </c>
      <c r="JO144" s="52">
        <v>207.89</v>
      </c>
      <c r="JP144" s="52">
        <v>445.66</v>
      </c>
      <c r="JQ144" s="52">
        <v>383.4</v>
      </c>
      <c r="JR144" s="52">
        <v>265.44</v>
      </c>
      <c r="JS144" s="52">
        <v>362.75</v>
      </c>
      <c r="JT144" s="52">
        <v>384.72</v>
      </c>
      <c r="JU144" s="52">
        <v>295.85000000000002</v>
      </c>
      <c r="JV144" s="52">
        <v>158.93</v>
      </c>
      <c r="JW144" s="52">
        <v>196.65</v>
      </c>
      <c r="JX144" s="52">
        <v>703.33</v>
      </c>
      <c r="JY144" s="52">
        <v>368.79</v>
      </c>
      <c r="JZ144" s="52">
        <v>319.08999999999997</v>
      </c>
      <c r="KA144" s="52">
        <v>325.27999999999997</v>
      </c>
      <c r="KB144" s="52">
        <v>261.47000000000003</v>
      </c>
      <c r="KC144" s="52">
        <v>296.11</v>
      </c>
      <c r="KD144" s="52">
        <v>531.01</v>
      </c>
      <c r="KE144" s="52">
        <v>401.51</v>
      </c>
      <c r="KF144" s="52">
        <v>378.51</v>
      </c>
    </row>
    <row r="145" spans="1:292" s="41" customFormat="1" ht="12">
      <c r="A145" s="41">
        <v>2016</v>
      </c>
      <c r="B145" s="54" t="s">
        <v>991</v>
      </c>
      <c r="C145" s="50" t="s">
        <v>992</v>
      </c>
      <c r="D145" s="56">
        <v>281.76</v>
      </c>
      <c r="E145" s="56">
        <v>307.73</v>
      </c>
      <c r="F145" s="56">
        <v>535.59</v>
      </c>
      <c r="G145" s="56">
        <v>183.8</v>
      </c>
      <c r="H145" s="56">
        <v>320.58999999999997</v>
      </c>
      <c r="I145" s="56">
        <v>225.22</v>
      </c>
      <c r="J145" s="56">
        <v>172.75</v>
      </c>
      <c r="K145" s="56">
        <v>257.38</v>
      </c>
      <c r="L145" s="56">
        <v>131.99</v>
      </c>
      <c r="M145" s="56">
        <v>203.43</v>
      </c>
      <c r="N145" s="56">
        <v>286.70999999999998</v>
      </c>
      <c r="O145" s="56">
        <v>423.08</v>
      </c>
      <c r="P145" s="56">
        <v>340.68</v>
      </c>
      <c r="Q145" s="56">
        <v>310.23</v>
      </c>
      <c r="R145" s="56">
        <v>271.02</v>
      </c>
      <c r="S145" s="56">
        <v>567.26</v>
      </c>
      <c r="T145" s="56">
        <v>532.95000000000005</v>
      </c>
      <c r="U145" s="56">
        <v>177.92</v>
      </c>
      <c r="V145" s="56">
        <v>200.65</v>
      </c>
      <c r="W145" s="56">
        <v>386.79</v>
      </c>
      <c r="X145" s="56">
        <v>236.76</v>
      </c>
      <c r="Y145" s="56">
        <v>305.36</v>
      </c>
      <c r="Z145" s="56">
        <v>309.58999999999997</v>
      </c>
      <c r="AA145" s="56">
        <v>268.10000000000002</v>
      </c>
      <c r="AB145" s="56">
        <v>212.97</v>
      </c>
      <c r="AC145" s="56">
        <v>170.89</v>
      </c>
      <c r="AD145" s="56">
        <v>248.46</v>
      </c>
      <c r="AE145" s="56">
        <v>260.60000000000002</v>
      </c>
      <c r="AF145" s="56">
        <v>219.3</v>
      </c>
      <c r="AG145" s="56">
        <v>123.32</v>
      </c>
      <c r="AH145" s="56">
        <v>204.69</v>
      </c>
      <c r="AI145" s="56">
        <v>278.38</v>
      </c>
      <c r="AJ145" s="56">
        <v>199.71</v>
      </c>
      <c r="AK145" s="56">
        <v>260.16000000000003</v>
      </c>
      <c r="AL145" s="56">
        <v>313.2</v>
      </c>
      <c r="AM145" s="56">
        <v>411.61</v>
      </c>
      <c r="AN145" s="56">
        <v>38.93</v>
      </c>
      <c r="AO145" s="56">
        <v>149.5</v>
      </c>
      <c r="AP145" s="56">
        <v>65.36</v>
      </c>
      <c r="AQ145" s="56">
        <v>241.61</v>
      </c>
      <c r="AR145" s="56">
        <v>329.61</v>
      </c>
      <c r="AS145" s="56">
        <v>285.89999999999998</v>
      </c>
      <c r="AT145" s="56">
        <v>340</v>
      </c>
      <c r="AU145" s="56">
        <v>387.68</v>
      </c>
      <c r="AV145" s="56">
        <v>361.38</v>
      </c>
      <c r="AW145" s="56">
        <v>335.33</v>
      </c>
      <c r="AX145" s="56">
        <v>245.56</v>
      </c>
      <c r="AY145" s="56">
        <v>211.57</v>
      </c>
      <c r="AZ145" s="56">
        <v>430.16</v>
      </c>
      <c r="BA145" s="56">
        <v>300.74</v>
      </c>
      <c r="BB145" s="56">
        <v>228.88</v>
      </c>
      <c r="BC145" s="56">
        <v>610.13</v>
      </c>
      <c r="BD145" s="56">
        <v>329.43</v>
      </c>
      <c r="BE145" s="56">
        <v>467.48</v>
      </c>
      <c r="BF145" s="56">
        <v>401.51</v>
      </c>
      <c r="BG145" s="56">
        <v>378.54</v>
      </c>
      <c r="BH145" s="52">
        <v>320.13</v>
      </c>
      <c r="BI145" s="52">
        <v>347.34</v>
      </c>
      <c r="BJ145" s="52">
        <v>331.58</v>
      </c>
      <c r="BK145" s="52">
        <v>268.06</v>
      </c>
      <c r="BL145" s="52">
        <v>293.60000000000002</v>
      </c>
      <c r="BM145" s="52">
        <v>298.49</v>
      </c>
      <c r="BN145" s="52">
        <v>296.99</v>
      </c>
      <c r="BO145" s="52">
        <v>252.03</v>
      </c>
      <c r="BP145" s="52">
        <v>321.43</v>
      </c>
      <c r="BQ145" s="52">
        <v>335.18</v>
      </c>
      <c r="BR145" s="52">
        <v>225.74</v>
      </c>
      <c r="BS145" s="52">
        <v>612.66999999999996</v>
      </c>
      <c r="BT145" s="52">
        <v>331.77</v>
      </c>
      <c r="BU145" s="52">
        <v>542.37</v>
      </c>
      <c r="BV145" s="52">
        <v>532.95000000000005</v>
      </c>
      <c r="BW145" s="52">
        <v>174.91</v>
      </c>
      <c r="BX145" s="52">
        <v>201.55</v>
      </c>
      <c r="BY145" s="52">
        <v>289.86</v>
      </c>
      <c r="BZ145" s="52">
        <v>199.93</v>
      </c>
      <c r="CA145" s="52">
        <v>327.33</v>
      </c>
      <c r="CB145" s="53">
        <v>386.79</v>
      </c>
      <c r="CC145" s="52">
        <v>236.76</v>
      </c>
      <c r="CD145" s="52">
        <v>304.19</v>
      </c>
      <c r="CE145" s="52">
        <v>268.64999999999998</v>
      </c>
      <c r="CF145" s="52">
        <v>330.96</v>
      </c>
      <c r="CG145" s="52">
        <v>303.55</v>
      </c>
      <c r="CH145" s="52">
        <v>275.66000000000003</v>
      </c>
      <c r="CI145" s="52">
        <v>241.07</v>
      </c>
      <c r="CJ145" s="52">
        <v>212.97</v>
      </c>
      <c r="CK145" s="52">
        <v>154.13999999999999</v>
      </c>
      <c r="CL145" s="52">
        <v>190.55</v>
      </c>
      <c r="CM145" s="52">
        <v>380.88</v>
      </c>
      <c r="CN145" s="52">
        <v>248.46</v>
      </c>
      <c r="CO145" s="52">
        <v>260.60000000000002</v>
      </c>
      <c r="CP145" s="52">
        <v>168.45</v>
      </c>
      <c r="CQ145" s="52">
        <v>432.42</v>
      </c>
      <c r="CR145" s="52">
        <v>123.36</v>
      </c>
      <c r="CS145" s="52">
        <v>182.98</v>
      </c>
      <c r="CT145" s="52">
        <v>130.31</v>
      </c>
      <c r="CU145" s="52">
        <v>219.48</v>
      </c>
      <c r="CV145" s="52">
        <v>226.42</v>
      </c>
      <c r="CW145" s="52">
        <v>128.15</v>
      </c>
      <c r="CX145" s="52">
        <v>278.38</v>
      </c>
      <c r="CY145" s="52">
        <v>200.15</v>
      </c>
      <c r="CZ145" s="52">
        <v>163.15</v>
      </c>
      <c r="DA145" s="52">
        <v>237.28</v>
      </c>
      <c r="DB145" s="52">
        <v>258.13</v>
      </c>
      <c r="DC145" s="52">
        <v>230.12</v>
      </c>
      <c r="DD145" s="52">
        <v>374.41</v>
      </c>
      <c r="DE145" s="52">
        <v>516.57000000000005</v>
      </c>
      <c r="DF145" s="52">
        <v>306.92</v>
      </c>
      <c r="DG145" s="52">
        <v>316.56</v>
      </c>
      <c r="DH145" s="52">
        <v>188.8</v>
      </c>
      <c r="DI145" s="52">
        <v>275.13</v>
      </c>
      <c r="DJ145" s="52">
        <v>385.8</v>
      </c>
      <c r="DK145" s="52">
        <v>411.61</v>
      </c>
      <c r="DL145" s="52">
        <v>38.93</v>
      </c>
      <c r="DM145" s="52">
        <v>149.5</v>
      </c>
      <c r="DN145" s="52">
        <v>39.06</v>
      </c>
      <c r="DO145" s="52">
        <v>96.16</v>
      </c>
      <c r="DP145" s="52">
        <v>169.74</v>
      </c>
      <c r="DQ145" s="52">
        <v>241.61</v>
      </c>
      <c r="DR145" s="52">
        <v>356.23</v>
      </c>
      <c r="DS145" s="52">
        <v>261.83999999999997</v>
      </c>
      <c r="DT145" s="52"/>
      <c r="DU145" s="52">
        <v>280.66000000000003</v>
      </c>
      <c r="DV145" s="52">
        <v>329.29</v>
      </c>
      <c r="DW145" s="52">
        <v>246.66</v>
      </c>
      <c r="DX145" s="52">
        <v>311.32</v>
      </c>
      <c r="DY145" s="52">
        <v>417.74</v>
      </c>
      <c r="DZ145" s="52">
        <v>358.88</v>
      </c>
      <c r="EA145" s="52">
        <v>258.83</v>
      </c>
      <c r="EB145" s="52">
        <v>387.68</v>
      </c>
      <c r="EC145" s="52">
        <v>361.38</v>
      </c>
      <c r="ED145" s="52">
        <v>335.33</v>
      </c>
      <c r="EE145" s="52">
        <v>245.56</v>
      </c>
      <c r="EF145" s="52">
        <v>211.57</v>
      </c>
      <c r="EG145" s="52">
        <v>430.16</v>
      </c>
      <c r="EH145" s="52">
        <v>300.74</v>
      </c>
      <c r="EI145" s="52">
        <v>341.83</v>
      </c>
      <c r="EJ145" s="52">
        <v>160.4</v>
      </c>
      <c r="EK145" s="52">
        <v>196.7</v>
      </c>
      <c r="EL145" s="52">
        <v>711</v>
      </c>
      <c r="EM145" s="52">
        <v>355.15</v>
      </c>
      <c r="EN145" s="52">
        <v>329.43</v>
      </c>
      <c r="EO145" s="52">
        <v>261.18</v>
      </c>
      <c r="EP145" s="52">
        <v>306.89999999999998</v>
      </c>
      <c r="EQ145" s="52">
        <v>524.79999999999995</v>
      </c>
      <c r="ER145" s="52">
        <v>401.51</v>
      </c>
      <c r="ES145" s="52">
        <v>378.54</v>
      </c>
      <c r="ET145" s="52">
        <v>317.14</v>
      </c>
      <c r="EU145" s="52">
        <v>287.32</v>
      </c>
      <c r="EV145" s="52">
        <v>345.08</v>
      </c>
      <c r="EW145" s="52">
        <v>283.45999999999998</v>
      </c>
      <c r="EX145" s="52">
        <v>286.85000000000002</v>
      </c>
      <c r="EY145" s="52">
        <v>194.74</v>
      </c>
      <c r="EZ145" s="52">
        <v>373.91</v>
      </c>
      <c r="FA145" s="52">
        <v>371.88</v>
      </c>
      <c r="FB145" s="52">
        <v>272.83</v>
      </c>
      <c r="FC145" s="52">
        <v>434.57</v>
      </c>
      <c r="FD145" s="52">
        <v>300.64999999999998</v>
      </c>
      <c r="FE145" s="52">
        <v>331.58</v>
      </c>
      <c r="FF145" s="52"/>
      <c r="FG145" s="52">
        <v>218.21</v>
      </c>
      <c r="FH145" s="52">
        <v>220.31</v>
      </c>
      <c r="FI145" s="52">
        <v>303.56</v>
      </c>
      <c r="FJ145" s="52">
        <v>317.3</v>
      </c>
      <c r="FK145" s="52">
        <v>399.93</v>
      </c>
      <c r="FL145" s="52">
        <v>208.37</v>
      </c>
      <c r="FM145" s="52">
        <v>293.3</v>
      </c>
      <c r="FN145" s="52">
        <v>259.93</v>
      </c>
      <c r="FO145" s="52">
        <v>499.17</v>
      </c>
      <c r="FP145" s="52">
        <v>275.92</v>
      </c>
      <c r="FQ145" s="52">
        <v>192.39</v>
      </c>
      <c r="FR145" s="52">
        <v>498.02</v>
      </c>
      <c r="FS145" s="52">
        <v>330.28</v>
      </c>
      <c r="FT145" s="52">
        <v>232.41</v>
      </c>
      <c r="FU145" s="52">
        <v>351.75</v>
      </c>
      <c r="FV145" s="52">
        <v>248.55</v>
      </c>
      <c r="FW145" s="52">
        <v>191.11</v>
      </c>
      <c r="FX145" s="52">
        <v>321.43</v>
      </c>
      <c r="FY145" s="52">
        <v>318.58</v>
      </c>
      <c r="FZ145" s="52">
        <v>339.75</v>
      </c>
      <c r="GA145" s="52">
        <v>244.41</v>
      </c>
      <c r="GB145" s="52">
        <v>237.43</v>
      </c>
      <c r="GC145" s="52">
        <v>224.19</v>
      </c>
      <c r="GD145" s="52">
        <v>202.65</v>
      </c>
      <c r="GE145" s="52">
        <v>612.66999999999996</v>
      </c>
      <c r="GF145" s="52">
        <v>331.77</v>
      </c>
      <c r="GG145" s="52">
        <v>542.37</v>
      </c>
      <c r="GH145" s="52">
        <v>532.05999999999995</v>
      </c>
      <c r="GI145" s="52">
        <v>190.11</v>
      </c>
      <c r="GJ145" s="52">
        <v>168.29</v>
      </c>
      <c r="GK145" s="52">
        <v>155.05000000000001</v>
      </c>
      <c r="GL145" s="52">
        <v>220.98</v>
      </c>
      <c r="GM145" s="52">
        <v>201.55</v>
      </c>
      <c r="GN145" s="52">
        <v>289.86</v>
      </c>
      <c r="GO145" s="52">
        <v>205.65</v>
      </c>
      <c r="GP145" s="52">
        <v>194.08</v>
      </c>
      <c r="GQ145" s="52">
        <v>199.11</v>
      </c>
      <c r="GR145" s="52">
        <v>327.33</v>
      </c>
      <c r="GS145" s="52">
        <v>386.79</v>
      </c>
      <c r="GT145" s="52">
        <v>236.76</v>
      </c>
      <c r="GU145" s="52">
        <v>304.19</v>
      </c>
      <c r="GV145" s="52">
        <v>268.64999999999998</v>
      </c>
      <c r="GW145" s="52">
        <v>324.82</v>
      </c>
      <c r="GX145" s="52">
        <v>303</v>
      </c>
      <c r="GY145" s="52">
        <v>303.55</v>
      </c>
      <c r="GZ145" s="52">
        <v>325.8</v>
      </c>
      <c r="HA145" s="52">
        <v>259.08</v>
      </c>
      <c r="HB145" s="52">
        <v>279.58</v>
      </c>
      <c r="HC145" s="52">
        <v>241.07</v>
      </c>
      <c r="HD145" s="52">
        <v>212.97</v>
      </c>
      <c r="HE145" s="52">
        <v>127.43</v>
      </c>
      <c r="HF145" s="52">
        <v>143.97999999999999</v>
      </c>
      <c r="HG145" s="52">
        <v>179.45</v>
      </c>
      <c r="HH145" s="52">
        <v>204.02</v>
      </c>
      <c r="HI145" s="52">
        <v>115.28</v>
      </c>
      <c r="HJ145" s="52">
        <v>190.55</v>
      </c>
      <c r="HK145" s="52">
        <v>380.88</v>
      </c>
      <c r="HL145" s="52">
        <v>216.13</v>
      </c>
      <c r="HM145" s="52">
        <v>264.74</v>
      </c>
      <c r="HN145" s="52">
        <v>274.07</v>
      </c>
      <c r="HO145" s="52">
        <v>241.05</v>
      </c>
      <c r="HP145" s="52">
        <v>270.58</v>
      </c>
      <c r="HQ145" s="52">
        <v>158.05000000000001</v>
      </c>
      <c r="HR145" s="52">
        <v>245.71</v>
      </c>
      <c r="HS145" s="52">
        <v>441.69</v>
      </c>
      <c r="HT145" s="52">
        <v>258.85000000000002</v>
      </c>
      <c r="HU145" s="52">
        <v>123.36</v>
      </c>
      <c r="HV145" s="52">
        <v>182.98</v>
      </c>
      <c r="HW145" s="52">
        <v>128.56</v>
      </c>
      <c r="HX145" s="52">
        <v>124.87</v>
      </c>
      <c r="HY145" s="52">
        <v>219.48</v>
      </c>
      <c r="HZ145" s="52">
        <v>226.42</v>
      </c>
      <c r="IA145" s="52">
        <v>117.06</v>
      </c>
      <c r="IB145" s="52">
        <v>278.38</v>
      </c>
      <c r="IC145" s="52">
        <v>182.37</v>
      </c>
      <c r="ID145" s="52">
        <v>202.54</v>
      </c>
      <c r="IE145" s="52">
        <v>163.15</v>
      </c>
      <c r="IF145" s="52">
        <v>237.28</v>
      </c>
      <c r="IG145" s="52">
        <v>258.13</v>
      </c>
      <c r="IH145" s="52">
        <v>230.12</v>
      </c>
      <c r="II145" s="52">
        <v>374.41</v>
      </c>
      <c r="IJ145" s="52">
        <v>516.57000000000005</v>
      </c>
      <c r="IK145" s="52">
        <v>346.35</v>
      </c>
      <c r="IL145" s="52">
        <v>244.05</v>
      </c>
      <c r="IM145" s="52">
        <v>329.01</v>
      </c>
      <c r="IN145" s="52">
        <v>295.22000000000003</v>
      </c>
      <c r="IO145" s="52">
        <v>274.56</v>
      </c>
      <c r="IP145" s="52">
        <v>188.8</v>
      </c>
      <c r="IQ145" s="52">
        <v>275.13</v>
      </c>
      <c r="IR145" s="52">
        <v>385.8</v>
      </c>
      <c r="IS145" s="52">
        <v>411.61</v>
      </c>
      <c r="IT145" s="52">
        <v>38.93</v>
      </c>
      <c r="IU145" s="52">
        <v>149.5</v>
      </c>
      <c r="IV145" s="52">
        <v>39.07</v>
      </c>
      <c r="IW145" s="52">
        <v>96.16</v>
      </c>
      <c r="IX145" s="52">
        <v>169.74</v>
      </c>
      <c r="IY145" s="52">
        <v>241.61</v>
      </c>
      <c r="IZ145" s="52">
        <v>356.23</v>
      </c>
      <c r="JA145" s="52">
        <v>261.83999999999997</v>
      </c>
      <c r="JB145" s="52"/>
      <c r="JC145" s="52">
        <v>280.66000000000003</v>
      </c>
      <c r="JD145" s="52">
        <v>329.29</v>
      </c>
      <c r="JE145" s="52">
        <v>287.83999999999997</v>
      </c>
      <c r="JF145" s="52">
        <v>236.9</v>
      </c>
      <c r="JG145" s="52">
        <v>311.32</v>
      </c>
      <c r="JH145" s="52">
        <v>417.74</v>
      </c>
      <c r="JI145" s="52">
        <v>358.88</v>
      </c>
      <c r="JJ145" s="52">
        <v>258.83</v>
      </c>
      <c r="JK145" s="52">
        <v>387.68</v>
      </c>
      <c r="JL145" s="52">
        <v>361.38</v>
      </c>
      <c r="JM145" s="52">
        <v>335.33</v>
      </c>
      <c r="JN145" s="52">
        <v>245.56</v>
      </c>
      <c r="JO145" s="52">
        <v>211.57</v>
      </c>
      <c r="JP145" s="52">
        <v>449.09</v>
      </c>
      <c r="JQ145" s="52">
        <v>387.63</v>
      </c>
      <c r="JR145" s="52">
        <v>266.70999999999998</v>
      </c>
      <c r="JS145" s="52">
        <v>367.31</v>
      </c>
      <c r="JT145" s="52">
        <v>388.28</v>
      </c>
      <c r="JU145" s="52">
        <v>297.89</v>
      </c>
      <c r="JV145" s="52">
        <v>160.4</v>
      </c>
      <c r="JW145" s="52">
        <v>196.7</v>
      </c>
      <c r="JX145" s="52">
        <v>711</v>
      </c>
      <c r="JY145" s="52">
        <v>373.05</v>
      </c>
      <c r="JZ145" s="52">
        <v>322.05</v>
      </c>
      <c r="KA145" s="52">
        <v>329.43</v>
      </c>
      <c r="KB145" s="52">
        <v>261.18</v>
      </c>
      <c r="KC145" s="52">
        <v>306.89999999999998</v>
      </c>
      <c r="KD145" s="52">
        <v>524.79999999999995</v>
      </c>
      <c r="KE145" s="52">
        <v>401.51</v>
      </c>
      <c r="KF145" s="52">
        <v>378.54</v>
      </c>
    </row>
    <row r="146" spans="1:292" s="41" customFormat="1" ht="12">
      <c r="A146" s="41">
        <v>2016</v>
      </c>
      <c r="B146" s="54" t="s">
        <v>993</v>
      </c>
      <c r="C146" s="50" t="s">
        <v>994</v>
      </c>
      <c r="D146" s="56">
        <v>282.27</v>
      </c>
      <c r="E146" s="56">
        <v>305.58</v>
      </c>
      <c r="F146" s="56">
        <v>535.63</v>
      </c>
      <c r="G146" s="56">
        <v>177.39</v>
      </c>
      <c r="H146" s="56">
        <v>321.92</v>
      </c>
      <c r="I146" s="56">
        <v>225.48</v>
      </c>
      <c r="J146" s="56">
        <v>173.12</v>
      </c>
      <c r="K146" s="56">
        <v>264.32</v>
      </c>
      <c r="L146" s="56">
        <v>132.32</v>
      </c>
      <c r="M146" s="56">
        <v>202.55</v>
      </c>
      <c r="N146" s="56">
        <v>292.39999999999998</v>
      </c>
      <c r="O146" s="56">
        <v>425.9</v>
      </c>
      <c r="P146" s="56">
        <v>341.64</v>
      </c>
      <c r="Q146" s="56">
        <v>307.86</v>
      </c>
      <c r="R146" s="56">
        <v>271.19</v>
      </c>
      <c r="S146" s="56">
        <v>567.95000000000005</v>
      </c>
      <c r="T146" s="56">
        <v>532.95000000000005</v>
      </c>
      <c r="U146" s="56">
        <v>170.08</v>
      </c>
      <c r="V146" s="56">
        <v>199.89</v>
      </c>
      <c r="W146" s="56">
        <v>390.14</v>
      </c>
      <c r="X146" s="56">
        <v>237.76</v>
      </c>
      <c r="Y146" s="56">
        <v>305.55</v>
      </c>
      <c r="Z146" s="56">
        <v>310.16000000000003</v>
      </c>
      <c r="AA146" s="56">
        <v>267.79000000000002</v>
      </c>
      <c r="AB146" s="56">
        <v>213.26</v>
      </c>
      <c r="AC146" s="56">
        <v>170.81</v>
      </c>
      <c r="AD146" s="56">
        <v>249.59</v>
      </c>
      <c r="AE146" s="56">
        <v>260.63</v>
      </c>
      <c r="AF146" s="56">
        <v>220.56</v>
      </c>
      <c r="AG146" s="56">
        <v>123.5</v>
      </c>
      <c r="AH146" s="56">
        <v>204.74</v>
      </c>
      <c r="AI146" s="56">
        <v>280.88</v>
      </c>
      <c r="AJ146" s="56">
        <v>200.23</v>
      </c>
      <c r="AK146" s="56">
        <v>272.97000000000003</v>
      </c>
      <c r="AL146" s="56">
        <v>321.63</v>
      </c>
      <c r="AM146" s="56">
        <v>411.61</v>
      </c>
      <c r="AN146" s="56">
        <v>39.21</v>
      </c>
      <c r="AO146" s="56">
        <v>149.77000000000001</v>
      </c>
      <c r="AP146" s="56">
        <v>64.959999999999994</v>
      </c>
      <c r="AQ146" s="56">
        <v>246.42</v>
      </c>
      <c r="AR146" s="56">
        <v>329.46</v>
      </c>
      <c r="AS146" s="56">
        <v>289.29000000000002</v>
      </c>
      <c r="AT146" s="56">
        <v>343.89</v>
      </c>
      <c r="AU146" s="56">
        <v>368.11</v>
      </c>
      <c r="AV146" s="56">
        <v>377.93</v>
      </c>
      <c r="AW146" s="56">
        <v>336.79</v>
      </c>
      <c r="AX146" s="56">
        <v>247.27</v>
      </c>
      <c r="AY146" s="56">
        <v>213.89</v>
      </c>
      <c r="AZ146" s="56">
        <v>433.19</v>
      </c>
      <c r="BA146" s="56">
        <v>301.76</v>
      </c>
      <c r="BB146" s="56">
        <v>229.67</v>
      </c>
      <c r="BC146" s="56">
        <v>608.30999999999995</v>
      </c>
      <c r="BD146" s="56">
        <v>343.68</v>
      </c>
      <c r="BE146" s="56">
        <v>465.64</v>
      </c>
      <c r="BF146" s="56">
        <v>401.51</v>
      </c>
      <c r="BG146" s="56">
        <v>378.88</v>
      </c>
      <c r="BH146" s="52">
        <v>320.94</v>
      </c>
      <c r="BI146" s="52">
        <v>342.99</v>
      </c>
      <c r="BJ146" s="52">
        <v>260.77</v>
      </c>
      <c r="BK146" s="52">
        <v>271.23</v>
      </c>
      <c r="BL146" s="52">
        <v>293.70999999999998</v>
      </c>
      <c r="BM146" s="52">
        <v>278.35000000000002</v>
      </c>
      <c r="BN146" s="52">
        <v>307.83999999999997</v>
      </c>
      <c r="BO146" s="52">
        <v>252.86</v>
      </c>
      <c r="BP146" s="52">
        <v>321.91000000000003</v>
      </c>
      <c r="BQ146" s="52">
        <v>335.8</v>
      </c>
      <c r="BR146" s="52">
        <v>225.69</v>
      </c>
      <c r="BS146" s="52">
        <v>613.12</v>
      </c>
      <c r="BT146" s="52">
        <v>335.42</v>
      </c>
      <c r="BU146" s="52">
        <v>542.51</v>
      </c>
      <c r="BV146" s="52">
        <v>532.95000000000005</v>
      </c>
      <c r="BW146" s="52">
        <v>166.58</v>
      </c>
      <c r="BX146" s="52">
        <v>200.29</v>
      </c>
      <c r="BY146" s="52">
        <v>291.51</v>
      </c>
      <c r="BZ146" s="52">
        <v>199.16</v>
      </c>
      <c r="CA146" s="52">
        <v>329.17</v>
      </c>
      <c r="CB146" s="53">
        <v>390.14</v>
      </c>
      <c r="CC146" s="52">
        <v>237.76</v>
      </c>
      <c r="CD146" s="52">
        <v>304.38</v>
      </c>
      <c r="CE146" s="52">
        <v>268.64999999999998</v>
      </c>
      <c r="CF146" s="52">
        <v>332.22</v>
      </c>
      <c r="CG146" s="52">
        <v>304.41000000000003</v>
      </c>
      <c r="CH146" s="52">
        <v>275.13</v>
      </c>
      <c r="CI146" s="52">
        <v>242.57</v>
      </c>
      <c r="CJ146" s="52">
        <v>213.26</v>
      </c>
      <c r="CK146" s="52">
        <v>153.84</v>
      </c>
      <c r="CL146" s="52">
        <v>192.27</v>
      </c>
      <c r="CM146" s="52">
        <v>383.56</v>
      </c>
      <c r="CN146" s="52">
        <v>249.59</v>
      </c>
      <c r="CO146" s="52">
        <v>260.63</v>
      </c>
      <c r="CP146" s="52">
        <v>169.94</v>
      </c>
      <c r="CQ146" s="52">
        <v>432.65</v>
      </c>
      <c r="CR146" s="52">
        <v>123.36</v>
      </c>
      <c r="CS146" s="52">
        <v>185.6</v>
      </c>
      <c r="CT146" s="52">
        <v>130.43</v>
      </c>
      <c r="CU146" s="52">
        <v>219.73</v>
      </c>
      <c r="CV146" s="52">
        <v>226.31</v>
      </c>
      <c r="CW146" s="52">
        <v>128.13999999999999</v>
      </c>
      <c r="CX146" s="52">
        <v>280.88</v>
      </c>
      <c r="CY146" s="52">
        <v>200.63</v>
      </c>
      <c r="CZ146" s="52">
        <v>164.2</v>
      </c>
      <c r="DA146" s="52">
        <v>237.64</v>
      </c>
      <c r="DB146" s="52">
        <v>258.60000000000002</v>
      </c>
      <c r="DC146" s="52">
        <v>245.11</v>
      </c>
      <c r="DD146" s="52">
        <v>377.99</v>
      </c>
      <c r="DE146" s="52">
        <v>519.02</v>
      </c>
      <c r="DF146" s="52">
        <v>307.10000000000002</v>
      </c>
      <c r="DG146" s="52">
        <v>326.64999999999998</v>
      </c>
      <c r="DH146" s="52">
        <v>188.38</v>
      </c>
      <c r="DI146" s="52">
        <v>275.27999999999997</v>
      </c>
      <c r="DJ146" s="52">
        <v>385.81</v>
      </c>
      <c r="DK146" s="52">
        <v>411.61</v>
      </c>
      <c r="DL146" s="52">
        <v>39.21</v>
      </c>
      <c r="DM146" s="52">
        <v>149.77000000000001</v>
      </c>
      <c r="DN146" s="52">
        <v>38.700000000000003</v>
      </c>
      <c r="DO146" s="52">
        <v>96.12</v>
      </c>
      <c r="DP146" s="52">
        <v>169.74</v>
      </c>
      <c r="DQ146" s="52">
        <v>246.42</v>
      </c>
      <c r="DR146" s="52">
        <v>353.7</v>
      </c>
      <c r="DS146" s="52">
        <v>265.81</v>
      </c>
      <c r="DT146" s="52"/>
      <c r="DU146" s="52">
        <v>281.27</v>
      </c>
      <c r="DV146" s="52">
        <v>335.2</v>
      </c>
      <c r="DW146" s="52">
        <v>248.1</v>
      </c>
      <c r="DX146" s="52">
        <v>311.32</v>
      </c>
      <c r="DY146" s="52">
        <v>422.29</v>
      </c>
      <c r="DZ146" s="52">
        <v>358.88</v>
      </c>
      <c r="EA146" s="52">
        <v>264.17</v>
      </c>
      <c r="EB146" s="52">
        <v>368.11</v>
      </c>
      <c r="EC146" s="52">
        <v>377.93</v>
      </c>
      <c r="ED146" s="52">
        <v>336.79</v>
      </c>
      <c r="EE146" s="52">
        <v>247.27</v>
      </c>
      <c r="EF146" s="52">
        <v>213.89</v>
      </c>
      <c r="EG146" s="52">
        <v>433.19</v>
      </c>
      <c r="EH146" s="52">
        <v>301.76</v>
      </c>
      <c r="EI146" s="52">
        <v>343.92</v>
      </c>
      <c r="EJ146" s="52">
        <v>162.02000000000001</v>
      </c>
      <c r="EK146" s="52">
        <v>197</v>
      </c>
      <c r="EL146" s="52">
        <v>701.8</v>
      </c>
      <c r="EM146" s="52">
        <v>361.25</v>
      </c>
      <c r="EN146" s="52">
        <v>343.68</v>
      </c>
      <c r="EO146" s="52">
        <v>260.87</v>
      </c>
      <c r="EP146" s="52">
        <v>308.61</v>
      </c>
      <c r="EQ146" s="52">
        <v>521.6</v>
      </c>
      <c r="ER146" s="52">
        <v>401.51</v>
      </c>
      <c r="ES146" s="52">
        <v>378.88</v>
      </c>
      <c r="ET146" s="52">
        <v>315.95999999999998</v>
      </c>
      <c r="EU146" s="52">
        <v>287.42</v>
      </c>
      <c r="EV146" s="52">
        <v>346.29</v>
      </c>
      <c r="EW146" s="52">
        <v>284.83</v>
      </c>
      <c r="EX146" s="52">
        <v>283.52999999999997</v>
      </c>
      <c r="EY146" s="52">
        <v>195.77</v>
      </c>
      <c r="EZ146" s="52">
        <v>375.92</v>
      </c>
      <c r="FA146" s="52">
        <v>373.69</v>
      </c>
      <c r="FB146" s="52">
        <v>252.28</v>
      </c>
      <c r="FC146" s="52">
        <v>436.64</v>
      </c>
      <c r="FD146" s="52">
        <v>303.02999999999997</v>
      </c>
      <c r="FE146" s="52">
        <v>260.77</v>
      </c>
      <c r="FF146" s="52"/>
      <c r="FG146" s="52">
        <v>217.61</v>
      </c>
      <c r="FH146" s="52">
        <v>221.11</v>
      </c>
      <c r="FI146" s="52">
        <v>304.83999999999997</v>
      </c>
      <c r="FJ146" s="52">
        <v>335.85</v>
      </c>
      <c r="FK146" s="52">
        <v>397.04</v>
      </c>
      <c r="FL146" s="52">
        <v>210.48</v>
      </c>
      <c r="FM146" s="52">
        <v>293.68</v>
      </c>
      <c r="FN146" s="52">
        <v>234.32</v>
      </c>
      <c r="FO146" s="52">
        <v>510.4</v>
      </c>
      <c r="FP146" s="52">
        <v>290.06</v>
      </c>
      <c r="FQ146" s="52">
        <v>196.54</v>
      </c>
      <c r="FR146" s="52">
        <v>509.15</v>
      </c>
      <c r="FS146" s="52">
        <v>331.83</v>
      </c>
      <c r="FT146" s="52">
        <v>232.9</v>
      </c>
      <c r="FU146" s="52">
        <v>350.72</v>
      </c>
      <c r="FV146" s="52">
        <v>250.86</v>
      </c>
      <c r="FW146" s="52">
        <v>191.49</v>
      </c>
      <c r="FX146" s="52">
        <v>321.91000000000003</v>
      </c>
      <c r="FY146" s="52">
        <v>317.58999999999997</v>
      </c>
      <c r="FZ146" s="52">
        <v>340.7</v>
      </c>
      <c r="GA146" s="52">
        <v>243.82</v>
      </c>
      <c r="GB146" s="52">
        <v>238.58</v>
      </c>
      <c r="GC146" s="52">
        <v>223.21</v>
      </c>
      <c r="GD146" s="52">
        <v>202.01</v>
      </c>
      <c r="GE146" s="52">
        <v>613.12</v>
      </c>
      <c r="GF146" s="52">
        <v>335.42</v>
      </c>
      <c r="GG146" s="52">
        <v>542.51</v>
      </c>
      <c r="GH146" s="52">
        <v>532.05999999999995</v>
      </c>
      <c r="GI146" s="52">
        <v>180.07</v>
      </c>
      <c r="GJ146" s="52">
        <v>159.31</v>
      </c>
      <c r="GK146" s="52">
        <v>151.54</v>
      </c>
      <c r="GL146" s="52">
        <v>221.78</v>
      </c>
      <c r="GM146" s="52">
        <v>200.29</v>
      </c>
      <c r="GN146" s="52">
        <v>291.51</v>
      </c>
      <c r="GO146" s="52">
        <v>204.78</v>
      </c>
      <c r="GP146" s="52">
        <v>193.04</v>
      </c>
      <c r="GQ146" s="52">
        <v>199.23</v>
      </c>
      <c r="GR146" s="52">
        <v>329.17</v>
      </c>
      <c r="GS146" s="52">
        <v>390.14</v>
      </c>
      <c r="GT146" s="52">
        <v>237.76</v>
      </c>
      <c r="GU146" s="52">
        <v>304.38</v>
      </c>
      <c r="GV146" s="52">
        <v>268.64999999999998</v>
      </c>
      <c r="GW146" s="52">
        <v>325.27</v>
      </c>
      <c r="GX146" s="52">
        <v>305.92</v>
      </c>
      <c r="GY146" s="52">
        <v>304.41000000000003</v>
      </c>
      <c r="GZ146" s="52">
        <v>326.14999999999998</v>
      </c>
      <c r="HA146" s="52">
        <v>259.39</v>
      </c>
      <c r="HB146" s="52">
        <v>278.13</v>
      </c>
      <c r="HC146" s="52">
        <v>242.57</v>
      </c>
      <c r="HD146" s="52">
        <v>213.26</v>
      </c>
      <c r="HE146" s="52">
        <v>126.2</v>
      </c>
      <c r="HF146" s="52">
        <v>143.58000000000001</v>
      </c>
      <c r="HG146" s="52">
        <v>179.73</v>
      </c>
      <c r="HH146" s="52">
        <v>205.02</v>
      </c>
      <c r="HI146" s="52">
        <v>115.56</v>
      </c>
      <c r="HJ146" s="52">
        <v>192.27</v>
      </c>
      <c r="HK146" s="52">
        <v>383.56</v>
      </c>
      <c r="HL146" s="52">
        <v>217.49</v>
      </c>
      <c r="HM146" s="52">
        <v>266.08</v>
      </c>
      <c r="HN146" s="52">
        <v>274.86</v>
      </c>
      <c r="HO146" s="52">
        <v>239.55</v>
      </c>
      <c r="HP146" s="52">
        <v>273.02</v>
      </c>
      <c r="HQ146" s="52">
        <v>159.59</v>
      </c>
      <c r="HR146" s="52">
        <v>246.94</v>
      </c>
      <c r="HS146" s="52">
        <v>441.5</v>
      </c>
      <c r="HT146" s="52">
        <v>261.45999999999998</v>
      </c>
      <c r="HU146" s="52">
        <v>123.36</v>
      </c>
      <c r="HV146" s="52">
        <v>185.6</v>
      </c>
      <c r="HW146" s="52">
        <v>128.57</v>
      </c>
      <c r="HX146" s="52">
        <v>125.24</v>
      </c>
      <c r="HY146" s="52">
        <v>219.73</v>
      </c>
      <c r="HZ146" s="52">
        <v>226.31</v>
      </c>
      <c r="IA146" s="52">
        <v>117.06</v>
      </c>
      <c r="IB146" s="52">
        <v>280.88</v>
      </c>
      <c r="IC146" s="52">
        <v>182.76</v>
      </c>
      <c r="ID146" s="52">
        <v>203.13</v>
      </c>
      <c r="IE146" s="52">
        <v>164.2</v>
      </c>
      <c r="IF146" s="52">
        <v>237.64</v>
      </c>
      <c r="IG146" s="52">
        <v>258.60000000000002</v>
      </c>
      <c r="IH146" s="52">
        <v>245.11</v>
      </c>
      <c r="II146" s="52">
        <v>377.99</v>
      </c>
      <c r="IJ146" s="52">
        <v>519.02</v>
      </c>
      <c r="IK146" s="52">
        <v>346.89</v>
      </c>
      <c r="IL146" s="52">
        <v>244.05</v>
      </c>
      <c r="IM146" s="52">
        <v>340.41</v>
      </c>
      <c r="IN146" s="52">
        <v>303.98</v>
      </c>
      <c r="IO146" s="52">
        <v>281.05</v>
      </c>
      <c r="IP146" s="52">
        <v>188.38</v>
      </c>
      <c r="IQ146" s="52">
        <v>275.27999999999997</v>
      </c>
      <c r="IR146" s="52">
        <v>385.81</v>
      </c>
      <c r="IS146" s="52">
        <v>411.61</v>
      </c>
      <c r="IT146" s="52">
        <v>39.21</v>
      </c>
      <c r="IU146" s="52">
        <v>149.77000000000001</v>
      </c>
      <c r="IV146" s="52">
        <v>38.71</v>
      </c>
      <c r="IW146" s="52">
        <v>96.12</v>
      </c>
      <c r="IX146" s="52">
        <v>169.74</v>
      </c>
      <c r="IY146" s="52">
        <v>246.42</v>
      </c>
      <c r="IZ146" s="52">
        <v>353.7</v>
      </c>
      <c r="JA146" s="52">
        <v>265.81</v>
      </c>
      <c r="JB146" s="52"/>
      <c r="JC146" s="52">
        <v>281.27</v>
      </c>
      <c r="JD146" s="52">
        <v>335.2</v>
      </c>
      <c r="JE146" s="52">
        <v>289.26</v>
      </c>
      <c r="JF146" s="52">
        <v>238.31</v>
      </c>
      <c r="JG146" s="52">
        <v>311.32</v>
      </c>
      <c r="JH146" s="52">
        <v>422.29</v>
      </c>
      <c r="JI146" s="52">
        <v>358.88</v>
      </c>
      <c r="JJ146" s="52">
        <v>264.17</v>
      </c>
      <c r="JK146" s="52">
        <v>368.11</v>
      </c>
      <c r="JL146" s="52">
        <v>377.93</v>
      </c>
      <c r="JM146" s="52">
        <v>336.79</v>
      </c>
      <c r="JN146" s="52">
        <v>247.27</v>
      </c>
      <c r="JO146" s="52">
        <v>213.89</v>
      </c>
      <c r="JP146" s="52">
        <v>452.69</v>
      </c>
      <c r="JQ146" s="52">
        <v>388.86</v>
      </c>
      <c r="JR146" s="52">
        <v>266.3</v>
      </c>
      <c r="JS146" s="52">
        <v>372.85</v>
      </c>
      <c r="JT146" s="52">
        <v>390.31</v>
      </c>
      <c r="JU146" s="52">
        <v>299.97000000000003</v>
      </c>
      <c r="JV146" s="52">
        <v>162.02000000000001</v>
      </c>
      <c r="JW146" s="52">
        <v>197</v>
      </c>
      <c r="JX146" s="52">
        <v>701.8</v>
      </c>
      <c r="JY146" s="52">
        <v>381.71</v>
      </c>
      <c r="JZ146" s="52">
        <v>324.13</v>
      </c>
      <c r="KA146" s="52">
        <v>343.68</v>
      </c>
      <c r="KB146" s="52">
        <v>260.87</v>
      </c>
      <c r="KC146" s="52">
        <v>308.61</v>
      </c>
      <c r="KD146" s="52">
        <v>521.6</v>
      </c>
      <c r="KE146" s="52">
        <v>401.51</v>
      </c>
      <c r="KF146" s="52">
        <v>378.88</v>
      </c>
    </row>
    <row r="147" spans="1:292" s="41" customFormat="1" ht="12">
      <c r="A147" s="41">
        <v>2016</v>
      </c>
      <c r="B147" s="54" t="s">
        <v>995</v>
      </c>
      <c r="C147" s="50" t="s">
        <v>996</v>
      </c>
      <c r="D147" s="56">
        <v>286.33</v>
      </c>
      <c r="E147" s="56">
        <v>310.95999999999998</v>
      </c>
      <c r="F147" s="56">
        <v>535.6</v>
      </c>
      <c r="G147" s="56">
        <v>195.9</v>
      </c>
      <c r="H147" s="56">
        <v>321.16000000000003</v>
      </c>
      <c r="I147" s="56">
        <v>226.82</v>
      </c>
      <c r="J147" s="56">
        <v>173.43</v>
      </c>
      <c r="K147" s="56">
        <v>269.61</v>
      </c>
      <c r="L147" s="56">
        <v>132.24</v>
      </c>
      <c r="M147" s="56">
        <v>200.46</v>
      </c>
      <c r="N147" s="56">
        <v>293.3</v>
      </c>
      <c r="O147" s="56">
        <v>428.88</v>
      </c>
      <c r="P147" s="56">
        <v>343.07</v>
      </c>
      <c r="Q147" s="56">
        <v>313.70999999999998</v>
      </c>
      <c r="R147" s="56">
        <v>271.48</v>
      </c>
      <c r="S147" s="56">
        <v>567.51</v>
      </c>
      <c r="T147" s="56">
        <v>532.95000000000005</v>
      </c>
      <c r="U147" s="56">
        <v>188.98</v>
      </c>
      <c r="V147" s="56">
        <v>216.37</v>
      </c>
      <c r="W147" s="56">
        <v>393.52</v>
      </c>
      <c r="X147" s="56">
        <v>238.7</v>
      </c>
      <c r="Y147" s="56">
        <v>305.77</v>
      </c>
      <c r="Z147" s="56">
        <v>305.77</v>
      </c>
      <c r="AA147" s="56">
        <v>268.75</v>
      </c>
      <c r="AB147" s="56">
        <v>214.43</v>
      </c>
      <c r="AC147" s="56">
        <v>172.63</v>
      </c>
      <c r="AD147" s="56">
        <v>251.26</v>
      </c>
      <c r="AE147" s="56">
        <v>259.43</v>
      </c>
      <c r="AF147" s="56">
        <v>221.64</v>
      </c>
      <c r="AG147" s="56">
        <v>123.55</v>
      </c>
      <c r="AH147" s="56">
        <v>205.14</v>
      </c>
      <c r="AI147" s="56">
        <v>281.95</v>
      </c>
      <c r="AJ147" s="56">
        <v>202.96</v>
      </c>
      <c r="AK147" s="56">
        <v>283.05</v>
      </c>
      <c r="AL147" s="56">
        <v>323.16000000000003</v>
      </c>
      <c r="AM147" s="56">
        <v>411.61</v>
      </c>
      <c r="AN147" s="56">
        <v>39.020000000000003</v>
      </c>
      <c r="AO147" s="56">
        <v>149.77000000000001</v>
      </c>
      <c r="AP147" s="56">
        <v>64.47</v>
      </c>
      <c r="AQ147" s="56">
        <v>251.65</v>
      </c>
      <c r="AR147" s="56">
        <v>327.5</v>
      </c>
      <c r="AS147" s="56">
        <v>289.07</v>
      </c>
      <c r="AT147" s="56">
        <v>345.62</v>
      </c>
      <c r="AU147" s="56">
        <v>347.81</v>
      </c>
      <c r="AV147" s="56">
        <v>378.82</v>
      </c>
      <c r="AW147" s="56">
        <v>338.04</v>
      </c>
      <c r="AX147" s="56">
        <v>247.69</v>
      </c>
      <c r="AY147" s="56">
        <v>215.29</v>
      </c>
      <c r="AZ147" s="56">
        <v>435.94</v>
      </c>
      <c r="BA147" s="56">
        <v>305.58</v>
      </c>
      <c r="BB147" s="56">
        <v>231.05</v>
      </c>
      <c r="BC147" s="56">
        <v>609.24</v>
      </c>
      <c r="BD147" s="56">
        <v>346.68</v>
      </c>
      <c r="BE147" s="56">
        <v>467.08</v>
      </c>
      <c r="BF147" s="56">
        <v>401.51</v>
      </c>
      <c r="BG147" s="56">
        <v>379.06</v>
      </c>
      <c r="BH147" s="52">
        <v>322.49</v>
      </c>
      <c r="BI147" s="52">
        <v>342.49</v>
      </c>
      <c r="BJ147" s="52">
        <v>267.69</v>
      </c>
      <c r="BK147" s="52">
        <v>271.36</v>
      </c>
      <c r="BL147" s="52">
        <v>295.72000000000003</v>
      </c>
      <c r="BM147" s="52">
        <v>263.02</v>
      </c>
      <c r="BN147" s="52">
        <v>354.49</v>
      </c>
      <c r="BO147" s="52">
        <v>253.06</v>
      </c>
      <c r="BP147" s="52">
        <v>325.04000000000002</v>
      </c>
      <c r="BQ147" s="52">
        <v>335.97</v>
      </c>
      <c r="BR147" s="52">
        <v>226.02</v>
      </c>
      <c r="BS147" s="52">
        <v>612.20000000000005</v>
      </c>
      <c r="BT147" s="52">
        <v>331.75</v>
      </c>
      <c r="BU147" s="52">
        <v>543.25</v>
      </c>
      <c r="BV147" s="52">
        <v>532.95000000000005</v>
      </c>
      <c r="BW147" s="52">
        <v>186.25</v>
      </c>
      <c r="BX147" s="52">
        <v>210.35</v>
      </c>
      <c r="BY147" s="52">
        <v>292.52</v>
      </c>
      <c r="BZ147" s="52">
        <v>215.69</v>
      </c>
      <c r="CA147" s="52">
        <v>331.31</v>
      </c>
      <c r="CB147" s="53">
        <v>393.52</v>
      </c>
      <c r="CC147" s="52">
        <v>238.7</v>
      </c>
      <c r="CD147" s="52">
        <v>304.61</v>
      </c>
      <c r="CE147" s="52">
        <v>268.64999999999998</v>
      </c>
      <c r="CF147" s="52">
        <v>316.26</v>
      </c>
      <c r="CG147" s="52">
        <v>309.07</v>
      </c>
      <c r="CH147" s="52">
        <v>276</v>
      </c>
      <c r="CI147" s="52">
        <v>244.43</v>
      </c>
      <c r="CJ147" s="52">
        <v>214.43</v>
      </c>
      <c r="CK147" s="52">
        <v>155.46</v>
      </c>
      <c r="CL147" s="52">
        <v>195.5</v>
      </c>
      <c r="CM147" s="52">
        <v>385.65</v>
      </c>
      <c r="CN147" s="52">
        <v>251.26</v>
      </c>
      <c r="CO147" s="52">
        <v>259.43</v>
      </c>
      <c r="CP147" s="52">
        <v>170.92</v>
      </c>
      <c r="CQ147" s="52">
        <v>434.16</v>
      </c>
      <c r="CR147" s="52">
        <v>123.36</v>
      </c>
      <c r="CS147" s="52">
        <v>186.25</v>
      </c>
      <c r="CT147" s="52">
        <v>130.46</v>
      </c>
      <c r="CU147" s="52">
        <v>220.19</v>
      </c>
      <c r="CV147" s="52">
        <v>227.65</v>
      </c>
      <c r="CW147" s="52">
        <v>127.53</v>
      </c>
      <c r="CX147" s="52">
        <v>281.95</v>
      </c>
      <c r="CY147" s="52">
        <v>203.5</v>
      </c>
      <c r="CZ147" s="52">
        <v>164.54</v>
      </c>
      <c r="DA147" s="52">
        <v>238.15</v>
      </c>
      <c r="DB147" s="52">
        <v>258.66000000000003</v>
      </c>
      <c r="DC147" s="52">
        <v>257.51</v>
      </c>
      <c r="DD147" s="52">
        <v>376.99</v>
      </c>
      <c r="DE147" s="52">
        <v>517.95000000000005</v>
      </c>
      <c r="DF147" s="52">
        <v>307.29000000000002</v>
      </c>
      <c r="DG147" s="52">
        <v>327.9</v>
      </c>
      <c r="DH147" s="52">
        <v>190.86</v>
      </c>
      <c r="DI147" s="52">
        <v>275.27999999999997</v>
      </c>
      <c r="DJ147" s="52">
        <v>388.11</v>
      </c>
      <c r="DK147" s="52">
        <v>411.61</v>
      </c>
      <c r="DL147" s="52">
        <v>39.020000000000003</v>
      </c>
      <c r="DM147" s="52">
        <v>149.77000000000001</v>
      </c>
      <c r="DN147" s="52">
        <v>38.74</v>
      </c>
      <c r="DO147" s="52">
        <v>93.39</v>
      </c>
      <c r="DP147" s="52">
        <v>169.74</v>
      </c>
      <c r="DQ147" s="52">
        <v>251.65</v>
      </c>
      <c r="DR147" s="52">
        <v>349.3</v>
      </c>
      <c r="DS147" s="52">
        <v>267.97000000000003</v>
      </c>
      <c r="DT147" s="52"/>
      <c r="DU147" s="52">
        <v>281.94</v>
      </c>
      <c r="DV147" s="52">
        <v>334.23</v>
      </c>
      <c r="DW147" s="52">
        <v>248.56</v>
      </c>
      <c r="DX147" s="52">
        <v>311.32</v>
      </c>
      <c r="DY147" s="52">
        <v>422.73</v>
      </c>
      <c r="DZ147" s="52">
        <v>359.02</v>
      </c>
      <c r="EA147" s="52">
        <v>267.95</v>
      </c>
      <c r="EB147" s="52">
        <v>347.81</v>
      </c>
      <c r="EC147" s="52">
        <v>378.82</v>
      </c>
      <c r="ED147" s="52">
        <v>338.04</v>
      </c>
      <c r="EE147" s="52">
        <v>247.69</v>
      </c>
      <c r="EF147" s="52">
        <v>215.29</v>
      </c>
      <c r="EG147" s="52">
        <v>435.94</v>
      </c>
      <c r="EH147" s="52">
        <v>305.58</v>
      </c>
      <c r="EI147" s="52">
        <v>345.97</v>
      </c>
      <c r="EJ147" s="52">
        <v>164.47</v>
      </c>
      <c r="EK147" s="52">
        <v>198.14</v>
      </c>
      <c r="EL147" s="52">
        <v>696.5</v>
      </c>
      <c r="EM147" s="52">
        <v>368.24</v>
      </c>
      <c r="EN147" s="52">
        <v>346.68</v>
      </c>
      <c r="EO147" s="52">
        <v>261.29000000000002</v>
      </c>
      <c r="EP147" s="52">
        <v>311.26</v>
      </c>
      <c r="EQ147" s="52">
        <v>522.72</v>
      </c>
      <c r="ER147" s="52">
        <v>401.51</v>
      </c>
      <c r="ES147" s="52">
        <v>379.06</v>
      </c>
      <c r="ET147" s="52">
        <v>317.72000000000003</v>
      </c>
      <c r="EU147" s="52">
        <v>286.08999999999997</v>
      </c>
      <c r="EV147" s="52">
        <v>347.6</v>
      </c>
      <c r="EW147" s="52">
        <v>286.77999999999997</v>
      </c>
      <c r="EX147" s="52">
        <v>296.01</v>
      </c>
      <c r="EY147" s="52">
        <v>196.5</v>
      </c>
      <c r="EZ147" s="52">
        <v>376.4</v>
      </c>
      <c r="FA147" s="52">
        <v>376.41</v>
      </c>
      <c r="FB147" s="52">
        <v>246.89</v>
      </c>
      <c r="FC147" s="52">
        <v>437.82</v>
      </c>
      <c r="FD147" s="52">
        <v>305.77</v>
      </c>
      <c r="FE147" s="52">
        <v>267.69</v>
      </c>
      <c r="FF147" s="52"/>
      <c r="FG147" s="52">
        <v>219.21</v>
      </c>
      <c r="FH147" s="52">
        <v>221.32</v>
      </c>
      <c r="FI147" s="52">
        <v>306.25</v>
      </c>
      <c r="FJ147" s="52">
        <v>329.76</v>
      </c>
      <c r="FK147" s="52">
        <v>403.48</v>
      </c>
      <c r="FL147" s="52">
        <v>213.57</v>
      </c>
      <c r="FM147" s="52">
        <v>294.92</v>
      </c>
      <c r="FN147" s="52">
        <v>215.91</v>
      </c>
      <c r="FO147" s="52">
        <v>512.95000000000005</v>
      </c>
      <c r="FP147" s="52">
        <v>356.36</v>
      </c>
      <c r="FQ147" s="52">
        <v>198.93</v>
      </c>
      <c r="FR147" s="52">
        <v>516.39</v>
      </c>
      <c r="FS147" s="52">
        <v>334.7</v>
      </c>
      <c r="FT147" s="52">
        <v>233.17</v>
      </c>
      <c r="FU147" s="52">
        <v>349.51</v>
      </c>
      <c r="FV147" s="52">
        <v>251.98</v>
      </c>
      <c r="FW147" s="52">
        <v>191.12</v>
      </c>
      <c r="FX147" s="52">
        <v>325.04000000000002</v>
      </c>
      <c r="FY147" s="52">
        <v>320.41000000000003</v>
      </c>
      <c r="FZ147" s="52">
        <v>340.37</v>
      </c>
      <c r="GA147" s="52">
        <v>243.81</v>
      </c>
      <c r="GB147" s="52">
        <v>239.77</v>
      </c>
      <c r="GC147" s="52">
        <v>222.95</v>
      </c>
      <c r="GD147" s="52">
        <v>201.78</v>
      </c>
      <c r="GE147" s="52">
        <v>612.20000000000005</v>
      </c>
      <c r="GF147" s="52">
        <v>331.75</v>
      </c>
      <c r="GG147" s="52">
        <v>543.25</v>
      </c>
      <c r="GH147" s="52">
        <v>532.05999999999995</v>
      </c>
      <c r="GI147" s="52">
        <v>197.47</v>
      </c>
      <c r="GJ147" s="52">
        <v>181.43</v>
      </c>
      <c r="GK147" s="52">
        <v>169.83</v>
      </c>
      <c r="GL147" s="52">
        <v>230.2</v>
      </c>
      <c r="GM147" s="52">
        <v>210.35</v>
      </c>
      <c r="GN147" s="52">
        <v>292.52</v>
      </c>
      <c r="GO147" s="52">
        <v>220.61</v>
      </c>
      <c r="GP147" s="52">
        <v>210.85</v>
      </c>
      <c r="GQ147" s="52">
        <v>214.51</v>
      </c>
      <c r="GR147" s="52">
        <v>331.31</v>
      </c>
      <c r="GS147" s="52">
        <v>393.52</v>
      </c>
      <c r="GT147" s="52">
        <v>238.7</v>
      </c>
      <c r="GU147" s="52">
        <v>304.61</v>
      </c>
      <c r="GV147" s="52">
        <v>268.64999999999998</v>
      </c>
      <c r="GW147" s="52">
        <v>298.74</v>
      </c>
      <c r="GX147" s="52">
        <v>315.38</v>
      </c>
      <c r="GY147" s="52">
        <v>309.07</v>
      </c>
      <c r="GZ147" s="52">
        <v>320.86</v>
      </c>
      <c r="HA147" s="52">
        <v>261.22000000000003</v>
      </c>
      <c r="HB147" s="52">
        <v>280.23</v>
      </c>
      <c r="HC147" s="52">
        <v>244.43</v>
      </c>
      <c r="HD147" s="52">
        <v>214.43</v>
      </c>
      <c r="HE147" s="52">
        <v>127.29</v>
      </c>
      <c r="HF147" s="52">
        <v>143.68</v>
      </c>
      <c r="HG147" s="52">
        <v>178.96</v>
      </c>
      <c r="HH147" s="52">
        <v>210.71</v>
      </c>
      <c r="HI147" s="52">
        <v>117.15</v>
      </c>
      <c r="HJ147" s="52">
        <v>195.5</v>
      </c>
      <c r="HK147" s="52">
        <v>385.65</v>
      </c>
      <c r="HL147" s="52">
        <v>219.23</v>
      </c>
      <c r="HM147" s="52">
        <v>268.13</v>
      </c>
      <c r="HN147" s="52">
        <v>276.31</v>
      </c>
      <c r="HO147" s="52">
        <v>234.64</v>
      </c>
      <c r="HP147" s="52">
        <v>277.82</v>
      </c>
      <c r="HQ147" s="52">
        <v>160.07</v>
      </c>
      <c r="HR147" s="52">
        <v>251.16</v>
      </c>
      <c r="HS147" s="52">
        <v>443.11</v>
      </c>
      <c r="HT147" s="52">
        <v>261.99</v>
      </c>
      <c r="HU147" s="52">
        <v>123.36</v>
      </c>
      <c r="HV147" s="52">
        <v>186.25</v>
      </c>
      <c r="HW147" s="52">
        <v>128.55000000000001</v>
      </c>
      <c r="HX147" s="52">
        <v>125.38</v>
      </c>
      <c r="HY147" s="52">
        <v>220.19</v>
      </c>
      <c r="HZ147" s="52">
        <v>227.65</v>
      </c>
      <c r="IA147" s="52">
        <v>116.49</v>
      </c>
      <c r="IB147" s="52">
        <v>281.95</v>
      </c>
      <c r="IC147" s="52">
        <v>185.62</v>
      </c>
      <c r="ID147" s="52">
        <v>205.59</v>
      </c>
      <c r="IE147" s="52">
        <v>164.54</v>
      </c>
      <c r="IF147" s="52">
        <v>238.15</v>
      </c>
      <c r="IG147" s="52">
        <v>258.66000000000003</v>
      </c>
      <c r="IH147" s="52">
        <v>257.51</v>
      </c>
      <c r="II147" s="52">
        <v>376.99</v>
      </c>
      <c r="IJ147" s="52">
        <v>517.95000000000005</v>
      </c>
      <c r="IK147" s="52">
        <v>347.45</v>
      </c>
      <c r="IL147" s="52">
        <v>244.05</v>
      </c>
      <c r="IM147" s="52">
        <v>341.95</v>
      </c>
      <c r="IN147" s="52">
        <v>304.10000000000002</v>
      </c>
      <c r="IO147" s="52">
        <v>281.87</v>
      </c>
      <c r="IP147" s="52">
        <v>190.86</v>
      </c>
      <c r="IQ147" s="52">
        <v>275.27999999999997</v>
      </c>
      <c r="IR147" s="52">
        <v>388.11</v>
      </c>
      <c r="IS147" s="52">
        <v>411.61</v>
      </c>
      <c r="IT147" s="52">
        <v>39.020000000000003</v>
      </c>
      <c r="IU147" s="52">
        <v>149.77000000000001</v>
      </c>
      <c r="IV147" s="52">
        <v>38.75</v>
      </c>
      <c r="IW147" s="52">
        <v>93.39</v>
      </c>
      <c r="IX147" s="52">
        <v>169.74</v>
      </c>
      <c r="IY147" s="52">
        <v>251.65</v>
      </c>
      <c r="IZ147" s="52">
        <v>349.3</v>
      </c>
      <c r="JA147" s="52">
        <v>267.97000000000003</v>
      </c>
      <c r="JB147" s="52"/>
      <c r="JC147" s="52">
        <v>281.94</v>
      </c>
      <c r="JD147" s="52">
        <v>334.23</v>
      </c>
      <c r="JE147" s="52">
        <v>290.10000000000002</v>
      </c>
      <c r="JF147" s="52">
        <v>238.72</v>
      </c>
      <c r="JG147" s="52">
        <v>311.32</v>
      </c>
      <c r="JH147" s="52">
        <v>422.73</v>
      </c>
      <c r="JI147" s="52">
        <v>359.02</v>
      </c>
      <c r="JJ147" s="52">
        <v>267.95</v>
      </c>
      <c r="JK147" s="52">
        <v>347.81</v>
      </c>
      <c r="JL147" s="52">
        <v>378.82</v>
      </c>
      <c r="JM147" s="52">
        <v>338.04</v>
      </c>
      <c r="JN147" s="52">
        <v>247.69</v>
      </c>
      <c r="JO147" s="52">
        <v>215.29</v>
      </c>
      <c r="JP147" s="52">
        <v>455.63</v>
      </c>
      <c r="JQ147" s="52">
        <v>391.08</v>
      </c>
      <c r="JR147" s="52">
        <v>265.94</v>
      </c>
      <c r="JS147" s="52">
        <v>389.81</v>
      </c>
      <c r="JT147" s="52">
        <v>391.42</v>
      </c>
      <c r="JU147" s="52">
        <v>302.72000000000003</v>
      </c>
      <c r="JV147" s="52">
        <v>164.47</v>
      </c>
      <c r="JW147" s="52">
        <v>198.14</v>
      </c>
      <c r="JX147" s="52">
        <v>696.5</v>
      </c>
      <c r="JY147" s="52">
        <v>389.14</v>
      </c>
      <c r="JZ147" s="52">
        <v>330.33</v>
      </c>
      <c r="KA147" s="52">
        <v>346.68</v>
      </c>
      <c r="KB147" s="52">
        <v>261.29000000000002</v>
      </c>
      <c r="KC147" s="52">
        <v>311.26</v>
      </c>
      <c r="KD147" s="52">
        <v>522.72</v>
      </c>
      <c r="KE147" s="52">
        <v>401.51</v>
      </c>
      <c r="KF147" s="52">
        <v>379.06</v>
      </c>
    </row>
    <row r="148" spans="1:292" s="41" customFormat="1" ht="12">
      <c r="A148" s="41">
        <v>2016</v>
      </c>
      <c r="B148" s="54" t="s">
        <v>997</v>
      </c>
      <c r="C148" s="50" t="s">
        <v>998</v>
      </c>
      <c r="D148" s="56">
        <v>287.81</v>
      </c>
      <c r="E148" s="56">
        <v>309.17</v>
      </c>
      <c r="F148" s="56">
        <v>535.64</v>
      </c>
      <c r="G148" s="56">
        <v>203.53</v>
      </c>
      <c r="H148" s="56">
        <v>323.94</v>
      </c>
      <c r="I148" s="56">
        <v>226.54</v>
      </c>
      <c r="J148" s="56">
        <v>173.52</v>
      </c>
      <c r="K148" s="56">
        <v>270.94</v>
      </c>
      <c r="L148" s="56">
        <v>133.08000000000001</v>
      </c>
      <c r="M148" s="56">
        <v>202.97</v>
      </c>
      <c r="N148" s="56">
        <v>293.58999999999997</v>
      </c>
      <c r="O148" s="56">
        <v>430.96</v>
      </c>
      <c r="P148" s="56">
        <v>347.05</v>
      </c>
      <c r="Q148" s="56">
        <v>311.61</v>
      </c>
      <c r="R148" s="56">
        <v>272.95</v>
      </c>
      <c r="S148" s="56">
        <v>568.14</v>
      </c>
      <c r="T148" s="56">
        <v>532.95000000000005</v>
      </c>
      <c r="U148" s="56">
        <v>196.95</v>
      </c>
      <c r="V148" s="56">
        <v>222.46</v>
      </c>
      <c r="W148" s="56">
        <v>395.93</v>
      </c>
      <c r="X148" s="56">
        <v>240.28</v>
      </c>
      <c r="Y148" s="56">
        <v>308.18</v>
      </c>
      <c r="Z148" s="56">
        <v>309.32</v>
      </c>
      <c r="AA148" s="56">
        <v>267.63</v>
      </c>
      <c r="AB148" s="56">
        <v>216.21</v>
      </c>
      <c r="AC148" s="56">
        <v>171.41</v>
      </c>
      <c r="AD148" s="56">
        <v>252.57</v>
      </c>
      <c r="AE148" s="56">
        <v>264.32</v>
      </c>
      <c r="AF148" s="56">
        <v>222.07</v>
      </c>
      <c r="AG148" s="56">
        <v>123.47</v>
      </c>
      <c r="AH148" s="56">
        <v>205.32</v>
      </c>
      <c r="AI148" s="56">
        <v>282.49</v>
      </c>
      <c r="AJ148" s="56">
        <v>206.1</v>
      </c>
      <c r="AK148" s="56">
        <v>284.85000000000002</v>
      </c>
      <c r="AL148" s="56">
        <v>320.02999999999997</v>
      </c>
      <c r="AM148" s="56">
        <v>411.61</v>
      </c>
      <c r="AN148" s="56">
        <v>39.19</v>
      </c>
      <c r="AO148" s="56">
        <v>150.78</v>
      </c>
      <c r="AP148" s="56">
        <v>65.12</v>
      </c>
      <c r="AQ148" s="56">
        <v>254.13</v>
      </c>
      <c r="AR148" s="56">
        <v>326.18</v>
      </c>
      <c r="AS148" s="56">
        <v>292.41000000000003</v>
      </c>
      <c r="AT148" s="56">
        <v>345.57</v>
      </c>
      <c r="AU148" s="56">
        <v>363.67</v>
      </c>
      <c r="AV148" s="56">
        <v>378.84</v>
      </c>
      <c r="AW148" s="56">
        <v>338.04</v>
      </c>
      <c r="AX148" s="56">
        <v>247.69</v>
      </c>
      <c r="AY148" s="56">
        <v>216.91</v>
      </c>
      <c r="AZ148" s="56">
        <v>438.6</v>
      </c>
      <c r="BA148" s="56">
        <v>303.70999999999998</v>
      </c>
      <c r="BB148" s="56">
        <v>233.28</v>
      </c>
      <c r="BC148" s="56">
        <v>627.05999999999995</v>
      </c>
      <c r="BD148" s="56">
        <v>347.4</v>
      </c>
      <c r="BE148" s="56">
        <v>464.04</v>
      </c>
      <c r="BF148" s="56">
        <v>416.73</v>
      </c>
      <c r="BG148" s="56">
        <v>379.22</v>
      </c>
      <c r="BH148" s="52">
        <v>324.02999999999997</v>
      </c>
      <c r="BI148" s="52">
        <v>347.75</v>
      </c>
      <c r="BJ148" s="52">
        <v>269.23</v>
      </c>
      <c r="BK148" s="52">
        <v>272.97000000000003</v>
      </c>
      <c r="BL148" s="52">
        <v>295.76</v>
      </c>
      <c r="BM148" s="52">
        <v>257.17</v>
      </c>
      <c r="BN148" s="52">
        <v>335.01</v>
      </c>
      <c r="BO148" s="52">
        <v>252.83</v>
      </c>
      <c r="BP148" s="52">
        <v>329.97</v>
      </c>
      <c r="BQ148" s="52">
        <v>338.13</v>
      </c>
      <c r="BR148" s="52">
        <v>227.09</v>
      </c>
      <c r="BS148" s="52">
        <v>612.11</v>
      </c>
      <c r="BT148" s="52">
        <v>336.47</v>
      </c>
      <c r="BU148" s="52">
        <v>543.47</v>
      </c>
      <c r="BV148" s="52">
        <v>532.95000000000005</v>
      </c>
      <c r="BW148" s="52">
        <v>194.56</v>
      </c>
      <c r="BX148" s="52">
        <v>213.39</v>
      </c>
      <c r="BY148" s="52">
        <v>293.94</v>
      </c>
      <c r="BZ148" s="52">
        <v>221.78</v>
      </c>
      <c r="CA148" s="52">
        <v>336.04</v>
      </c>
      <c r="CB148" s="53">
        <v>395.93</v>
      </c>
      <c r="CC148" s="52">
        <v>240.28</v>
      </c>
      <c r="CD148" s="52">
        <v>307.01</v>
      </c>
      <c r="CE148" s="52">
        <v>268.64999999999998</v>
      </c>
      <c r="CF148" s="52">
        <v>319.89</v>
      </c>
      <c r="CG148" s="52">
        <v>321.81</v>
      </c>
      <c r="CH148" s="52">
        <v>274.63</v>
      </c>
      <c r="CI148" s="52">
        <v>245.3</v>
      </c>
      <c r="CJ148" s="52">
        <v>216.21</v>
      </c>
      <c r="CK148" s="52">
        <v>154.12</v>
      </c>
      <c r="CL148" s="52">
        <v>195.89</v>
      </c>
      <c r="CM148" s="52">
        <v>386.25</v>
      </c>
      <c r="CN148" s="52">
        <v>252.57</v>
      </c>
      <c r="CO148" s="52">
        <v>264.32</v>
      </c>
      <c r="CP148" s="52">
        <v>171.13</v>
      </c>
      <c r="CQ148" s="52">
        <v>435.53</v>
      </c>
      <c r="CR148" s="52">
        <v>123.36</v>
      </c>
      <c r="CS148" s="52">
        <v>184.35</v>
      </c>
      <c r="CT148" s="52">
        <v>130.62</v>
      </c>
      <c r="CU148" s="52">
        <v>220.3</v>
      </c>
      <c r="CV148" s="52">
        <v>227.94</v>
      </c>
      <c r="CW148" s="52">
        <v>127.61</v>
      </c>
      <c r="CX148" s="52">
        <v>282.49</v>
      </c>
      <c r="CY148" s="52">
        <v>206.77</v>
      </c>
      <c r="CZ148" s="52">
        <v>165.51</v>
      </c>
      <c r="DA148" s="52">
        <v>238.61</v>
      </c>
      <c r="DB148" s="52">
        <v>261.04000000000002</v>
      </c>
      <c r="DC148" s="52">
        <v>260.20999999999998</v>
      </c>
      <c r="DD148" s="52">
        <v>372.52</v>
      </c>
      <c r="DE148" s="52">
        <v>513.88</v>
      </c>
      <c r="DF148" s="52">
        <v>308.52</v>
      </c>
      <c r="DG148" s="52">
        <v>326.55</v>
      </c>
      <c r="DH148" s="52">
        <v>178.8</v>
      </c>
      <c r="DI148" s="52">
        <v>275.27999999999997</v>
      </c>
      <c r="DJ148" s="52">
        <v>389.96</v>
      </c>
      <c r="DK148" s="52">
        <v>411.61</v>
      </c>
      <c r="DL148" s="52">
        <v>39.19</v>
      </c>
      <c r="DM148" s="52">
        <v>150.78</v>
      </c>
      <c r="DN148" s="52">
        <v>38.81</v>
      </c>
      <c r="DO148" s="52">
        <v>96.15</v>
      </c>
      <c r="DP148" s="52">
        <v>172.51</v>
      </c>
      <c r="DQ148" s="52">
        <v>254.13</v>
      </c>
      <c r="DR148" s="52">
        <v>343.44</v>
      </c>
      <c r="DS148" s="52">
        <v>274.48</v>
      </c>
      <c r="DT148" s="52"/>
      <c r="DU148" s="52">
        <v>282.70999999999998</v>
      </c>
      <c r="DV148" s="52">
        <v>335.76</v>
      </c>
      <c r="DW148" s="52">
        <v>248.87</v>
      </c>
      <c r="DX148" s="52">
        <v>355.2</v>
      </c>
      <c r="DY148" s="52">
        <v>420.72</v>
      </c>
      <c r="DZ148" s="52">
        <v>359.02</v>
      </c>
      <c r="EA148" s="52">
        <v>269.70999999999998</v>
      </c>
      <c r="EB148" s="52">
        <v>363.67</v>
      </c>
      <c r="EC148" s="52">
        <v>378.84</v>
      </c>
      <c r="ED148" s="52">
        <v>338.04</v>
      </c>
      <c r="EE148" s="52">
        <v>247.69</v>
      </c>
      <c r="EF148" s="52">
        <v>216.91</v>
      </c>
      <c r="EG148" s="52">
        <v>438.6</v>
      </c>
      <c r="EH148" s="52">
        <v>303.70999999999998</v>
      </c>
      <c r="EI148" s="52">
        <v>347.51</v>
      </c>
      <c r="EJ148" s="52">
        <v>151.82</v>
      </c>
      <c r="EK148" s="52">
        <v>201.28</v>
      </c>
      <c r="EL148" s="52">
        <v>725.93</v>
      </c>
      <c r="EM148" s="52">
        <v>369.86</v>
      </c>
      <c r="EN148" s="52">
        <v>347.4</v>
      </c>
      <c r="EO148" s="52">
        <v>261.27</v>
      </c>
      <c r="EP148" s="52">
        <v>311.26</v>
      </c>
      <c r="EQ148" s="52">
        <v>518.28</v>
      </c>
      <c r="ER148" s="52">
        <v>416.73</v>
      </c>
      <c r="ES148" s="52">
        <v>379.22</v>
      </c>
      <c r="ET148" s="52">
        <v>321.04000000000002</v>
      </c>
      <c r="EU148" s="52">
        <v>288.12</v>
      </c>
      <c r="EV148" s="52">
        <v>348.36</v>
      </c>
      <c r="EW148" s="52">
        <v>289.32</v>
      </c>
      <c r="EX148" s="52">
        <v>293.31</v>
      </c>
      <c r="EY148" s="52">
        <v>201.58</v>
      </c>
      <c r="EZ148" s="52">
        <v>375.97</v>
      </c>
      <c r="FA148" s="52">
        <v>378.59</v>
      </c>
      <c r="FB148" s="52">
        <v>263.94</v>
      </c>
      <c r="FC148" s="52">
        <v>447.3</v>
      </c>
      <c r="FD148" s="52">
        <v>306.79000000000002</v>
      </c>
      <c r="FE148" s="52">
        <v>269.23</v>
      </c>
      <c r="FF148" s="52"/>
      <c r="FG148" s="52">
        <v>218.63</v>
      </c>
      <c r="FH148" s="52">
        <v>221.89</v>
      </c>
      <c r="FI148" s="52">
        <v>305.33999999999997</v>
      </c>
      <c r="FJ148" s="52">
        <v>343.71</v>
      </c>
      <c r="FK148" s="52">
        <v>401.08</v>
      </c>
      <c r="FL148" s="52">
        <v>216.45</v>
      </c>
      <c r="FM148" s="52">
        <v>295.06</v>
      </c>
      <c r="FN148" s="52">
        <v>208.26</v>
      </c>
      <c r="FO148" s="52">
        <v>517.42999999999995</v>
      </c>
      <c r="FP148" s="52">
        <v>325.16000000000003</v>
      </c>
      <c r="FQ148" s="52">
        <v>212.29</v>
      </c>
      <c r="FR148" s="52">
        <v>535.47</v>
      </c>
      <c r="FS148" s="52">
        <v>335.16</v>
      </c>
      <c r="FT148" s="52">
        <v>233.29</v>
      </c>
      <c r="FU148" s="52">
        <v>348.37</v>
      </c>
      <c r="FV148" s="52">
        <v>254.28</v>
      </c>
      <c r="FW148" s="52">
        <v>186.51</v>
      </c>
      <c r="FX148" s="52">
        <v>329.97</v>
      </c>
      <c r="FY148" s="52">
        <v>321.39</v>
      </c>
      <c r="FZ148" s="52">
        <v>342.72</v>
      </c>
      <c r="GA148" s="52">
        <v>246.97</v>
      </c>
      <c r="GB148" s="52">
        <v>242.26</v>
      </c>
      <c r="GC148" s="52">
        <v>221.87</v>
      </c>
      <c r="GD148" s="52">
        <v>204.8</v>
      </c>
      <c r="GE148" s="52">
        <v>612.11</v>
      </c>
      <c r="GF148" s="52">
        <v>336.47</v>
      </c>
      <c r="GG148" s="52">
        <v>543.47</v>
      </c>
      <c r="GH148" s="52">
        <v>532.05999999999995</v>
      </c>
      <c r="GI148" s="52">
        <v>205.73</v>
      </c>
      <c r="GJ148" s="52">
        <v>190.17</v>
      </c>
      <c r="GK148" s="52">
        <v>177.11</v>
      </c>
      <c r="GL148" s="52">
        <v>236.39</v>
      </c>
      <c r="GM148" s="52">
        <v>213.39</v>
      </c>
      <c r="GN148" s="52">
        <v>293.94</v>
      </c>
      <c r="GO148" s="52">
        <v>224.22</v>
      </c>
      <c r="GP148" s="52">
        <v>218.52</v>
      </c>
      <c r="GQ148" s="52">
        <v>223.22</v>
      </c>
      <c r="GR148" s="52">
        <v>336.04</v>
      </c>
      <c r="GS148" s="52">
        <v>395.93</v>
      </c>
      <c r="GT148" s="52">
        <v>240.28</v>
      </c>
      <c r="GU148" s="52">
        <v>307.01</v>
      </c>
      <c r="GV148" s="52">
        <v>268.64999999999998</v>
      </c>
      <c r="GW148" s="52">
        <v>299.13</v>
      </c>
      <c r="GX148" s="52">
        <v>325.70999999999998</v>
      </c>
      <c r="GY148" s="52">
        <v>321.81</v>
      </c>
      <c r="GZ148" s="52">
        <v>322.38</v>
      </c>
      <c r="HA148" s="52">
        <v>259.92</v>
      </c>
      <c r="HB148" s="52">
        <v>277.87</v>
      </c>
      <c r="HC148" s="52">
        <v>245.3</v>
      </c>
      <c r="HD148" s="52">
        <v>216.21</v>
      </c>
      <c r="HE148" s="52">
        <v>127.08</v>
      </c>
      <c r="HF148" s="52">
        <v>140.56</v>
      </c>
      <c r="HG148" s="52">
        <v>174.74</v>
      </c>
      <c r="HH148" s="52">
        <v>211.1</v>
      </c>
      <c r="HI148" s="52">
        <v>116.61</v>
      </c>
      <c r="HJ148" s="52">
        <v>195.89</v>
      </c>
      <c r="HK148" s="52">
        <v>386.25</v>
      </c>
      <c r="HL148" s="52">
        <v>220.16</v>
      </c>
      <c r="HM148" s="52">
        <v>271.27999999999997</v>
      </c>
      <c r="HN148" s="52">
        <v>277.70999999999998</v>
      </c>
      <c r="HO148" s="52">
        <v>240.74</v>
      </c>
      <c r="HP148" s="52">
        <v>280.38</v>
      </c>
      <c r="HQ148" s="52">
        <v>159.81</v>
      </c>
      <c r="HR148" s="52">
        <v>254.38</v>
      </c>
      <c r="HS148" s="52">
        <v>444.58</v>
      </c>
      <c r="HT148" s="52">
        <v>262.37</v>
      </c>
      <c r="HU148" s="52">
        <v>123.36</v>
      </c>
      <c r="HV148" s="52">
        <v>184.35</v>
      </c>
      <c r="HW148" s="52">
        <v>128.58000000000001</v>
      </c>
      <c r="HX148" s="52">
        <v>125.82</v>
      </c>
      <c r="HY148" s="52">
        <v>220.3</v>
      </c>
      <c r="HZ148" s="52">
        <v>227.94</v>
      </c>
      <c r="IA148" s="52">
        <v>116.57</v>
      </c>
      <c r="IB148" s="52">
        <v>282.49</v>
      </c>
      <c r="IC148" s="52">
        <v>188.82</v>
      </c>
      <c r="ID148" s="52">
        <v>208.49</v>
      </c>
      <c r="IE148" s="52">
        <v>165.51</v>
      </c>
      <c r="IF148" s="52">
        <v>238.61</v>
      </c>
      <c r="IG148" s="52">
        <v>261.04000000000002</v>
      </c>
      <c r="IH148" s="52">
        <v>260.20999999999998</v>
      </c>
      <c r="II148" s="52">
        <v>372.52</v>
      </c>
      <c r="IJ148" s="52">
        <v>513.88</v>
      </c>
      <c r="IK148" s="52">
        <v>351.17</v>
      </c>
      <c r="IL148" s="52">
        <v>244.05</v>
      </c>
      <c r="IM148" s="52">
        <v>344.53</v>
      </c>
      <c r="IN148" s="52">
        <v>304.23</v>
      </c>
      <c r="IO148" s="52">
        <v>269.37</v>
      </c>
      <c r="IP148" s="52">
        <v>178.8</v>
      </c>
      <c r="IQ148" s="52">
        <v>275.27999999999997</v>
      </c>
      <c r="IR148" s="52">
        <v>389.96</v>
      </c>
      <c r="IS148" s="52">
        <v>411.61</v>
      </c>
      <c r="IT148" s="52">
        <v>39.19</v>
      </c>
      <c r="IU148" s="52">
        <v>150.78</v>
      </c>
      <c r="IV148" s="52">
        <v>38.82</v>
      </c>
      <c r="IW148" s="52">
        <v>96.15</v>
      </c>
      <c r="IX148" s="52">
        <v>172.51</v>
      </c>
      <c r="IY148" s="52">
        <v>254.13</v>
      </c>
      <c r="IZ148" s="52">
        <v>343.44</v>
      </c>
      <c r="JA148" s="52">
        <v>274.48</v>
      </c>
      <c r="JB148" s="52"/>
      <c r="JC148" s="52">
        <v>282.70999999999998</v>
      </c>
      <c r="JD148" s="52">
        <v>335.76</v>
      </c>
      <c r="JE148" s="52">
        <v>289.57</v>
      </c>
      <c r="JF148" s="52">
        <v>239.11</v>
      </c>
      <c r="JG148" s="52">
        <v>355.2</v>
      </c>
      <c r="JH148" s="52">
        <v>420.72</v>
      </c>
      <c r="JI148" s="52">
        <v>359.02</v>
      </c>
      <c r="JJ148" s="52">
        <v>269.70999999999998</v>
      </c>
      <c r="JK148" s="52">
        <v>363.67</v>
      </c>
      <c r="JL148" s="52">
        <v>378.84</v>
      </c>
      <c r="JM148" s="52">
        <v>338.04</v>
      </c>
      <c r="JN148" s="52">
        <v>247.69</v>
      </c>
      <c r="JO148" s="52">
        <v>216.91</v>
      </c>
      <c r="JP148" s="52">
        <v>458.03</v>
      </c>
      <c r="JQ148" s="52">
        <v>394.83</v>
      </c>
      <c r="JR148" s="52">
        <v>263.5</v>
      </c>
      <c r="JS148" s="52">
        <v>390.12</v>
      </c>
      <c r="JT148" s="52">
        <v>393.67</v>
      </c>
      <c r="JU148" s="52">
        <v>303.67</v>
      </c>
      <c r="JV148" s="52">
        <v>151.82</v>
      </c>
      <c r="JW148" s="52">
        <v>201.28</v>
      </c>
      <c r="JX148" s="52">
        <v>725.93</v>
      </c>
      <c r="JY148" s="52">
        <v>390.63</v>
      </c>
      <c r="JZ148" s="52">
        <v>332.12</v>
      </c>
      <c r="KA148" s="52">
        <v>347.4</v>
      </c>
      <c r="KB148" s="52">
        <v>261.27</v>
      </c>
      <c r="KC148" s="52">
        <v>311.26</v>
      </c>
      <c r="KD148" s="52">
        <v>518.28</v>
      </c>
      <c r="KE148" s="52">
        <v>416.73</v>
      </c>
      <c r="KF148" s="52">
        <v>379.22</v>
      </c>
    </row>
    <row r="149" spans="1:292" s="41" customFormat="1" ht="12">
      <c r="A149" s="41">
        <v>2016</v>
      </c>
      <c r="B149" s="54" t="s">
        <v>999</v>
      </c>
      <c r="C149" s="50" t="s">
        <v>1000</v>
      </c>
      <c r="D149" s="56">
        <v>292.54000000000002</v>
      </c>
      <c r="E149" s="56">
        <v>319.35000000000002</v>
      </c>
      <c r="F149" s="56">
        <v>574.89</v>
      </c>
      <c r="G149" s="56">
        <v>198.34</v>
      </c>
      <c r="H149" s="56">
        <v>327.01</v>
      </c>
      <c r="I149" s="56">
        <v>229.43</v>
      </c>
      <c r="J149" s="56">
        <v>174.67</v>
      </c>
      <c r="K149" s="56">
        <v>276.27</v>
      </c>
      <c r="L149" s="56">
        <v>132.9</v>
      </c>
      <c r="M149" s="56">
        <v>205.86</v>
      </c>
      <c r="N149" s="56">
        <v>293.62</v>
      </c>
      <c r="O149" s="56">
        <v>432.87</v>
      </c>
      <c r="P149" s="56">
        <v>349.12</v>
      </c>
      <c r="Q149" s="56">
        <v>322.36</v>
      </c>
      <c r="R149" s="56">
        <v>276.86</v>
      </c>
      <c r="S149" s="56">
        <v>608.49</v>
      </c>
      <c r="T149" s="56">
        <v>572.08000000000004</v>
      </c>
      <c r="U149" s="56">
        <v>191.27</v>
      </c>
      <c r="V149" s="56">
        <v>219.29</v>
      </c>
      <c r="W149" s="56">
        <v>398.85</v>
      </c>
      <c r="X149" s="56">
        <v>245.33</v>
      </c>
      <c r="Y149" s="56">
        <v>309.75</v>
      </c>
      <c r="Z149" s="56">
        <v>312.35000000000002</v>
      </c>
      <c r="AA149" s="56">
        <v>269.29000000000002</v>
      </c>
      <c r="AB149" s="56">
        <v>220.24</v>
      </c>
      <c r="AC149" s="56">
        <v>175.53</v>
      </c>
      <c r="AD149" s="56">
        <v>255.42</v>
      </c>
      <c r="AE149" s="56">
        <v>266.82</v>
      </c>
      <c r="AF149" s="56">
        <v>223.85</v>
      </c>
      <c r="AG149" s="56">
        <v>125.16</v>
      </c>
      <c r="AH149" s="56">
        <v>205.88</v>
      </c>
      <c r="AI149" s="56">
        <v>283.67</v>
      </c>
      <c r="AJ149" s="56">
        <v>209.43</v>
      </c>
      <c r="AK149" s="56">
        <v>296.31</v>
      </c>
      <c r="AL149" s="56">
        <v>318.39</v>
      </c>
      <c r="AM149" s="56">
        <v>411.61</v>
      </c>
      <c r="AN149" s="56">
        <v>38.78</v>
      </c>
      <c r="AO149" s="56">
        <v>150.78</v>
      </c>
      <c r="AP149" s="56">
        <v>66.17</v>
      </c>
      <c r="AQ149" s="56">
        <v>257.23</v>
      </c>
      <c r="AR149" s="56">
        <v>326.43</v>
      </c>
      <c r="AS149" s="56">
        <v>295.45</v>
      </c>
      <c r="AT149" s="56">
        <v>346.26</v>
      </c>
      <c r="AU149" s="56">
        <v>378.45</v>
      </c>
      <c r="AV149" s="56">
        <v>379.1</v>
      </c>
      <c r="AW149" s="56">
        <v>337.7</v>
      </c>
      <c r="AX149" s="56">
        <v>247.69</v>
      </c>
      <c r="AY149" s="56">
        <v>217.11</v>
      </c>
      <c r="AZ149" s="56">
        <v>440.92</v>
      </c>
      <c r="BA149" s="56">
        <v>302.82</v>
      </c>
      <c r="BB149" s="56">
        <v>236.16</v>
      </c>
      <c r="BC149" s="56">
        <v>623.98</v>
      </c>
      <c r="BD149" s="56">
        <v>348.47</v>
      </c>
      <c r="BE149" s="56">
        <v>466.28</v>
      </c>
      <c r="BF149" s="56">
        <v>437.19</v>
      </c>
      <c r="BG149" s="56">
        <v>379.32</v>
      </c>
      <c r="BH149" s="52">
        <v>326.02999999999997</v>
      </c>
      <c r="BI149" s="52">
        <v>351.8</v>
      </c>
      <c r="BJ149" s="52">
        <v>299.37</v>
      </c>
      <c r="BK149" s="52">
        <v>300.68</v>
      </c>
      <c r="BL149" s="52">
        <v>299.07</v>
      </c>
      <c r="BM149" s="52">
        <v>260.05</v>
      </c>
      <c r="BN149" s="52">
        <v>361.78</v>
      </c>
      <c r="BO149" s="52">
        <v>253.95</v>
      </c>
      <c r="BP149" s="52">
        <v>332.35</v>
      </c>
      <c r="BQ149" s="52">
        <v>346.4</v>
      </c>
      <c r="BR149" s="52">
        <v>228.66</v>
      </c>
      <c r="BS149" s="52">
        <v>656.39</v>
      </c>
      <c r="BT149" s="52">
        <v>338.29</v>
      </c>
      <c r="BU149" s="52">
        <v>586.54999999999995</v>
      </c>
      <c r="BV149" s="52">
        <v>572.08000000000004</v>
      </c>
      <c r="BW149" s="52">
        <v>188.55</v>
      </c>
      <c r="BX149" s="52">
        <v>210.33</v>
      </c>
      <c r="BY149" s="52">
        <v>294.82</v>
      </c>
      <c r="BZ149" s="52">
        <v>218.59</v>
      </c>
      <c r="CA149" s="52">
        <v>340.26</v>
      </c>
      <c r="CB149" s="53">
        <v>398.85</v>
      </c>
      <c r="CC149" s="52">
        <v>245.33</v>
      </c>
      <c r="CD149" s="52">
        <v>308.57</v>
      </c>
      <c r="CE149" s="52">
        <v>268.64999999999998</v>
      </c>
      <c r="CF149" s="52">
        <v>322.72000000000003</v>
      </c>
      <c r="CG149" s="52">
        <v>333.16</v>
      </c>
      <c r="CH149" s="52">
        <v>276.17</v>
      </c>
      <c r="CI149" s="52">
        <v>248.18</v>
      </c>
      <c r="CJ149" s="52">
        <v>220.24</v>
      </c>
      <c r="CK149" s="52">
        <v>158.22</v>
      </c>
      <c r="CL149" s="52">
        <v>198.36</v>
      </c>
      <c r="CM149" s="52">
        <v>388.36</v>
      </c>
      <c r="CN149" s="52">
        <v>255.42</v>
      </c>
      <c r="CO149" s="52">
        <v>266.82</v>
      </c>
      <c r="CP149" s="52">
        <v>173.09</v>
      </c>
      <c r="CQ149" s="52">
        <v>436.47</v>
      </c>
      <c r="CR149" s="52">
        <v>125.49</v>
      </c>
      <c r="CS149" s="52">
        <v>186.44</v>
      </c>
      <c r="CT149" s="52">
        <v>130.97</v>
      </c>
      <c r="CU149" s="52">
        <v>220.67</v>
      </c>
      <c r="CV149" s="52">
        <v>228.29</v>
      </c>
      <c r="CW149" s="52">
        <v>128.44999999999999</v>
      </c>
      <c r="CX149" s="52">
        <v>283.67</v>
      </c>
      <c r="CY149" s="52">
        <v>210.08</v>
      </c>
      <c r="CZ149" s="52">
        <v>169.28</v>
      </c>
      <c r="DA149" s="52">
        <v>240.27</v>
      </c>
      <c r="DB149" s="52">
        <v>266.63</v>
      </c>
      <c r="DC149" s="52">
        <v>272.72000000000003</v>
      </c>
      <c r="DD149" s="52">
        <v>379.26</v>
      </c>
      <c r="DE149" s="52">
        <v>516.47</v>
      </c>
      <c r="DF149" s="52">
        <v>308.83999999999997</v>
      </c>
      <c r="DG149" s="52">
        <v>324.22000000000003</v>
      </c>
      <c r="DH149" s="52">
        <v>180.36</v>
      </c>
      <c r="DI149" s="52">
        <v>275.27999999999997</v>
      </c>
      <c r="DJ149" s="52">
        <v>392.73</v>
      </c>
      <c r="DK149" s="52">
        <v>411.61</v>
      </c>
      <c r="DL149" s="52">
        <v>38.78</v>
      </c>
      <c r="DM149" s="52">
        <v>150.78</v>
      </c>
      <c r="DN149" s="52">
        <v>39.04</v>
      </c>
      <c r="DO149" s="52">
        <v>99.61</v>
      </c>
      <c r="DP149" s="52">
        <v>172.51</v>
      </c>
      <c r="DQ149" s="52">
        <v>257.23</v>
      </c>
      <c r="DR149" s="52">
        <v>342.48</v>
      </c>
      <c r="DS149" s="52">
        <v>276.72000000000003</v>
      </c>
      <c r="DT149" s="52"/>
      <c r="DU149" s="52">
        <v>283.87</v>
      </c>
      <c r="DV149" s="52">
        <v>341.45</v>
      </c>
      <c r="DW149" s="52">
        <v>249.77</v>
      </c>
      <c r="DX149" s="52">
        <v>355.2</v>
      </c>
      <c r="DY149" s="52">
        <v>417.34</v>
      </c>
      <c r="DZ149" s="52">
        <v>359.02</v>
      </c>
      <c r="EA149" s="52">
        <v>274.60000000000002</v>
      </c>
      <c r="EB149" s="52">
        <v>378.45</v>
      </c>
      <c r="EC149" s="52">
        <v>379.1</v>
      </c>
      <c r="ED149" s="52">
        <v>337.7</v>
      </c>
      <c r="EE149" s="52">
        <v>247.69</v>
      </c>
      <c r="EF149" s="52">
        <v>217.11</v>
      </c>
      <c r="EG149" s="52">
        <v>440.92</v>
      </c>
      <c r="EH149" s="52">
        <v>302.82</v>
      </c>
      <c r="EI149" s="52">
        <v>349.3</v>
      </c>
      <c r="EJ149" s="52">
        <v>150.15</v>
      </c>
      <c r="EK149" s="52">
        <v>204.81</v>
      </c>
      <c r="EL149" s="52">
        <v>720.17</v>
      </c>
      <c r="EM149" s="52">
        <v>370.26</v>
      </c>
      <c r="EN149" s="52">
        <v>348.47</v>
      </c>
      <c r="EO149" s="52">
        <v>261.83</v>
      </c>
      <c r="EP149" s="52">
        <v>311.26</v>
      </c>
      <c r="EQ149" s="52">
        <v>521.45000000000005</v>
      </c>
      <c r="ER149" s="52">
        <v>437.19</v>
      </c>
      <c r="ES149" s="52">
        <v>379.32</v>
      </c>
      <c r="ET149" s="52">
        <v>326.04000000000002</v>
      </c>
      <c r="EU149" s="52">
        <v>292.45</v>
      </c>
      <c r="EV149" s="52">
        <v>348.41</v>
      </c>
      <c r="EW149" s="52">
        <v>292.94</v>
      </c>
      <c r="EX149" s="52">
        <v>292.14999999999998</v>
      </c>
      <c r="EY149" s="52">
        <v>206.27</v>
      </c>
      <c r="EZ149" s="52">
        <v>374.71</v>
      </c>
      <c r="FA149" s="52">
        <v>380.62</v>
      </c>
      <c r="FB149" s="52">
        <v>277.86</v>
      </c>
      <c r="FC149" s="52">
        <v>455.61</v>
      </c>
      <c r="FD149" s="52">
        <v>308.41000000000003</v>
      </c>
      <c r="FE149" s="52">
        <v>299.37</v>
      </c>
      <c r="FF149" s="52"/>
      <c r="FG149" s="52">
        <v>221.76</v>
      </c>
      <c r="FH149" s="52">
        <v>221.67</v>
      </c>
      <c r="FI149" s="52">
        <v>308</v>
      </c>
      <c r="FJ149" s="52">
        <v>526.36</v>
      </c>
      <c r="FK149" s="52">
        <v>409.95</v>
      </c>
      <c r="FL149" s="52">
        <v>218.16</v>
      </c>
      <c r="FM149" s="52">
        <v>297.72000000000003</v>
      </c>
      <c r="FN149" s="52">
        <v>211.02</v>
      </c>
      <c r="FO149" s="52">
        <v>520.79</v>
      </c>
      <c r="FP149" s="52">
        <v>357.88</v>
      </c>
      <c r="FQ149" s="52">
        <v>247.4</v>
      </c>
      <c r="FR149" s="52">
        <v>562.87</v>
      </c>
      <c r="FS149" s="52">
        <v>337.41</v>
      </c>
      <c r="FT149" s="52">
        <v>233.27</v>
      </c>
      <c r="FU149" s="52">
        <v>349.94</v>
      </c>
      <c r="FV149" s="52">
        <v>254.41</v>
      </c>
      <c r="FW149" s="52">
        <v>191.21</v>
      </c>
      <c r="FX149" s="52">
        <v>332.35</v>
      </c>
      <c r="FY149" s="52">
        <v>332.36</v>
      </c>
      <c r="FZ149" s="52">
        <v>350.73</v>
      </c>
      <c r="GA149" s="52">
        <v>245.91</v>
      </c>
      <c r="GB149" s="52">
        <v>242.6</v>
      </c>
      <c r="GC149" s="52">
        <v>224.87</v>
      </c>
      <c r="GD149" s="52">
        <v>205.78</v>
      </c>
      <c r="GE149" s="52">
        <v>656.39</v>
      </c>
      <c r="GF149" s="52">
        <v>338.29</v>
      </c>
      <c r="GG149" s="52">
        <v>586.54999999999995</v>
      </c>
      <c r="GH149" s="52">
        <v>571.13</v>
      </c>
      <c r="GI149" s="52">
        <v>203.06</v>
      </c>
      <c r="GJ149" s="52">
        <v>181.94</v>
      </c>
      <c r="GK149" s="52">
        <v>169.75</v>
      </c>
      <c r="GL149" s="52">
        <v>237.39</v>
      </c>
      <c r="GM149" s="52">
        <v>210.33</v>
      </c>
      <c r="GN149" s="52">
        <v>294.82</v>
      </c>
      <c r="GO149" s="52">
        <v>221.52</v>
      </c>
      <c r="GP149" s="52">
        <v>214.73</v>
      </c>
      <c r="GQ149" s="52">
        <v>220.15</v>
      </c>
      <c r="GR149" s="52">
        <v>340.26</v>
      </c>
      <c r="GS149" s="52">
        <v>398.85</v>
      </c>
      <c r="GT149" s="52">
        <v>245.33</v>
      </c>
      <c r="GU149" s="52">
        <v>308.57</v>
      </c>
      <c r="GV149" s="52">
        <v>268.64999999999998</v>
      </c>
      <c r="GW149" s="52">
        <v>299.89999999999998</v>
      </c>
      <c r="GX149" s="52">
        <v>332.77</v>
      </c>
      <c r="GY149" s="52">
        <v>333.16</v>
      </c>
      <c r="GZ149" s="52">
        <v>324.89</v>
      </c>
      <c r="HA149" s="52">
        <v>263.5</v>
      </c>
      <c r="HB149" s="52">
        <v>277.61</v>
      </c>
      <c r="HC149" s="52">
        <v>248.18</v>
      </c>
      <c r="HD149" s="52">
        <v>220.24</v>
      </c>
      <c r="HE149" s="52">
        <v>131.66</v>
      </c>
      <c r="HF149" s="52">
        <v>144.88999999999999</v>
      </c>
      <c r="HG149" s="52">
        <v>182.98</v>
      </c>
      <c r="HH149" s="52">
        <v>213.53</v>
      </c>
      <c r="HI149" s="52">
        <v>117.74</v>
      </c>
      <c r="HJ149" s="52">
        <v>198.36</v>
      </c>
      <c r="HK149" s="52">
        <v>388.36</v>
      </c>
      <c r="HL149" s="52">
        <v>221.95</v>
      </c>
      <c r="HM149" s="52">
        <v>273.51</v>
      </c>
      <c r="HN149" s="52">
        <v>281.8</v>
      </c>
      <c r="HO149" s="52">
        <v>242.93</v>
      </c>
      <c r="HP149" s="52">
        <v>283.19</v>
      </c>
      <c r="HQ149" s="52">
        <v>161.41999999999999</v>
      </c>
      <c r="HR149" s="52">
        <v>258.69</v>
      </c>
      <c r="HS149" s="52">
        <v>445.53</v>
      </c>
      <c r="HT149" s="52">
        <v>263.02</v>
      </c>
      <c r="HU149" s="52">
        <v>125.49</v>
      </c>
      <c r="HV149" s="52">
        <v>186.44</v>
      </c>
      <c r="HW149" s="52">
        <v>128.6</v>
      </c>
      <c r="HX149" s="52">
        <v>126.84</v>
      </c>
      <c r="HY149" s="52">
        <v>220.67</v>
      </c>
      <c r="HZ149" s="52">
        <v>228.29</v>
      </c>
      <c r="IA149" s="52">
        <v>117.34</v>
      </c>
      <c r="IB149" s="52">
        <v>283.67</v>
      </c>
      <c r="IC149" s="52">
        <v>193.47</v>
      </c>
      <c r="ID149" s="52">
        <v>208.92</v>
      </c>
      <c r="IE149" s="52">
        <v>169.28</v>
      </c>
      <c r="IF149" s="52">
        <v>240.27</v>
      </c>
      <c r="IG149" s="52">
        <v>266.63</v>
      </c>
      <c r="IH149" s="52">
        <v>272.72000000000003</v>
      </c>
      <c r="II149" s="52">
        <v>379.26</v>
      </c>
      <c r="IJ149" s="52">
        <v>516.47</v>
      </c>
      <c r="IK149" s="52">
        <v>352.14</v>
      </c>
      <c r="IL149" s="52">
        <v>244.05</v>
      </c>
      <c r="IM149" s="52">
        <v>345.17</v>
      </c>
      <c r="IN149" s="52">
        <v>304.64</v>
      </c>
      <c r="IO149" s="52">
        <v>258.08999999999997</v>
      </c>
      <c r="IP149" s="52">
        <v>180.36</v>
      </c>
      <c r="IQ149" s="52">
        <v>275.27999999999997</v>
      </c>
      <c r="IR149" s="52">
        <v>392.73</v>
      </c>
      <c r="IS149" s="52">
        <v>411.61</v>
      </c>
      <c r="IT149" s="52">
        <v>38.78</v>
      </c>
      <c r="IU149" s="52">
        <v>150.78</v>
      </c>
      <c r="IV149" s="52">
        <v>39.049999999999997</v>
      </c>
      <c r="IW149" s="52">
        <v>99.61</v>
      </c>
      <c r="IX149" s="52">
        <v>172.51</v>
      </c>
      <c r="IY149" s="52">
        <v>257.23</v>
      </c>
      <c r="IZ149" s="52">
        <v>342.48</v>
      </c>
      <c r="JA149" s="52">
        <v>276.72000000000003</v>
      </c>
      <c r="JB149" s="52"/>
      <c r="JC149" s="52">
        <v>283.87</v>
      </c>
      <c r="JD149" s="52">
        <v>341.45</v>
      </c>
      <c r="JE149" s="52">
        <v>292.67</v>
      </c>
      <c r="JF149" s="52">
        <v>239.76</v>
      </c>
      <c r="JG149" s="52">
        <v>355.2</v>
      </c>
      <c r="JH149" s="52">
        <v>417.34</v>
      </c>
      <c r="JI149" s="52">
        <v>359.02</v>
      </c>
      <c r="JJ149" s="52">
        <v>274.60000000000002</v>
      </c>
      <c r="JK149" s="52">
        <v>378.45</v>
      </c>
      <c r="JL149" s="52">
        <v>379.1</v>
      </c>
      <c r="JM149" s="52">
        <v>337.7</v>
      </c>
      <c r="JN149" s="52">
        <v>247.69</v>
      </c>
      <c r="JO149" s="52">
        <v>217.11</v>
      </c>
      <c r="JP149" s="52">
        <v>459.73</v>
      </c>
      <c r="JQ149" s="52">
        <v>399.46</v>
      </c>
      <c r="JR149" s="52">
        <v>262.38</v>
      </c>
      <c r="JS149" s="52">
        <v>390.14</v>
      </c>
      <c r="JT149" s="52">
        <v>394.91</v>
      </c>
      <c r="JU149" s="52">
        <v>305.83</v>
      </c>
      <c r="JV149" s="52">
        <v>150.15</v>
      </c>
      <c r="JW149" s="52">
        <v>204.81</v>
      </c>
      <c r="JX149" s="52">
        <v>720.17</v>
      </c>
      <c r="JY149" s="52">
        <v>390.54</v>
      </c>
      <c r="JZ149" s="52">
        <v>333.25</v>
      </c>
      <c r="KA149" s="52">
        <v>348.47</v>
      </c>
      <c r="KB149" s="52">
        <v>261.83</v>
      </c>
      <c r="KC149" s="52">
        <v>311.26</v>
      </c>
      <c r="KD149" s="52">
        <v>521.45000000000005</v>
      </c>
      <c r="KE149" s="52">
        <v>437.19</v>
      </c>
      <c r="KF149" s="52">
        <v>379.32</v>
      </c>
    </row>
    <row r="150" spans="1:292" s="41" customFormat="1" ht="12">
      <c r="A150" s="41">
        <v>2017</v>
      </c>
      <c r="B150" s="54" t="s">
        <v>977</v>
      </c>
      <c r="C150" s="50" t="s">
        <v>978</v>
      </c>
      <c r="D150" s="56">
        <v>299.74</v>
      </c>
      <c r="E150" s="56">
        <v>339.7</v>
      </c>
      <c r="F150" s="56">
        <v>588.45000000000005</v>
      </c>
      <c r="G150" s="56">
        <v>184.48</v>
      </c>
      <c r="H150" s="56">
        <v>332.97</v>
      </c>
      <c r="I150" s="56">
        <v>233.45</v>
      </c>
      <c r="J150" s="56">
        <v>182.81</v>
      </c>
      <c r="K150" s="56">
        <v>285.22000000000003</v>
      </c>
      <c r="L150" s="56">
        <v>133.05000000000001</v>
      </c>
      <c r="M150" s="56">
        <v>210.77</v>
      </c>
      <c r="N150" s="56">
        <v>293.76</v>
      </c>
      <c r="O150" s="56">
        <v>437.38</v>
      </c>
      <c r="P150" s="56">
        <v>363.95</v>
      </c>
      <c r="Q150" s="56">
        <v>344.22</v>
      </c>
      <c r="R150" s="56">
        <v>280.27</v>
      </c>
      <c r="S150" s="56">
        <v>610.03</v>
      </c>
      <c r="T150" s="56">
        <v>586.42999999999995</v>
      </c>
      <c r="U150" s="56">
        <v>177.38</v>
      </c>
      <c r="V150" s="56">
        <v>206.09</v>
      </c>
      <c r="W150" s="56">
        <v>402.21</v>
      </c>
      <c r="X150" s="56">
        <v>251.2</v>
      </c>
      <c r="Y150" s="56">
        <v>323.33999999999997</v>
      </c>
      <c r="Z150" s="56">
        <v>317.10000000000002</v>
      </c>
      <c r="AA150" s="56">
        <v>273.99</v>
      </c>
      <c r="AB150" s="56">
        <v>226.05</v>
      </c>
      <c r="AC150" s="56">
        <v>177.66</v>
      </c>
      <c r="AD150" s="56">
        <v>259.68</v>
      </c>
      <c r="AE150" s="56">
        <v>271.61</v>
      </c>
      <c r="AF150" s="56">
        <v>228.56</v>
      </c>
      <c r="AG150" s="56">
        <v>126.41</v>
      </c>
      <c r="AH150" s="56">
        <v>220.23</v>
      </c>
      <c r="AI150" s="56">
        <v>297.98</v>
      </c>
      <c r="AJ150" s="56">
        <v>213.34</v>
      </c>
      <c r="AK150" s="56">
        <v>311.14</v>
      </c>
      <c r="AL150" s="56">
        <v>325.2</v>
      </c>
      <c r="AM150" s="56">
        <v>411.61</v>
      </c>
      <c r="AN150" s="56">
        <v>39.03</v>
      </c>
      <c r="AO150" s="56">
        <v>150.78</v>
      </c>
      <c r="AP150" s="56">
        <v>69.61</v>
      </c>
      <c r="AQ150" s="56">
        <v>260.70999999999998</v>
      </c>
      <c r="AR150" s="56">
        <v>327.5</v>
      </c>
      <c r="AS150" s="56">
        <v>298.10000000000002</v>
      </c>
      <c r="AT150" s="56">
        <v>353.6</v>
      </c>
      <c r="AU150" s="56">
        <v>385.58</v>
      </c>
      <c r="AV150" s="56">
        <v>379.39</v>
      </c>
      <c r="AW150" s="56">
        <v>338.16</v>
      </c>
      <c r="AX150" s="56">
        <v>247.69</v>
      </c>
      <c r="AY150" s="56">
        <v>216.89</v>
      </c>
      <c r="AZ150" s="56">
        <v>445.69</v>
      </c>
      <c r="BA150" s="56">
        <v>305.08</v>
      </c>
      <c r="BB150" s="56">
        <v>240.28</v>
      </c>
      <c r="BC150" s="56">
        <v>675.23</v>
      </c>
      <c r="BD150" s="56">
        <v>350.54</v>
      </c>
      <c r="BE150" s="56">
        <v>472.08</v>
      </c>
      <c r="BF150" s="56">
        <v>454.99</v>
      </c>
      <c r="BG150" s="56">
        <v>401.03</v>
      </c>
      <c r="BH150" s="52">
        <v>329.8</v>
      </c>
      <c r="BI150" s="52">
        <v>356.42</v>
      </c>
      <c r="BJ150" s="52">
        <v>323.8</v>
      </c>
      <c r="BK150" s="52">
        <v>295.74</v>
      </c>
      <c r="BL150" s="52">
        <v>304.89</v>
      </c>
      <c r="BM150" s="52">
        <v>280.48</v>
      </c>
      <c r="BN150" s="52">
        <v>483</v>
      </c>
      <c r="BO150" s="52">
        <v>255.28</v>
      </c>
      <c r="BP150" s="52">
        <v>336.12</v>
      </c>
      <c r="BQ150" s="52">
        <v>352.58</v>
      </c>
      <c r="BR150" s="52">
        <v>230.59</v>
      </c>
      <c r="BS150" s="52">
        <v>657.16</v>
      </c>
      <c r="BT150" s="52">
        <v>342.96</v>
      </c>
      <c r="BU150" s="52">
        <v>587.66</v>
      </c>
      <c r="BV150" s="52">
        <v>586.42999999999995</v>
      </c>
      <c r="BW150" s="52">
        <v>173.93</v>
      </c>
      <c r="BX150" s="52">
        <v>203.81</v>
      </c>
      <c r="BY150" s="52">
        <v>297.51</v>
      </c>
      <c r="BZ150" s="52">
        <v>205.33</v>
      </c>
      <c r="CA150" s="52">
        <v>347.16</v>
      </c>
      <c r="CB150" s="53">
        <v>402.21</v>
      </c>
      <c r="CC150" s="52">
        <v>251.2</v>
      </c>
      <c r="CD150" s="52">
        <v>322.11</v>
      </c>
      <c r="CE150" s="52">
        <v>268.26</v>
      </c>
      <c r="CF150" s="52">
        <v>330.79</v>
      </c>
      <c r="CG150" s="52">
        <v>346.19</v>
      </c>
      <c r="CH150" s="52">
        <v>281.32</v>
      </c>
      <c r="CI150" s="52">
        <v>249.73</v>
      </c>
      <c r="CJ150" s="52">
        <v>226.05</v>
      </c>
      <c r="CK150" s="52">
        <v>159.91999999999999</v>
      </c>
      <c r="CL150" s="52">
        <v>203.68</v>
      </c>
      <c r="CM150" s="52">
        <v>391.7</v>
      </c>
      <c r="CN150" s="52">
        <v>259.68</v>
      </c>
      <c r="CO150" s="52">
        <v>271.61</v>
      </c>
      <c r="CP150" s="52">
        <v>177.37</v>
      </c>
      <c r="CQ150" s="52">
        <v>442.77</v>
      </c>
      <c r="CR150" s="52">
        <v>126.27</v>
      </c>
      <c r="CS150" s="52">
        <v>189.5</v>
      </c>
      <c r="CT150" s="52">
        <v>133.41</v>
      </c>
      <c r="CU150" s="52">
        <v>246.2</v>
      </c>
      <c r="CV150" s="52">
        <v>238.04</v>
      </c>
      <c r="CW150" s="52">
        <v>132.97</v>
      </c>
      <c r="CX150" s="52">
        <v>297.98</v>
      </c>
      <c r="CY150" s="52">
        <v>213.94</v>
      </c>
      <c r="CZ150" s="52">
        <v>174.04</v>
      </c>
      <c r="DA150" s="52">
        <v>243.05</v>
      </c>
      <c r="DB150" s="52">
        <v>275.07</v>
      </c>
      <c r="DC150" s="52">
        <v>287.52</v>
      </c>
      <c r="DD150" s="52">
        <v>392.75</v>
      </c>
      <c r="DE150" s="52">
        <v>539.36</v>
      </c>
      <c r="DF150" s="52">
        <v>311.61</v>
      </c>
      <c r="DG150" s="52">
        <v>331.6</v>
      </c>
      <c r="DH150" s="52">
        <v>183.66</v>
      </c>
      <c r="DI150" s="52">
        <v>275.51</v>
      </c>
      <c r="DJ150" s="52">
        <v>395.52</v>
      </c>
      <c r="DK150" s="52">
        <v>411.61</v>
      </c>
      <c r="DL150" s="52">
        <v>39.03</v>
      </c>
      <c r="DM150" s="52">
        <v>150.78</v>
      </c>
      <c r="DN150" s="52">
        <v>41.61</v>
      </c>
      <c r="DO150" s="52">
        <v>102.9</v>
      </c>
      <c r="DP150" s="52">
        <v>177.61</v>
      </c>
      <c r="DQ150" s="52">
        <v>260.70999999999998</v>
      </c>
      <c r="DR150" s="52">
        <v>344.91</v>
      </c>
      <c r="DS150" s="52">
        <v>273.62</v>
      </c>
      <c r="DT150" s="52"/>
      <c r="DU150" s="52">
        <v>293.86</v>
      </c>
      <c r="DV150" s="52">
        <v>339.75</v>
      </c>
      <c r="DW150" s="52">
        <v>255.58</v>
      </c>
      <c r="DX150" s="52">
        <v>369.97</v>
      </c>
      <c r="DY150" s="52">
        <v>420.58</v>
      </c>
      <c r="DZ150" s="52">
        <v>378.81</v>
      </c>
      <c r="EA150" s="52">
        <v>280.67</v>
      </c>
      <c r="EB150" s="52">
        <v>385.58</v>
      </c>
      <c r="EC150" s="52">
        <v>379.39</v>
      </c>
      <c r="ED150" s="52">
        <v>338.16</v>
      </c>
      <c r="EE150" s="52">
        <v>247.69</v>
      </c>
      <c r="EF150" s="52">
        <v>216.89</v>
      </c>
      <c r="EG150" s="52">
        <v>445.69</v>
      </c>
      <c r="EH150" s="52">
        <v>305.08</v>
      </c>
      <c r="EI150" s="52">
        <v>353.81</v>
      </c>
      <c r="EJ150" s="52">
        <v>150.83000000000001</v>
      </c>
      <c r="EK150" s="52">
        <v>208.95</v>
      </c>
      <c r="EL150" s="52">
        <v>796.76</v>
      </c>
      <c r="EM150" s="52">
        <v>371.34</v>
      </c>
      <c r="EN150" s="52">
        <v>350.54</v>
      </c>
      <c r="EO150" s="52">
        <v>265.27999999999997</v>
      </c>
      <c r="EP150" s="52">
        <v>319.27</v>
      </c>
      <c r="EQ150" s="52">
        <v>526.5</v>
      </c>
      <c r="ER150" s="52">
        <v>454.99</v>
      </c>
      <c r="ES150" s="52">
        <v>401.03</v>
      </c>
      <c r="ET150" s="52">
        <v>330.47</v>
      </c>
      <c r="EU150" s="52">
        <v>297.32</v>
      </c>
      <c r="EV150" s="52">
        <v>351.42</v>
      </c>
      <c r="EW150" s="52">
        <v>297.27999999999997</v>
      </c>
      <c r="EX150" s="52">
        <v>294.01</v>
      </c>
      <c r="EY150" s="52">
        <v>206.18</v>
      </c>
      <c r="EZ150" s="52">
        <v>379.44</v>
      </c>
      <c r="FA150" s="52">
        <v>386.24</v>
      </c>
      <c r="FB150" s="52">
        <v>282.44</v>
      </c>
      <c r="FC150" s="52">
        <v>464.13</v>
      </c>
      <c r="FD150" s="52">
        <v>309.66000000000003</v>
      </c>
      <c r="FE150" s="52">
        <v>323.8</v>
      </c>
      <c r="FF150" s="52"/>
      <c r="FG150" s="52">
        <v>227.34</v>
      </c>
      <c r="FH150" s="52">
        <v>228.72</v>
      </c>
      <c r="FI150" s="52">
        <v>308.39</v>
      </c>
      <c r="FJ150" s="52">
        <v>468.6</v>
      </c>
      <c r="FK150" s="52">
        <v>423.73</v>
      </c>
      <c r="FL150" s="52">
        <v>229.27</v>
      </c>
      <c r="FM150" s="52">
        <v>301.49</v>
      </c>
      <c r="FN150" s="52">
        <v>234.18</v>
      </c>
      <c r="FO150" s="52">
        <v>522.37</v>
      </c>
      <c r="FP150" s="52">
        <v>536.41999999999996</v>
      </c>
      <c r="FQ150" s="52">
        <v>284.14</v>
      </c>
      <c r="FR150" s="52">
        <v>580.39</v>
      </c>
      <c r="FS150" s="52">
        <v>340.09</v>
      </c>
      <c r="FT150" s="52">
        <v>232.79</v>
      </c>
      <c r="FU150" s="52">
        <v>350.05</v>
      </c>
      <c r="FV150" s="52">
        <v>257.08</v>
      </c>
      <c r="FW150" s="52">
        <v>194.44</v>
      </c>
      <c r="FX150" s="52">
        <v>336.12</v>
      </c>
      <c r="FY150" s="52">
        <v>332.63</v>
      </c>
      <c r="FZ150" s="52">
        <v>358.35</v>
      </c>
      <c r="GA150" s="52">
        <v>247.14</v>
      </c>
      <c r="GB150" s="52">
        <v>245.49</v>
      </c>
      <c r="GC150" s="52">
        <v>226.36</v>
      </c>
      <c r="GD150" s="52">
        <v>206.5</v>
      </c>
      <c r="GE150" s="52">
        <v>657.16</v>
      </c>
      <c r="GF150" s="52">
        <v>342.96</v>
      </c>
      <c r="GG150" s="52">
        <v>587.66</v>
      </c>
      <c r="GH150" s="52">
        <v>585.45000000000005</v>
      </c>
      <c r="GI150" s="52">
        <v>188.14</v>
      </c>
      <c r="GJ150" s="52">
        <v>166.34</v>
      </c>
      <c r="GK150" s="52">
        <v>157.88999999999999</v>
      </c>
      <c r="GL150" s="52">
        <v>228.31</v>
      </c>
      <c r="GM150" s="52">
        <v>203.81</v>
      </c>
      <c r="GN150" s="52">
        <v>297.51</v>
      </c>
      <c r="GO150" s="52">
        <v>208.8</v>
      </c>
      <c r="GP150" s="52">
        <v>201.08</v>
      </c>
      <c r="GQ150" s="52">
        <v>206.45</v>
      </c>
      <c r="GR150" s="52">
        <v>347.16</v>
      </c>
      <c r="GS150" s="52">
        <v>402.21</v>
      </c>
      <c r="GT150" s="52">
        <v>251.2</v>
      </c>
      <c r="GU150" s="52">
        <v>322.11</v>
      </c>
      <c r="GV150" s="52">
        <v>268.26</v>
      </c>
      <c r="GW150" s="52">
        <v>302.17</v>
      </c>
      <c r="GX150" s="52">
        <v>353.85</v>
      </c>
      <c r="GY150" s="52">
        <v>346.19</v>
      </c>
      <c r="GZ150" s="52">
        <v>317.41000000000003</v>
      </c>
      <c r="HA150" s="52">
        <v>271.87</v>
      </c>
      <c r="HB150" s="52">
        <v>284.08999999999997</v>
      </c>
      <c r="HC150" s="52">
        <v>249.73</v>
      </c>
      <c r="HD150" s="52">
        <v>226.05</v>
      </c>
      <c r="HE150" s="52">
        <v>130.99</v>
      </c>
      <c r="HF150" s="52">
        <v>146.49</v>
      </c>
      <c r="HG150" s="52">
        <v>189.05</v>
      </c>
      <c r="HH150" s="52">
        <v>218.4</v>
      </c>
      <c r="HI150" s="52">
        <v>118.9</v>
      </c>
      <c r="HJ150" s="52">
        <v>203.68</v>
      </c>
      <c r="HK150" s="52">
        <v>391.7</v>
      </c>
      <c r="HL150" s="52">
        <v>225.79</v>
      </c>
      <c r="HM150" s="52">
        <v>277.29000000000002</v>
      </c>
      <c r="HN150" s="52">
        <v>286.47000000000003</v>
      </c>
      <c r="HO150" s="52">
        <v>247.03</v>
      </c>
      <c r="HP150" s="52">
        <v>288.67</v>
      </c>
      <c r="HQ150" s="52">
        <v>165.66</v>
      </c>
      <c r="HR150" s="52">
        <v>263.61</v>
      </c>
      <c r="HS150" s="52">
        <v>451.97</v>
      </c>
      <c r="HT150" s="52">
        <v>266.77999999999997</v>
      </c>
      <c r="HU150" s="52">
        <v>126.27</v>
      </c>
      <c r="HV150" s="52">
        <v>189.5</v>
      </c>
      <c r="HW150" s="52">
        <v>131.36000000000001</v>
      </c>
      <c r="HX150" s="52">
        <v>128.47</v>
      </c>
      <c r="HY150" s="52">
        <v>246.2</v>
      </c>
      <c r="HZ150" s="52">
        <v>238.04</v>
      </c>
      <c r="IA150" s="52">
        <v>121.47</v>
      </c>
      <c r="IB150" s="52">
        <v>297.98</v>
      </c>
      <c r="IC150" s="52">
        <v>197.55</v>
      </c>
      <c r="ID150" s="52">
        <v>211.81</v>
      </c>
      <c r="IE150" s="52">
        <v>174.04</v>
      </c>
      <c r="IF150" s="52">
        <v>243.05</v>
      </c>
      <c r="IG150" s="52">
        <v>275.07</v>
      </c>
      <c r="IH150" s="52">
        <v>287.52</v>
      </c>
      <c r="II150" s="52">
        <v>392.75</v>
      </c>
      <c r="IJ150" s="52">
        <v>539.36</v>
      </c>
      <c r="IK150" s="52">
        <v>363.89</v>
      </c>
      <c r="IL150" s="52">
        <v>244.05</v>
      </c>
      <c r="IM150" s="52">
        <v>350.01</v>
      </c>
      <c r="IN150" s="52">
        <v>323.35000000000002</v>
      </c>
      <c r="IO150" s="52">
        <v>267.72000000000003</v>
      </c>
      <c r="IP150" s="52">
        <v>183.66</v>
      </c>
      <c r="IQ150" s="52">
        <v>275.51</v>
      </c>
      <c r="IR150" s="52">
        <v>395.52</v>
      </c>
      <c r="IS150" s="52">
        <v>411.61</v>
      </c>
      <c r="IT150" s="52">
        <v>39.03</v>
      </c>
      <c r="IU150" s="52">
        <v>150.78</v>
      </c>
      <c r="IV150" s="52">
        <v>41.62</v>
      </c>
      <c r="IW150" s="52">
        <v>102.9</v>
      </c>
      <c r="IX150" s="52">
        <v>177.61</v>
      </c>
      <c r="IY150" s="52">
        <v>260.70999999999998</v>
      </c>
      <c r="IZ150" s="52">
        <v>344.91</v>
      </c>
      <c r="JA150" s="52">
        <v>273.62</v>
      </c>
      <c r="JB150" s="52"/>
      <c r="JC150" s="52">
        <v>293.86</v>
      </c>
      <c r="JD150" s="52">
        <v>339.75</v>
      </c>
      <c r="JE150" s="52">
        <v>310.81</v>
      </c>
      <c r="JF150" s="52">
        <v>244.13</v>
      </c>
      <c r="JG150" s="52">
        <v>369.97</v>
      </c>
      <c r="JH150" s="52">
        <v>420.58</v>
      </c>
      <c r="JI150" s="52">
        <v>378.81</v>
      </c>
      <c r="JJ150" s="52">
        <v>280.67</v>
      </c>
      <c r="JK150" s="52">
        <v>385.58</v>
      </c>
      <c r="JL150" s="52">
        <v>379.39</v>
      </c>
      <c r="JM150" s="52">
        <v>338.16</v>
      </c>
      <c r="JN150" s="52">
        <v>247.69</v>
      </c>
      <c r="JO150" s="52">
        <v>216.89</v>
      </c>
      <c r="JP150" s="52">
        <v>464.75</v>
      </c>
      <c r="JQ150" s="52">
        <v>403.58</v>
      </c>
      <c r="JR150" s="52">
        <v>265.52999999999997</v>
      </c>
      <c r="JS150" s="52">
        <v>390.14</v>
      </c>
      <c r="JT150" s="52">
        <v>400.73</v>
      </c>
      <c r="JU150" s="52">
        <v>309.27</v>
      </c>
      <c r="JV150" s="52">
        <v>150.83000000000001</v>
      </c>
      <c r="JW150" s="52">
        <v>208.95</v>
      </c>
      <c r="JX150" s="52">
        <v>796.76</v>
      </c>
      <c r="JY150" s="52">
        <v>389.29</v>
      </c>
      <c r="JZ150" s="52">
        <v>337.53</v>
      </c>
      <c r="KA150" s="52">
        <v>350.54</v>
      </c>
      <c r="KB150" s="52">
        <v>265.27999999999997</v>
      </c>
      <c r="KC150" s="52">
        <v>319.27</v>
      </c>
      <c r="KD150" s="52">
        <v>526.5</v>
      </c>
      <c r="KE150" s="52">
        <v>454.99</v>
      </c>
      <c r="KF150" s="52">
        <v>401.03</v>
      </c>
    </row>
    <row r="151" spans="1:292" s="41" customFormat="1" ht="12">
      <c r="A151" s="41">
        <v>2017</v>
      </c>
      <c r="B151" s="54" t="s">
        <v>979</v>
      </c>
      <c r="C151" s="50" t="s">
        <v>980</v>
      </c>
      <c r="D151" s="56">
        <v>302.17</v>
      </c>
      <c r="E151" s="56">
        <v>342.57</v>
      </c>
      <c r="F151" s="56">
        <v>588.6</v>
      </c>
      <c r="G151" s="56">
        <v>178.3</v>
      </c>
      <c r="H151" s="56">
        <v>336.91</v>
      </c>
      <c r="I151" s="56">
        <v>231.88</v>
      </c>
      <c r="J151" s="56">
        <v>186.77</v>
      </c>
      <c r="K151" s="56">
        <v>293.25</v>
      </c>
      <c r="L151" s="56">
        <v>133.91999999999999</v>
      </c>
      <c r="M151" s="56">
        <v>212.65</v>
      </c>
      <c r="N151" s="56">
        <v>293.81</v>
      </c>
      <c r="O151" s="56">
        <v>441.13</v>
      </c>
      <c r="P151" s="56">
        <v>368.96</v>
      </c>
      <c r="Q151" s="56">
        <v>346.94</v>
      </c>
      <c r="R151" s="56">
        <v>284.63</v>
      </c>
      <c r="S151" s="56">
        <v>612.47</v>
      </c>
      <c r="T151" s="56">
        <v>586.42999999999995</v>
      </c>
      <c r="U151" s="56">
        <v>171.6</v>
      </c>
      <c r="V151" s="56">
        <v>198.53</v>
      </c>
      <c r="W151" s="56">
        <v>404.44</v>
      </c>
      <c r="X151" s="56">
        <v>258.52999999999997</v>
      </c>
      <c r="Y151" s="56">
        <v>328.55</v>
      </c>
      <c r="Z151" s="56">
        <v>320.49</v>
      </c>
      <c r="AA151" s="56">
        <v>262.26</v>
      </c>
      <c r="AB151" s="56">
        <v>230.79</v>
      </c>
      <c r="AC151" s="56">
        <v>177.61</v>
      </c>
      <c r="AD151" s="56">
        <v>265.33999999999997</v>
      </c>
      <c r="AE151" s="56">
        <v>276.14</v>
      </c>
      <c r="AF151" s="56">
        <v>232.84</v>
      </c>
      <c r="AG151" s="56">
        <v>131.96</v>
      </c>
      <c r="AH151" s="56">
        <v>223.09</v>
      </c>
      <c r="AI151" s="56">
        <v>299.95</v>
      </c>
      <c r="AJ151" s="56">
        <v>223.43</v>
      </c>
      <c r="AK151" s="56">
        <v>318.08999999999997</v>
      </c>
      <c r="AL151" s="56">
        <v>328.99</v>
      </c>
      <c r="AM151" s="56">
        <v>411.61</v>
      </c>
      <c r="AN151" s="56">
        <v>39.799999999999997</v>
      </c>
      <c r="AO151" s="56">
        <v>151.31</v>
      </c>
      <c r="AP151" s="56">
        <v>72.11</v>
      </c>
      <c r="AQ151" s="56">
        <v>270.98</v>
      </c>
      <c r="AR151" s="56">
        <v>333.44</v>
      </c>
      <c r="AS151" s="56">
        <v>299.37</v>
      </c>
      <c r="AT151" s="56">
        <v>361.22</v>
      </c>
      <c r="AU151" s="56">
        <v>363.43</v>
      </c>
      <c r="AV151" s="56">
        <v>379.7</v>
      </c>
      <c r="AW151" s="56">
        <v>337.77</v>
      </c>
      <c r="AX151" s="56">
        <v>247.69</v>
      </c>
      <c r="AY151" s="56">
        <v>217.29</v>
      </c>
      <c r="AZ151" s="56">
        <v>450.33</v>
      </c>
      <c r="BA151" s="56">
        <v>303.60000000000002</v>
      </c>
      <c r="BB151" s="56">
        <v>244.99</v>
      </c>
      <c r="BC151" s="56">
        <v>683.35</v>
      </c>
      <c r="BD151" s="56">
        <v>351.96</v>
      </c>
      <c r="BE151" s="56">
        <v>474.91</v>
      </c>
      <c r="BF151" s="56">
        <v>469.02</v>
      </c>
      <c r="BG151" s="56">
        <v>401.24</v>
      </c>
      <c r="BH151" s="52">
        <v>333.06</v>
      </c>
      <c r="BI151" s="52">
        <v>356.46</v>
      </c>
      <c r="BJ151" s="52">
        <v>333.11</v>
      </c>
      <c r="BK151" s="52">
        <v>300.99</v>
      </c>
      <c r="BL151" s="52">
        <v>313.14999999999998</v>
      </c>
      <c r="BM151" s="52">
        <v>304.20999999999998</v>
      </c>
      <c r="BN151" s="52">
        <v>463.53</v>
      </c>
      <c r="BO151" s="52">
        <v>257.97000000000003</v>
      </c>
      <c r="BP151" s="52">
        <v>344.1</v>
      </c>
      <c r="BQ151" s="52">
        <v>356.85</v>
      </c>
      <c r="BR151" s="52">
        <v>234.73</v>
      </c>
      <c r="BS151" s="52">
        <v>656.65</v>
      </c>
      <c r="BT151" s="52">
        <v>359.18</v>
      </c>
      <c r="BU151" s="52">
        <v>588.26</v>
      </c>
      <c r="BV151" s="52">
        <v>586.42999999999995</v>
      </c>
      <c r="BW151" s="52">
        <v>167.76</v>
      </c>
      <c r="BX151" s="52">
        <v>202.38</v>
      </c>
      <c r="BY151" s="52">
        <v>299.04000000000002</v>
      </c>
      <c r="BZ151" s="52">
        <v>197.74</v>
      </c>
      <c r="CA151" s="52">
        <v>349.64</v>
      </c>
      <c r="CB151" s="53">
        <v>404.44</v>
      </c>
      <c r="CC151" s="52">
        <v>258.52999999999997</v>
      </c>
      <c r="CD151" s="52">
        <v>327.3</v>
      </c>
      <c r="CE151" s="52">
        <v>268.26</v>
      </c>
      <c r="CF151" s="52">
        <v>337.55</v>
      </c>
      <c r="CG151" s="52">
        <v>352.34</v>
      </c>
      <c r="CH151" s="52">
        <v>267.66000000000003</v>
      </c>
      <c r="CI151" s="52">
        <v>252.92</v>
      </c>
      <c r="CJ151" s="52">
        <v>230.79</v>
      </c>
      <c r="CK151" s="52">
        <v>159.47999999999999</v>
      </c>
      <c r="CL151" s="52">
        <v>204.34</v>
      </c>
      <c r="CM151" s="52">
        <v>401.96</v>
      </c>
      <c r="CN151" s="52">
        <v>265.33999999999997</v>
      </c>
      <c r="CO151" s="52">
        <v>276.14</v>
      </c>
      <c r="CP151" s="52">
        <v>181.29</v>
      </c>
      <c r="CQ151" s="52">
        <v>448.38</v>
      </c>
      <c r="CR151" s="52">
        <v>132.51</v>
      </c>
      <c r="CS151" s="52">
        <v>194.6</v>
      </c>
      <c r="CT151" s="52">
        <v>137.94999999999999</v>
      </c>
      <c r="CU151" s="52">
        <v>246.61</v>
      </c>
      <c r="CV151" s="52">
        <v>245.23</v>
      </c>
      <c r="CW151" s="52">
        <v>133.59</v>
      </c>
      <c r="CX151" s="52">
        <v>299.95</v>
      </c>
      <c r="CY151" s="52">
        <v>224.26</v>
      </c>
      <c r="CZ151" s="52">
        <v>179.68</v>
      </c>
      <c r="DA151" s="52">
        <v>246.63</v>
      </c>
      <c r="DB151" s="52">
        <v>288.11</v>
      </c>
      <c r="DC151" s="52">
        <v>293.17</v>
      </c>
      <c r="DD151" s="52">
        <v>404.99</v>
      </c>
      <c r="DE151" s="52">
        <v>546.53</v>
      </c>
      <c r="DF151" s="52">
        <v>312.77</v>
      </c>
      <c r="DG151" s="52">
        <v>335.54</v>
      </c>
      <c r="DH151" s="52">
        <v>185.96</v>
      </c>
      <c r="DI151" s="52">
        <v>275.51</v>
      </c>
      <c r="DJ151" s="52">
        <v>398.39</v>
      </c>
      <c r="DK151" s="52">
        <v>411.61</v>
      </c>
      <c r="DL151" s="52">
        <v>39.799999999999997</v>
      </c>
      <c r="DM151" s="52">
        <v>151.31</v>
      </c>
      <c r="DN151" s="52">
        <v>44.05</v>
      </c>
      <c r="DO151" s="52">
        <v>102.17</v>
      </c>
      <c r="DP151" s="52">
        <v>177.61</v>
      </c>
      <c r="DQ151" s="52">
        <v>270.98</v>
      </c>
      <c r="DR151" s="52">
        <v>355.49</v>
      </c>
      <c r="DS151" s="52">
        <v>269.97000000000003</v>
      </c>
      <c r="DT151" s="52"/>
      <c r="DU151" s="52">
        <v>301.52</v>
      </c>
      <c r="DV151" s="52">
        <v>341.08</v>
      </c>
      <c r="DW151" s="52">
        <v>256.95999999999998</v>
      </c>
      <c r="DX151" s="52">
        <v>369.97</v>
      </c>
      <c r="DY151" s="52">
        <v>425.42</v>
      </c>
      <c r="DZ151" s="52">
        <v>378.81</v>
      </c>
      <c r="EA151" s="52">
        <v>294.49</v>
      </c>
      <c r="EB151" s="52">
        <v>363.43</v>
      </c>
      <c r="EC151" s="52">
        <v>379.7</v>
      </c>
      <c r="ED151" s="52">
        <v>337.77</v>
      </c>
      <c r="EE151" s="52">
        <v>247.69</v>
      </c>
      <c r="EF151" s="52">
        <v>217.29</v>
      </c>
      <c r="EG151" s="52">
        <v>450.33</v>
      </c>
      <c r="EH151" s="52">
        <v>303.60000000000002</v>
      </c>
      <c r="EI151" s="52">
        <v>357.5</v>
      </c>
      <c r="EJ151" s="52">
        <v>151.81</v>
      </c>
      <c r="EK151" s="52">
        <v>214.14</v>
      </c>
      <c r="EL151" s="52">
        <v>806.65</v>
      </c>
      <c r="EM151" s="52">
        <v>375.3</v>
      </c>
      <c r="EN151" s="52">
        <v>351.96</v>
      </c>
      <c r="EO151" s="52">
        <v>266.27</v>
      </c>
      <c r="EP151" s="52">
        <v>326.39</v>
      </c>
      <c r="EQ151" s="52">
        <v>528.13</v>
      </c>
      <c r="ER151" s="52">
        <v>469.02</v>
      </c>
      <c r="ES151" s="52">
        <v>401.24</v>
      </c>
      <c r="ET151" s="52">
        <v>345.68</v>
      </c>
      <c r="EU151" s="52">
        <v>297.69</v>
      </c>
      <c r="EV151" s="52">
        <v>354.13</v>
      </c>
      <c r="EW151" s="52">
        <v>300.49</v>
      </c>
      <c r="EX151" s="52">
        <v>295.66000000000003</v>
      </c>
      <c r="EY151" s="52">
        <v>208.28</v>
      </c>
      <c r="EZ151" s="52">
        <v>379.07</v>
      </c>
      <c r="FA151" s="52">
        <v>388.72</v>
      </c>
      <c r="FB151" s="52">
        <v>280.16000000000003</v>
      </c>
      <c r="FC151" s="52">
        <v>470.35</v>
      </c>
      <c r="FD151" s="52">
        <v>311.8</v>
      </c>
      <c r="FE151" s="52">
        <v>333.11</v>
      </c>
      <c r="FF151" s="52"/>
      <c r="FG151" s="52">
        <v>231.4</v>
      </c>
      <c r="FH151" s="52">
        <v>235.41</v>
      </c>
      <c r="FI151" s="52">
        <v>312.72000000000003</v>
      </c>
      <c r="FJ151" s="52">
        <v>475.65</v>
      </c>
      <c r="FK151" s="52">
        <v>454.08</v>
      </c>
      <c r="FL151" s="52">
        <v>238.74</v>
      </c>
      <c r="FM151" s="52">
        <v>305.45</v>
      </c>
      <c r="FN151" s="52">
        <v>259.3</v>
      </c>
      <c r="FO151" s="52">
        <v>534.86</v>
      </c>
      <c r="FP151" s="52">
        <v>502.38</v>
      </c>
      <c r="FQ151" s="52">
        <v>289.33</v>
      </c>
      <c r="FR151" s="52">
        <v>604.02</v>
      </c>
      <c r="FS151" s="52">
        <v>344.22</v>
      </c>
      <c r="FT151" s="52">
        <v>232.6</v>
      </c>
      <c r="FU151" s="52">
        <v>353.21</v>
      </c>
      <c r="FV151" s="52">
        <v>260.51</v>
      </c>
      <c r="FW151" s="52">
        <v>200.7</v>
      </c>
      <c r="FX151" s="52">
        <v>344.1</v>
      </c>
      <c r="FY151" s="52">
        <v>333.43</v>
      </c>
      <c r="FZ151" s="52">
        <v>363.47</v>
      </c>
      <c r="GA151" s="52">
        <v>248.49</v>
      </c>
      <c r="GB151" s="52">
        <v>250.05</v>
      </c>
      <c r="GC151" s="52">
        <v>229.16</v>
      </c>
      <c r="GD151" s="52">
        <v>212.81</v>
      </c>
      <c r="GE151" s="52">
        <v>656.65</v>
      </c>
      <c r="GF151" s="52">
        <v>359.18</v>
      </c>
      <c r="GG151" s="52">
        <v>588.26</v>
      </c>
      <c r="GH151" s="52">
        <v>585.45000000000005</v>
      </c>
      <c r="GI151" s="52">
        <v>183.1</v>
      </c>
      <c r="GJ151" s="52">
        <v>158.97</v>
      </c>
      <c r="GK151" s="52">
        <v>152.29</v>
      </c>
      <c r="GL151" s="52">
        <v>227.41</v>
      </c>
      <c r="GM151" s="52">
        <v>202.38</v>
      </c>
      <c r="GN151" s="52">
        <v>299.04000000000002</v>
      </c>
      <c r="GO151" s="52">
        <v>203.1</v>
      </c>
      <c r="GP151" s="52">
        <v>191.68</v>
      </c>
      <c r="GQ151" s="52">
        <v>198.29</v>
      </c>
      <c r="GR151" s="52">
        <v>349.64</v>
      </c>
      <c r="GS151" s="52">
        <v>404.44</v>
      </c>
      <c r="GT151" s="52">
        <v>258.52999999999997</v>
      </c>
      <c r="GU151" s="52">
        <v>327.3</v>
      </c>
      <c r="GV151" s="52">
        <v>268.26</v>
      </c>
      <c r="GW151" s="52">
        <v>303.92</v>
      </c>
      <c r="GX151" s="52">
        <v>371.82</v>
      </c>
      <c r="GY151" s="52">
        <v>352.34</v>
      </c>
      <c r="GZ151" s="52">
        <v>312.39</v>
      </c>
      <c r="HA151" s="52">
        <v>255.84</v>
      </c>
      <c r="HB151" s="52">
        <v>269.42</v>
      </c>
      <c r="HC151" s="52">
        <v>252.92</v>
      </c>
      <c r="HD151" s="52">
        <v>230.79</v>
      </c>
      <c r="HE151" s="52">
        <v>129.16999999999999</v>
      </c>
      <c r="HF151" s="52">
        <v>143.63999999999999</v>
      </c>
      <c r="HG151" s="52">
        <v>188.51</v>
      </c>
      <c r="HH151" s="52">
        <v>226.06</v>
      </c>
      <c r="HI151" s="52">
        <v>117.71</v>
      </c>
      <c r="HJ151" s="52">
        <v>204.34</v>
      </c>
      <c r="HK151" s="52">
        <v>401.96</v>
      </c>
      <c r="HL151" s="52">
        <v>230.58</v>
      </c>
      <c r="HM151" s="52">
        <v>283.44</v>
      </c>
      <c r="HN151" s="52">
        <v>292.86</v>
      </c>
      <c r="HO151" s="52">
        <v>251.72</v>
      </c>
      <c r="HP151" s="52">
        <v>292.63</v>
      </c>
      <c r="HQ151" s="52">
        <v>168.58</v>
      </c>
      <c r="HR151" s="52">
        <v>273.87</v>
      </c>
      <c r="HS151" s="52">
        <v>457.78</v>
      </c>
      <c r="HT151" s="52">
        <v>269.75</v>
      </c>
      <c r="HU151" s="52">
        <v>132.51</v>
      </c>
      <c r="HV151" s="52">
        <v>194.6</v>
      </c>
      <c r="HW151" s="52">
        <v>135.69999999999999</v>
      </c>
      <c r="HX151" s="52">
        <v>133.1</v>
      </c>
      <c r="HY151" s="52">
        <v>246.61</v>
      </c>
      <c r="HZ151" s="52">
        <v>245.23</v>
      </c>
      <c r="IA151" s="52">
        <v>122.03</v>
      </c>
      <c r="IB151" s="52">
        <v>299.95</v>
      </c>
      <c r="IC151" s="52">
        <v>205.94</v>
      </c>
      <c r="ID151" s="52">
        <v>224.08</v>
      </c>
      <c r="IE151" s="52">
        <v>179.68</v>
      </c>
      <c r="IF151" s="52">
        <v>246.63</v>
      </c>
      <c r="IG151" s="52">
        <v>288.11</v>
      </c>
      <c r="IH151" s="52">
        <v>293.17</v>
      </c>
      <c r="II151" s="52">
        <v>404.99</v>
      </c>
      <c r="IJ151" s="52">
        <v>546.53</v>
      </c>
      <c r="IK151" s="52">
        <v>368.85</v>
      </c>
      <c r="IL151" s="52">
        <v>244.05</v>
      </c>
      <c r="IM151" s="52">
        <v>351.59</v>
      </c>
      <c r="IN151" s="52">
        <v>325</v>
      </c>
      <c r="IO151" s="52">
        <v>278.51</v>
      </c>
      <c r="IP151" s="52">
        <v>185.96</v>
      </c>
      <c r="IQ151" s="52">
        <v>275.51</v>
      </c>
      <c r="IR151" s="52">
        <v>398.39</v>
      </c>
      <c r="IS151" s="52">
        <v>411.61</v>
      </c>
      <c r="IT151" s="52">
        <v>39.799999999999997</v>
      </c>
      <c r="IU151" s="52">
        <v>151.31</v>
      </c>
      <c r="IV151" s="52">
        <v>44.06</v>
      </c>
      <c r="IW151" s="52">
        <v>102.17</v>
      </c>
      <c r="IX151" s="52">
        <v>177.61</v>
      </c>
      <c r="IY151" s="52">
        <v>270.98</v>
      </c>
      <c r="IZ151" s="52">
        <v>355.49</v>
      </c>
      <c r="JA151" s="52">
        <v>269.97000000000003</v>
      </c>
      <c r="JB151" s="52"/>
      <c r="JC151" s="52">
        <v>301.52</v>
      </c>
      <c r="JD151" s="52">
        <v>341.08</v>
      </c>
      <c r="JE151" s="52">
        <v>318.51</v>
      </c>
      <c r="JF151" s="52">
        <v>244.8</v>
      </c>
      <c r="JG151" s="52">
        <v>369.97</v>
      </c>
      <c r="JH151" s="52">
        <v>425.42</v>
      </c>
      <c r="JI151" s="52">
        <v>378.81</v>
      </c>
      <c r="JJ151" s="52">
        <v>294.49</v>
      </c>
      <c r="JK151" s="52">
        <v>363.43</v>
      </c>
      <c r="JL151" s="52">
        <v>379.7</v>
      </c>
      <c r="JM151" s="52">
        <v>337.77</v>
      </c>
      <c r="JN151" s="52">
        <v>247.69</v>
      </c>
      <c r="JO151" s="52">
        <v>217.29</v>
      </c>
      <c r="JP151" s="52">
        <v>468.99</v>
      </c>
      <c r="JQ151" s="52">
        <v>410.11</v>
      </c>
      <c r="JR151" s="52">
        <v>263.47000000000003</v>
      </c>
      <c r="JS151" s="52">
        <v>390.16</v>
      </c>
      <c r="JT151" s="52">
        <v>408.25</v>
      </c>
      <c r="JU151" s="52">
        <v>310.22000000000003</v>
      </c>
      <c r="JV151" s="52">
        <v>151.81</v>
      </c>
      <c r="JW151" s="52">
        <v>214.14</v>
      </c>
      <c r="JX151" s="52">
        <v>806.65</v>
      </c>
      <c r="JY151" s="52">
        <v>392.22</v>
      </c>
      <c r="JZ151" s="52">
        <v>342.78</v>
      </c>
      <c r="KA151" s="52">
        <v>351.96</v>
      </c>
      <c r="KB151" s="52">
        <v>266.27</v>
      </c>
      <c r="KC151" s="52">
        <v>326.39</v>
      </c>
      <c r="KD151" s="52">
        <v>528.13</v>
      </c>
      <c r="KE151" s="52">
        <v>469.02</v>
      </c>
      <c r="KF151" s="52">
        <v>401.24</v>
      </c>
    </row>
    <row r="152" spans="1:292" s="41" customFormat="1" ht="12">
      <c r="A152" s="41">
        <v>2017</v>
      </c>
      <c r="B152" s="54" t="s">
        <v>981</v>
      </c>
      <c r="C152" s="50" t="s">
        <v>982</v>
      </c>
      <c r="D152" s="57">
        <v>305.24</v>
      </c>
      <c r="E152" s="57">
        <v>349.18</v>
      </c>
      <c r="F152" s="57">
        <v>588.59</v>
      </c>
      <c r="G152" s="57">
        <v>181.85</v>
      </c>
      <c r="H152" s="57">
        <v>338.37</v>
      </c>
      <c r="I152" s="57">
        <v>234.2</v>
      </c>
      <c r="J152" s="57">
        <v>190.28</v>
      </c>
      <c r="K152" s="57">
        <v>294.89</v>
      </c>
      <c r="L152" s="57">
        <v>133.93</v>
      </c>
      <c r="M152" s="57">
        <v>215.95</v>
      </c>
      <c r="N152" s="57">
        <v>296.58</v>
      </c>
      <c r="O152" s="57">
        <v>444.22</v>
      </c>
      <c r="P152" s="57">
        <v>371.14</v>
      </c>
      <c r="Q152" s="57">
        <v>353.91</v>
      </c>
      <c r="R152" s="57">
        <v>287.11</v>
      </c>
      <c r="S152" s="57">
        <v>612.32000000000005</v>
      </c>
      <c r="T152" s="57">
        <v>586.42999999999995</v>
      </c>
      <c r="U152" s="57">
        <v>174.84</v>
      </c>
      <c r="V152" s="57">
        <v>203.17</v>
      </c>
      <c r="W152" s="57">
        <v>406.37</v>
      </c>
      <c r="X152" s="57">
        <v>262.75</v>
      </c>
      <c r="Y152" s="57">
        <v>330.61</v>
      </c>
      <c r="Z152" s="57">
        <v>320.39</v>
      </c>
      <c r="AA152" s="57">
        <v>263.95999999999998</v>
      </c>
      <c r="AB152" s="57">
        <v>232.59</v>
      </c>
      <c r="AC152" s="57">
        <v>179.51</v>
      </c>
      <c r="AD152" s="57">
        <v>269.18</v>
      </c>
      <c r="AE152" s="57">
        <v>275.86</v>
      </c>
      <c r="AF152" s="57">
        <v>236.34</v>
      </c>
      <c r="AG152" s="57">
        <v>137.22</v>
      </c>
      <c r="AH152" s="57">
        <v>224.79</v>
      </c>
      <c r="AI152" s="57">
        <v>303.38</v>
      </c>
      <c r="AJ152" s="57">
        <v>232.01</v>
      </c>
      <c r="AK152" s="57">
        <v>311.39999999999998</v>
      </c>
      <c r="AL152" s="57">
        <v>330.85</v>
      </c>
      <c r="AM152" s="57">
        <v>411.61</v>
      </c>
      <c r="AN152" s="57">
        <v>39.83</v>
      </c>
      <c r="AO152" s="57">
        <v>151.31</v>
      </c>
      <c r="AP152" s="57">
        <v>71.900000000000006</v>
      </c>
      <c r="AQ152" s="57">
        <v>284.33</v>
      </c>
      <c r="AR152" s="57">
        <v>337.37</v>
      </c>
      <c r="AS152" s="57">
        <v>302.01</v>
      </c>
      <c r="AT152" s="57">
        <v>367.64</v>
      </c>
      <c r="AU152" s="57">
        <v>388.21</v>
      </c>
      <c r="AV152" s="57">
        <v>385.36</v>
      </c>
      <c r="AW152" s="57">
        <v>343.48</v>
      </c>
      <c r="AX152" s="57">
        <v>247.69</v>
      </c>
      <c r="AY152" s="57">
        <v>217.68</v>
      </c>
      <c r="AZ152" s="57">
        <v>453.59</v>
      </c>
      <c r="BA152" s="57">
        <v>305.19</v>
      </c>
      <c r="BB152" s="57">
        <v>247.49</v>
      </c>
      <c r="BC152" s="57">
        <v>684.33</v>
      </c>
      <c r="BD152" s="57">
        <v>355</v>
      </c>
      <c r="BE152" s="57">
        <v>472.51</v>
      </c>
      <c r="BF152" s="57">
        <v>469.02</v>
      </c>
      <c r="BG152" s="57">
        <v>402.91</v>
      </c>
      <c r="BH152" s="57">
        <v>336.57</v>
      </c>
      <c r="BI152" s="57">
        <v>364.56</v>
      </c>
      <c r="BJ152" s="57">
        <v>338.78</v>
      </c>
      <c r="BK152" s="57">
        <v>297.85000000000002</v>
      </c>
      <c r="BL152" s="57">
        <v>319.13</v>
      </c>
      <c r="BM152" s="57">
        <v>340.45</v>
      </c>
      <c r="BN152" s="57">
        <v>461.95</v>
      </c>
      <c r="BO152" s="57">
        <v>260.42</v>
      </c>
      <c r="BP152" s="57">
        <v>353.24</v>
      </c>
      <c r="BQ152" s="57">
        <v>358.98</v>
      </c>
      <c r="BR152" s="57">
        <v>237.24</v>
      </c>
      <c r="BS152" s="57">
        <v>655.99</v>
      </c>
      <c r="BT152" s="57">
        <v>360.33</v>
      </c>
      <c r="BU152" s="57">
        <v>588.17999999999995</v>
      </c>
      <c r="BV152" s="57">
        <v>586.42999999999995</v>
      </c>
      <c r="BW152" s="57">
        <v>170.89</v>
      </c>
      <c r="BX152" s="57">
        <v>208.39</v>
      </c>
      <c r="BY152" s="57">
        <v>301.72000000000003</v>
      </c>
      <c r="BZ152" s="57">
        <v>202.39</v>
      </c>
      <c r="CA152" s="57">
        <v>351.35</v>
      </c>
      <c r="CB152" s="58">
        <v>406.37</v>
      </c>
      <c r="CC152" s="57">
        <v>262.75</v>
      </c>
      <c r="CD152" s="57">
        <v>329.35</v>
      </c>
      <c r="CE152" s="57">
        <v>268.26</v>
      </c>
      <c r="CF152" s="57">
        <v>337.61</v>
      </c>
      <c r="CG152" s="57">
        <v>351.57</v>
      </c>
      <c r="CH152" s="57">
        <v>269.14999999999998</v>
      </c>
      <c r="CI152" s="57">
        <v>256.64999999999998</v>
      </c>
      <c r="CJ152" s="57">
        <v>232.59</v>
      </c>
      <c r="CK152" s="57">
        <v>160.62</v>
      </c>
      <c r="CL152" s="57">
        <v>204.34</v>
      </c>
      <c r="CM152" s="57">
        <v>429.29</v>
      </c>
      <c r="CN152" s="57">
        <v>269.18</v>
      </c>
      <c r="CO152" s="57">
        <v>275.86</v>
      </c>
      <c r="CP152" s="57">
        <v>185.09</v>
      </c>
      <c r="CQ152" s="57">
        <v>450.24</v>
      </c>
      <c r="CR152" s="57">
        <v>139.33000000000001</v>
      </c>
      <c r="CS152" s="57">
        <v>197.63</v>
      </c>
      <c r="CT152" s="57">
        <v>140.06</v>
      </c>
      <c r="CU152" s="57">
        <v>246.69</v>
      </c>
      <c r="CV152" s="57">
        <v>249.61</v>
      </c>
      <c r="CW152" s="57">
        <v>134.02000000000001</v>
      </c>
      <c r="CX152" s="57">
        <v>303.38</v>
      </c>
      <c r="CY152" s="57">
        <v>233.16</v>
      </c>
      <c r="CZ152" s="57">
        <v>182.09</v>
      </c>
      <c r="DA152" s="57">
        <v>248.34</v>
      </c>
      <c r="DB152" s="57">
        <v>293.39</v>
      </c>
      <c r="DC152" s="57">
        <v>285.52</v>
      </c>
      <c r="DD152" s="57">
        <v>398.29</v>
      </c>
      <c r="DE152" s="57">
        <v>547.23</v>
      </c>
      <c r="DF152" s="57">
        <v>312.85000000000002</v>
      </c>
      <c r="DG152" s="57">
        <v>337.7</v>
      </c>
      <c r="DH152" s="57">
        <v>186.18</v>
      </c>
      <c r="DI152" s="57">
        <v>275.51</v>
      </c>
      <c r="DJ152" s="57">
        <v>401</v>
      </c>
      <c r="DK152" s="57">
        <v>411.61</v>
      </c>
      <c r="DL152" s="57">
        <v>39.83</v>
      </c>
      <c r="DM152" s="57">
        <v>151.31</v>
      </c>
      <c r="DN152" s="57">
        <v>43.8</v>
      </c>
      <c r="DO152" s="57">
        <v>102.71</v>
      </c>
      <c r="DP152" s="57">
        <v>177.61</v>
      </c>
      <c r="DQ152" s="57">
        <v>284.33</v>
      </c>
      <c r="DR152" s="57">
        <v>361.19</v>
      </c>
      <c r="DS152" s="57">
        <v>270.77</v>
      </c>
      <c r="DT152" s="57"/>
      <c r="DU152" s="57">
        <v>302.07</v>
      </c>
      <c r="DV152" s="57">
        <v>346.33</v>
      </c>
      <c r="DW152" s="57">
        <v>257.32</v>
      </c>
      <c r="DX152" s="57">
        <v>369.97</v>
      </c>
      <c r="DY152" s="57">
        <v>430.81</v>
      </c>
      <c r="DZ152" s="57">
        <v>378.81</v>
      </c>
      <c r="EA152" s="57">
        <v>304.83999999999997</v>
      </c>
      <c r="EB152" s="57">
        <v>388.21</v>
      </c>
      <c r="EC152" s="57">
        <v>385.36</v>
      </c>
      <c r="ED152" s="57">
        <v>343.48</v>
      </c>
      <c r="EE152" s="57">
        <v>247.69</v>
      </c>
      <c r="EF152" s="57">
        <v>217.68</v>
      </c>
      <c r="EG152" s="57">
        <v>453.59</v>
      </c>
      <c r="EH152" s="57">
        <v>305.19</v>
      </c>
      <c r="EI152" s="57">
        <v>359.61</v>
      </c>
      <c r="EJ152" s="57">
        <v>150.86000000000001</v>
      </c>
      <c r="EK152" s="57">
        <v>216.9</v>
      </c>
      <c r="EL152" s="57">
        <v>805.62</v>
      </c>
      <c r="EM152" s="57">
        <v>379.53</v>
      </c>
      <c r="EN152" s="57">
        <v>355</v>
      </c>
      <c r="EO152" s="57">
        <v>267.67</v>
      </c>
      <c r="EP152" s="57">
        <v>326.60000000000002</v>
      </c>
      <c r="EQ152" s="57">
        <v>523.91</v>
      </c>
      <c r="ER152" s="57">
        <v>469.02</v>
      </c>
      <c r="ES152" s="57">
        <v>402.91</v>
      </c>
      <c r="ET152" s="57">
        <v>359.35</v>
      </c>
      <c r="EU152" s="57">
        <v>301.39999999999998</v>
      </c>
      <c r="EV152" s="57">
        <v>356.75</v>
      </c>
      <c r="EW152" s="57">
        <v>303.36</v>
      </c>
      <c r="EX152" s="57">
        <v>296.63</v>
      </c>
      <c r="EY152" s="57">
        <v>209.54</v>
      </c>
      <c r="EZ152" s="57">
        <v>381.55</v>
      </c>
      <c r="FA152" s="57">
        <v>405.52</v>
      </c>
      <c r="FB152" s="57">
        <v>291.77</v>
      </c>
      <c r="FC152" s="57">
        <v>473.52</v>
      </c>
      <c r="FD152" s="57">
        <v>314.14999999999998</v>
      </c>
      <c r="FE152" s="57">
        <v>338.78</v>
      </c>
      <c r="FF152" s="57"/>
      <c r="FG152" s="57">
        <v>232.02</v>
      </c>
      <c r="FH152" s="57">
        <v>238.21</v>
      </c>
      <c r="FI152" s="57">
        <v>310.52</v>
      </c>
      <c r="FJ152" s="57">
        <v>453.69</v>
      </c>
      <c r="FK152" s="57">
        <v>462.15</v>
      </c>
      <c r="FL152" s="57">
        <v>244.48</v>
      </c>
      <c r="FM152" s="57">
        <v>311.26</v>
      </c>
      <c r="FN152" s="57">
        <v>299.8</v>
      </c>
      <c r="FO152" s="57">
        <v>541.14</v>
      </c>
      <c r="FP152" s="57">
        <v>497.43</v>
      </c>
      <c r="FQ152" s="57">
        <v>285.06</v>
      </c>
      <c r="FR152" s="57">
        <v>619.54</v>
      </c>
      <c r="FS152" s="57">
        <v>349.82</v>
      </c>
      <c r="FT152" s="57">
        <v>232.51</v>
      </c>
      <c r="FU152" s="57">
        <v>359.21</v>
      </c>
      <c r="FV152" s="57">
        <v>261.94</v>
      </c>
      <c r="FW152" s="57">
        <v>206.72</v>
      </c>
      <c r="FX152" s="57">
        <v>353.24</v>
      </c>
      <c r="FY152" s="57">
        <v>334.75</v>
      </c>
      <c r="FZ152" s="57">
        <v>365.8</v>
      </c>
      <c r="GA152" s="57">
        <v>249.5</v>
      </c>
      <c r="GB152" s="57">
        <v>252.46</v>
      </c>
      <c r="GC152" s="57">
        <v>231.12</v>
      </c>
      <c r="GD152" s="57">
        <v>216.79</v>
      </c>
      <c r="GE152" s="57">
        <v>655.99</v>
      </c>
      <c r="GF152" s="57">
        <v>360.33</v>
      </c>
      <c r="GG152" s="57">
        <v>588.17999999999995</v>
      </c>
      <c r="GH152" s="57">
        <v>585.45000000000005</v>
      </c>
      <c r="GI152" s="57">
        <v>186.74</v>
      </c>
      <c r="GJ152" s="57">
        <v>161.69</v>
      </c>
      <c r="GK152" s="57">
        <v>155.44</v>
      </c>
      <c r="GL152" s="57">
        <v>231.03</v>
      </c>
      <c r="GM152" s="57">
        <v>208.39</v>
      </c>
      <c r="GN152" s="57">
        <v>301.72000000000003</v>
      </c>
      <c r="GO152" s="57">
        <v>208.35</v>
      </c>
      <c r="GP152" s="57">
        <v>195.22</v>
      </c>
      <c r="GQ152" s="57">
        <v>203.98</v>
      </c>
      <c r="GR152" s="57">
        <v>351.35</v>
      </c>
      <c r="GS152" s="57">
        <v>406.37</v>
      </c>
      <c r="GT152" s="57">
        <v>262.75</v>
      </c>
      <c r="GU152" s="57">
        <v>329.35</v>
      </c>
      <c r="GV152" s="57">
        <v>268.26</v>
      </c>
      <c r="GW152" s="57">
        <v>305.95</v>
      </c>
      <c r="GX152" s="57">
        <v>367.1</v>
      </c>
      <c r="GY152" s="57">
        <v>351.57</v>
      </c>
      <c r="GZ152" s="57">
        <v>317.10000000000002</v>
      </c>
      <c r="HA152" s="57">
        <v>256.52999999999997</v>
      </c>
      <c r="HB152" s="57">
        <v>270.64</v>
      </c>
      <c r="HC152" s="57">
        <v>256.64999999999998</v>
      </c>
      <c r="HD152" s="57">
        <v>232.59</v>
      </c>
      <c r="HE152" s="57">
        <v>131.84</v>
      </c>
      <c r="HF152" s="57">
        <v>144.44999999999999</v>
      </c>
      <c r="HG152" s="57">
        <v>189.07</v>
      </c>
      <c r="HH152" s="57">
        <v>226.74</v>
      </c>
      <c r="HI152" s="57">
        <v>115.89</v>
      </c>
      <c r="HJ152" s="57">
        <v>204.34</v>
      </c>
      <c r="HK152" s="57">
        <v>429.29</v>
      </c>
      <c r="HL152" s="57">
        <v>233.7</v>
      </c>
      <c r="HM152" s="57">
        <v>289.05</v>
      </c>
      <c r="HN152" s="57">
        <v>297.08</v>
      </c>
      <c r="HO152" s="57">
        <v>248.57</v>
      </c>
      <c r="HP152" s="57">
        <v>296.68</v>
      </c>
      <c r="HQ152" s="57">
        <v>172.07</v>
      </c>
      <c r="HR152" s="57">
        <v>279.93</v>
      </c>
      <c r="HS152" s="57">
        <v>459.62</v>
      </c>
      <c r="HT152" s="57">
        <v>271.13</v>
      </c>
      <c r="HU152" s="57">
        <v>139.33000000000001</v>
      </c>
      <c r="HV152" s="57">
        <v>197.63</v>
      </c>
      <c r="HW152" s="57">
        <v>137.22</v>
      </c>
      <c r="HX152" s="57">
        <v>136.28</v>
      </c>
      <c r="HY152" s="57">
        <v>246.69</v>
      </c>
      <c r="HZ152" s="57">
        <v>249.61</v>
      </c>
      <c r="IA152" s="57">
        <v>122.43</v>
      </c>
      <c r="IB152" s="57">
        <v>303.38</v>
      </c>
      <c r="IC152" s="57">
        <v>216.53</v>
      </c>
      <c r="ID152" s="57">
        <v>228.58</v>
      </c>
      <c r="IE152" s="57">
        <v>182.09</v>
      </c>
      <c r="IF152" s="57">
        <v>248.34</v>
      </c>
      <c r="IG152" s="57">
        <v>293.39</v>
      </c>
      <c r="IH152" s="57">
        <v>285.52</v>
      </c>
      <c r="II152" s="57">
        <v>398.29</v>
      </c>
      <c r="IJ152" s="57">
        <v>547.23</v>
      </c>
      <c r="IK152" s="57">
        <v>369.16</v>
      </c>
      <c r="IL152" s="57">
        <v>244.05</v>
      </c>
      <c r="IM152" s="57">
        <v>354.26</v>
      </c>
      <c r="IN152" s="57">
        <v>332.09</v>
      </c>
      <c r="IO152" s="57">
        <v>277.42</v>
      </c>
      <c r="IP152" s="57">
        <v>186.18</v>
      </c>
      <c r="IQ152" s="57">
        <v>275.51</v>
      </c>
      <c r="IR152" s="57">
        <v>401</v>
      </c>
      <c r="IS152" s="57">
        <v>411.61</v>
      </c>
      <c r="IT152" s="57">
        <v>39.83</v>
      </c>
      <c r="IU152" s="57">
        <v>151.31</v>
      </c>
      <c r="IV152" s="57">
        <v>43.81</v>
      </c>
      <c r="IW152" s="57">
        <v>102.71</v>
      </c>
      <c r="IX152" s="57">
        <v>177.61</v>
      </c>
      <c r="IY152" s="57">
        <v>284.33</v>
      </c>
      <c r="IZ152" s="57">
        <v>361.19</v>
      </c>
      <c r="JA152" s="57">
        <v>270.77</v>
      </c>
      <c r="JB152" s="57"/>
      <c r="JC152" s="57">
        <v>302.07</v>
      </c>
      <c r="JD152" s="57">
        <v>346.33</v>
      </c>
      <c r="JE152" s="57">
        <v>322.39</v>
      </c>
      <c r="JF152" s="57">
        <v>244.77</v>
      </c>
      <c r="JG152" s="57">
        <v>369.97</v>
      </c>
      <c r="JH152" s="57">
        <v>430.81</v>
      </c>
      <c r="JI152" s="57">
        <v>378.81</v>
      </c>
      <c r="JJ152" s="57">
        <v>304.83999999999997</v>
      </c>
      <c r="JK152" s="57">
        <v>388.21</v>
      </c>
      <c r="JL152" s="57">
        <v>385.36</v>
      </c>
      <c r="JM152" s="57">
        <v>343.48</v>
      </c>
      <c r="JN152" s="57">
        <v>247.69</v>
      </c>
      <c r="JO152" s="57">
        <v>217.68</v>
      </c>
      <c r="JP152" s="57">
        <v>472.55</v>
      </c>
      <c r="JQ152" s="57">
        <v>412.43</v>
      </c>
      <c r="JR152" s="57">
        <v>265.70999999999998</v>
      </c>
      <c r="JS152" s="57">
        <v>390.08</v>
      </c>
      <c r="JT152" s="57">
        <v>410.69</v>
      </c>
      <c r="JU152" s="57">
        <v>312.02999999999997</v>
      </c>
      <c r="JV152" s="57">
        <v>150.86000000000001</v>
      </c>
      <c r="JW152" s="57">
        <v>216.9</v>
      </c>
      <c r="JX152" s="57">
        <v>805.62</v>
      </c>
      <c r="JY152" s="57">
        <v>396.13</v>
      </c>
      <c r="JZ152" s="57">
        <v>347.34</v>
      </c>
      <c r="KA152" s="57">
        <v>355</v>
      </c>
      <c r="KB152" s="57">
        <v>267.67</v>
      </c>
      <c r="KC152" s="57">
        <v>326.60000000000002</v>
      </c>
      <c r="KD152" s="57">
        <v>523.91</v>
      </c>
      <c r="KE152" s="57">
        <v>469.02</v>
      </c>
      <c r="KF152" s="57">
        <v>402.91</v>
      </c>
    </row>
    <row r="153" spans="1:292" s="41" customFormat="1" ht="12">
      <c r="A153" s="41">
        <v>2017</v>
      </c>
      <c r="B153" s="54" t="s">
        <v>983</v>
      </c>
      <c r="C153" s="50" t="s">
        <v>984</v>
      </c>
      <c r="D153" s="57">
        <v>309.23</v>
      </c>
      <c r="E153" s="57">
        <v>353.47</v>
      </c>
      <c r="F153" s="57">
        <v>588.65</v>
      </c>
      <c r="G153" s="57">
        <v>198.45</v>
      </c>
      <c r="H153" s="57">
        <v>339.09</v>
      </c>
      <c r="I153" s="57">
        <v>236.41</v>
      </c>
      <c r="J153" s="57">
        <v>191.14</v>
      </c>
      <c r="K153" s="57">
        <v>297.37</v>
      </c>
      <c r="L153" s="57">
        <v>133.9</v>
      </c>
      <c r="M153" s="57">
        <v>217.45</v>
      </c>
      <c r="N153" s="57">
        <v>298.63</v>
      </c>
      <c r="O153" s="57">
        <v>448.49</v>
      </c>
      <c r="P153" s="57">
        <v>375.83</v>
      </c>
      <c r="Q153" s="57">
        <v>358.03</v>
      </c>
      <c r="R153" s="57">
        <v>293.12</v>
      </c>
      <c r="S153" s="57">
        <v>613.26</v>
      </c>
      <c r="T153" s="57">
        <v>586.42999999999995</v>
      </c>
      <c r="U153" s="57">
        <v>191.32</v>
      </c>
      <c r="V153" s="57">
        <v>219.64</v>
      </c>
      <c r="W153" s="57">
        <v>408.55</v>
      </c>
      <c r="X153" s="57">
        <v>265.55</v>
      </c>
      <c r="Y153" s="57">
        <v>332.45</v>
      </c>
      <c r="Z153" s="57">
        <v>318.93</v>
      </c>
      <c r="AA153" s="57">
        <v>266.06</v>
      </c>
      <c r="AB153" s="57">
        <v>234.77</v>
      </c>
      <c r="AC153" s="57">
        <v>180.49</v>
      </c>
      <c r="AD153" s="57">
        <v>273.81</v>
      </c>
      <c r="AE153" s="57">
        <v>280.05</v>
      </c>
      <c r="AF153" s="57">
        <v>239.43</v>
      </c>
      <c r="AG153" s="57">
        <v>137.99</v>
      </c>
      <c r="AH153" s="57">
        <v>225.8</v>
      </c>
      <c r="AI153" s="57">
        <v>304.11</v>
      </c>
      <c r="AJ153" s="57">
        <v>236.01</v>
      </c>
      <c r="AK153" s="57">
        <v>309.33999999999997</v>
      </c>
      <c r="AL153" s="57">
        <v>337.93</v>
      </c>
      <c r="AM153" s="57">
        <v>411.61</v>
      </c>
      <c r="AN153" s="57">
        <v>39.9</v>
      </c>
      <c r="AO153" s="57">
        <v>151.21</v>
      </c>
      <c r="AP153" s="57">
        <v>71.78</v>
      </c>
      <c r="AQ153" s="57">
        <v>293.38</v>
      </c>
      <c r="AR153" s="57">
        <v>339.61</v>
      </c>
      <c r="AS153" s="57">
        <v>302.91000000000003</v>
      </c>
      <c r="AT153" s="57">
        <v>370.93</v>
      </c>
      <c r="AU153" s="57">
        <v>399.52</v>
      </c>
      <c r="AV153" s="57">
        <v>389.34</v>
      </c>
      <c r="AW153" s="57">
        <v>348.25</v>
      </c>
      <c r="AX153" s="57">
        <v>247.69</v>
      </c>
      <c r="AY153" s="57">
        <v>217.46</v>
      </c>
      <c r="AZ153" s="57">
        <v>458.22</v>
      </c>
      <c r="BA153" s="57">
        <v>306.8</v>
      </c>
      <c r="BB153" s="57">
        <v>250.93</v>
      </c>
      <c r="BC153" s="57">
        <v>701.29</v>
      </c>
      <c r="BD153" s="57">
        <v>354.81</v>
      </c>
      <c r="BE153" s="57">
        <v>442.45</v>
      </c>
      <c r="BF153" s="57">
        <v>469.02</v>
      </c>
      <c r="BG153" s="57">
        <v>403.17</v>
      </c>
      <c r="BH153" s="57">
        <v>339.53</v>
      </c>
      <c r="BI153" s="57">
        <v>377.51</v>
      </c>
      <c r="BJ153" s="57">
        <v>343.44</v>
      </c>
      <c r="BK153" s="57">
        <v>290.23</v>
      </c>
      <c r="BL153" s="57">
        <v>322.62</v>
      </c>
      <c r="BM153" s="57">
        <v>359.43</v>
      </c>
      <c r="BN153" s="57">
        <v>456.37</v>
      </c>
      <c r="BO153" s="57">
        <v>262.18</v>
      </c>
      <c r="BP153" s="57">
        <v>358.62</v>
      </c>
      <c r="BQ153" s="57">
        <v>364.48</v>
      </c>
      <c r="BR153" s="57">
        <v>243.15</v>
      </c>
      <c r="BS153" s="57">
        <v>656.39</v>
      </c>
      <c r="BT153" s="57">
        <v>365.92</v>
      </c>
      <c r="BU153" s="57">
        <v>588.04999999999995</v>
      </c>
      <c r="BV153" s="57">
        <v>586.42999999999995</v>
      </c>
      <c r="BW153" s="57">
        <v>187.84</v>
      </c>
      <c r="BX153" s="57">
        <v>221.23</v>
      </c>
      <c r="BY153" s="57">
        <v>304.49</v>
      </c>
      <c r="BZ153" s="57">
        <v>218.88</v>
      </c>
      <c r="CA153" s="57">
        <v>355.86</v>
      </c>
      <c r="CB153" s="58">
        <v>408.55</v>
      </c>
      <c r="CC153" s="57">
        <v>265.55</v>
      </c>
      <c r="CD153" s="57">
        <v>331.18</v>
      </c>
      <c r="CE153" s="57">
        <v>268.26</v>
      </c>
      <c r="CF153" s="57">
        <v>333.05</v>
      </c>
      <c r="CG153" s="57">
        <v>352.69</v>
      </c>
      <c r="CH153" s="57">
        <v>271.05</v>
      </c>
      <c r="CI153" s="57">
        <v>260.74</v>
      </c>
      <c r="CJ153" s="57">
        <v>234.77</v>
      </c>
      <c r="CK153" s="57">
        <v>161.6</v>
      </c>
      <c r="CL153" s="57">
        <v>204.89</v>
      </c>
      <c r="CM153" s="57">
        <v>429.71</v>
      </c>
      <c r="CN153" s="57">
        <v>273.81</v>
      </c>
      <c r="CO153" s="57">
        <v>280.05</v>
      </c>
      <c r="CP153" s="57">
        <v>187.56</v>
      </c>
      <c r="CQ153" s="57">
        <v>455.94</v>
      </c>
      <c r="CR153" s="57">
        <v>139.6</v>
      </c>
      <c r="CS153" s="57">
        <v>203.02</v>
      </c>
      <c r="CT153" s="57">
        <v>141.32</v>
      </c>
      <c r="CU153" s="57">
        <v>246.74</v>
      </c>
      <c r="CV153" s="57">
        <v>251.86</v>
      </c>
      <c r="CW153" s="57">
        <v>134.58000000000001</v>
      </c>
      <c r="CX153" s="57">
        <v>304.11</v>
      </c>
      <c r="CY153" s="57">
        <v>237.12</v>
      </c>
      <c r="CZ153" s="57">
        <v>185.27</v>
      </c>
      <c r="DA153" s="57">
        <v>257.33</v>
      </c>
      <c r="DB153" s="57">
        <v>297.88</v>
      </c>
      <c r="DC153" s="57">
        <v>281.58999999999997</v>
      </c>
      <c r="DD153" s="57">
        <v>404.69</v>
      </c>
      <c r="DE153" s="57">
        <v>555.82000000000005</v>
      </c>
      <c r="DF153" s="57">
        <v>312.85000000000002</v>
      </c>
      <c r="DG153" s="57">
        <v>338.6</v>
      </c>
      <c r="DH153" s="57">
        <v>215.13</v>
      </c>
      <c r="DI153" s="57">
        <v>275.51</v>
      </c>
      <c r="DJ153" s="57">
        <v>406.75</v>
      </c>
      <c r="DK153" s="57">
        <v>411.61</v>
      </c>
      <c r="DL153" s="57">
        <v>39.9</v>
      </c>
      <c r="DM153" s="57">
        <v>151.21</v>
      </c>
      <c r="DN153" s="57">
        <v>43.51</v>
      </c>
      <c r="DO153" s="57">
        <v>103.56</v>
      </c>
      <c r="DP153" s="57">
        <v>177.61</v>
      </c>
      <c r="DQ153" s="57">
        <v>293.38</v>
      </c>
      <c r="DR153" s="57">
        <v>355.53</v>
      </c>
      <c r="DS153" s="57">
        <v>287.79000000000002</v>
      </c>
      <c r="DT153" s="57"/>
      <c r="DU153" s="57">
        <v>304.89</v>
      </c>
      <c r="DV153" s="57">
        <v>348.07</v>
      </c>
      <c r="DW153" s="57">
        <v>257.49</v>
      </c>
      <c r="DX153" s="57">
        <v>369.97</v>
      </c>
      <c r="DY153" s="57">
        <v>432.4</v>
      </c>
      <c r="DZ153" s="57">
        <v>378.81</v>
      </c>
      <c r="EA153" s="57">
        <v>311.31</v>
      </c>
      <c r="EB153" s="57">
        <v>399.52</v>
      </c>
      <c r="EC153" s="57">
        <v>389.34</v>
      </c>
      <c r="ED153" s="57">
        <v>348.25</v>
      </c>
      <c r="EE153" s="57">
        <v>247.69</v>
      </c>
      <c r="EF153" s="57">
        <v>217.46</v>
      </c>
      <c r="EG153" s="57">
        <v>458.22</v>
      </c>
      <c r="EH153" s="57">
        <v>306.8</v>
      </c>
      <c r="EI153" s="57">
        <v>364.2</v>
      </c>
      <c r="EJ153" s="57">
        <v>151.80000000000001</v>
      </c>
      <c r="EK153" s="57">
        <v>220.07</v>
      </c>
      <c r="EL153" s="57">
        <v>827.71</v>
      </c>
      <c r="EM153" s="57">
        <v>385.36</v>
      </c>
      <c r="EN153" s="57">
        <v>354.81</v>
      </c>
      <c r="EO153" s="57">
        <v>267.56</v>
      </c>
      <c r="EP153" s="57">
        <v>332.58</v>
      </c>
      <c r="EQ153" s="57">
        <v>475.93</v>
      </c>
      <c r="ER153" s="57">
        <v>469.02</v>
      </c>
      <c r="ES153" s="57">
        <v>403.17</v>
      </c>
      <c r="ET153" s="57">
        <v>364.07</v>
      </c>
      <c r="EU153" s="57">
        <v>308.89</v>
      </c>
      <c r="EV153" s="57">
        <v>357.82</v>
      </c>
      <c r="EW153" s="57">
        <v>306.13</v>
      </c>
      <c r="EX153" s="57">
        <v>301.99</v>
      </c>
      <c r="EY153" s="57">
        <v>213.42</v>
      </c>
      <c r="EZ153" s="57">
        <v>390.85</v>
      </c>
      <c r="FA153" s="57">
        <v>428.01</v>
      </c>
      <c r="FB153" s="57">
        <v>307.20999999999998</v>
      </c>
      <c r="FC153" s="57">
        <v>476.62</v>
      </c>
      <c r="FD153" s="57">
        <v>314.58</v>
      </c>
      <c r="FE153" s="57">
        <v>343.44</v>
      </c>
      <c r="FF153" s="57"/>
      <c r="FG153" s="57">
        <v>232.57</v>
      </c>
      <c r="FH153" s="57">
        <v>235.59</v>
      </c>
      <c r="FI153" s="57">
        <v>313.29000000000002</v>
      </c>
      <c r="FJ153" s="57">
        <v>395.24</v>
      </c>
      <c r="FK153" s="57">
        <v>462.76</v>
      </c>
      <c r="FL153" s="57">
        <v>250.07</v>
      </c>
      <c r="FM153" s="57">
        <v>315.19</v>
      </c>
      <c r="FN153" s="57">
        <v>320.97000000000003</v>
      </c>
      <c r="FO153" s="57">
        <v>544.66</v>
      </c>
      <c r="FP153" s="57">
        <v>474.48</v>
      </c>
      <c r="FQ153" s="57">
        <v>368.65</v>
      </c>
      <c r="FR153" s="57">
        <v>621.36</v>
      </c>
      <c r="FS153" s="57">
        <v>354.19</v>
      </c>
      <c r="FT153" s="57">
        <v>231.43</v>
      </c>
      <c r="FU153" s="57">
        <v>359.74</v>
      </c>
      <c r="FV153" s="57">
        <v>264.41000000000003</v>
      </c>
      <c r="FW153" s="57">
        <v>213.65</v>
      </c>
      <c r="FX153" s="57">
        <v>358.62</v>
      </c>
      <c r="FY153" s="57">
        <v>355.38</v>
      </c>
      <c r="FZ153" s="57">
        <v>368.05</v>
      </c>
      <c r="GA153" s="57">
        <v>250.31</v>
      </c>
      <c r="GB153" s="57">
        <v>259.33</v>
      </c>
      <c r="GC153" s="57">
        <v>237.7</v>
      </c>
      <c r="GD153" s="57">
        <v>218.98</v>
      </c>
      <c r="GE153" s="57">
        <v>656.39</v>
      </c>
      <c r="GF153" s="57">
        <v>365.92</v>
      </c>
      <c r="GG153" s="57">
        <v>588.04999999999995</v>
      </c>
      <c r="GH153" s="57">
        <v>585.45000000000005</v>
      </c>
      <c r="GI153" s="57">
        <v>202.43</v>
      </c>
      <c r="GJ153" s="57">
        <v>179.85</v>
      </c>
      <c r="GK153" s="57">
        <v>172.3</v>
      </c>
      <c r="GL153" s="57">
        <v>239.64</v>
      </c>
      <c r="GM153" s="57">
        <v>221.23</v>
      </c>
      <c r="GN153" s="57">
        <v>304.49</v>
      </c>
      <c r="GO153" s="57">
        <v>224.86</v>
      </c>
      <c r="GP153" s="57">
        <v>212.49</v>
      </c>
      <c r="GQ153" s="57">
        <v>218.66</v>
      </c>
      <c r="GR153" s="57">
        <v>355.86</v>
      </c>
      <c r="GS153" s="57">
        <v>408.55</v>
      </c>
      <c r="GT153" s="57">
        <v>265.55</v>
      </c>
      <c r="GU153" s="57">
        <v>331.18</v>
      </c>
      <c r="GV153" s="57">
        <v>268.26</v>
      </c>
      <c r="GW153" s="57">
        <v>306.08</v>
      </c>
      <c r="GX153" s="57">
        <v>351.75</v>
      </c>
      <c r="GY153" s="57">
        <v>352.69</v>
      </c>
      <c r="GZ153" s="57">
        <v>319.55</v>
      </c>
      <c r="HA153" s="57">
        <v>258.45</v>
      </c>
      <c r="HB153" s="57">
        <v>272.39999999999998</v>
      </c>
      <c r="HC153" s="57">
        <v>260.74</v>
      </c>
      <c r="HD153" s="57">
        <v>234.77</v>
      </c>
      <c r="HE153" s="57">
        <v>132.87</v>
      </c>
      <c r="HF153" s="57">
        <v>145.76</v>
      </c>
      <c r="HG153" s="57">
        <v>190.08</v>
      </c>
      <c r="HH153" s="57">
        <v>227.62</v>
      </c>
      <c r="HI153" s="57">
        <v>115.75</v>
      </c>
      <c r="HJ153" s="57">
        <v>204.89</v>
      </c>
      <c r="HK153" s="57">
        <v>429.71</v>
      </c>
      <c r="HL153" s="57">
        <v>237.17</v>
      </c>
      <c r="HM153" s="57">
        <v>296.69</v>
      </c>
      <c r="HN153" s="57">
        <v>302.38</v>
      </c>
      <c r="HO153" s="57">
        <v>253.52</v>
      </c>
      <c r="HP153" s="57">
        <v>299.42</v>
      </c>
      <c r="HQ153" s="57">
        <v>174.53</v>
      </c>
      <c r="HR153" s="57">
        <v>282.63</v>
      </c>
      <c r="HS153" s="57">
        <v>465.23</v>
      </c>
      <c r="HT153" s="57">
        <v>275.64999999999998</v>
      </c>
      <c r="HU153" s="57">
        <v>139.6</v>
      </c>
      <c r="HV153" s="57">
        <v>203.02</v>
      </c>
      <c r="HW153" s="57">
        <v>137.56</v>
      </c>
      <c r="HX153" s="57">
        <v>139.33000000000001</v>
      </c>
      <c r="HY153" s="57">
        <v>246.74</v>
      </c>
      <c r="HZ153" s="57">
        <v>251.86</v>
      </c>
      <c r="IA153" s="57">
        <v>122.94</v>
      </c>
      <c r="IB153" s="57">
        <v>304.11</v>
      </c>
      <c r="IC153" s="57">
        <v>219.83</v>
      </c>
      <c r="ID153" s="57">
        <v>233.17</v>
      </c>
      <c r="IE153" s="57">
        <v>185.27</v>
      </c>
      <c r="IF153" s="57">
        <v>257.33</v>
      </c>
      <c r="IG153" s="57">
        <v>297.88</v>
      </c>
      <c r="IH153" s="57">
        <v>281.58999999999997</v>
      </c>
      <c r="II153" s="57">
        <v>404.69</v>
      </c>
      <c r="IJ153" s="57">
        <v>555.82000000000005</v>
      </c>
      <c r="IK153" s="57">
        <v>369.16</v>
      </c>
      <c r="IL153" s="57">
        <v>244.05</v>
      </c>
      <c r="IM153" s="57">
        <v>354.62</v>
      </c>
      <c r="IN153" s="57">
        <v>332.51</v>
      </c>
      <c r="IO153" s="57">
        <v>279.88</v>
      </c>
      <c r="IP153" s="57">
        <v>215.13</v>
      </c>
      <c r="IQ153" s="57">
        <v>275.51</v>
      </c>
      <c r="IR153" s="57">
        <v>406.75</v>
      </c>
      <c r="IS153" s="57">
        <v>411.61</v>
      </c>
      <c r="IT153" s="57">
        <v>39.9</v>
      </c>
      <c r="IU153" s="57">
        <v>151.21</v>
      </c>
      <c r="IV153" s="57">
        <v>43.52</v>
      </c>
      <c r="IW153" s="57">
        <v>103.56</v>
      </c>
      <c r="IX153" s="57">
        <v>177.61</v>
      </c>
      <c r="IY153" s="57">
        <v>293.38</v>
      </c>
      <c r="IZ153" s="57">
        <v>355.53</v>
      </c>
      <c r="JA153" s="57">
        <v>287.79000000000002</v>
      </c>
      <c r="JB153" s="57"/>
      <c r="JC153" s="57">
        <v>304.89</v>
      </c>
      <c r="JD153" s="57">
        <v>348.07</v>
      </c>
      <c r="JE153" s="57">
        <v>324.68</v>
      </c>
      <c r="JF153" s="57">
        <v>244.72</v>
      </c>
      <c r="JG153" s="57">
        <v>369.97</v>
      </c>
      <c r="JH153" s="57">
        <v>432.4</v>
      </c>
      <c r="JI153" s="57">
        <v>378.81</v>
      </c>
      <c r="JJ153" s="57">
        <v>311.31</v>
      </c>
      <c r="JK153" s="57">
        <v>399.52</v>
      </c>
      <c r="JL153" s="57">
        <v>389.34</v>
      </c>
      <c r="JM153" s="57">
        <v>348.25</v>
      </c>
      <c r="JN153" s="57">
        <v>247.69</v>
      </c>
      <c r="JO153" s="57">
        <v>217.46</v>
      </c>
      <c r="JP153" s="57">
        <v>477.19</v>
      </c>
      <c r="JQ153" s="57">
        <v>417.35</v>
      </c>
      <c r="JR153" s="57">
        <v>267.98</v>
      </c>
      <c r="JS153" s="57">
        <v>390.03</v>
      </c>
      <c r="JT153" s="57">
        <v>413.65</v>
      </c>
      <c r="JU153" s="57">
        <v>317.58</v>
      </c>
      <c r="JV153" s="57">
        <v>151.80000000000001</v>
      </c>
      <c r="JW153" s="57">
        <v>220.07</v>
      </c>
      <c r="JX153" s="57">
        <v>827.71</v>
      </c>
      <c r="JY153" s="57">
        <v>401.04</v>
      </c>
      <c r="JZ153" s="57">
        <v>354.32</v>
      </c>
      <c r="KA153" s="57">
        <v>354.81</v>
      </c>
      <c r="KB153" s="57">
        <v>267.56</v>
      </c>
      <c r="KC153" s="57">
        <v>332.58</v>
      </c>
      <c r="KD153" s="57">
        <v>475.93</v>
      </c>
      <c r="KE153" s="57">
        <v>469.02</v>
      </c>
      <c r="KF153" s="57">
        <v>403.17</v>
      </c>
    </row>
    <row r="154" spans="1:292">
      <c r="A154" s="41">
        <v>2017</v>
      </c>
      <c r="B154" s="59" t="s">
        <v>985</v>
      </c>
      <c r="C154" s="41" t="s">
        <v>986</v>
      </c>
      <c r="D154" s="57">
        <v>310.61</v>
      </c>
      <c r="E154" s="57">
        <v>351.53</v>
      </c>
      <c r="F154" s="57">
        <v>588.66</v>
      </c>
      <c r="G154" s="57">
        <v>210.3</v>
      </c>
      <c r="H154" s="57">
        <v>340.46</v>
      </c>
      <c r="I154" s="57">
        <v>238.24</v>
      </c>
      <c r="J154" s="57">
        <v>191.58</v>
      </c>
      <c r="K154" s="57">
        <v>295.20999999999998</v>
      </c>
      <c r="L154" s="57">
        <v>134.58000000000001</v>
      </c>
      <c r="M154" s="57">
        <v>222.71</v>
      </c>
      <c r="N154" s="57">
        <v>301.31</v>
      </c>
      <c r="O154" s="57">
        <v>452.46</v>
      </c>
      <c r="P154" s="57">
        <v>372.42</v>
      </c>
      <c r="Q154" s="57">
        <v>355.38</v>
      </c>
      <c r="R154" s="57">
        <v>298.94</v>
      </c>
      <c r="S154" s="57">
        <v>613.39</v>
      </c>
      <c r="T154" s="57">
        <v>586.42999999999995</v>
      </c>
      <c r="U154" s="57">
        <v>203.81</v>
      </c>
      <c r="V154" s="57">
        <v>228.41</v>
      </c>
      <c r="W154" s="57">
        <v>411.66</v>
      </c>
      <c r="X154" s="57">
        <v>267.67</v>
      </c>
      <c r="Y154" s="57">
        <v>334.84</v>
      </c>
      <c r="Z154" s="57">
        <v>318.42</v>
      </c>
      <c r="AA154" s="57">
        <v>268.31</v>
      </c>
      <c r="AB154" s="57">
        <v>236.49</v>
      </c>
      <c r="AC154" s="57">
        <v>180.13</v>
      </c>
      <c r="AD154" s="57">
        <v>276.89</v>
      </c>
      <c r="AE154" s="57">
        <v>276.91000000000003</v>
      </c>
      <c r="AF154" s="57">
        <v>244.07</v>
      </c>
      <c r="AG154" s="57">
        <v>138.38</v>
      </c>
      <c r="AH154" s="57">
        <v>226.4</v>
      </c>
      <c r="AI154" s="57">
        <v>304.20999999999998</v>
      </c>
      <c r="AJ154" s="57">
        <v>235.32</v>
      </c>
      <c r="AK154" s="57">
        <v>303.75</v>
      </c>
      <c r="AL154" s="57">
        <v>339.41</v>
      </c>
      <c r="AM154" s="57">
        <v>411.61</v>
      </c>
      <c r="AN154" s="57">
        <v>39.44</v>
      </c>
      <c r="AO154" s="57">
        <v>152.54</v>
      </c>
      <c r="AP154" s="57">
        <v>71.52</v>
      </c>
      <c r="AQ154" s="57">
        <v>295.83</v>
      </c>
      <c r="AR154" s="57">
        <v>342.23</v>
      </c>
      <c r="AS154" s="57">
        <v>304.81</v>
      </c>
      <c r="AT154" s="57">
        <v>373.23</v>
      </c>
      <c r="AU154" s="57">
        <v>457.98</v>
      </c>
      <c r="AV154" s="57">
        <v>394.65</v>
      </c>
      <c r="AW154" s="57">
        <v>353.77</v>
      </c>
      <c r="AX154" s="57">
        <v>247.69</v>
      </c>
      <c r="AY154" s="57">
        <v>218.05</v>
      </c>
      <c r="AZ154" s="57">
        <v>462.57</v>
      </c>
      <c r="BA154" s="57">
        <v>307.99</v>
      </c>
      <c r="BB154" s="57">
        <v>252.36</v>
      </c>
      <c r="BC154" s="57">
        <v>681.37</v>
      </c>
      <c r="BD154" s="57">
        <v>355.45</v>
      </c>
      <c r="BE154" s="57">
        <v>413.05</v>
      </c>
      <c r="BF154" s="57">
        <v>469.02</v>
      </c>
      <c r="BG154" s="57">
        <v>403.21</v>
      </c>
      <c r="BH154" s="57">
        <v>343.42</v>
      </c>
      <c r="BI154" s="57">
        <v>389.8</v>
      </c>
      <c r="BJ154" s="57">
        <v>359.85</v>
      </c>
      <c r="BK154" s="57">
        <v>286.54000000000002</v>
      </c>
      <c r="BL154" s="57">
        <v>323.18</v>
      </c>
      <c r="BM154" s="57">
        <v>376.59</v>
      </c>
      <c r="BN154" s="57">
        <v>399.74</v>
      </c>
      <c r="BO154" s="57">
        <v>265</v>
      </c>
      <c r="BP154" s="57">
        <v>361.89</v>
      </c>
      <c r="BQ154" s="57">
        <v>369.13</v>
      </c>
      <c r="BR154" s="57">
        <v>249.18</v>
      </c>
      <c r="BS154" s="57">
        <v>656.68</v>
      </c>
      <c r="BT154" s="57">
        <v>365.75</v>
      </c>
      <c r="BU154" s="57">
        <v>588.12</v>
      </c>
      <c r="BV154" s="57">
        <v>586.42999999999995</v>
      </c>
      <c r="BW154" s="57">
        <v>200.77</v>
      </c>
      <c r="BX154" s="57">
        <v>228.85</v>
      </c>
      <c r="BY154" s="57">
        <v>306.39999999999998</v>
      </c>
      <c r="BZ154" s="57">
        <v>227.66</v>
      </c>
      <c r="CA154" s="57">
        <v>359.53</v>
      </c>
      <c r="CB154" s="58">
        <v>411.66</v>
      </c>
      <c r="CC154" s="57">
        <v>267.67</v>
      </c>
      <c r="CD154" s="57">
        <v>333.56</v>
      </c>
      <c r="CE154" s="57">
        <v>268.26</v>
      </c>
      <c r="CF154" s="57">
        <v>331.57</v>
      </c>
      <c r="CG154" s="57">
        <v>352.86</v>
      </c>
      <c r="CH154" s="57">
        <v>273.35000000000002</v>
      </c>
      <c r="CI154" s="57">
        <v>262.94</v>
      </c>
      <c r="CJ154" s="57">
        <v>236.49</v>
      </c>
      <c r="CK154" s="57">
        <v>161.41</v>
      </c>
      <c r="CL154" s="57">
        <v>204.92</v>
      </c>
      <c r="CM154" s="57">
        <v>423.96</v>
      </c>
      <c r="CN154" s="57">
        <v>276.89</v>
      </c>
      <c r="CO154" s="57">
        <v>276.91000000000003</v>
      </c>
      <c r="CP154" s="57">
        <v>192.74</v>
      </c>
      <c r="CQ154" s="57">
        <v>457.75</v>
      </c>
      <c r="CR154" s="57">
        <v>139.6</v>
      </c>
      <c r="CS154" s="57">
        <v>206.93</v>
      </c>
      <c r="CT154" s="57">
        <v>142.03</v>
      </c>
      <c r="CU154" s="57">
        <v>246.79</v>
      </c>
      <c r="CV154" s="57">
        <v>253.11</v>
      </c>
      <c r="CW154" s="57">
        <v>135.01</v>
      </c>
      <c r="CX154" s="57">
        <v>304.20999999999998</v>
      </c>
      <c r="CY154" s="57">
        <v>236.28</v>
      </c>
      <c r="CZ154" s="57">
        <v>187.03</v>
      </c>
      <c r="DA154" s="57">
        <v>261.85000000000002</v>
      </c>
      <c r="DB154" s="57">
        <v>302.81</v>
      </c>
      <c r="DC154" s="57">
        <v>273.45</v>
      </c>
      <c r="DD154" s="57">
        <v>411.62</v>
      </c>
      <c r="DE154" s="57">
        <v>560.13</v>
      </c>
      <c r="DF154" s="57">
        <v>310.52</v>
      </c>
      <c r="DG154" s="57">
        <v>340</v>
      </c>
      <c r="DH154" s="57">
        <v>216.56</v>
      </c>
      <c r="DI154" s="57">
        <v>275.63</v>
      </c>
      <c r="DJ154" s="57">
        <v>408.96</v>
      </c>
      <c r="DK154" s="57">
        <v>411.61</v>
      </c>
      <c r="DL154" s="57">
        <v>39.44</v>
      </c>
      <c r="DM154" s="57">
        <v>152.54</v>
      </c>
      <c r="DN154" s="57">
        <v>43.43</v>
      </c>
      <c r="DO154" s="57">
        <v>102.18</v>
      </c>
      <c r="DP154" s="57">
        <v>177.61</v>
      </c>
      <c r="DQ154" s="57">
        <v>295.83</v>
      </c>
      <c r="DR154" s="57">
        <v>357</v>
      </c>
      <c r="DS154" s="57">
        <v>292.38</v>
      </c>
      <c r="DT154" s="57"/>
      <c r="DU154" s="57">
        <v>307.43</v>
      </c>
      <c r="DV154" s="57">
        <v>349</v>
      </c>
      <c r="DW154" s="57">
        <v>260.61</v>
      </c>
      <c r="DX154" s="57">
        <v>369.97</v>
      </c>
      <c r="DY154" s="57">
        <v>433.84</v>
      </c>
      <c r="DZ154" s="57">
        <v>378.81</v>
      </c>
      <c r="EA154" s="57">
        <v>315.5</v>
      </c>
      <c r="EB154" s="57">
        <v>457.98</v>
      </c>
      <c r="EC154" s="57">
        <v>394.65</v>
      </c>
      <c r="ED154" s="57">
        <v>353.77</v>
      </c>
      <c r="EE154" s="57">
        <v>247.69</v>
      </c>
      <c r="EF154" s="57">
        <v>218.05</v>
      </c>
      <c r="EG154" s="57">
        <v>462.57</v>
      </c>
      <c r="EH154" s="57">
        <v>307.99</v>
      </c>
      <c r="EI154" s="57">
        <v>367.04</v>
      </c>
      <c r="EJ154" s="57">
        <v>151.13999999999999</v>
      </c>
      <c r="EK154" s="57">
        <v>221.14</v>
      </c>
      <c r="EL154" s="57">
        <v>795.3</v>
      </c>
      <c r="EM154" s="57">
        <v>389.38</v>
      </c>
      <c r="EN154" s="57">
        <v>355.45</v>
      </c>
      <c r="EO154" s="57">
        <v>267.70999999999998</v>
      </c>
      <c r="EP154" s="57">
        <v>331.53</v>
      </c>
      <c r="EQ154" s="57">
        <v>431.19</v>
      </c>
      <c r="ER154" s="57">
        <v>469.02</v>
      </c>
      <c r="ES154" s="57">
        <v>403.21</v>
      </c>
      <c r="ET154" s="57">
        <v>365.82</v>
      </c>
      <c r="EU154" s="57">
        <v>310.94</v>
      </c>
      <c r="EV154" s="57">
        <v>363.68</v>
      </c>
      <c r="EW154" s="57">
        <v>308.49</v>
      </c>
      <c r="EX154" s="57">
        <v>302.31</v>
      </c>
      <c r="EY154" s="57">
        <v>216.13</v>
      </c>
      <c r="EZ154" s="57">
        <v>402.96</v>
      </c>
      <c r="FA154" s="57">
        <v>445.59</v>
      </c>
      <c r="FB154" s="57">
        <v>318.91000000000003</v>
      </c>
      <c r="FC154" s="57">
        <v>487.58</v>
      </c>
      <c r="FD154" s="57">
        <v>316.72000000000003</v>
      </c>
      <c r="FE154" s="57">
        <v>359.85</v>
      </c>
      <c r="FF154" s="57"/>
      <c r="FG154" s="57">
        <v>230.33</v>
      </c>
      <c r="FH154" s="57">
        <v>235.03</v>
      </c>
      <c r="FI154" s="57">
        <v>313.07</v>
      </c>
      <c r="FJ154" s="57">
        <v>374.64</v>
      </c>
      <c r="FK154" s="57">
        <v>458.73</v>
      </c>
      <c r="FL154" s="57">
        <v>256.8</v>
      </c>
      <c r="FM154" s="57">
        <v>315.93</v>
      </c>
      <c r="FN154" s="57">
        <v>339.98</v>
      </c>
      <c r="FO154" s="57">
        <v>548.62</v>
      </c>
      <c r="FP154" s="57">
        <v>386.49</v>
      </c>
      <c r="FQ154" s="57">
        <v>379.43</v>
      </c>
      <c r="FR154" s="57">
        <v>620.79999999999995</v>
      </c>
      <c r="FS154" s="57">
        <v>352.11</v>
      </c>
      <c r="FT154" s="57">
        <v>231.54</v>
      </c>
      <c r="FU154" s="57">
        <v>360.31</v>
      </c>
      <c r="FV154" s="57">
        <v>269.27999999999997</v>
      </c>
      <c r="FW154" s="57">
        <v>219.55</v>
      </c>
      <c r="FX154" s="57">
        <v>361.89</v>
      </c>
      <c r="FY154" s="57">
        <v>370.4</v>
      </c>
      <c r="FZ154" s="57">
        <v>370.27</v>
      </c>
      <c r="GA154" s="57">
        <v>257.75</v>
      </c>
      <c r="GB154" s="57">
        <v>262.2</v>
      </c>
      <c r="GC154" s="57">
        <v>249.06</v>
      </c>
      <c r="GD154" s="57">
        <v>220.03</v>
      </c>
      <c r="GE154" s="57">
        <v>656.68</v>
      </c>
      <c r="GF154" s="57">
        <v>365.75</v>
      </c>
      <c r="GG154" s="57">
        <v>588.12</v>
      </c>
      <c r="GH154" s="57">
        <v>585.45000000000005</v>
      </c>
      <c r="GI154" s="57">
        <v>216.68</v>
      </c>
      <c r="GJ154" s="57">
        <v>193.54</v>
      </c>
      <c r="GK154" s="57">
        <v>181.56</v>
      </c>
      <c r="GL154" s="57">
        <v>243.22</v>
      </c>
      <c r="GM154" s="57">
        <v>228.85</v>
      </c>
      <c r="GN154" s="57">
        <v>306.39999999999998</v>
      </c>
      <c r="GO154" s="57">
        <v>231.92</v>
      </c>
      <c r="GP154" s="57">
        <v>222.28</v>
      </c>
      <c r="GQ154" s="57">
        <v>229.4</v>
      </c>
      <c r="GR154" s="57">
        <v>359.53</v>
      </c>
      <c r="GS154" s="57">
        <v>411.66</v>
      </c>
      <c r="GT154" s="57">
        <v>267.67</v>
      </c>
      <c r="GU154" s="57">
        <v>333.56</v>
      </c>
      <c r="GV154" s="57">
        <v>268.26</v>
      </c>
      <c r="GW154" s="57">
        <v>306.43</v>
      </c>
      <c r="GX154" s="57">
        <v>346.02</v>
      </c>
      <c r="GY154" s="57">
        <v>352.86</v>
      </c>
      <c r="GZ154" s="57">
        <v>327.81</v>
      </c>
      <c r="HA154" s="57">
        <v>259.52999999999997</v>
      </c>
      <c r="HB154" s="57">
        <v>273.94</v>
      </c>
      <c r="HC154" s="57">
        <v>262.94</v>
      </c>
      <c r="HD154" s="57">
        <v>236.49</v>
      </c>
      <c r="HE154" s="57">
        <v>132.58000000000001</v>
      </c>
      <c r="HF154" s="57">
        <v>145.08000000000001</v>
      </c>
      <c r="HG154" s="57">
        <v>190.77</v>
      </c>
      <c r="HH154" s="57">
        <v>227.64</v>
      </c>
      <c r="HI154" s="57">
        <v>116.26</v>
      </c>
      <c r="HJ154" s="57">
        <v>204.92</v>
      </c>
      <c r="HK154" s="57">
        <v>423.96</v>
      </c>
      <c r="HL154" s="57">
        <v>240.3</v>
      </c>
      <c r="HM154" s="57">
        <v>299.08999999999997</v>
      </c>
      <c r="HN154" s="57">
        <v>305.41000000000003</v>
      </c>
      <c r="HO154" s="57">
        <v>247.41</v>
      </c>
      <c r="HP154" s="57">
        <v>300.95999999999998</v>
      </c>
      <c r="HQ154" s="57">
        <v>179.73</v>
      </c>
      <c r="HR154" s="57">
        <v>288.14</v>
      </c>
      <c r="HS154" s="57">
        <v>466.77</v>
      </c>
      <c r="HT154" s="57">
        <v>278.36</v>
      </c>
      <c r="HU154" s="57">
        <v>139.6</v>
      </c>
      <c r="HV154" s="57">
        <v>206.93</v>
      </c>
      <c r="HW154" s="57">
        <v>137.75</v>
      </c>
      <c r="HX154" s="57">
        <v>141.03</v>
      </c>
      <c r="HY154" s="57">
        <v>246.79</v>
      </c>
      <c r="HZ154" s="57">
        <v>253.11</v>
      </c>
      <c r="IA154" s="57">
        <v>123.33</v>
      </c>
      <c r="IB154" s="57">
        <v>304.20999999999998</v>
      </c>
      <c r="IC154" s="57">
        <v>219.81</v>
      </c>
      <c r="ID154" s="57">
        <v>230.94</v>
      </c>
      <c r="IE154" s="57">
        <v>187.03</v>
      </c>
      <c r="IF154" s="57">
        <v>261.85000000000002</v>
      </c>
      <c r="IG154" s="57">
        <v>302.81</v>
      </c>
      <c r="IH154" s="57">
        <v>273.45</v>
      </c>
      <c r="II154" s="57">
        <v>411.62</v>
      </c>
      <c r="IJ154" s="57">
        <v>560.13</v>
      </c>
      <c r="IK154" s="57">
        <v>370.83</v>
      </c>
      <c r="IL154" s="57">
        <v>241.12</v>
      </c>
      <c r="IM154" s="57">
        <v>355.08</v>
      </c>
      <c r="IN154" s="57">
        <v>336.09</v>
      </c>
      <c r="IO154" s="57">
        <v>282.93</v>
      </c>
      <c r="IP154" s="57">
        <v>216.56</v>
      </c>
      <c r="IQ154" s="57">
        <v>275.63</v>
      </c>
      <c r="IR154" s="57">
        <v>408.96</v>
      </c>
      <c r="IS154" s="57">
        <v>411.61</v>
      </c>
      <c r="IT154" s="57">
        <v>39.44</v>
      </c>
      <c r="IU154" s="57">
        <v>152.54</v>
      </c>
      <c r="IV154" s="57">
        <v>43.44</v>
      </c>
      <c r="IW154" s="57">
        <v>102.18</v>
      </c>
      <c r="IX154" s="57">
        <v>177.61</v>
      </c>
      <c r="IY154" s="57">
        <v>295.83</v>
      </c>
      <c r="IZ154" s="57">
        <v>357</v>
      </c>
      <c r="JA154" s="57">
        <v>292.38</v>
      </c>
      <c r="JB154" s="57"/>
      <c r="JC154" s="57">
        <v>307.43</v>
      </c>
      <c r="JD154" s="57">
        <v>349</v>
      </c>
      <c r="JE154" s="57">
        <v>325.19</v>
      </c>
      <c r="JF154" s="57">
        <v>248.04</v>
      </c>
      <c r="JG154" s="57">
        <v>369.97</v>
      </c>
      <c r="JH154" s="57">
        <v>433.84</v>
      </c>
      <c r="JI154" s="57">
        <v>378.81</v>
      </c>
      <c r="JJ154" s="57">
        <v>315.5</v>
      </c>
      <c r="JK154" s="57">
        <v>457.98</v>
      </c>
      <c r="JL154" s="57">
        <v>394.65</v>
      </c>
      <c r="JM154" s="57">
        <v>353.77</v>
      </c>
      <c r="JN154" s="57">
        <v>247.69</v>
      </c>
      <c r="JO154" s="57">
        <v>218.05</v>
      </c>
      <c r="JP154" s="57">
        <v>482.07</v>
      </c>
      <c r="JQ154" s="57">
        <v>419.99</v>
      </c>
      <c r="JR154" s="57">
        <v>269.62</v>
      </c>
      <c r="JS154" s="57">
        <v>390.08</v>
      </c>
      <c r="JT154" s="57">
        <v>416.75</v>
      </c>
      <c r="JU154" s="57">
        <v>320.14</v>
      </c>
      <c r="JV154" s="57">
        <v>151.13999999999999</v>
      </c>
      <c r="JW154" s="57">
        <v>221.14</v>
      </c>
      <c r="JX154" s="57">
        <v>795.3</v>
      </c>
      <c r="JY154" s="57">
        <v>407.56</v>
      </c>
      <c r="JZ154" s="57">
        <v>354.79</v>
      </c>
      <c r="KA154" s="57">
        <v>355.45</v>
      </c>
      <c r="KB154" s="57">
        <v>267.70999999999998</v>
      </c>
      <c r="KC154" s="57">
        <v>331.53</v>
      </c>
      <c r="KD154" s="57">
        <v>431.19</v>
      </c>
      <c r="KE154" s="57">
        <v>469.02</v>
      </c>
      <c r="KF154" s="57">
        <v>403.21</v>
      </c>
    </row>
    <row r="155" spans="1:292">
      <c r="A155" s="41">
        <v>2017</v>
      </c>
      <c r="B155" s="54" t="s">
        <v>987</v>
      </c>
      <c r="C155" s="50" t="s">
        <v>988</v>
      </c>
      <c r="D155" s="57">
        <v>309.77999999999997</v>
      </c>
      <c r="E155" s="57">
        <v>347.81</v>
      </c>
      <c r="F155" s="57">
        <v>588.70000000000005</v>
      </c>
      <c r="G155" s="57">
        <v>207.68</v>
      </c>
      <c r="H155" s="57">
        <v>341.51</v>
      </c>
      <c r="I155" s="57">
        <v>239.39</v>
      </c>
      <c r="J155" s="57">
        <v>191.91</v>
      </c>
      <c r="K155" s="57">
        <v>292.73</v>
      </c>
      <c r="L155" s="57">
        <v>134.05000000000001</v>
      </c>
      <c r="M155" s="57">
        <v>222.4</v>
      </c>
      <c r="N155" s="57">
        <v>304.47000000000003</v>
      </c>
      <c r="O155" s="57">
        <v>457.12</v>
      </c>
      <c r="P155" s="57">
        <v>374.37</v>
      </c>
      <c r="Q155" s="57">
        <v>351.16</v>
      </c>
      <c r="R155" s="57">
        <v>300.81</v>
      </c>
      <c r="S155" s="57">
        <v>614.04</v>
      </c>
      <c r="T155" s="57">
        <v>586.42999999999995</v>
      </c>
      <c r="U155" s="57">
        <v>201.02</v>
      </c>
      <c r="V155" s="57">
        <v>226.61</v>
      </c>
      <c r="W155" s="57">
        <v>414.2</v>
      </c>
      <c r="X155" s="57">
        <v>269.55</v>
      </c>
      <c r="Y155" s="57">
        <v>335.75</v>
      </c>
      <c r="Z155" s="57">
        <v>318.2</v>
      </c>
      <c r="AA155" s="57">
        <v>268.87</v>
      </c>
      <c r="AB155" s="57">
        <v>238</v>
      </c>
      <c r="AC155" s="57">
        <v>181.28</v>
      </c>
      <c r="AD155" s="57">
        <v>278.52</v>
      </c>
      <c r="AE155" s="57">
        <v>279.99</v>
      </c>
      <c r="AF155" s="57">
        <v>245.38</v>
      </c>
      <c r="AG155" s="57">
        <v>138.32</v>
      </c>
      <c r="AH155" s="57">
        <v>226.83</v>
      </c>
      <c r="AI155" s="57">
        <v>305.83999999999997</v>
      </c>
      <c r="AJ155" s="57">
        <v>231.73</v>
      </c>
      <c r="AK155" s="57">
        <v>300.02999999999997</v>
      </c>
      <c r="AL155" s="57">
        <v>342.14</v>
      </c>
      <c r="AM155" s="57">
        <v>308.70999999999998</v>
      </c>
      <c r="AN155" s="57">
        <v>38.520000000000003</v>
      </c>
      <c r="AO155" s="57">
        <v>152.61000000000001</v>
      </c>
      <c r="AP155" s="57">
        <v>71.41</v>
      </c>
      <c r="AQ155" s="57">
        <v>298.64</v>
      </c>
      <c r="AR155" s="57">
        <v>342.02</v>
      </c>
      <c r="AS155" s="57">
        <v>294.8</v>
      </c>
      <c r="AT155" s="57">
        <v>380.57</v>
      </c>
      <c r="AU155" s="57">
        <v>471.83</v>
      </c>
      <c r="AV155" s="57">
        <v>398.22</v>
      </c>
      <c r="AW155" s="57">
        <v>360.59</v>
      </c>
      <c r="AX155" s="57">
        <v>247.69</v>
      </c>
      <c r="AY155" s="57">
        <v>222.3</v>
      </c>
      <c r="AZ155" s="57">
        <v>468.06</v>
      </c>
      <c r="BA155" s="57">
        <v>307.55</v>
      </c>
      <c r="BB155" s="57">
        <v>254.57</v>
      </c>
      <c r="BC155" s="57">
        <v>683.21</v>
      </c>
      <c r="BD155" s="57">
        <v>358.8</v>
      </c>
      <c r="BE155" s="57">
        <v>409.71</v>
      </c>
      <c r="BF155" s="57">
        <v>471.68</v>
      </c>
      <c r="BG155" s="57">
        <v>403.26</v>
      </c>
      <c r="BH155" s="57">
        <v>345.24</v>
      </c>
      <c r="BI155" s="57">
        <v>408</v>
      </c>
      <c r="BJ155" s="57">
        <v>353.76</v>
      </c>
      <c r="BK155" s="57">
        <v>281.60000000000002</v>
      </c>
      <c r="BL155" s="57">
        <v>322.68</v>
      </c>
      <c r="BM155" s="57">
        <v>379.1</v>
      </c>
      <c r="BN155" s="57">
        <v>346.59</v>
      </c>
      <c r="BO155" s="57">
        <v>265.35000000000002</v>
      </c>
      <c r="BP155" s="57">
        <v>360.55</v>
      </c>
      <c r="BQ155" s="57">
        <v>372.55</v>
      </c>
      <c r="BR155" s="57">
        <v>250.22</v>
      </c>
      <c r="BS155" s="57">
        <v>657.15</v>
      </c>
      <c r="BT155" s="57">
        <v>369.09</v>
      </c>
      <c r="BU155" s="57">
        <v>588.03</v>
      </c>
      <c r="BV155" s="57">
        <v>586.42999999999995</v>
      </c>
      <c r="BW155" s="57">
        <v>197.82</v>
      </c>
      <c r="BX155" s="57">
        <v>227.43</v>
      </c>
      <c r="BY155" s="57">
        <v>307.60000000000002</v>
      </c>
      <c r="BZ155" s="57">
        <v>225.85</v>
      </c>
      <c r="CA155" s="57">
        <v>360.98</v>
      </c>
      <c r="CB155" s="58">
        <v>414.2</v>
      </c>
      <c r="CC155" s="57">
        <v>269.55</v>
      </c>
      <c r="CD155" s="57">
        <v>334.47</v>
      </c>
      <c r="CE155" s="57">
        <v>268.26</v>
      </c>
      <c r="CF155" s="57">
        <v>331.18</v>
      </c>
      <c r="CG155" s="57">
        <v>352.34</v>
      </c>
      <c r="CH155" s="57">
        <v>273.76</v>
      </c>
      <c r="CI155" s="57">
        <v>264.88</v>
      </c>
      <c r="CJ155" s="57">
        <v>238</v>
      </c>
      <c r="CK155" s="57">
        <v>162.63</v>
      </c>
      <c r="CL155" s="57">
        <v>206.05</v>
      </c>
      <c r="CM155" s="57">
        <v>421.12</v>
      </c>
      <c r="CN155" s="57">
        <v>278.52</v>
      </c>
      <c r="CO155" s="57">
        <v>279.99</v>
      </c>
      <c r="CP155" s="57">
        <v>193.81</v>
      </c>
      <c r="CQ155" s="57">
        <v>460.09</v>
      </c>
      <c r="CR155" s="57">
        <v>139.55000000000001</v>
      </c>
      <c r="CS155" s="57">
        <v>204.19</v>
      </c>
      <c r="CT155" s="57">
        <v>142.63</v>
      </c>
      <c r="CU155" s="57">
        <v>246.9</v>
      </c>
      <c r="CV155" s="57">
        <v>253.96</v>
      </c>
      <c r="CW155" s="57">
        <v>135.29</v>
      </c>
      <c r="CX155" s="57">
        <v>305.83999999999997</v>
      </c>
      <c r="CY155" s="57">
        <v>232.47</v>
      </c>
      <c r="CZ155" s="57">
        <v>187.4</v>
      </c>
      <c r="DA155" s="57">
        <v>262.97000000000003</v>
      </c>
      <c r="DB155" s="57">
        <v>308.17</v>
      </c>
      <c r="DC155" s="57">
        <v>269.24</v>
      </c>
      <c r="DD155" s="57">
        <v>405.68</v>
      </c>
      <c r="DE155" s="57">
        <v>562.17999999999995</v>
      </c>
      <c r="DF155" s="57">
        <v>310.52</v>
      </c>
      <c r="DG155" s="57">
        <v>343.41</v>
      </c>
      <c r="DH155" s="57">
        <v>215.78</v>
      </c>
      <c r="DI155" s="57">
        <v>275.63</v>
      </c>
      <c r="DJ155" s="57">
        <v>413.66</v>
      </c>
      <c r="DK155" s="57">
        <v>308.70999999999998</v>
      </c>
      <c r="DL155" s="57">
        <v>38.520000000000003</v>
      </c>
      <c r="DM155" s="57">
        <v>152.61000000000001</v>
      </c>
      <c r="DN155" s="57">
        <v>43.29</v>
      </c>
      <c r="DO155" s="57">
        <v>102.3</v>
      </c>
      <c r="DP155" s="57">
        <v>177.61</v>
      </c>
      <c r="DQ155" s="57">
        <v>298.64</v>
      </c>
      <c r="DR155" s="57">
        <v>360.87</v>
      </c>
      <c r="DS155" s="57">
        <v>284.32</v>
      </c>
      <c r="DT155" s="57"/>
      <c r="DU155" s="57">
        <v>307.88</v>
      </c>
      <c r="DV155" s="57">
        <v>347.49</v>
      </c>
      <c r="DW155" s="57">
        <v>240.78</v>
      </c>
      <c r="DX155" s="57">
        <v>369.97</v>
      </c>
      <c r="DY155" s="57">
        <v>449.95</v>
      </c>
      <c r="DZ155" s="57">
        <v>378.81</v>
      </c>
      <c r="EA155" s="57">
        <v>317.43</v>
      </c>
      <c r="EB155" s="57">
        <v>471.83</v>
      </c>
      <c r="EC155" s="57">
        <v>398.22</v>
      </c>
      <c r="ED155" s="57">
        <v>360.59</v>
      </c>
      <c r="EE155" s="57">
        <v>247.69</v>
      </c>
      <c r="EF155" s="57">
        <v>222.3</v>
      </c>
      <c r="EG155" s="57">
        <v>468.06</v>
      </c>
      <c r="EH155" s="57">
        <v>307.55</v>
      </c>
      <c r="EI155" s="57">
        <v>369.55</v>
      </c>
      <c r="EJ155" s="57">
        <v>152.18</v>
      </c>
      <c r="EK155" s="57">
        <v>223.32</v>
      </c>
      <c r="EL155" s="57">
        <v>797.44</v>
      </c>
      <c r="EM155" s="57">
        <v>390.43</v>
      </c>
      <c r="EN155" s="57">
        <v>358.8</v>
      </c>
      <c r="EO155" s="57">
        <v>267.61</v>
      </c>
      <c r="EP155" s="57">
        <v>331.53</v>
      </c>
      <c r="EQ155" s="57">
        <v>426.11</v>
      </c>
      <c r="ER155" s="57">
        <v>471.68</v>
      </c>
      <c r="ES155" s="57">
        <v>403.26</v>
      </c>
      <c r="ET155" s="57">
        <v>369.65</v>
      </c>
      <c r="EU155" s="57">
        <v>309.66000000000003</v>
      </c>
      <c r="EV155" s="57">
        <v>366.81</v>
      </c>
      <c r="EW155" s="57">
        <v>310.02</v>
      </c>
      <c r="EX155" s="57">
        <v>297.05</v>
      </c>
      <c r="EY155" s="57">
        <v>221.81</v>
      </c>
      <c r="EZ155" s="57">
        <v>417.78</v>
      </c>
      <c r="FA155" s="57">
        <v>476.69</v>
      </c>
      <c r="FB155" s="57">
        <v>338.78</v>
      </c>
      <c r="FC155" s="57">
        <v>493.45</v>
      </c>
      <c r="FD155" s="57">
        <v>316.33999999999997</v>
      </c>
      <c r="FE155" s="57">
        <v>353.76</v>
      </c>
      <c r="FF155" s="57"/>
      <c r="FG155" s="57">
        <v>225.94</v>
      </c>
      <c r="FH155" s="57">
        <v>235.3</v>
      </c>
      <c r="FI155" s="57">
        <v>312.87</v>
      </c>
      <c r="FJ155" s="57">
        <v>347.58</v>
      </c>
      <c r="FK155" s="57">
        <v>453.94</v>
      </c>
      <c r="FL155" s="57">
        <v>258.45999999999998</v>
      </c>
      <c r="FM155" s="57">
        <v>316.02</v>
      </c>
      <c r="FN155" s="57">
        <v>342.81</v>
      </c>
      <c r="FO155" s="57">
        <v>548.95000000000005</v>
      </c>
      <c r="FP155" s="57">
        <v>310</v>
      </c>
      <c r="FQ155" s="57">
        <v>338.01</v>
      </c>
      <c r="FR155" s="57">
        <v>615.01</v>
      </c>
      <c r="FS155" s="57">
        <v>356.52</v>
      </c>
      <c r="FT155" s="57">
        <v>230.77</v>
      </c>
      <c r="FU155" s="57">
        <v>358.12</v>
      </c>
      <c r="FV155" s="57">
        <v>271.26</v>
      </c>
      <c r="FW155" s="57">
        <v>221.13</v>
      </c>
      <c r="FX155" s="57">
        <v>360.55</v>
      </c>
      <c r="FY155" s="57">
        <v>376.16</v>
      </c>
      <c r="FZ155" s="57">
        <v>373.21</v>
      </c>
      <c r="GA155" s="57">
        <v>259.27</v>
      </c>
      <c r="GB155" s="57">
        <v>262.55</v>
      </c>
      <c r="GC155" s="57">
        <v>251.37</v>
      </c>
      <c r="GD155" s="57">
        <v>219.69</v>
      </c>
      <c r="GE155" s="57">
        <v>657.15</v>
      </c>
      <c r="GF155" s="57">
        <v>369.09</v>
      </c>
      <c r="GG155" s="57">
        <v>588.03</v>
      </c>
      <c r="GH155" s="57">
        <v>585.45000000000005</v>
      </c>
      <c r="GI155" s="57">
        <v>213.71</v>
      </c>
      <c r="GJ155" s="57">
        <v>190.19</v>
      </c>
      <c r="GK155" s="57">
        <v>179.73</v>
      </c>
      <c r="GL155" s="57">
        <v>241.01</v>
      </c>
      <c r="GM155" s="57">
        <v>227.43</v>
      </c>
      <c r="GN155" s="57">
        <v>307.60000000000002</v>
      </c>
      <c r="GO155" s="57">
        <v>228.9</v>
      </c>
      <c r="GP155" s="57">
        <v>221.51</v>
      </c>
      <c r="GQ155" s="57">
        <v>228.2</v>
      </c>
      <c r="GR155" s="57">
        <v>360.98</v>
      </c>
      <c r="GS155" s="57">
        <v>414.2</v>
      </c>
      <c r="GT155" s="57">
        <v>269.55</v>
      </c>
      <c r="GU155" s="57">
        <v>334.47</v>
      </c>
      <c r="GV155" s="57">
        <v>268.26</v>
      </c>
      <c r="GW155" s="57">
        <v>306.39999999999998</v>
      </c>
      <c r="GX155" s="57">
        <v>344.8</v>
      </c>
      <c r="GY155" s="57">
        <v>352.34</v>
      </c>
      <c r="GZ155" s="57">
        <v>329.24</v>
      </c>
      <c r="HA155" s="57">
        <v>258.69</v>
      </c>
      <c r="HB155" s="57">
        <v>275.01</v>
      </c>
      <c r="HC155" s="57">
        <v>264.88</v>
      </c>
      <c r="HD155" s="57">
        <v>238</v>
      </c>
      <c r="HE155" s="57">
        <v>133.1</v>
      </c>
      <c r="HF155" s="57">
        <v>147.12</v>
      </c>
      <c r="HG155" s="57">
        <v>191.45</v>
      </c>
      <c r="HH155" s="57">
        <v>228.8</v>
      </c>
      <c r="HI155" s="57">
        <v>117.43</v>
      </c>
      <c r="HJ155" s="57">
        <v>206.05</v>
      </c>
      <c r="HK155" s="57">
        <v>421.12</v>
      </c>
      <c r="HL155" s="57">
        <v>241.88</v>
      </c>
      <c r="HM155" s="57">
        <v>299.3</v>
      </c>
      <c r="HN155" s="57">
        <v>307.27999999999997</v>
      </c>
      <c r="HO155" s="57">
        <v>251.22</v>
      </c>
      <c r="HP155" s="57">
        <v>302.70999999999998</v>
      </c>
      <c r="HQ155" s="57">
        <v>181.07</v>
      </c>
      <c r="HR155" s="57">
        <v>287.68</v>
      </c>
      <c r="HS155" s="57">
        <v>468.89</v>
      </c>
      <c r="HT155" s="57">
        <v>281.18</v>
      </c>
      <c r="HU155" s="57">
        <v>139.55000000000001</v>
      </c>
      <c r="HV155" s="57">
        <v>204.19</v>
      </c>
      <c r="HW155" s="57">
        <v>137.87</v>
      </c>
      <c r="HX155" s="57">
        <v>142.6</v>
      </c>
      <c r="HY155" s="57">
        <v>246.9</v>
      </c>
      <c r="HZ155" s="57">
        <v>253.96</v>
      </c>
      <c r="IA155" s="57">
        <v>123.59</v>
      </c>
      <c r="IB155" s="57">
        <v>305.83999999999997</v>
      </c>
      <c r="IC155" s="57">
        <v>213.38</v>
      </c>
      <c r="ID155" s="57">
        <v>232.48</v>
      </c>
      <c r="IE155" s="57">
        <v>187.4</v>
      </c>
      <c r="IF155" s="57">
        <v>262.97000000000003</v>
      </c>
      <c r="IG155" s="57">
        <v>308.17</v>
      </c>
      <c r="IH155" s="57">
        <v>269.24</v>
      </c>
      <c r="II155" s="57">
        <v>405.68</v>
      </c>
      <c r="IJ155" s="57">
        <v>562.17999999999995</v>
      </c>
      <c r="IK155" s="57">
        <v>370.83</v>
      </c>
      <c r="IL155" s="57">
        <v>241.12</v>
      </c>
      <c r="IM155" s="57">
        <v>355.86</v>
      </c>
      <c r="IN155" s="57">
        <v>336.29</v>
      </c>
      <c r="IO155" s="57">
        <v>294.20999999999998</v>
      </c>
      <c r="IP155" s="57">
        <v>215.78</v>
      </c>
      <c r="IQ155" s="57">
        <v>275.63</v>
      </c>
      <c r="IR155" s="57">
        <v>413.66</v>
      </c>
      <c r="IS155" s="57">
        <v>308.70999999999998</v>
      </c>
      <c r="IT155" s="57">
        <v>38.520000000000003</v>
      </c>
      <c r="IU155" s="57">
        <v>152.61000000000001</v>
      </c>
      <c r="IV155" s="57">
        <v>43.3</v>
      </c>
      <c r="IW155" s="57">
        <v>102.3</v>
      </c>
      <c r="IX155" s="57">
        <v>177.61</v>
      </c>
      <c r="IY155" s="57">
        <v>298.64</v>
      </c>
      <c r="IZ155" s="57">
        <v>360.87</v>
      </c>
      <c r="JA155" s="57">
        <v>284.32</v>
      </c>
      <c r="JB155" s="57"/>
      <c r="JC155" s="57">
        <v>307.88</v>
      </c>
      <c r="JD155" s="57">
        <v>347.49</v>
      </c>
      <c r="JE155" s="57">
        <v>325.14</v>
      </c>
      <c r="JF155" s="57">
        <v>226.52</v>
      </c>
      <c r="JG155" s="57">
        <v>369.97</v>
      </c>
      <c r="JH155" s="57">
        <v>449.95</v>
      </c>
      <c r="JI155" s="57">
        <v>378.81</v>
      </c>
      <c r="JJ155" s="57">
        <v>317.43</v>
      </c>
      <c r="JK155" s="57">
        <v>471.83</v>
      </c>
      <c r="JL155" s="57">
        <v>398.22</v>
      </c>
      <c r="JM155" s="57">
        <v>360.59</v>
      </c>
      <c r="JN155" s="57">
        <v>247.69</v>
      </c>
      <c r="JO155" s="57">
        <v>222.3</v>
      </c>
      <c r="JP155" s="57">
        <v>488.37</v>
      </c>
      <c r="JQ155" s="57">
        <v>422.7</v>
      </c>
      <c r="JR155" s="57">
        <v>268.95999999999998</v>
      </c>
      <c r="JS155" s="57">
        <v>390.2</v>
      </c>
      <c r="JT155" s="57">
        <v>419.83</v>
      </c>
      <c r="JU155" s="57">
        <v>322.17</v>
      </c>
      <c r="JV155" s="57">
        <v>152.18</v>
      </c>
      <c r="JW155" s="57">
        <v>223.32</v>
      </c>
      <c r="JX155" s="57">
        <v>797.44</v>
      </c>
      <c r="JY155" s="57">
        <v>408.38</v>
      </c>
      <c r="JZ155" s="57">
        <v>356.15</v>
      </c>
      <c r="KA155" s="57">
        <v>358.8</v>
      </c>
      <c r="KB155" s="57">
        <v>267.61</v>
      </c>
      <c r="KC155" s="57">
        <v>331.53</v>
      </c>
      <c r="KD155" s="57">
        <v>426.11</v>
      </c>
      <c r="KE155" s="57">
        <v>471.68</v>
      </c>
      <c r="KF155" s="57">
        <v>403.26</v>
      </c>
    </row>
    <row r="156" spans="1:292">
      <c r="A156" s="41">
        <v>2017</v>
      </c>
      <c r="B156" s="54" t="s">
        <v>989</v>
      </c>
      <c r="C156" s="50" t="s">
        <v>990</v>
      </c>
      <c r="D156" s="57">
        <v>310.24</v>
      </c>
      <c r="E156" s="57">
        <v>345.34</v>
      </c>
      <c r="F156" s="57">
        <v>591</v>
      </c>
      <c r="G156" s="57">
        <v>200.39</v>
      </c>
      <c r="H156" s="57">
        <v>343.02</v>
      </c>
      <c r="I156" s="57">
        <v>240.89</v>
      </c>
      <c r="J156" s="57">
        <v>192.55</v>
      </c>
      <c r="K156" s="57">
        <v>296.04000000000002</v>
      </c>
      <c r="L156" s="57">
        <v>134.22</v>
      </c>
      <c r="M156" s="57">
        <v>225.43</v>
      </c>
      <c r="N156" s="57">
        <v>307.66000000000003</v>
      </c>
      <c r="O156" s="57">
        <v>465.12</v>
      </c>
      <c r="P156" s="57">
        <v>375.11</v>
      </c>
      <c r="Q156" s="57">
        <v>348.07</v>
      </c>
      <c r="R156" s="57">
        <v>305.08</v>
      </c>
      <c r="S156" s="57">
        <v>651.02</v>
      </c>
      <c r="T156" s="57">
        <v>586.42999999999995</v>
      </c>
      <c r="U156" s="57">
        <v>193.5</v>
      </c>
      <c r="V156" s="57">
        <v>220.53</v>
      </c>
      <c r="W156" s="57">
        <v>417.84</v>
      </c>
      <c r="X156" s="57">
        <v>271.87</v>
      </c>
      <c r="Y156" s="57">
        <v>337.06</v>
      </c>
      <c r="Z156" s="57">
        <v>318.02999999999997</v>
      </c>
      <c r="AA156" s="57">
        <v>270.10000000000002</v>
      </c>
      <c r="AB156" s="57">
        <v>240.38</v>
      </c>
      <c r="AC156" s="57">
        <v>182.77</v>
      </c>
      <c r="AD156" s="57">
        <v>280.42</v>
      </c>
      <c r="AE156" s="57">
        <v>282.86</v>
      </c>
      <c r="AF156" s="57">
        <v>246.44</v>
      </c>
      <c r="AG156" s="57">
        <v>138.33000000000001</v>
      </c>
      <c r="AH156" s="57">
        <v>228.2</v>
      </c>
      <c r="AI156" s="57">
        <v>306.47000000000003</v>
      </c>
      <c r="AJ156" s="57">
        <v>234.39</v>
      </c>
      <c r="AK156" s="57">
        <v>302.11</v>
      </c>
      <c r="AL156" s="57">
        <v>348.34</v>
      </c>
      <c r="AM156" s="57">
        <v>576.25</v>
      </c>
      <c r="AN156" s="57">
        <v>38.74</v>
      </c>
      <c r="AO156" s="57">
        <v>152.61000000000001</v>
      </c>
      <c r="AP156" s="57">
        <v>71.97</v>
      </c>
      <c r="AQ156" s="57">
        <v>300.43</v>
      </c>
      <c r="AR156" s="57">
        <v>340.51</v>
      </c>
      <c r="AS156" s="57">
        <v>295.7</v>
      </c>
      <c r="AT156" s="57">
        <v>383.5</v>
      </c>
      <c r="AU156" s="57">
        <v>499.09</v>
      </c>
      <c r="AV156" s="57">
        <v>404.17</v>
      </c>
      <c r="AW156" s="57">
        <v>366.05</v>
      </c>
      <c r="AX156" s="57">
        <v>247.69</v>
      </c>
      <c r="AY156" s="57">
        <v>225.26</v>
      </c>
      <c r="AZ156" s="57">
        <v>476.25</v>
      </c>
      <c r="BA156" s="57">
        <v>312.92</v>
      </c>
      <c r="BB156" s="57">
        <v>257.02</v>
      </c>
      <c r="BC156" s="57">
        <v>677.38</v>
      </c>
      <c r="BD156" s="57">
        <v>360.73</v>
      </c>
      <c r="BE156" s="57">
        <v>407.73</v>
      </c>
      <c r="BF156" s="57">
        <v>483.49</v>
      </c>
      <c r="BG156" s="57">
        <v>403.41</v>
      </c>
      <c r="BH156" s="57">
        <v>347.68</v>
      </c>
      <c r="BI156" s="57">
        <v>410.84</v>
      </c>
      <c r="BJ156" s="57">
        <v>353.45</v>
      </c>
      <c r="BK156" s="57">
        <v>282.72000000000003</v>
      </c>
      <c r="BL156" s="57">
        <v>324.99</v>
      </c>
      <c r="BM156" s="57">
        <v>331.12</v>
      </c>
      <c r="BN156" s="57">
        <v>354.14</v>
      </c>
      <c r="BO156" s="57">
        <v>268.98</v>
      </c>
      <c r="BP156" s="57">
        <v>364.78</v>
      </c>
      <c r="BQ156" s="57">
        <v>382.22</v>
      </c>
      <c r="BR156" s="57">
        <v>251.73</v>
      </c>
      <c r="BS156" s="57">
        <v>695.95</v>
      </c>
      <c r="BT156" s="57">
        <v>373.87</v>
      </c>
      <c r="BU156" s="57">
        <v>629.71</v>
      </c>
      <c r="BV156" s="57">
        <v>586.42999999999995</v>
      </c>
      <c r="BW156" s="57">
        <v>189.88</v>
      </c>
      <c r="BX156" s="57">
        <v>223.82</v>
      </c>
      <c r="BY156" s="57">
        <v>311.49</v>
      </c>
      <c r="BZ156" s="57">
        <v>219.75</v>
      </c>
      <c r="CA156" s="57">
        <v>364.75</v>
      </c>
      <c r="CB156" s="58">
        <v>417.84</v>
      </c>
      <c r="CC156" s="57">
        <v>271.87</v>
      </c>
      <c r="CD156" s="57">
        <v>335.77</v>
      </c>
      <c r="CE156" s="57">
        <v>268.26</v>
      </c>
      <c r="CF156" s="57">
        <v>330.1</v>
      </c>
      <c r="CG156" s="57">
        <v>353.69</v>
      </c>
      <c r="CH156" s="57">
        <v>274.93</v>
      </c>
      <c r="CI156" s="57">
        <v>266.86</v>
      </c>
      <c r="CJ156" s="57">
        <v>240.38</v>
      </c>
      <c r="CK156" s="57">
        <v>163.92</v>
      </c>
      <c r="CL156" s="57">
        <v>209</v>
      </c>
      <c r="CM156" s="57">
        <v>422.52</v>
      </c>
      <c r="CN156" s="57">
        <v>280.42</v>
      </c>
      <c r="CO156" s="57">
        <v>282.86</v>
      </c>
      <c r="CP156" s="57">
        <v>194.53</v>
      </c>
      <c r="CQ156" s="57">
        <v>462.61</v>
      </c>
      <c r="CR156" s="57">
        <v>139.32</v>
      </c>
      <c r="CS156" s="57">
        <v>205.21</v>
      </c>
      <c r="CT156" s="57">
        <v>143.1</v>
      </c>
      <c r="CU156" s="57">
        <v>246.98</v>
      </c>
      <c r="CV156" s="57">
        <v>255.76</v>
      </c>
      <c r="CW156" s="57">
        <v>137.29</v>
      </c>
      <c r="CX156" s="57">
        <v>306.47000000000003</v>
      </c>
      <c r="CY156" s="57">
        <v>235.22</v>
      </c>
      <c r="CZ156" s="57">
        <v>188.11</v>
      </c>
      <c r="DA156" s="57">
        <v>263.88</v>
      </c>
      <c r="DB156" s="57">
        <v>313.18</v>
      </c>
      <c r="DC156" s="57">
        <v>269.66000000000003</v>
      </c>
      <c r="DD156" s="57">
        <v>417.65</v>
      </c>
      <c r="DE156" s="57">
        <v>567.95000000000005</v>
      </c>
      <c r="DF156" s="57">
        <v>312.02999999999997</v>
      </c>
      <c r="DG156" s="57">
        <v>348.59</v>
      </c>
      <c r="DH156" s="57">
        <v>222.21</v>
      </c>
      <c r="DI156" s="57">
        <v>318.72000000000003</v>
      </c>
      <c r="DJ156" s="57">
        <v>418.94</v>
      </c>
      <c r="DK156" s="57">
        <v>576.25</v>
      </c>
      <c r="DL156" s="57">
        <v>38.74</v>
      </c>
      <c r="DM156" s="57">
        <v>152.61000000000001</v>
      </c>
      <c r="DN156" s="57">
        <v>43.56</v>
      </c>
      <c r="DO156" s="57">
        <v>103.42</v>
      </c>
      <c r="DP156" s="57">
        <v>178.17</v>
      </c>
      <c r="DQ156" s="57">
        <v>300.43</v>
      </c>
      <c r="DR156" s="57">
        <v>359.58</v>
      </c>
      <c r="DS156" s="57">
        <v>282.13</v>
      </c>
      <c r="DT156" s="57"/>
      <c r="DU156" s="57">
        <v>308.64999999999998</v>
      </c>
      <c r="DV156" s="57">
        <v>349.19</v>
      </c>
      <c r="DW156" s="57">
        <v>241</v>
      </c>
      <c r="DX156" s="57">
        <v>369.97</v>
      </c>
      <c r="DY156" s="57">
        <v>452.87</v>
      </c>
      <c r="DZ156" s="57">
        <v>384.64</v>
      </c>
      <c r="EA156" s="57">
        <v>319.14</v>
      </c>
      <c r="EB156" s="57">
        <v>499.09</v>
      </c>
      <c r="EC156" s="57">
        <v>404.17</v>
      </c>
      <c r="ED156" s="57">
        <v>366.05</v>
      </c>
      <c r="EE156" s="57">
        <v>247.69</v>
      </c>
      <c r="EF156" s="57">
        <v>225.26</v>
      </c>
      <c r="EG156" s="57">
        <v>476.25</v>
      </c>
      <c r="EH156" s="57">
        <v>312.92</v>
      </c>
      <c r="EI156" s="57">
        <v>374.34</v>
      </c>
      <c r="EJ156" s="57">
        <v>154.84</v>
      </c>
      <c r="EK156" s="57">
        <v>225.04</v>
      </c>
      <c r="EL156" s="57">
        <v>788.86</v>
      </c>
      <c r="EM156" s="57">
        <v>390.09</v>
      </c>
      <c r="EN156" s="57">
        <v>360.73</v>
      </c>
      <c r="EO156" s="57">
        <v>269.5</v>
      </c>
      <c r="EP156" s="57">
        <v>336.32</v>
      </c>
      <c r="EQ156" s="57">
        <v>420.84</v>
      </c>
      <c r="ER156" s="57">
        <v>483.49</v>
      </c>
      <c r="ES156" s="57">
        <v>403.41</v>
      </c>
      <c r="ET156" s="57">
        <v>373.39</v>
      </c>
      <c r="EU156" s="57">
        <v>313.42</v>
      </c>
      <c r="EV156" s="57">
        <v>367.34</v>
      </c>
      <c r="EW156" s="57">
        <v>314.07</v>
      </c>
      <c r="EX156" s="57">
        <v>302.27</v>
      </c>
      <c r="EY156" s="57">
        <v>222.71</v>
      </c>
      <c r="EZ156" s="57">
        <v>420.23</v>
      </c>
      <c r="FA156" s="57">
        <v>474.26</v>
      </c>
      <c r="FB156" s="57">
        <v>344.18</v>
      </c>
      <c r="FC156" s="57">
        <v>493.56</v>
      </c>
      <c r="FD156" s="57">
        <v>323.64</v>
      </c>
      <c r="FE156" s="57">
        <v>353.45</v>
      </c>
      <c r="FF156" s="57"/>
      <c r="FG156" s="57">
        <v>224.96</v>
      </c>
      <c r="FH156" s="57">
        <v>238.16</v>
      </c>
      <c r="FI156" s="57">
        <v>315.91000000000003</v>
      </c>
      <c r="FJ156" s="57">
        <v>344.24</v>
      </c>
      <c r="FK156" s="57">
        <v>469.52</v>
      </c>
      <c r="FL156" s="57">
        <v>260.19</v>
      </c>
      <c r="FM156" s="57">
        <v>315.8</v>
      </c>
      <c r="FN156" s="57">
        <v>287.55</v>
      </c>
      <c r="FO156" s="57">
        <v>550.42999999999995</v>
      </c>
      <c r="FP156" s="57">
        <v>327.38</v>
      </c>
      <c r="FQ156" s="57">
        <v>295.41000000000003</v>
      </c>
      <c r="FR156" s="57">
        <v>605.79999999999995</v>
      </c>
      <c r="FS156" s="57">
        <v>360.74</v>
      </c>
      <c r="FT156" s="57">
        <v>235.33</v>
      </c>
      <c r="FU156" s="57">
        <v>364.49</v>
      </c>
      <c r="FV156" s="57">
        <v>274.01</v>
      </c>
      <c r="FW156" s="57">
        <v>222</v>
      </c>
      <c r="FX156" s="57">
        <v>364.78</v>
      </c>
      <c r="FY156" s="57">
        <v>380.13</v>
      </c>
      <c r="FZ156" s="57">
        <v>384.27</v>
      </c>
      <c r="GA156" s="57">
        <v>263.45999999999998</v>
      </c>
      <c r="GB156" s="57">
        <v>264.56</v>
      </c>
      <c r="GC156" s="57">
        <v>252.59</v>
      </c>
      <c r="GD156" s="57">
        <v>220.78</v>
      </c>
      <c r="GE156" s="57">
        <v>695.95</v>
      </c>
      <c r="GF156" s="57">
        <v>373.87</v>
      </c>
      <c r="GG156" s="57">
        <v>629.71</v>
      </c>
      <c r="GH156" s="57">
        <v>585.45000000000005</v>
      </c>
      <c r="GI156" s="57">
        <v>205.88</v>
      </c>
      <c r="GJ156" s="57">
        <v>181.89</v>
      </c>
      <c r="GK156" s="57">
        <v>172.13</v>
      </c>
      <c r="GL156" s="57">
        <v>237.46</v>
      </c>
      <c r="GM156" s="57">
        <v>223.82</v>
      </c>
      <c r="GN156" s="57">
        <v>311.49</v>
      </c>
      <c r="GO156" s="57">
        <v>223.64</v>
      </c>
      <c r="GP156" s="57">
        <v>214.33</v>
      </c>
      <c r="GQ156" s="57">
        <v>222.46</v>
      </c>
      <c r="GR156" s="57">
        <v>364.75</v>
      </c>
      <c r="GS156" s="57">
        <v>417.84</v>
      </c>
      <c r="GT156" s="57">
        <v>271.87</v>
      </c>
      <c r="GU156" s="57">
        <v>335.77</v>
      </c>
      <c r="GV156" s="57">
        <v>268.26</v>
      </c>
      <c r="GW156" s="57">
        <v>306.45</v>
      </c>
      <c r="GX156" s="57">
        <v>341.14</v>
      </c>
      <c r="GY156" s="57">
        <v>353.69</v>
      </c>
      <c r="GZ156" s="57">
        <v>330.3</v>
      </c>
      <c r="HA156" s="57">
        <v>259.79000000000002</v>
      </c>
      <c r="HB156" s="57">
        <v>276.27999999999997</v>
      </c>
      <c r="HC156" s="57">
        <v>266.86</v>
      </c>
      <c r="HD156" s="57">
        <v>240.38</v>
      </c>
      <c r="HE156" s="57">
        <v>133.76</v>
      </c>
      <c r="HF156" s="57">
        <v>147.26</v>
      </c>
      <c r="HG156" s="57">
        <v>193.38</v>
      </c>
      <c r="HH156" s="57">
        <v>232.84</v>
      </c>
      <c r="HI156" s="57">
        <v>118.78</v>
      </c>
      <c r="HJ156" s="57">
        <v>209</v>
      </c>
      <c r="HK156" s="57">
        <v>422.52</v>
      </c>
      <c r="HL156" s="57">
        <v>243.4</v>
      </c>
      <c r="HM156" s="57">
        <v>300.88</v>
      </c>
      <c r="HN156" s="57">
        <v>309.58999999999997</v>
      </c>
      <c r="HO156" s="57">
        <v>254.46</v>
      </c>
      <c r="HP156" s="57">
        <v>304.83</v>
      </c>
      <c r="HQ156" s="57">
        <v>181.23</v>
      </c>
      <c r="HR156" s="57">
        <v>291.83999999999997</v>
      </c>
      <c r="HS156" s="57">
        <v>471.56</v>
      </c>
      <c r="HT156" s="57">
        <v>282.20999999999998</v>
      </c>
      <c r="HU156" s="57">
        <v>139.32</v>
      </c>
      <c r="HV156" s="57">
        <v>205.21</v>
      </c>
      <c r="HW156" s="57">
        <v>137.88</v>
      </c>
      <c r="HX156" s="57">
        <v>143.94</v>
      </c>
      <c r="HY156" s="57">
        <v>246.98</v>
      </c>
      <c r="HZ156" s="57">
        <v>255.76</v>
      </c>
      <c r="IA156" s="57">
        <v>125.41</v>
      </c>
      <c r="IB156" s="57">
        <v>306.47000000000003</v>
      </c>
      <c r="IC156" s="57">
        <v>214.39</v>
      </c>
      <c r="ID156" s="57">
        <v>238</v>
      </c>
      <c r="IE156" s="57">
        <v>188.11</v>
      </c>
      <c r="IF156" s="57">
        <v>263.88</v>
      </c>
      <c r="IG156" s="57">
        <v>313.18</v>
      </c>
      <c r="IH156" s="57">
        <v>269.66000000000003</v>
      </c>
      <c r="II156" s="57">
        <v>417.65</v>
      </c>
      <c r="IJ156" s="57">
        <v>567.95000000000005</v>
      </c>
      <c r="IK156" s="57">
        <v>377.22</v>
      </c>
      <c r="IL156" s="57">
        <v>241.12</v>
      </c>
      <c r="IM156" s="57">
        <v>357.42</v>
      </c>
      <c r="IN156" s="57">
        <v>336.29</v>
      </c>
      <c r="IO156" s="57">
        <v>310.47000000000003</v>
      </c>
      <c r="IP156" s="57">
        <v>222.21</v>
      </c>
      <c r="IQ156" s="57">
        <v>318.72000000000003</v>
      </c>
      <c r="IR156" s="57">
        <v>418.94</v>
      </c>
      <c r="IS156" s="57">
        <v>576.25</v>
      </c>
      <c r="IT156" s="57">
        <v>38.74</v>
      </c>
      <c r="IU156" s="57">
        <v>152.61000000000001</v>
      </c>
      <c r="IV156" s="57">
        <v>43.57</v>
      </c>
      <c r="IW156" s="57">
        <v>103.42</v>
      </c>
      <c r="IX156" s="57">
        <v>178.17</v>
      </c>
      <c r="IY156" s="57">
        <v>300.43</v>
      </c>
      <c r="IZ156" s="57">
        <v>359.58</v>
      </c>
      <c r="JA156" s="57">
        <v>282.13</v>
      </c>
      <c r="JB156" s="57"/>
      <c r="JC156" s="57">
        <v>308.64999999999998</v>
      </c>
      <c r="JD156" s="57">
        <v>349.19</v>
      </c>
      <c r="JE156" s="57">
        <v>325.51</v>
      </c>
      <c r="JF156" s="57">
        <v>226.72</v>
      </c>
      <c r="JG156" s="57">
        <v>369.97</v>
      </c>
      <c r="JH156" s="57">
        <v>452.87</v>
      </c>
      <c r="JI156" s="57">
        <v>384.64</v>
      </c>
      <c r="JJ156" s="57">
        <v>319.14</v>
      </c>
      <c r="JK156" s="57">
        <v>499.09</v>
      </c>
      <c r="JL156" s="57">
        <v>404.17</v>
      </c>
      <c r="JM156" s="57">
        <v>366.05</v>
      </c>
      <c r="JN156" s="57">
        <v>247.69</v>
      </c>
      <c r="JO156" s="57">
        <v>225.26</v>
      </c>
      <c r="JP156" s="57">
        <v>497.42</v>
      </c>
      <c r="JQ156" s="57">
        <v>428.16</v>
      </c>
      <c r="JR156" s="57">
        <v>276.41000000000003</v>
      </c>
      <c r="JS156" s="57">
        <v>390.3</v>
      </c>
      <c r="JT156" s="57">
        <v>423.26</v>
      </c>
      <c r="JU156" s="57">
        <v>327.72</v>
      </c>
      <c r="JV156" s="57">
        <v>154.84</v>
      </c>
      <c r="JW156" s="57">
        <v>225.04</v>
      </c>
      <c r="JX156" s="57">
        <v>788.86</v>
      </c>
      <c r="JY156" s="57">
        <v>406.31</v>
      </c>
      <c r="JZ156" s="57">
        <v>358.18</v>
      </c>
      <c r="KA156" s="57">
        <v>360.73</v>
      </c>
      <c r="KB156" s="57">
        <v>269.5</v>
      </c>
      <c r="KC156" s="57">
        <v>336.32</v>
      </c>
      <c r="KD156" s="57">
        <v>420.84</v>
      </c>
      <c r="KE156" s="57">
        <v>483.49</v>
      </c>
      <c r="KF156" s="57">
        <v>403.41</v>
      </c>
    </row>
    <row r="157" spans="1:292">
      <c r="A157" s="41">
        <v>2017</v>
      </c>
      <c r="B157" s="54" t="s">
        <v>991</v>
      </c>
      <c r="C157" s="50" t="s">
        <v>992</v>
      </c>
      <c r="D157" s="57">
        <v>311.85000000000002</v>
      </c>
      <c r="E157" s="57">
        <v>344.57</v>
      </c>
      <c r="F157" s="57">
        <v>591.27</v>
      </c>
      <c r="G157" s="57">
        <v>194.19</v>
      </c>
      <c r="H157" s="57">
        <v>345.46</v>
      </c>
      <c r="I157" s="57">
        <v>244.89</v>
      </c>
      <c r="J157" s="57">
        <v>192.89</v>
      </c>
      <c r="K157" s="57">
        <v>302.11</v>
      </c>
      <c r="L157" s="57">
        <v>134.33000000000001</v>
      </c>
      <c r="M157" s="57">
        <v>226.19</v>
      </c>
      <c r="N157" s="57">
        <v>316.25</v>
      </c>
      <c r="O157" s="57">
        <v>469.91</v>
      </c>
      <c r="P157" s="57">
        <v>377.78</v>
      </c>
      <c r="Q157" s="57">
        <v>346.91</v>
      </c>
      <c r="R157" s="57">
        <v>308.52999999999997</v>
      </c>
      <c r="S157" s="57">
        <v>655.32000000000005</v>
      </c>
      <c r="T157" s="57">
        <v>586.42999999999995</v>
      </c>
      <c r="U157" s="57">
        <v>187.28</v>
      </c>
      <c r="V157" s="57">
        <v>214.64</v>
      </c>
      <c r="W157" s="57">
        <v>421.01</v>
      </c>
      <c r="X157" s="57">
        <v>274.5</v>
      </c>
      <c r="Y157" s="57">
        <v>337.77</v>
      </c>
      <c r="Z157" s="57">
        <v>320.57</v>
      </c>
      <c r="AA157" s="57">
        <v>279.26</v>
      </c>
      <c r="AB157" s="57">
        <v>243.01</v>
      </c>
      <c r="AC157" s="57">
        <v>184.58</v>
      </c>
      <c r="AD157" s="57">
        <v>282.89</v>
      </c>
      <c r="AE157" s="57">
        <v>280.52999999999997</v>
      </c>
      <c r="AF157" s="57">
        <v>248.16</v>
      </c>
      <c r="AG157" s="57">
        <v>138.55000000000001</v>
      </c>
      <c r="AH157" s="57">
        <v>228.6</v>
      </c>
      <c r="AI157" s="57">
        <v>307.06</v>
      </c>
      <c r="AJ157" s="57">
        <v>239.66</v>
      </c>
      <c r="AK157" s="57">
        <v>311.07</v>
      </c>
      <c r="AL157" s="57">
        <v>349.42</v>
      </c>
      <c r="AM157" s="57">
        <v>576.25</v>
      </c>
      <c r="AN157" s="57">
        <v>39.159999999999997</v>
      </c>
      <c r="AO157" s="57">
        <v>152.4</v>
      </c>
      <c r="AP157" s="57">
        <v>71.56</v>
      </c>
      <c r="AQ157" s="57">
        <v>304.19</v>
      </c>
      <c r="AR157" s="57">
        <v>341.19</v>
      </c>
      <c r="AS157" s="57">
        <v>298.39999999999998</v>
      </c>
      <c r="AT157" s="57">
        <v>386.37</v>
      </c>
      <c r="AU157" s="57">
        <v>502.04</v>
      </c>
      <c r="AV157" s="57">
        <v>407.36</v>
      </c>
      <c r="AW157" s="57">
        <v>369.4</v>
      </c>
      <c r="AX157" s="57">
        <v>266.76</v>
      </c>
      <c r="AY157" s="57">
        <v>226.85</v>
      </c>
      <c r="AZ157" s="57">
        <v>480.6</v>
      </c>
      <c r="BA157" s="57">
        <v>318.88</v>
      </c>
      <c r="BB157" s="57">
        <v>257.70999999999998</v>
      </c>
      <c r="BC157" s="57">
        <v>688.25</v>
      </c>
      <c r="BD157" s="57">
        <v>363.9</v>
      </c>
      <c r="BE157" s="57">
        <v>408.89</v>
      </c>
      <c r="BF157" s="57">
        <v>517.29999999999995</v>
      </c>
      <c r="BG157" s="57">
        <v>403.44</v>
      </c>
      <c r="BH157" s="57">
        <v>349.37</v>
      </c>
      <c r="BI157" s="57">
        <v>404.17</v>
      </c>
      <c r="BJ157" s="57">
        <v>362.03</v>
      </c>
      <c r="BK157" s="57">
        <v>302.08999999999997</v>
      </c>
      <c r="BL157" s="57">
        <v>329.25</v>
      </c>
      <c r="BM157" s="57">
        <v>321.10000000000002</v>
      </c>
      <c r="BN157" s="57">
        <v>336.68</v>
      </c>
      <c r="BO157" s="57">
        <v>270.51</v>
      </c>
      <c r="BP157" s="57">
        <v>364.27</v>
      </c>
      <c r="BQ157" s="57">
        <v>389.34</v>
      </c>
      <c r="BR157" s="57">
        <v>253.27</v>
      </c>
      <c r="BS157" s="57">
        <v>699.44</v>
      </c>
      <c r="BT157" s="57">
        <v>380.04</v>
      </c>
      <c r="BU157" s="57">
        <v>633.76</v>
      </c>
      <c r="BV157" s="57">
        <v>586.42999999999995</v>
      </c>
      <c r="BW157" s="57">
        <v>183.34</v>
      </c>
      <c r="BX157" s="57">
        <v>221</v>
      </c>
      <c r="BY157" s="57">
        <v>313.07</v>
      </c>
      <c r="BZ157" s="57">
        <v>213.83</v>
      </c>
      <c r="CA157" s="57">
        <v>366.07</v>
      </c>
      <c r="CB157" s="58">
        <v>421.01</v>
      </c>
      <c r="CC157" s="57">
        <v>274.5</v>
      </c>
      <c r="CD157" s="57">
        <v>336.48</v>
      </c>
      <c r="CE157" s="57">
        <v>268.26</v>
      </c>
      <c r="CF157" s="57">
        <v>336.28</v>
      </c>
      <c r="CG157" s="57">
        <v>355.74</v>
      </c>
      <c r="CH157" s="57">
        <v>284.60000000000002</v>
      </c>
      <c r="CI157" s="57">
        <v>272.93</v>
      </c>
      <c r="CJ157" s="57">
        <v>243.01</v>
      </c>
      <c r="CK157" s="57">
        <v>165.63</v>
      </c>
      <c r="CL157" s="57">
        <v>210.63</v>
      </c>
      <c r="CM157" s="57">
        <v>425.31</v>
      </c>
      <c r="CN157" s="57">
        <v>282.89</v>
      </c>
      <c r="CO157" s="57">
        <v>280.52999999999997</v>
      </c>
      <c r="CP157" s="57">
        <v>195.76</v>
      </c>
      <c r="CQ157" s="57">
        <v>466.36</v>
      </c>
      <c r="CR157" s="57">
        <v>139.33000000000001</v>
      </c>
      <c r="CS157" s="57">
        <v>206.97</v>
      </c>
      <c r="CT157" s="57">
        <v>143.6</v>
      </c>
      <c r="CU157" s="57">
        <v>247.1</v>
      </c>
      <c r="CV157" s="57">
        <v>256.52</v>
      </c>
      <c r="CW157" s="57">
        <v>137.56</v>
      </c>
      <c r="CX157" s="57">
        <v>307.06</v>
      </c>
      <c r="CY157" s="57">
        <v>240.66</v>
      </c>
      <c r="CZ157" s="57">
        <v>190.69</v>
      </c>
      <c r="DA157" s="57">
        <v>263.24</v>
      </c>
      <c r="DB157" s="57">
        <v>313.61</v>
      </c>
      <c r="DC157" s="57">
        <v>281.36</v>
      </c>
      <c r="DD157" s="57">
        <v>409.56</v>
      </c>
      <c r="DE157" s="57">
        <v>571.69000000000005</v>
      </c>
      <c r="DF157" s="57">
        <v>312.41000000000003</v>
      </c>
      <c r="DG157" s="57">
        <v>349.52</v>
      </c>
      <c r="DH157" s="57">
        <v>223.25</v>
      </c>
      <c r="DI157" s="57">
        <v>318.92</v>
      </c>
      <c r="DJ157" s="57">
        <v>422.69</v>
      </c>
      <c r="DK157" s="57">
        <v>576.25</v>
      </c>
      <c r="DL157" s="57">
        <v>39.159999999999997</v>
      </c>
      <c r="DM157" s="57">
        <v>152.4</v>
      </c>
      <c r="DN157" s="57">
        <v>43.28</v>
      </c>
      <c r="DO157" s="57">
        <v>102.98</v>
      </c>
      <c r="DP157" s="57">
        <v>178.73</v>
      </c>
      <c r="DQ157" s="57">
        <v>304.19</v>
      </c>
      <c r="DR157" s="57">
        <v>359.61</v>
      </c>
      <c r="DS157" s="57">
        <v>284.02999999999997</v>
      </c>
      <c r="DT157" s="57"/>
      <c r="DU157" s="57">
        <v>309.02</v>
      </c>
      <c r="DV157" s="57">
        <v>354.42</v>
      </c>
      <c r="DW157" s="57">
        <v>241.48</v>
      </c>
      <c r="DX157" s="57">
        <v>369.97</v>
      </c>
      <c r="DY157" s="57">
        <v>457.18</v>
      </c>
      <c r="DZ157" s="57">
        <v>384.64</v>
      </c>
      <c r="EA157" s="57">
        <v>321.89</v>
      </c>
      <c r="EB157" s="57">
        <v>502.04</v>
      </c>
      <c r="EC157" s="57">
        <v>407.36</v>
      </c>
      <c r="ED157" s="57">
        <v>369.4</v>
      </c>
      <c r="EE157" s="57">
        <v>266.76</v>
      </c>
      <c r="EF157" s="57">
        <v>226.85</v>
      </c>
      <c r="EG157" s="57">
        <v>480.6</v>
      </c>
      <c r="EH157" s="57">
        <v>318.88</v>
      </c>
      <c r="EI157" s="57">
        <v>378.82</v>
      </c>
      <c r="EJ157" s="57">
        <v>156.88</v>
      </c>
      <c r="EK157" s="57">
        <v>224.48</v>
      </c>
      <c r="EL157" s="57">
        <v>803.58</v>
      </c>
      <c r="EM157" s="57">
        <v>392.86</v>
      </c>
      <c r="EN157" s="57">
        <v>363.9</v>
      </c>
      <c r="EO157" s="57">
        <v>270.55</v>
      </c>
      <c r="EP157" s="57">
        <v>344.1</v>
      </c>
      <c r="EQ157" s="57">
        <v>419.68</v>
      </c>
      <c r="ER157" s="57">
        <v>517.29999999999995</v>
      </c>
      <c r="ES157" s="57">
        <v>403.44</v>
      </c>
      <c r="ET157" s="57">
        <v>375.59</v>
      </c>
      <c r="EU157" s="57">
        <v>314.91000000000003</v>
      </c>
      <c r="EV157" s="57">
        <v>367.9</v>
      </c>
      <c r="EW157" s="57">
        <v>317.3</v>
      </c>
      <c r="EX157" s="57">
        <v>305.22000000000003</v>
      </c>
      <c r="EY157" s="57">
        <v>222.22</v>
      </c>
      <c r="EZ157" s="57">
        <v>415.49</v>
      </c>
      <c r="FA157" s="57">
        <v>474.14</v>
      </c>
      <c r="FB157" s="57">
        <v>324.70999999999998</v>
      </c>
      <c r="FC157" s="57">
        <v>493.26</v>
      </c>
      <c r="FD157" s="57">
        <v>329.38</v>
      </c>
      <c r="FE157" s="57">
        <v>362.03</v>
      </c>
      <c r="FF157" s="57"/>
      <c r="FG157" s="57">
        <v>238.17</v>
      </c>
      <c r="FH157" s="57">
        <v>251.34</v>
      </c>
      <c r="FI157" s="57">
        <v>328.07</v>
      </c>
      <c r="FJ157" s="57">
        <v>402.98</v>
      </c>
      <c r="FK157" s="57">
        <v>493.47</v>
      </c>
      <c r="FL157" s="57">
        <v>259.77999999999997</v>
      </c>
      <c r="FM157" s="57">
        <v>316.82</v>
      </c>
      <c r="FN157" s="57">
        <v>275.92</v>
      </c>
      <c r="FO157" s="57">
        <v>551.22</v>
      </c>
      <c r="FP157" s="57">
        <v>302.5</v>
      </c>
      <c r="FQ157" s="57">
        <v>278.31</v>
      </c>
      <c r="FR157" s="57">
        <v>603.01</v>
      </c>
      <c r="FS157" s="57">
        <v>363.2</v>
      </c>
      <c r="FT157" s="57">
        <v>237.57</v>
      </c>
      <c r="FU157" s="57">
        <v>364</v>
      </c>
      <c r="FV157" s="57">
        <v>276.25</v>
      </c>
      <c r="FW157" s="57">
        <v>222.5</v>
      </c>
      <c r="FX157" s="57">
        <v>364.27</v>
      </c>
      <c r="FY157" s="57">
        <v>381.2</v>
      </c>
      <c r="FZ157" s="57">
        <v>393.05</v>
      </c>
      <c r="GA157" s="57">
        <v>259.83</v>
      </c>
      <c r="GB157" s="57">
        <v>265.20999999999998</v>
      </c>
      <c r="GC157" s="57">
        <v>255.07</v>
      </c>
      <c r="GD157" s="57">
        <v>222.14</v>
      </c>
      <c r="GE157" s="57">
        <v>699.44</v>
      </c>
      <c r="GF157" s="57">
        <v>380.04</v>
      </c>
      <c r="GG157" s="57">
        <v>633.76</v>
      </c>
      <c r="GH157" s="57">
        <v>585.45000000000005</v>
      </c>
      <c r="GI157" s="57">
        <v>198.71</v>
      </c>
      <c r="GJ157" s="57">
        <v>174.5</v>
      </c>
      <c r="GK157" s="57">
        <v>168.44</v>
      </c>
      <c r="GL157" s="57">
        <v>237.44</v>
      </c>
      <c r="GM157" s="57">
        <v>221</v>
      </c>
      <c r="GN157" s="57">
        <v>313.07</v>
      </c>
      <c r="GO157" s="57">
        <v>217.13</v>
      </c>
      <c r="GP157" s="57">
        <v>208.04</v>
      </c>
      <c r="GQ157" s="57">
        <v>218.87</v>
      </c>
      <c r="GR157" s="57">
        <v>366.07</v>
      </c>
      <c r="GS157" s="57">
        <v>421.01</v>
      </c>
      <c r="GT157" s="57">
        <v>274.5</v>
      </c>
      <c r="GU157" s="57">
        <v>336.48</v>
      </c>
      <c r="GV157" s="57">
        <v>268.26</v>
      </c>
      <c r="GW157" s="57">
        <v>306.48</v>
      </c>
      <c r="GX157" s="57">
        <v>361.42</v>
      </c>
      <c r="GY157" s="57">
        <v>355.74</v>
      </c>
      <c r="GZ157" s="57">
        <v>336.43</v>
      </c>
      <c r="HA157" s="57">
        <v>271.66000000000003</v>
      </c>
      <c r="HB157" s="57">
        <v>285.51</v>
      </c>
      <c r="HC157" s="57">
        <v>272.93</v>
      </c>
      <c r="HD157" s="57">
        <v>243.01</v>
      </c>
      <c r="HE157" s="57">
        <v>134.43</v>
      </c>
      <c r="HF157" s="57">
        <v>150.32</v>
      </c>
      <c r="HG157" s="57">
        <v>194.75</v>
      </c>
      <c r="HH157" s="57">
        <v>233.84</v>
      </c>
      <c r="HI157" s="57">
        <v>120.64</v>
      </c>
      <c r="HJ157" s="57">
        <v>210.63</v>
      </c>
      <c r="HK157" s="57">
        <v>425.31</v>
      </c>
      <c r="HL157" s="57">
        <v>245.45</v>
      </c>
      <c r="HM157" s="57">
        <v>302.76</v>
      </c>
      <c r="HN157" s="57">
        <v>312.58</v>
      </c>
      <c r="HO157" s="57">
        <v>249.83</v>
      </c>
      <c r="HP157" s="57">
        <v>306.12</v>
      </c>
      <c r="HQ157" s="57">
        <v>182.73</v>
      </c>
      <c r="HR157" s="57">
        <v>291.57</v>
      </c>
      <c r="HS157" s="57">
        <v>475.74</v>
      </c>
      <c r="HT157" s="57">
        <v>282.62</v>
      </c>
      <c r="HU157" s="57">
        <v>139.33000000000001</v>
      </c>
      <c r="HV157" s="57">
        <v>206.97</v>
      </c>
      <c r="HW157" s="57">
        <v>137.94999999999999</v>
      </c>
      <c r="HX157" s="57">
        <v>145.31</v>
      </c>
      <c r="HY157" s="57">
        <v>247.1</v>
      </c>
      <c r="HZ157" s="57">
        <v>256.52</v>
      </c>
      <c r="IA157" s="57">
        <v>125.66</v>
      </c>
      <c r="IB157" s="57">
        <v>307.06</v>
      </c>
      <c r="IC157" s="57">
        <v>219.33</v>
      </c>
      <c r="ID157" s="57">
        <v>243.51</v>
      </c>
      <c r="IE157" s="57">
        <v>190.69</v>
      </c>
      <c r="IF157" s="57">
        <v>263.24</v>
      </c>
      <c r="IG157" s="57">
        <v>313.61</v>
      </c>
      <c r="IH157" s="57">
        <v>281.36</v>
      </c>
      <c r="II157" s="57">
        <v>409.56</v>
      </c>
      <c r="IJ157" s="57">
        <v>571.69000000000005</v>
      </c>
      <c r="IK157" s="57">
        <v>378.83</v>
      </c>
      <c r="IL157" s="57">
        <v>241.12</v>
      </c>
      <c r="IM157" s="57">
        <v>358.96</v>
      </c>
      <c r="IN157" s="57">
        <v>337.14</v>
      </c>
      <c r="IO157" s="57">
        <v>309.77</v>
      </c>
      <c r="IP157" s="57">
        <v>223.25</v>
      </c>
      <c r="IQ157" s="57">
        <v>318.92</v>
      </c>
      <c r="IR157" s="57">
        <v>422.69</v>
      </c>
      <c r="IS157" s="57">
        <v>576.25</v>
      </c>
      <c r="IT157" s="57">
        <v>39.159999999999997</v>
      </c>
      <c r="IU157" s="57">
        <v>152.4</v>
      </c>
      <c r="IV157" s="57">
        <v>43.29</v>
      </c>
      <c r="IW157" s="57">
        <v>102.98</v>
      </c>
      <c r="IX157" s="57">
        <v>178.73</v>
      </c>
      <c r="IY157" s="57">
        <v>304.19</v>
      </c>
      <c r="IZ157" s="57">
        <v>359.61</v>
      </c>
      <c r="JA157" s="57">
        <v>284.02999999999997</v>
      </c>
      <c r="JB157" s="57"/>
      <c r="JC157" s="57">
        <v>309.02</v>
      </c>
      <c r="JD157" s="57">
        <v>354.42</v>
      </c>
      <c r="JE157" s="57">
        <v>326.01</v>
      </c>
      <c r="JF157" s="57">
        <v>227.2</v>
      </c>
      <c r="JG157" s="57">
        <v>369.97</v>
      </c>
      <c r="JH157" s="57">
        <v>457.18</v>
      </c>
      <c r="JI157" s="57">
        <v>384.64</v>
      </c>
      <c r="JJ157" s="57">
        <v>321.89</v>
      </c>
      <c r="JK157" s="57">
        <v>502.04</v>
      </c>
      <c r="JL157" s="57">
        <v>407.36</v>
      </c>
      <c r="JM157" s="57">
        <v>369.4</v>
      </c>
      <c r="JN157" s="57">
        <v>266.76</v>
      </c>
      <c r="JO157" s="57">
        <v>226.85</v>
      </c>
      <c r="JP157" s="57">
        <v>501.98</v>
      </c>
      <c r="JQ157" s="57">
        <v>432.04</v>
      </c>
      <c r="JR157" s="57">
        <v>282.27999999999997</v>
      </c>
      <c r="JS157" s="57">
        <v>396.24</v>
      </c>
      <c r="JT157" s="57">
        <v>426.56</v>
      </c>
      <c r="JU157" s="57">
        <v>332.86</v>
      </c>
      <c r="JV157" s="57">
        <v>156.88</v>
      </c>
      <c r="JW157" s="57">
        <v>224.48</v>
      </c>
      <c r="JX157" s="57">
        <v>803.58</v>
      </c>
      <c r="JY157" s="57">
        <v>409.91</v>
      </c>
      <c r="JZ157" s="57">
        <v>359.73</v>
      </c>
      <c r="KA157" s="57">
        <v>363.9</v>
      </c>
      <c r="KB157" s="57">
        <v>270.55</v>
      </c>
      <c r="KC157" s="57">
        <v>344.1</v>
      </c>
      <c r="KD157" s="57">
        <v>419.68</v>
      </c>
      <c r="KE157" s="57">
        <v>517.29999999999995</v>
      </c>
      <c r="KF157" s="57">
        <v>403.44</v>
      </c>
    </row>
    <row r="158" spans="1:292">
      <c r="A158" s="41">
        <v>2017</v>
      </c>
      <c r="B158" s="54" t="s">
        <v>993</v>
      </c>
      <c r="C158" s="50" t="s">
        <v>994</v>
      </c>
      <c r="D158" s="57">
        <v>313.88</v>
      </c>
      <c r="E158" s="57">
        <v>343.79</v>
      </c>
      <c r="F158" s="57">
        <v>591.32000000000005</v>
      </c>
      <c r="G158" s="57">
        <v>195.75</v>
      </c>
      <c r="H158" s="57">
        <v>348.08</v>
      </c>
      <c r="I158" s="57">
        <v>245.97</v>
      </c>
      <c r="J158" s="57">
        <v>193.72</v>
      </c>
      <c r="K158" s="57">
        <v>306.87</v>
      </c>
      <c r="L158" s="57">
        <v>134.68</v>
      </c>
      <c r="M158" s="57">
        <v>226.55</v>
      </c>
      <c r="N158" s="57">
        <v>322.83999999999997</v>
      </c>
      <c r="O158" s="57">
        <v>474.68</v>
      </c>
      <c r="P158" s="57">
        <v>382.85</v>
      </c>
      <c r="Q158" s="57">
        <v>345.84</v>
      </c>
      <c r="R158" s="57">
        <v>310.98</v>
      </c>
      <c r="S158" s="57">
        <v>656.15</v>
      </c>
      <c r="T158" s="57">
        <v>586.42999999999995</v>
      </c>
      <c r="U158" s="57">
        <v>188.96</v>
      </c>
      <c r="V158" s="57">
        <v>215.69</v>
      </c>
      <c r="W158" s="57">
        <v>425.59</v>
      </c>
      <c r="X158" s="57">
        <v>277.24</v>
      </c>
      <c r="Y158" s="57">
        <v>338.9</v>
      </c>
      <c r="Z158" s="57">
        <v>322.37</v>
      </c>
      <c r="AA158" s="57">
        <v>279.17</v>
      </c>
      <c r="AB158" s="57">
        <v>244.66</v>
      </c>
      <c r="AC158" s="57">
        <v>186.13</v>
      </c>
      <c r="AD158" s="57">
        <v>284.35000000000002</v>
      </c>
      <c r="AE158" s="57">
        <v>285.41000000000003</v>
      </c>
      <c r="AF158" s="57">
        <v>249.21</v>
      </c>
      <c r="AG158" s="57">
        <v>139.03</v>
      </c>
      <c r="AH158" s="57">
        <v>229.1</v>
      </c>
      <c r="AI158" s="57">
        <v>310.7</v>
      </c>
      <c r="AJ158" s="57">
        <v>241.58</v>
      </c>
      <c r="AK158" s="57">
        <v>317.26</v>
      </c>
      <c r="AL158" s="57">
        <v>356.49</v>
      </c>
      <c r="AM158" s="57">
        <v>576.25</v>
      </c>
      <c r="AN158" s="57">
        <v>38.58</v>
      </c>
      <c r="AO158" s="57">
        <v>153.38</v>
      </c>
      <c r="AP158" s="57">
        <v>72.040000000000006</v>
      </c>
      <c r="AQ158" s="57">
        <v>310.2</v>
      </c>
      <c r="AR158" s="57">
        <v>345.16</v>
      </c>
      <c r="AS158" s="57">
        <v>303.49</v>
      </c>
      <c r="AT158" s="57">
        <v>393.5</v>
      </c>
      <c r="AU158" s="57">
        <v>476</v>
      </c>
      <c r="AV158" s="57">
        <v>423.48</v>
      </c>
      <c r="AW158" s="57">
        <v>371.59</v>
      </c>
      <c r="AX158" s="57">
        <v>271.29000000000002</v>
      </c>
      <c r="AY158" s="57">
        <v>230.85</v>
      </c>
      <c r="AZ158" s="57">
        <v>484.03</v>
      </c>
      <c r="BA158" s="57">
        <v>329.42</v>
      </c>
      <c r="BB158" s="57">
        <v>260.67</v>
      </c>
      <c r="BC158" s="57">
        <v>701.56</v>
      </c>
      <c r="BD158" s="57">
        <v>378.79</v>
      </c>
      <c r="BE158" s="57">
        <v>407.65</v>
      </c>
      <c r="BF158" s="57">
        <v>517.29999999999995</v>
      </c>
      <c r="BG158" s="57">
        <v>403.56</v>
      </c>
      <c r="BH158" s="57">
        <v>351.07</v>
      </c>
      <c r="BI158" s="57">
        <v>395.31</v>
      </c>
      <c r="BJ158" s="57">
        <v>313.43</v>
      </c>
      <c r="BK158" s="57">
        <v>308.95999999999998</v>
      </c>
      <c r="BL158" s="57">
        <v>333.62</v>
      </c>
      <c r="BM158" s="57">
        <v>310.3</v>
      </c>
      <c r="BN158" s="57">
        <v>343.97</v>
      </c>
      <c r="BO158" s="57">
        <v>272.18</v>
      </c>
      <c r="BP158" s="57">
        <v>364.51</v>
      </c>
      <c r="BQ158" s="57">
        <v>395.57</v>
      </c>
      <c r="BR158" s="57">
        <v>253.82</v>
      </c>
      <c r="BS158" s="57">
        <v>699.79</v>
      </c>
      <c r="BT158" s="57">
        <v>383.06</v>
      </c>
      <c r="BU158" s="57">
        <v>634.25</v>
      </c>
      <c r="BV158" s="57">
        <v>586.42999999999995</v>
      </c>
      <c r="BW158" s="57">
        <v>184.93</v>
      </c>
      <c r="BX158" s="57">
        <v>224.39</v>
      </c>
      <c r="BY158" s="57">
        <v>316.3</v>
      </c>
      <c r="BZ158" s="57">
        <v>214.87</v>
      </c>
      <c r="CA158" s="57">
        <v>368.56</v>
      </c>
      <c r="CB158" s="58">
        <v>425.59</v>
      </c>
      <c r="CC158" s="57">
        <v>277.24</v>
      </c>
      <c r="CD158" s="57">
        <v>337.61</v>
      </c>
      <c r="CE158" s="57">
        <v>268.26</v>
      </c>
      <c r="CF158" s="57">
        <v>339.99</v>
      </c>
      <c r="CG158" s="57">
        <v>358.7</v>
      </c>
      <c r="CH158" s="57">
        <v>284.38</v>
      </c>
      <c r="CI158" s="57">
        <v>273.91000000000003</v>
      </c>
      <c r="CJ158" s="57">
        <v>244.66</v>
      </c>
      <c r="CK158" s="57">
        <v>167.06</v>
      </c>
      <c r="CL158" s="57">
        <v>211.74</v>
      </c>
      <c r="CM158" s="57">
        <v>429.5</v>
      </c>
      <c r="CN158" s="57">
        <v>284.35000000000002</v>
      </c>
      <c r="CO158" s="57">
        <v>285.41000000000003</v>
      </c>
      <c r="CP158" s="57">
        <v>196.09</v>
      </c>
      <c r="CQ158" s="57">
        <v>470.6</v>
      </c>
      <c r="CR158" s="57">
        <v>139.33000000000001</v>
      </c>
      <c r="CS158" s="57">
        <v>212.77</v>
      </c>
      <c r="CT158" s="57">
        <v>144.22999999999999</v>
      </c>
      <c r="CU158" s="57">
        <v>247.25</v>
      </c>
      <c r="CV158" s="57">
        <v>257.60000000000002</v>
      </c>
      <c r="CW158" s="57">
        <v>137.75</v>
      </c>
      <c r="CX158" s="57">
        <v>310.7</v>
      </c>
      <c r="CY158" s="57">
        <v>242.51</v>
      </c>
      <c r="CZ158" s="57">
        <v>193.96</v>
      </c>
      <c r="DA158" s="57">
        <v>263.82</v>
      </c>
      <c r="DB158" s="57">
        <v>315.95999999999998</v>
      </c>
      <c r="DC158" s="57">
        <v>288.54000000000002</v>
      </c>
      <c r="DD158" s="57">
        <v>411.77</v>
      </c>
      <c r="DE158" s="57">
        <v>567.17999999999995</v>
      </c>
      <c r="DF158" s="57">
        <v>313.19</v>
      </c>
      <c r="DG158" s="57">
        <v>359.15</v>
      </c>
      <c r="DH158" s="57">
        <v>219.5</v>
      </c>
      <c r="DI158" s="57">
        <v>318.92</v>
      </c>
      <c r="DJ158" s="57">
        <v>423.95</v>
      </c>
      <c r="DK158" s="57">
        <v>576.25</v>
      </c>
      <c r="DL158" s="57">
        <v>38.58</v>
      </c>
      <c r="DM158" s="57">
        <v>153.38</v>
      </c>
      <c r="DN158" s="57">
        <v>43.88</v>
      </c>
      <c r="DO158" s="57">
        <v>102.21</v>
      </c>
      <c r="DP158" s="57">
        <v>178.73</v>
      </c>
      <c r="DQ158" s="57">
        <v>310.2</v>
      </c>
      <c r="DR158" s="57">
        <v>363.23</v>
      </c>
      <c r="DS158" s="57">
        <v>289.01</v>
      </c>
      <c r="DT158" s="57"/>
      <c r="DU158" s="57">
        <v>309.18</v>
      </c>
      <c r="DV158" s="57">
        <v>363.41</v>
      </c>
      <c r="DW158" s="57">
        <v>243.3</v>
      </c>
      <c r="DX158" s="57">
        <v>369.97</v>
      </c>
      <c r="DY158" s="57">
        <v>460.77</v>
      </c>
      <c r="DZ158" s="57">
        <v>400.08</v>
      </c>
      <c r="EA158" s="57">
        <v>328.97</v>
      </c>
      <c r="EB158" s="57">
        <v>476</v>
      </c>
      <c r="EC158" s="57">
        <v>423.48</v>
      </c>
      <c r="ED158" s="57">
        <v>371.59</v>
      </c>
      <c r="EE158" s="57">
        <v>271.29000000000002</v>
      </c>
      <c r="EF158" s="57">
        <v>230.85</v>
      </c>
      <c r="EG158" s="57">
        <v>484.03</v>
      </c>
      <c r="EH158" s="57">
        <v>329.42</v>
      </c>
      <c r="EI158" s="57">
        <v>383.49</v>
      </c>
      <c r="EJ158" s="57">
        <v>157.75</v>
      </c>
      <c r="EK158" s="57">
        <v>227</v>
      </c>
      <c r="EL158" s="57">
        <v>816.81</v>
      </c>
      <c r="EM158" s="57">
        <v>404.36</v>
      </c>
      <c r="EN158" s="57">
        <v>378.79</v>
      </c>
      <c r="EO158" s="57">
        <v>269.55</v>
      </c>
      <c r="EP158" s="57">
        <v>344.17</v>
      </c>
      <c r="EQ158" s="57">
        <v>418.09</v>
      </c>
      <c r="ER158" s="57">
        <v>517.29999999999995</v>
      </c>
      <c r="ES158" s="57">
        <v>403.56</v>
      </c>
      <c r="ET158" s="57">
        <v>377.09</v>
      </c>
      <c r="EU158" s="57">
        <v>316.52</v>
      </c>
      <c r="EV158" s="57">
        <v>368.34</v>
      </c>
      <c r="EW158" s="57">
        <v>320.85000000000002</v>
      </c>
      <c r="EX158" s="57">
        <v>307.72000000000003</v>
      </c>
      <c r="EY158" s="57">
        <v>223.99</v>
      </c>
      <c r="EZ158" s="57">
        <v>414.87</v>
      </c>
      <c r="FA158" s="57">
        <v>467.5</v>
      </c>
      <c r="FB158" s="57">
        <v>298.37</v>
      </c>
      <c r="FC158" s="57">
        <v>493.84</v>
      </c>
      <c r="FD158" s="57">
        <v>330.14</v>
      </c>
      <c r="FE158" s="57">
        <v>313.43</v>
      </c>
      <c r="FF158" s="57"/>
      <c r="FG158" s="57">
        <v>242.35</v>
      </c>
      <c r="FH158" s="57">
        <v>254.56</v>
      </c>
      <c r="FI158" s="57">
        <v>335.58</v>
      </c>
      <c r="FJ158" s="57">
        <v>418.33</v>
      </c>
      <c r="FK158" s="57">
        <v>517.23</v>
      </c>
      <c r="FL158" s="57">
        <v>260.93</v>
      </c>
      <c r="FM158" s="57">
        <v>317.83999999999997</v>
      </c>
      <c r="FN158" s="57">
        <v>262.49</v>
      </c>
      <c r="FO158" s="57">
        <v>557.5</v>
      </c>
      <c r="FP158" s="57">
        <v>312.95</v>
      </c>
      <c r="FQ158" s="57">
        <v>289.27</v>
      </c>
      <c r="FR158" s="57">
        <v>598.97</v>
      </c>
      <c r="FS158" s="57">
        <v>361.51</v>
      </c>
      <c r="FT158" s="57">
        <v>239</v>
      </c>
      <c r="FU158" s="57">
        <v>368.85</v>
      </c>
      <c r="FV158" s="57">
        <v>277.33</v>
      </c>
      <c r="FW158" s="57">
        <v>222.74</v>
      </c>
      <c r="FX158" s="57">
        <v>364.51</v>
      </c>
      <c r="FY158" s="57">
        <v>381.29</v>
      </c>
      <c r="FZ158" s="57">
        <v>400.78</v>
      </c>
      <c r="GA158" s="57">
        <v>261.11</v>
      </c>
      <c r="GB158" s="57">
        <v>266.27</v>
      </c>
      <c r="GC158" s="57">
        <v>255.93</v>
      </c>
      <c r="GD158" s="57">
        <v>220.8</v>
      </c>
      <c r="GE158" s="57">
        <v>699.79</v>
      </c>
      <c r="GF158" s="57">
        <v>383.06</v>
      </c>
      <c r="GG158" s="57">
        <v>634.25</v>
      </c>
      <c r="GH158" s="57">
        <v>585.45000000000005</v>
      </c>
      <c r="GI158" s="57">
        <v>198.36</v>
      </c>
      <c r="GJ158" s="57">
        <v>177.36</v>
      </c>
      <c r="GK158" s="57">
        <v>169.96</v>
      </c>
      <c r="GL158" s="57">
        <v>241.12</v>
      </c>
      <c r="GM158" s="57">
        <v>224.39</v>
      </c>
      <c r="GN158" s="57">
        <v>316.3</v>
      </c>
      <c r="GO158" s="57">
        <v>219.33</v>
      </c>
      <c r="GP158" s="57">
        <v>207.32</v>
      </c>
      <c r="GQ158" s="57">
        <v>221.08</v>
      </c>
      <c r="GR158" s="57">
        <v>368.56</v>
      </c>
      <c r="GS158" s="57">
        <v>425.59</v>
      </c>
      <c r="GT158" s="57">
        <v>277.24</v>
      </c>
      <c r="GU158" s="57">
        <v>337.61</v>
      </c>
      <c r="GV158" s="57">
        <v>268.26</v>
      </c>
      <c r="GW158" s="57">
        <v>306.72000000000003</v>
      </c>
      <c r="GX158" s="57">
        <v>373.06</v>
      </c>
      <c r="GY158" s="57">
        <v>358.7</v>
      </c>
      <c r="GZ158" s="57">
        <v>338.28</v>
      </c>
      <c r="HA158" s="57">
        <v>271.92</v>
      </c>
      <c r="HB158" s="57">
        <v>284.33</v>
      </c>
      <c r="HC158" s="57">
        <v>273.91000000000003</v>
      </c>
      <c r="HD158" s="57">
        <v>244.66</v>
      </c>
      <c r="HE158" s="57">
        <v>135.01</v>
      </c>
      <c r="HF158" s="57">
        <v>153.22</v>
      </c>
      <c r="HG158" s="57">
        <v>198.08</v>
      </c>
      <c r="HH158" s="57">
        <v>233.62</v>
      </c>
      <c r="HI158" s="57">
        <v>121.34</v>
      </c>
      <c r="HJ158" s="57">
        <v>211.74</v>
      </c>
      <c r="HK158" s="57">
        <v>429.5</v>
      </c>
      <c r="HL158" s="57">
        <v>247.33</v>
      </c>
      <c r="HM158" s="57">
        <v>305.67</v>
      </c>
      <c r="HN158" s="57">
        <v>313.23</v>
      </c>
      <c r="HO158" s="57">
        <v>253.42</v>
      </c>
      <c r="HP158" s="57">
        <v>312.56</v>
      </c>
      <c r="HQ158" s="57">
        <v>182.77</v>
      </c>
      <c r="HR158" s="57">
        <v>293.69</v>
      </c>
      <c r="HS158" s="57">
        <v>480.4</v>
      </c>
      <c r="HT158" s="57">
        <v>283.39999999999998</v>
      </c>
      <c r="HU158" s="57">
        <v>139.33000000000001</v>
      </c>
      <c r="HV158" s="57">
        <v>212.77</v>
      </c>
      <c r="HW158" s="57">
        <v>138.02000000000001</v>
      </c>
      <c r="HX158" s="57">
        <v>147.04</v>
      </c>
      <c r="HY158" s="57">
        <v>247.25</v>
      </c>
      <c r="HZ158" s="57">
        <v>257.60000000000002</v>
      </c>
      <c r="IA158" s="57">
        <v>125.83</v>
      </c>
      <c r="IB158" s="57">
        <v>310.7</v>
      </c>
      <c r="IC158" s="57">
        <v>220.04</v>
      </c>
      <c r="ID158" s="57">
        <v>247.18</v>
      </c>
      <c r="IE158" s="57">
        <v>193.96</v>
      </c>
      <c r="IF158" s="57">
        <v>263.82</v>
      </c>
      <c r="IG158" s="57">
        <v>315.95999999999998</v>
      </c>
      <c r="IH158" s="57">
        <v>288.54000000000002</v>
      </c>
      <c r="II158" s="57">
        <v>411.77</v>
      </c>
      <c r="IJ158" s="57">
        <v>567.17999999999995</v>
      </c>
      <c r="IK158" s="57">
        <v>382.14</v>
      </c>
      <c r="IL158" s="57">
        <v>241.12</v>
      </c>
      <c r="IM158" s="57">
        <v>373.02</v>
      </c>
      <c r="IN158" s="57">
        <v>337.81</v>
      </c>
      <c r="IO158" s="57">
        <v>310.36</v>
      </c>
      <c r="IP158" s="57">
        <v>219.5</v>
      </c>
      <c r="IQ158" s="57">
        <v>318.92</v>
      </c>
      <c r="IR158" s="57">
        <v>423.95</v>
      </c>
      <c r="IS158" s="57">
        <v>576.25</v>
      </c>
      <c r="IT158" s="57">
        <v>38.58</v>
      </c>
      <c r="IU158" s="57">
        <v>153.38</v>
      </c>
      <c r="IV158" s="57">
        <v>43.89</v>
      </c>
      <c r="IW158" s="57">
        <v>102.21</v>
      </c>
      <c r="IX158" s="57">
        <v>178.73</v>
      </c>
      <c r="IY158" s="57">
        <v>310.2</v>
      </c>
      <c r="IZ158" s="57">
        <v>363.23</v>
      </c>
      <c r="JA158" s="57">
        <v>289.01</v>
      </c>
      <c r="JB158" s="57"/>
      <c r="JC158" s="57">
        <v>309.18</v>
      </c>
      <c r="JD158" s="57">
        <v>363.41</v>
      </c>
      <c r="JE158" s="57">
        <v>326.60000000000002</v>
      </c>
      <c r="JF158" s="57">
        <v>229.11</v>
      </c>
      <c r="JG158" s="57">
        <v>369.97</v>
      </c>
      <c r="JH158" s="57">
        <v>460.77</v>
      </c>
      <c r="JI158" s="57">
        <v>400.08</v>
      </c>
      <c r="JJ158" s="57">
        <v>328.97</v>
      </c>
      <c r="JK158" s="57">
        <v>476</v>
      </c>
      <c r="JL158" s="57">
        <v>423.48</v>
      </c>
      <c r="JM158" s="57">
        <v>371.59</v>
      </c>
      <c r="JN158" s="57">
        <v>271.29000000000002</v>
      </c>
      <c r="JO158" s="57">
        <v>230.85</v>
      </c>
      <c r="JP158" s="57">
        <v>505.42</v>
      </c>
      <c r="JQ158" s="57">
        <v>435.67</v>
      </c>
      <c r="JR158" s="57">
        <v>281.61</v>
      </c>
      <c r="JS158" s="57">
        <v>433.71</v>
      </c>
      <c r="JT158" s="57">
        <v>432.02</v>
      </c>
      <c r="JU158" s="57">
        <v>336.83</v>
      </c>
      <c r="JV158" s="57">
        <v>157.75</v>
      </c>
      <c r="JW158" s="57">
        <v>227</v>
      </c>
      <c r="JX158" s="57">
        <v>816.81</v>
      </c>
      <c r="JY158" s="57">
        <v>427.49</v>
      </c>
      <c r="JZ158" s="57">
        <v>362.59</v>
      </c>
      <c r="KA158" s="57">
        <v>378.79</v>
      </c>
      <c r="KB158" s="57">
        <v>269.55</v>
      </c>
      <c r="KC158" s="57">
        <v>344.17</v>
      </c>
      <c r="KD158" s="57">
        <v>418.09</v>
      </c>
      <c r="KE158" s="57">
        <v>517.29999999999995</v>
      </c>
      <c r="KF158" s="57">
        <v>403.56</v>
      </c>
    </row>
    <row r="159" spans="1:292">
      <c r="A159" s="41">
        <v>2017</v>
      </c>
      <c r="B159" s="54" t="s">
        <v>995</v>
      </c>
      <c r="C159" s="50" t="s">
        <v>996</v>
      </c>
      <c r="D159" s="57">
        <v>320.39999999999998</v>
      </c>
      <c r="E159" s="57">
        <v>350.57</v>
      </c>
      <c r="F159" s="57">
        <v>591.32000000000005</v>
      </c>
      <c r="G159" s="57">
        <v>218.28</v>
      </c>
      <c r="H159" s="57">
        <v>351.34</v>
      </c>
      <c r="I159" s="57">
        <v>253.24</v>
      </c>
      <c r="J159" s="57">
        <v>194.61</v>
      </c>
      <c r="K159" s="57">
        <v>314.89</v>
      </c>
      <c r="L159" s="57">
        <v>134.66999999999999</v>
      </c>
      <c r="M159" s="57">
        <v>222.59</v>
      </c>
      <c r="N159" s="57">
        <v>324.02999999999997</v>
      </c>
      <c r="O159" s="57">
        <v>478.02</v>
      </c>
      <c r="P159" s="57">
        <v>386.41</v>
      </c>
      <c r="Q159" s="57">
        <v>352.82</v>
      </c>
      <c r="R159" s="57">
        <v>315.39999999999998</v>
      </c>
      <c r="S159" s="57">
        <v>656.16</v>
      </c>
      <c r="T159" s="57">
        <v>586.42999999999995</v>
      </c>
      <c r="U159" s="57">
        <v>211.22</v>
      </c>
      <c r="V159" s="57">
        <v>238.41</v>
      </c>
      <c r="W159" s="57">
        <v>429.14</v>
      </c>
      <c r="X159" s="57">
        <v>281.23</v>
      </c>
      <c r="Y159" s="57">
        <v>340.22</v>
      </c>
      <c r="Z159" s="57">
        <v>325.93</v>
      </c>
      <c r="AA159" s="57">
        <v>296.20999999999998</v>
      </c>
      <c r="AB159" s="57">
        <v>246.85</v>
      </c>
      <c r="AC159" s="57">
        <v>190.91</v>
      </c>
      <c r="AD159" s="57">
        <v>287.48</v>
      </c>
      <c r="AE159" s="57">
        <v>291.55</v>
      </c>
      <c r="AF159" s="57">
        <v>249.92</v>
      </c>
      <c r="AG159" s="57">
        <v>139.06</v>
      </c>
      <c r="AH159" s="57">
        <v>230.43</v>
      </c>
      <c r="AI159" s="57">
        <v>313.64</v>
      </c>
      <c r="AJ159" s="57">
        <v>250.09</v>
      </c>
      <c r="AK159" s="57">
        <v>326</v>
      </c>
      <c r="AL159" s="57">
        <v>360.3</v>
      </c>
      <c r="AM159" s="57">
        <v>576.25</v>
      </c>
      <c r="AN159" s="57">
        <v>38.57</v>
      </c>
      <c r="AO159" s="57">
        <v>153.38</v>
      </c>
      <c r="AP159" s="57">
        <v>71.77</v>
      </c>
      <c r="AQ159" s="57">
        <v>316.7</v>
      </c>
      <c r="AR159" s="57">
        <v>346.94</v>
      </c>
      <c r="AS159" s="57">
        <v>304.85000000000002</v>
      </c>
      <c r="AT159" s="57">
        <v>396.79</v>
      </c>
      <c r="AU159" s="57">
        <v>420.1</v>
      </c>
      <c r="AV159" s="57">
        <v>424.32</v>
      </c>
      <c r="AW159" s="57">
        <v>372.54</v>
      </c>
      <c r="AX159" s="57">
        <v>271.29000000000002</v>
      </c>
      <c r="AY159" s="57">
        <v>235.59</v>
      </c>
      <c r="AZ159" s="57">
        <v>487.82</v>
      </c>
      <c r="BA159" s="57">
        <v>329.85</v>
      </c>
      <c r="BB159" s="57">
        <v>261.58</v>
      </c>
      <c r="BC159" s="57">
        <v>716.99</v>
      </c>
      <c r="BD159" s="57">
        <v>380.27</v>
      </c>
      <c r="BE159" s="57">
        <v>409.51</v>
      </c>
      <c r="BF159" s="57">
        <v>517.29999999999995</v>
      </c>
      <c r="BG159" s="57">
        <v>403.59</v>
      </c>
      <c r="BH159" s="57">
        <v>353.53</v>
      </c>
      <c r="BI159" s="57">
        <v>384.84</v>
      </c>
      <c r="BJ159" s="57">
        <v>338.9</v>
      </c>
      <c r="BK159" s="57">
        <v>319.31</v>
      </c>
      <c r="BL159" s="57">
        <v>340.55</v>
      </c>
      <c r="BM159" s="57">
        <v>322.36</v>
      </c>
      <c r="BN159" s="57">
        <v>374.31</v>
      </c>
      <c r="BO159" s="57">
        <v>273.39999999999998</v>
      </c>
      <c r="BP159" s="57">
        <v>368.47</v>
      </c>
      <c r="BQ159" s="57">
        <v>404.77</v>
      </c>
      <c r="BR159" s="57">
        <v>255.75</v>
      </c>
      <c r="BS159" s="57">
        <v>698.98</v>
      </c>
      <c r="BT159" s="57">
        <v>385.51</v>
      </c>
      <c r="BU159" s="57">
        <v>634.26</v>
      </c>
      <c r="BV159" s="57">
        <v>586.42999999999995</v>
      </c>
      <c r="BW159" s="57">
        <v>208.17</v>
      </c>
      <c r="BX159" s="57">
        <v>232.56</v>
      </c>
      <c r="BY159" s="57">
        <v>318.66000000000003</v>
      </c>
      <c r="BZ159" s="57">
        <v>237.64</v>
      </c>
      <c r="CA159" s="57">
        <v>372.97</v>
      </c>
      <c r="CB159" s="58">
        <v>429.14</v>
      </c>
      <c r="CC159" s="57">
        <v>281.23</v>
      </c>
      <c r="CD159" s="57">
        <v>338.92</v>
      </c>
      <c r="CE159" s="57">
        <v>268.39</v>
      </c>
      <c r="CF159" s="57">
        <v>345.16</v>
      </c>
      <c r="CG159" s="57">
        <v>369.08</v>
      </c>
      <c r="CH159" s="57">
        <v>303.63</v>
      </c>
      <c r="CI159" s="57">
        <v>274.31</v>
      </c>
      <c r="CJ159" s="57">
        <v>246.85</v>
      </c>
      <c r="CK159" s="57">
        <v>171.74</v>
      </c>
      <c r="CL159" s="57">
        <v>215.63</v>
      </c>
      <c r="CM159" s="57">
        <v>433.15</v>
      </c>
      <c r="CN159" s="57">
        <v>287.48</v>
      </c>
      <c r="CO159" s="57">
        <v>291.55</v>
      </c>
      <c r="CP159" s="57">
        <v>196.72</v>
      </c>
      <c r="CQ159" s="57">
        <v>471.64</v>
      </c>
      <c r="CR159" s="57">
        <v>139.33000000000001</v>
      </c>
      <c r="CS159" s="57">
        <v>213.29</v>
      </c>
      <c r="CT159" s="57">
        <v>144.22</v>
      </c>
      <c r="CU159" s="57">
        <v>247.44</v>
      </c>
      <c r="CV159" s="57">
        <v>259.56</v>
      </c>
      <c r="CW159" s="57">
        <v>139.38</v>
      </c>
      <c r="CX159" s="57">
        <v>313.64</v>
      </c>
      <c r="CY159" s="57">
        <v>251.41</v>
      </c>
      <c r="CZ159" s="57">
        <v>195.03</v>
      </c>
      <c r="DA159" s="57">
        <v>265.06</v>
      </c>
      <c r="DB159" s="57">
        <v>320.27999999999997</v>
      </c>
      <c r="DC159" s="57">
        <v>297.62</v>
      </c>
      <c r="DD159" s="57">
        <v>421.12</v>
      </c>
      <c r="DE159" s="57">
        <v>566.47</v>
      </c>
      <c r="DF159" s="57">
        <v>313.45</v>
      </c>
      <c r="DG159" s="57">
        <v>363.98</v>
      </c>
      <c r="DH159" s="57">
        <v>218.56</v>
      </c>
      <c r="DI159" s="57">
        <v>319.17</v>
      </c>
      <c r="DJ159" s="57">
        <v>426.66</v>
      </c>
      <c r="DK159" s="57">
        <v>576.25</v>
      </c>
      <c r="DL159" s="57">
        <v>38.57</v>
      </c>
      <c r="DM159" s="57">
        <v>153.38</v>
      </c>
      <c r="DN159" s="57">
        <v>43.1</v>
      </c>
      <c r="DO159" s="57">
        <v>105.02</v>
      </c>
      <c r="DP159" s="57">
        <v>178.73</v>
      </c>
      <c r="DQ159" s="57">
        <v>316.7</v>
      </c>
      <c r="DR159" s="57">
        <v>361.89</v>
      </c>
      <c r="DS159" s="57">
        <v>296.55</v>
      </c>
      <c r="DT159" s="57"/>
      <c r="DU159" s="57">
        <v>311.16000000000003</v>
      </c>
      <c r="DV159" s="57">
        <v>365.24</v>
      </c>
      <c r="DW159" s="57">
        <v>244.37</v>
      </c>
      <c r="DX159" s="57">
        <v>369.97</v>
      </c>
      <c r="DY159" s="57">
        <v>463.85</v>
      </c>
      <c r="DZ159" s="57">
        <v>400.08</v>
      </c>
      <c r="EA159" s="57">
        <v>333.98</v>
      </c>
      <c r="EB159" s="57">
        <v>420.1</v>
      </c>
      <c r="EC159" s="57">
        <v>424.32</v>
      </c>
      <c r="ED159" s="57">
        <v>372.54</v>
      </c>
      <c r="EE159" s="57">
        <v>271.29000000000002</v>
      </c>
      <c r="EF159" s="57">
        <v>235.59</v>
      </c>
      <c r="EG159" s="57">
        <v>487.82</v>
      </c>
      <c r="EH159" s="57">
        <v>329.85</v>
      </c>
      <c r="EI159" s="57">
        <v>385.65</v>
      </c>
      <c r="EJ159" s="57">
        <v>165.34</v>
      </c>
      <c r="EK159" s="57">
        <v>227.28</v>
      </c>
      <c r="EL159" s="57">
        <v>837.41</v>
      </c>
      <c r="EM159" s="57">
        <v>408.82</v>
      </c>
      <c r="EN159" s="57">
        <v>380.27</v>
      </c>
      <c r="EO159" s="57">
        <v>272.14999999999998</v>
      </c>
      <c r="EP159" s="57">
        <v>344.17</v>
      </c>
      <c r="EQ159" s="57">
        <v>420.06</v>
      </c>
      <c r="ER159" s="57">
        <v>517.29999999999995</v>
      </c>
      <c r="ES159" s="57">
        <v>403.59</v>
      </c>
      <c r="ET159" s="57">
        <v>380.52</v>
      </c>
      <c r="EU159" s="57">
        <v>317.87</v>
      </c>
      <c r="EV159" s="57">
        <v>370.44</v>
      </c>
      <c r="EW159" s="57">
        <v>324.07</v>
      </c>
      <c r="EX159" s="57">
        <v>311.73</v>
      </c>
      <c r="EY159" s="57">
        <v>220.72</v>
      </c>
      <c r="EZ159" s="57">
        <v>405.21</v>
      </c>
      <c r="FA159" s="57">
        <v>455.91</v>
      </c>
      <c r="FB159" s="57">
        <v>282.32</v>
      </c>
      <c r="FC159" s="57">
        <v>498.27</v>
      </c>
      <c r="FD159" s="57">
        <v>333.22</v>
      </c>
      <c r="FE159" s="57">
        <v>338.9</v>
      </c>
      <c r="FF159" s="57"/>
      <c r="FG159" s="57">
        <v>250.37</v>
      </c>
      <c r="FH159" s="57">
        <v>270.27</v>
      </c>
      <c r="FI159" s="57">
        <v>350.76</v>
      </c>
      <c r="FJ159" s="57">
        <v>409.96</v>
      </c>
      <c r="FK159" s="57">
        <v>559.59</v>
      </c>
      <c r="FL159" s="57">
        <v>260.76</v>
      </c>
      <c r="FM159" s="57">
        <v>318.75</v>
      </c>
      <c r="FN159" s="57">
        <v>274.38</v>
      </c>
      <c r="FO159" s="57">
        <v>569.08000000000004</v>
      </c>
      <c r="FP159" s="57">
        <v>358.91</v>
      </c>
      <c r="FQ159" s="57">
        <v>296.48</v>
      </c>
      <c r="FR159" s="57">
        <v>593.70000000000005</v>
      </c>
      <c r="FS159" s="57">
        <v>361.6</v>
      </c>
      <c r="FT159" s="57">
        <v>239.53</v>
      </c>
      <c r="FU159" s="57">
        <v>375.27</v>
      </c>
      <c r="FV159" s="57">
        <v>278.14</v>
      </c>
      <c r="FW159" s="57">
        <v>221.35</v>
      </c>
      <c r="FX159" s="57">
        <v>368.47</v>
      </c>
      <c r="FY159" s="57">
        <v>375.67</v>
      </c>
      <c r="FZ159" s="57">
        <v>413.55</v>
      </c>
      <c r="GA159" s="57">
        <v>260.27</v>
      </c>
      <c r="GB159" s="57">
        <v>268.01</v>
      </c>
      <c r="GC159" s="57">
        <v>257.77</v>
      </c>
      <c r="GD159" s="57">
        <v>223.37</v>
      </c>
      <c r="GE159" s="57">
        <v>698.98</v>
      </c>
      <c r="GF159" s="57">
        <v>385.51</v>
      </c>
      <c r="GG159" s="57">
        <v>634.26</v>
      </c>
      <c r="GH159" s="57">
        <v>585.45000000000005</v>
      </c>
      <c r="GI159" s="57">
        <v>218.08</v>
      </c>
      <c r="GJ159" s="57">
        <v>204.9</v>
      </c>
      <c r="GK159" s="57">
        <v>188.87</v>
      </c>
      <c r="GL159" s="57">
        <v>256.37</v>
      </c>
      <c r="GM159" s="57">
        <v>232.56</v>
      </c>
      <c r="GN159" s="57">
        <v>318.66000000000003</v>
      </c>
      <c r="GO159" s="57">
        <v>240.67</v>
      </c>
      <c r="GP159" s="57">
        <v>231.75</v>
      </c>
      <c r="GQ159" s="57">
        <v>243.57</v>
      </c>
      <c r="GR159" s="57">
        <v>372.97</v>
      </c>
      <c r="GS159" s="57">
        <v>429.14</v>
      </c>
      <c r="GT159" s="57">
        <v>281.23</v>
      </c>
      <c r="GU159" s="57">
        <v>338.92</v>
      </c>
      <c r="GV159" s="57">
        <v>268.39</v>
      </c>
      <c r="GW159" s="57">
        <v>307.27999999999997</v>
      </c>
      <c r="GX159" s="57">
        <v>388.73</v>
      </c>
      <c r="GY159" s="57">
        <v>369.08</v>
      </c>
      <c r="GZ159" s="57">
        <v>358.75</v>
      </c>
      <c r="HA159" s="57">
        <v>291.5</v>
      </c>
      <c r="HB159" s="57">
        <v>303.39</v>
      </c>
      <c r="HC159" s="57">
        <v>274.31</v>
      </c>
      <c r="HD159" s="57">
        <v>246.85</v>
      </c>
      <c r="HE159" s="57">
        <v>138.68</v>
      </c>
      <c r="HF159" s="57">
        <v>156.82</v>
      </c>
      <c r="HG159" s="57">
        <v>203.66</v>
      </c>
      <c r="HH159" s="57">
        <v>241.29</v>
      </c>
      <c r="HI159" s="57">
        <v>125.25</v>
      </c>
      <c r="HJ159" s="57">
        <v>215.63</v>
      </c>
      <c r="HK159" s="57">
        <v>433.15</v>
      </c>
      <c r="HL159" s="57">
        <v>249.54</v>
      </c>
      <c r="HM159" s="57">
        <v>309.92</v>
      </c>
      <c r="HN159" s="57">
        <v>317.13</v>
      </c>
      <c r="HO159" s="57">
        <v>254.38</v>
      </c>
      <c r="HP159" s="57">
        <v>326.04000000000002</v>
      </c>
      <c r="HQ159" s="57">
        <v>182.87</v>
      </c>
      <c r="HR159" s="57">
        <v>297.57</v>
      </c>
      <c r="HS159" s="57">
        <v>481.38</v>
      </c>
      <c r="HT159" s="57">
        <v>284.49</v>
      </c>
      <c r="HU159" s="57">
        <v>139.33000000000001</v>
      </c>
      <c r="HV159" s="57">
        <v>213.29</v>
      </c>
      <c r="HW159" s="57">
        <v>138.12</v>
      </c>
      <c r="HX159" s="57">
        <v>146.79</v>
      </c>
      <c r="HY159" s="57">
        <v>247.44</v>
      </c>
      <c r="HZ159" s="57">
        <v>259.56</v>
      </c>
      <c r="IA159" s="57">
        <v>127.32</v>
      </c>
      <c r="IB159" s="57">
        <v>313.64</v>
      </c>
      <c r="IC159" s="57">
        <v>228.42</v>
      </c>
      <c r="ID159" s="57">
        <v>255.68</v>
      </c>
      <c r="IE159" s="57">
        <v>195.03</v>
      </c>
      <c r="IF159" s="57">
        <v>265.06</v>
      </c>
      <c r="IG159" s="57">
        <v>320.27999999999997</v>
      </c>
      <c r="IH159" s="57">
        <v>297.62</v>
      </c>
      <c r="II159" s="57">
        <v>421.12</v>
      </c>
      <c r="IJ159" s="57">
        <v>566.47</v>
      </c>
      <c r="IK159" s="57">
        <v>383.25</v>
      </c>
      <c r="IL159" s="57">
        <v>241.12</v>
      </c>
      <c r="IM159" s="57">
        <v>380.42</v>
      </c>
      <c r="IN159" s="57">
        <v>365.02</v>
      </c>
      <c r="IO159" s="57">
        <v>300.22000000000003</v>
      </c>
      <c r="IP159" s="57">
        <v>218.56</v>
      </c>
      <c r="IQ159" s="57">
        <v>319.17</v>
      </c>
      <c r="IR159" s="57">
        <v>426.66</v>
      </c>
      <c r="IS159" s="57">
        <v>576.25</v>
      </c>
      <c r="IT159" s="57">
        <v>38.57</v>
      </c>
      <c r="IU159" s="57">
        <v>153.38</v>
      </c>
      <c r="IV159" s="57">
        <v>43.11</v>
      </c>
      <c r="IW159" s="57">
        <v>105.02</v>
      </c>
      <c r="IX159" s="57">
        <v>178.73</v>
      </c>
      <c r="IY159" s="57">
        <v>316.7</v>
      </c>
      <c r="IZ159" s="57">
        <v>361.89</v>
      </c>
      <c r="JA159" s="57">
        <v>296.55</v>
      </c>
      <c r="JB159" s="57"/>
      <c r="JC159" s="57">
        <v>311.16000000000003</v>
      </c>
      <c r="JD159" s="57">
        <v>365.24</v>
      </c>
      <c r="JE159" s="57">
        <v>327.32</v>
      </c>
      <c r="JF159" s="57">
        <v>230.19</v>
      </c>
      <c r="JG159" s="57">
        <v>369.97</v>
      </c>
      <c r="JH159" s="57">
        <v>463.85</v>
      </c>
      <c r="JI159" s="57">
        <v>400.08</v>
      </c>
      <c r="JJ159" s="57">
        <v>333.98</v>
      </c>
      <c r="JK159" s="57">
        <v>420.1</v>
      </c>
      <c r="JL159" s="57">
        <v>424.32</v>
      </c>
      <c r="JM159" s="57">
        <v>372.54</v>
      </c>
      <c r="JN159" s="57">
        <v>271.29000000000002</v>
      </c>
      <c r="JO159" s="57">
        <v>235.59</v>
      </c>
      <c r="JP159" s="57">
        <v>509.57</v>
      </c>
      <c r="JQ159" s="57">
        <v>438.31</v>
      </c>
      <c r="JR159" s="57">
        <v>281.93</v>
      </c>
      <c r="JS159" s="57">
        <v>434.42</v>
      </c>
      <c r="JT159" s="57">
        <v>436.02</v>
      </c>
      <c r="JU159" s="57">
        <v>337.65</v>
      </c>
      <c r="JV159" s="57">
        <v>165.34</v>
      </c>
      <c r="JW159" s="57">
        <v>227.28</v>
      </c>
      <c r="JX159" s="57">
        <v>837.41</v>
      </c>
      <c r="JY159" s="57">
        <v>433.18</v>
      </c>
      <c r="JZ159" s="57">
        <v>365.25</v>
      </c>
      <c r="KA159" s="57">
        <v>380.27</v>
      </c>
      <c r="KB159" s="57">
        <v>272.14999999999998</v>
      </c>
      <c r="KC159" s="57">
        <v>344.17</v>
      </c>
      <c r="KD159" s="57">
        <v>420.06</v>
      </c>
      <c r="KE159" s="57">
        <v>517.29999999999995</v>
      </c>
      <c r="KF159" s="57">
        <v>403.59</v>
      </c>
    </row>
    <row r="160" spans="1:292">
      <c r="A160" s="41">
        <v>2017</v>
      </c>
      <c r="B160" s="54" t="s">
        <v>997</v>
      </c>
      <c r="C160" s="50" t="s">
        <v>998</v>
      </c>
      <c r="D160" s="57">
        <v>325.18</v>
      </c>
      <c r="E160" s="57">
        <v>357.95</v>
      </c>
      <c r="F160" s="57">
        <v>591.4</v>
      </c>
      <c r="G160" s="57">
        <v>226.52</v>
      </c>
      <c r="H160" s="57">
        <v>355.72</v>
      </c>
      <c r="I160" s="57">
        <v>255.64</v>
      </c>
      <c r="J160" s="57">
        <v>195.01</v>
      </c>
      <c r="K160" s="57">
        <v>321.23</v>
      </c>
      <c r="L160" s="57">
        <v>135</v>
      </c>
      <c r="M160" s="57">
        <v>223.06</v>
      </c>
      <c r="N160" s="57">
        <v>324.3</v>
      </c>
      <c r="O160" s="57">
        <v>480.22</v>
      </c>
      <c r="P160" s="57">
        <v>393.53</v>
      </c>
      <c r="Q160" s="57">
        <v>360.87</v>
      </c>
      <c r="R160" s="57">
        <v>315.19</v>
      </c>
      <c r="S160" s="57">
        <v>657.37</v>
      </c>
      <c r="T160" s="57">
        <v>586.42999999999995</v>
      </c>
      <c r="U160" s="57">
        <v>219.66</v>
      </c>
      <c r="V160" s="57">
        <v>245.52</v>
      </c>
      <c r="W160" s="57">
        <v>432.79</v>
      </c>
      <c r="X160" s="57">
        <v>287.89</v>
      </c>
      <c r="Y160" s="57">
        <v>343.81</v>
      </c>
      <c r="Z160" s="57">
        <v>330.29</v>
      </c>
      <c r="AA160" s="57">
        <v>298.02</v>
      </c>
      <c r="AB160" s="57">
        <v>248.33</v>
      </c>
      <c r="AC160" s="57">
        <v>194.32</v>
      </c>
      <c r="AD160" s="57">
        <v>290.52999999999997</v>
      </c>
      <c r="AE160" s="57">
        <v>297.54000000000002</v>
      </c>
      <c r="AF160" s="57">
        <v>251.01</v>
      </c>
      <c r="AG160" s="57">
        <v>139.16999999999999</v>
      </c>
      <c r="AH160" s="57">
        <v>231.23</v>
      </c>
      <c r="AI160" s="57">
        <v>313.85000000000002</v>
      </c>
      <c r="AJ160" s="57">
        <v>256.56</v>
      </c>
      <c r="AK160" s="57">
        <v>337.33</v>
      </c>
      <c r="AL160" s="57">
        <v>355.73</v>
      </c>
      <c r="AM160" s="57">
        <v>576.25</v>
      </c>
      <c r="AN160" s="57">
        <v>38.89</v>
      </c>
      <c r="AO160" s="57">
        <v>153.56</v>
      </c>
      <c r="AP160" s="57">
        <v>72.87</v>
      </c>
      <c r="AQ160" s="57">
        <v>318.68</v>
      </c>
      <c r="AR160" s="57">
        <v>351.75</v>
      </c>
      <c r="AS160" s="57">
        <v>304.97000000000003</v>
      </c>
      <c r="AT160" s="57">
        <v>400.09</v>
      </c>
      <c r="AU160" s="57">
        <v>405.32</v>
      </c>
      <c r="AV160" s="57">
        <v>424.39</v>
      </c>
      <c r="AW160" s="57">
        <v>372.78</v>
      </c>
      <c r="AX160" s="57">
        <v>271.29000000000002</v>
      </c>
      <c r="AY160" s="57">
        <v>236.78</v>
      </c>
      <c r="AZ160" s="57">
        <v>490.43</v>
      </c>
      <c r="BA160" s="57">
        <v>329.5</v>
      </c>
      <c r="BB160" s="57">
        <v>262.77</v>
      </c>
      <c r="BC160" s="57">
        <v>750.66</v>
      </c>
      <c r="BD160" s="57">
        <v>380.56</v>
      </c>
      <c r="BE160" s="57">
        <v>413.27</v>
      </c>
      <c r="BF160" s="57">
        <v>517.29999999999995</v>
      </c>
      <c r="BG160" s="57">
        <v>403.87</v>
      </c>
      <c r="BH160" s="57">
        <v>357.65</v>
      </c>
      <c r="BI160" s="57">
        <v>377.57</v>
      </c>
      <c r="BJ160" s="57">
        <v>337.77</v>
      </c>
      <c r="BK160" s="57">
        <v>337.35</v>
      </c>
      <c r="BL160" s="57">
        <v>346.31</v>
      </c>
      <c r="BM160" s="57">
        <v>314.66000000000003</v>
      </c>
      <c r="BN160" s="57">
        <v>418.34</v>
      </c>
      <c r="BO160" s="57">
        <v>274.77999999999997</v>
      </c>
      <c r="BP160" s="57">
        <v>368.71</v>
      </c>
      <c r="BQ160" s="57">
        <v>402.22</v>
      </c>
      <c r="BR160" s="57">
        <v>256.64999999999998</v>
      </c>
      <c r="BS160" s="57">
        <v>701.05</v>
      </c>
      <c r="BT160" s="57">
        <v>386.89</v>
      </c>
      <c r="BU160" s="57">
        <v>634.47</v>
      </c>
      <c r="BV160" s="57">
        <v>586.42999999999995</v>
      </c>
      <c r="BW160" s="57">
        <v>216.95</v>
      </c>
      <c r="BX160" s="57">
        <v>235.11</v>
      </c>
      <c r="BY160" s="57">
        <v>320.8</v>
      </c>
      <c r="BZ160" s="57">
        <v>244.76</v>
      </c>
      <c r="CA160" s="57">
        <v>375.91</v>
      </c>
      <c r="CB160" s="58">
        <v>432.79</v>
      </c>
      <c r="CC160" s="57">
        <v>287.89</v>
      </c>
      <c r="CD160" s="57">
        <v>342.5</v>
      </c>
      <c r="CE160" s="57">
        <v>268.39</v>
      </c>
      <c r="CF160" s="57">
        <v>349.24</v>
      </c>
      <c r="CG160" s="57">
        <v>387.41</v>
      </c>
      <c r="CH160" s="57">
        <v>305.44</v>
      </c>
      <c r="CI160" s="57">
        <v>276.32</v>
      </c>
      <c r="CJ160" s="57">
        <v>248.33</v>
      </c>
      <c r="CK160" s="57">
        <v>174.99</v>
      </c>
      <c r="CL160" s="57">
        <v>219.4</v>
      </c>
      <c r="CM160" s="57">
        <v>435.57</v>
      </c>
      <c r="CN160" s="57">
        <v>290.52999999999997</v>
      </c>
      <c r="CO160" s="57">
        <v>297.54000000000002</v>
      </c>
      <c r="CP160" s="57">
        <v>197.72</v>
      </c>
      <c r="CQ160" s="57">
        <v>473.09</v>
      </c>
      <c r="CR160" s="57">
        <v>139.34</v>
      </c>
      <c r="CS160" s="57">
        <v>213.11</v>
      </c>
      <c r="CT160" s="57">
        <v>144.74</v>
      </c>
      <c r="CU160" s="57">
        <v>247.58</v>
      </c>
      <c r="CV160" s="57">
        <v>260.83999999999997</v>
      </c>
      <c r="CW160" s="57">
        <v>140.21</v>
      </c>
      <c r="CX160" s="57">
        <v>313.85000000000002</v>
      </c>
      <c r="CY160" s="57">
        <v>258.08999999999997</v>
      </c>
      <c r="CZ160" s="57">
        <v>197.31</v>
      </c>
      <c r="DA160" s="57">
        <v>266.02999999999997</v>
      </c>
      <c r="DB160" s="57">
        <v>324.76</v>
      </c>
      <c r="DC160" s="57">
        <v>310.88</v>
      </c>
      <c r="DD160" s="57">
        <v>423.34</v>
      </c>
      <c r="DE160" s="57">
        <v>561.36</v>
      </c>
      <c r="DF160" s="57">
        <v>313.45</v>
      </c>
      <c r="DG160" s="57">
        <v>363.07</v>
      </c>
      <c r="DH160" s="57">
        <v>200.05</v>
      </c>
      <c r="DI160" s="57">
        <v>319.17</v>
      </c>
      <c r="DJ160" s="57">
        <v>431.82</v>
      </c>
      <c r="DK160" s="57">
        <v>576.25</v>
      </c>
      <c r="DL160" s="57">
        <v>38.89</v>
      </c>
      <c r="DM160" s="57">
        <v>153.56</v>
      </c>
      <c r="DN160" s="57">
        <v>43.6</v>
      </c>
      <c r="DO160" s="57">
        <v>107.92</v>
      </c>
      <c r="DP160" s="57">
        <v>178.73</v>
      </c>
      <c r="DQ160" s="57">
        <v>318.68</v>
      </c>
      <c r="DR160" s="57">
        <v>368.84</v>
      </c>
      <c r="DS160" s="57">
        <v>297.63</v>
      </c>
      <c r="DT160" s="57"/>
      <c r="DU160" s="57">
        <v>311.49</v>
      </c>
      <c r="DV160" s="57">
        <v>364.86</v>
      </c>
      <c r="DW160" s="57">
        <v>245.01</v>
      </c>
      <c r="DX160" s="57">
        <v>369.97</v>
      </c>
      <c r="DY160" s="57">
        <v>468.74</v>
      </c>
      <c r="DZ160" s="57">
        <v>400.08</v>
      </c>
      <c r="EA160" s="57">
        <v>337.18</v>
      </c>
      <c r="EB160" s="57">
        <v>405.32</v>
      </c>
      <c r="EC160" s="57">
        <v>424.39</v>
      </c>
      <c r="ED160" s="57">
        <v>372.78</v>
      </c>
      <c r="EE160" s="57">
        <v>271.29000000000002</v>
      </c>
      <c r="EF160" s="57">
        <v>236.78</v>
      </c>
      <c r="EG160" s="57">
        <v>490.43</v>
      </c>
      <c r="EH160" s="57">
        <v>329.5</v>
      </c>
      <c r="EI160" s="57">
        <v>387.99</v>
      </c>
      <c r="EJ160" s="57">
        <v>168.81</v>
      </c>
      <c r="EK160" s="57">
        <v>228.04</v>
      </c>
      <c r="EL160" s="57">
        <v>886.26</v>
      </c>
      <c r="EM160" s="57">
        <v>412.01</v>
      </c>
      <c r="EN160" s="57">
        <v>380.56</v>
      </c>
      <c r="EO160" s="57">
        <v>272.02999999999997</v>
      </c>
      <c r="EP160" s="57">
        <v>344.17</v>
      </c>
      <c r="EQ160" s="57">
        <v>425.85</v>
      </c>
      <c r="ER160" s="57">
        <v>517.29999999999995</v>
      </c>
      <c r="ES160" s="57">
        <v>403.87</v>
      </c>
      <c r="ET160" s="57">
        <v>400.04</v>
      </c>
      <c r="EU160" s="57">
        <v>319.91000000000003</v>
      </c>
      <c r="EV160" s="57">
        <v>374.61</v>
      </c>
      <c r="EW160" s="57">
        <v>326.11</v>
      </c>
      <c r="EX160" s="57">
        <v>313.31</v>
      </c>
      <c r="EY160" s="57">
        <v>223.44</v>
      </c>
      <c r="EZ160" s="57">
        <v>394.34</v>
      </c>
      <c r="FA160" s="57">
        <v>440.59</v>
      </c>
      <c r="FB160" s="57">
        <v>285.20999999999998</v>
      </c>
      <c r="FC160" s="57">
        <v>508.7</v>
      </c>
      <c r="FD160" s="57">
        <v>329.79</v>
      </c>
      <c r="FE160" s="57">
        <v>337.77</v>
      </c>
      <c r="FF160" s="57"/>
      <c r="FG160" s="57">
        <v>262.76</v>
      </c>
      <c r="FH160" s="57">
        <v>276.05</v>
      </c>
      <c r="FI160" s="57">
        <v>366.64</v>
      </c>
      <c r="FJ160" s="57">
        <v>462.66</v>
      </c>
      <c r="FK160" s="57">
        <v>584.5</v>
      </c>
      <c r="FL160" s="57">
        <v>261.58</v>
      </c>
      <c r="FM160" s="57">
        <v>321.47000000000003</v>
      </c>
      <c r="FN160" s="57">
        <v>263.77999999999997</v>
      </c>
      <c r="FO160" s="57">
        <v>579.70000000000005</v>
      </c>
      <c r="FP160" s="57">
        <v>420.29</v>
      </c>
      <c r="FQ160" s="57">
        <v>321.54000000000002</v>
      </c>
      <c r="FR160" s="57">
        <v>600.5</v>
      </c>
      <c r="FS160" s="57">
        <v>367.33</v>
      </c>
      <c r="FT160" s="57">
        <v>239.37</v>
      </c>
      <c r="FU160" s="57">
        <v>385.94</v>
      </c>
      <c r="FV160" s="57">
        <v>279.38</v>
      </c>
      <c r="FW160" s="57">
        <v>217.39</v>
      </c>
      <c r="FX160" s="57">
        <v>368.71</v>
      </c>
      <c r="FY160" s="57">
        <v>372.86</v>
      </c>
      <c r="FZ160" s="57">
        <v>410.99</v>
      </c>
      <c r="GA160" s="57">
        <v>260.08</v>
      </c>
      <c r="GB160" s="57">
        <v>269.05</v>
      </c>
      <c r="GC160" s="57">
        <v>258.27999999999997</v>
      </c>
      <c r="GD160" s="57">
        <v>224.88</v>
      </c>
      <c r="GE160" s="57">
        <v>701.05</v>
      </c>
      <c r="GF160" s="57">
        <v>386.89</v>
      </c>
      <c r="GG160" s="57">
        <v>634.47</v>
      </c>
      <c r="GH160" s="57">
        <v>585.45000000000005</v>
      </c>
      <c r="GI160" s="57">
        <v>227.73</v>
      </c>
      <c r="GJ160" s="57">
        <v>213.84</v>
      </c>
      <c r="GK160" s="57">
        <v>195.15</v>
      </c>
      <c r="GL160" s="57">
        <v>267</v>
      </c>
      <c r="GM160" s="57">
        <v>235.11</v>
      </c>
      <c r="GN160" s="57">
        <v>320.8</v>
      </c>
      <c r="GO160" s="57">
        <v>247.38</v>
      </c>
      <c r="GP160" s="57">
        <v>239.49</v>
      </c>
      <c r="GQ160" s="57">
        <v>250.29</v>
      </c>
      <c r="GR160" s="57">
        <v>375.91</v>
      </c>
      <c r="GS160" s="57">
        <v>432.79</v>
      </c>
      <c r="GT160" s="57">
        <v>287.89</v>
      </c>
      <c r="GU160" s="57">
        <v>342.5</v>
      </c>
      <c r="GV160" s="57">
        <v>268.39</v>
      </c>
      <c r="GW160" s="57">
        <v>308.55</v>
      </c>
      <c r="GX160" s="57">
        <v>399.06</v>
      </c>
      <c r="GY160" s="57">
        <v>387.41</v>
      </c>
      <c r="GZ160" s="57">
        <v>362.06</v>
      </c>
      <c r="HA160" s="57">
        <v>295.98</v>
      </c>
      <c r="HB160" s="57">
        <v>302.77</v>
      </c>
      <c r="HC160" s="57">
        <v>276.32</v>
      </c>
      <c r="HD160" s="57">
        <v>248.33</v>
      </c>
      <c r="HE160" s="57">
        <v>142.05000000000001</v>
      </c>
      <c r="HF160" s="57">
        <v>158.80000000000001</v>
      </c>
      <c r="HG160" s="57">
        <v>206.54</v>
      </c>
      <c r="HH160" s="57">
        <v>247.3</v>
      </c>
      <c r="HI160" s="57">
        <v>126.63</v>
      </c>
      <c r="HJ160" s="57">
        <v>219.4</v>
      </c>
      <c r="HK160" s="57">
        <v>435.57</v>
      </c>
      <c r="HL160" s="57">
        <v>252.73</v>
      </c>
      <c r="HM160" s="57">
        <v>312.22000000000003</v>
      </c>
      <c r="HN160" s="57">
        <v>320.01</v>
      </c>
      <c r="HO160" s="57">
        <v>258.17</v>
      </c>
      <c r="HP160" s="57">
        <v>334.88</v>
      </c>
      <c r="HQ160" s="57">
        <v>183.8</v>
      </c>
      <c r="HR160" s="57">
        <v>299.05</v>
      </c>
      <c r="HS160" s="57">
        <v>482.9</v>
      </c>
      <c r="HT160" s="57">
        <v>285.17</v>
      </c>
      <c r="HU160" s="57">
        <v>139.34</v>
      </c>
      <c r="HV160" s="57">
        <v>213.11</v>
      </c>
      <c r="HW160" s="57">
        <v>138.16</v>
      </c>
      <c r="HX160" s="57">
        <v>148.27000000000001</v>
      </c>
      <c r="HY160" s="57">
        <v>247.58</v>
      </c>
      <c r="HZ160" s="57">
        <v>260.83999999999997</v>
      </c>
      <c r="IA160" s="57">
        <v>128.09</v>
      </c>
      <c r="IB160" s="57">
        <v>313.85000000000002</v>
      </c>
      <c r="IC160" s="57">
        <v>234.59</v>
      </c>
      <c r="ID160" s="57">
        <v>262.32</v>
      </c>
      <c r="IE160" s="57">
        <v>197.31</v>
      </c>
      <c r="IF160" s="57">
        <v>266.02999999999997</v>
      </c>
      <c r="IG160" s="57">
        <v>324.76</v>
      </c>
      <c r="IH160" s="57">
        <v>310.88</v>
      </c>
      <c r="II160" s="57">
        <v>423.34</v>
      </c>
      <c r="IJ160" s="57">
        <v>561.36</v>
      </c>
      <c r="IK160" s="57">
        <v>383.25</v>
      </c>
      <c r="IL160" s="57">
        <v>241.12</v>
      </c>
      <c r="IM160" s="57">
        <v>380.86</v>
      </c>
      <c r="IN160" s="57">
        <v>366.54</v>
      </c>
      <c r="IO160" s="57">
        <v>294.93</v>
      </c>
      <c r="IP160" s="57">
        <v>200.05</v>
      </c>
      <c r="IQ160" s="57">
        <v>319.17</v>
      </c>
      <c r="IR160" s="57">
        <v>431.82</v>
      </c>
      <c r="IS160" s="57">
        <v>576.25</v>
      </c>
      <c r="IT160" s="57">
        <v>38.89</v>
      </c>
      <c r="IU160" s="57">
        <v>153.56</v>
      </c>
      <c r="IV160" s="57">
        <v>43.61</v>
      </c>
      <c r="IW160" s="57">
        <v>107.92</v>
      </c>
      <c r="IX160" s="57">
        <v>178.73</v>
      </c>
      <c r="IY160" s="57">
        <v>318.68</v>
      </c>
      <c r="IZ160" s="57">
        <v>368.84</v>
      </c>
      <c r="JA160" s="57">
        <v>297.63</v>
      </c>
      <c r="JB160" s="57"/>
      <c r="JC160" s="57">
        <v>311.49</v>
      </c>
      <c r="JD160" s="57">
        <v>364.86</v>
      </c>
      <c r="JE160" s="57">
        <v>328.86</v>
      </c>
      <c r="JF160" s="57">
        <v>230.72</v>
      </c>
      <c r="JG160" s="57">
        <v>369.97</v>
      </c>
      <c r="JH160" s="57">
        <v>468.74</v>
      </c>
      <c r="JI160" s="57">
        <v>400.08</v>
      </c>
      <c r="JJ160" s="57">
        <v>337.18</v>
      </c>
      <c r="JK160" s="57">
        <v>405.32</v>
      </c>
      <c r="JL160" s="57">
        <v>424.39</v>
      </c>
      <c r="JM160" s="57">
        <v>372.78</v>
      </c>
      <c r="JN160" s="57">
        <v>271.29000000000002</v>
      </c>
      <c r="JO160" s="57">
        <v>236.78</v>
      </c>
      <c r="JP160" s="57">
        <v>512.53</v>
      </c>
      <c r="JQ160" s="57">
        <v>439.78</v>
      </c>
      <c r="JR160" s="57">
        <v>281.37</v>
      </c>
      <c r="JS160" s="57">
        <v>434.57</v>
      </c>
      <c r="JT160" s="57">
        <v>437.56</v>
      </c>
      <c r="JU160" s="57">
        <v>340.46</v>
      </c>
      <c r="JV160" s="57">
        <v>168.81</v>
      </c>
      <c r="JW160" s="57">
        <v>228.04</v>
      </c>
      <c r="JX160" s="57">
        <v>886.26</v>
      </c>
      <c r="JY160" s="57">
        <v>434.51</v>
      </c>
      <c r="JZ160" s="57">
        <v>370.92</v>
      </c>
      <c r="KA160" s="57">
        <v>380.56</v>
      </c>
      <c r="KB160" s="57">
        <v>272.02999999999997</v>
      </c>
      <c r="KC160" s="57">
        <v>344.17</v>
      </c>
      <c r="KD160" s="57">
        <v>425.85</v>
      </c>
      <c r="KE160" s="57">
        <v>517.29999999999995</v>
      </c>
      <c r="KF160" s="57">
        <v>403.87</v>
      </c>
    </row>
    <row r="161" spans="1:292">
      <c r="A161" s="41">
        <v>2017</v>
      </c>
      <c r="B161" s="59" t="s">
        <v>999</v>
      </c>
      <c r="C161" s="41" t="s">
        <v>1000</v>
      </c>
      <c r="D161" s="57">
        <v>327.41000000000003</v>
      </c>
      <c r="E161" s="57">
        <v>363.38</v>
      </c>
      <c r="F161" s="57">
        <v>591.36</v>
      </c>
      <c r="G161" s="57">
        <v>221.1</v>
      </c>
      <c r="H161" s="57">
        <v>358.47</v>
      </c>
      <c r="I161" s="57">
        <v>258.64999999999998</v>
      </c>
      <c r="J161" s="57">
        <v>195.46</v>
      </c>
      <c r="K161" s="57">
        <v>326.64999999999998</v>
      </c>
      <c r="L161" s="57">
        <v>134.77000000000001</v>
      </c>
      <c r="M161" s="57">
        <v>223.11</v>
      </c>
      <c r="N161" s="57">
        <v>324.39</v>
      </c>
      <c r="O161" s="57">
        <v>482.5</v>
      </c>
      <c r="P161" s="57">
        <v>393.72</v>
      </c>
      <c r="Q161" s="57">
        <v>366.83</v>
      </c>
      <c r="R161" s="57">
        <v>314.72000000000003</v>
      </c>
      <c r="S161" s="57">
        <v>656.8</v>
      </c>
      <c r="T161" s="57">
        <v>586.42999999999995</v>
      </c>
      <c r="U161" s="57">
        <v>213.91</v>
      </c>
      <c r="V161" s="57">
        <v>241.67</v>
      </c>
      <c r="W161" s="57">
        <v>435.6</v>
      </c>
      <c r="X161" s="57">
        <v>294.38</v>
      </c>
      <c r="Y161" s="57">
        <v>344.48</v>
      </c>
      <c r="Z161" s="57">
        <v>332.47</v>
      </c>
      <c r="AA161" s="57">
        <v>297.93</v>
      </c>
      <c r="AB161" s="57">
        <v>249.64</v>
      </c>
      <c r="AC161" s="57">
        <v>201.71</v>
      </c>
      <c r="AD161" s="57">
        <v>292.66000000000003</v>
      </c>
      <c r="AE161" s="57">
        <v>300.79000000000002</v>
      </c>
      <c r="AF161" s="57">
        <v>251.79</v>
      </c>
      <c r="AG161" s="57">
        <v>138.75</v>
      </c>
      <c r="AH161" s="57">
        <v>232.32</v>
      </c>
      <c r="AI161" s="57">
        <v>315.49</v>
      </c>
      <c r="AJ161" s="57">
        <v>265.56</v>
      </c>
      <c r="AK161" s="57">
        <v>339.64</v>
      </c>
      <c r="AL161" s="57">
        <v>358.07</v>
      </c>
      <c r="AM161" s="57">
        <v>576.25</v>
      </c>
      <c r="AN161" s="57">
        <v>38.520000000000003</v>
      </c>
      <c r="AO161" s="57">
        <v>153.56</v>
      </c>
      <c r="AP161" s="57">
        <v>72.77</v>
      </c>
      <c r="AQ161" s="57">
        <v>320</v>
      </c>
      <c r="AR161" s="57">
        <v>354.38</v>
      </c>
      <c r="AS161" s="57">
        <v>306.75</v>
      </c>
      <c r="AT161" s="57">
        <v>402.4</v>
      </c>
      <c r="AU161" s="57">
        <v>397.33</v>
      </c>
      <c r="AV161" s="57">
        <v>424.44</v>
      </c>
      <c r="AW161" s="57">
        <v>372.77</v>
      </c>
      <c r="AX161" s="57">
        <v>271.29000000000002</v>
      </c>
      <c r="AY161" s="57">
        <v>237.3</v>
      </c>
      <c r="AZ161" s="57">
        <v>493.28</v>
      </c>
      <c r="BA161" s="57">
        <v>328.49</v>
      </c>
      <c r="BB161" s="57">
        <v>266.01</v>
      </c>
      <c r="BC161" s="57">
        <v>739.11</v>
      </c>
      <c r="BD161" s="57">
        <v>380.87</v>
      </c>
      <c r="BE161" s="57">
        <v>412.22</v>
      </c>
      <c r="BF161" s="57">
        <v>517.29999999999995</v>
      </c>
      <c r="BG161" s="57">
        <v>403.99</v>
      </c>
      <c r="BH161" s="57">
        <v>359.57</v>
      </c>
      <c r="BI161" s="57">
        <v>373.37</v>
      </c>
      <c r="BJ161" s="57">
        <v>363.15</v>
      </c>
      <c r="BK161" s="57">
        <v>343.89</v>
      </c>
      <c r="BL161" s="57">
        <v>349.54</v>
      </c>
      <c r="BM161" s="57">
        <v>318.2</v>
      </c>
      <c r="BN161" s="57">
        <v>447.32</v>
      </c>
      <c r="BO161" s="57">
        <v>275.24</v>
      </c>
      <c r="BP161" s="57">
        <v>373.12</v>
      </c>
      <c r="BQ161" s="57">
        <v>401.02</v>
      </c>
      <c r="BR161" s="57">
        <v>256.54000000000002</v>
      </c>
      <c r="BS161" s="57">
        <v>699.56</v>
      </c>
      <c r="BT161" s="57">
        <v>384.89</v>
      </c>
      <c r="BU161" s="57">
        <v>635.28</v>
      </c>
      <c r="BV161" s="57">
        <v>586.42999999999995</v>
      </c>
      <c r="BW161" s="57">
        <v>210.76</v>
      </c>
      <c r="BX161" s="57">
        <v>235.19</v>
      </c>
      <c r="BY161" s="57">
        <v>322.74</v>
      </c>
      <c r="BZ161" s="57">
        <v>240.88</v>
      </c>
      <c r="CA161" s="57">
        <v>378.17</v>
      </c>
      <c r="CB161" s="58">
        <v>435.6</v>
      </c>
      <c r="CC161" s="57">
        <v>294.38</v>
      </c>
      <c r="CD161" s="57">
        <v>343.16</v>
      </c>
      <c r="CE161" s="57">
        <v>268.39</v>
      </c>
      <c r="CF161" s="57">
        <v>351.86</v>
      </c>
      <c r="CG161" s="57">
        <v>395.25</v>
      </c>
      <c r="CH161" s="57">
        <v>305.14999999999998</v>
      </c>
      <c r="CI161" s="57">
        <v>278.02</v>
      </c>
      <c r="CJ161" s="57">
        <v>249.64</v>
      </c>
      <c r="CK161" s="57">
        <v>181.95</v>
      </c>
      <c r="CL161" s="57">
        <v>229.22</v>
      </c>
      <c r="CM161" s="57">
        <v>438.72</v>
      </c>
      <c r="CN161" s="57">
        <v>292.66000000000003</v>
      </c>
      <c r="CO161" s="57">
        <v>300.79000000000002</v>
      </c>
      <c r="CP161" s="57">
        <v>198.32</v>
      </c>
      <c r="CQ161" s="57">
        <v>474.59</v>
      </c>
      <c r="CR161" s="57">
        <v>139.62</v>
      </c>
      <c r="CS161" s="57">
        <v>218.65</v>
      </c>
      <c r="CT161" s="57">
        <v>140.62</v>
      </c>
      <c r="CU161" s="57">
        <v>247.71</v>
      </c>
      <c r="CV161" s="57">
        <v>263.98</v>
      </c>
      <c r="CW161" s="57">
        <v>140.1</v>
      </c>
      <c r="CX161" s="57">
        <v>315.49</v>
      </c>
      <c r="CY161" s="57">
        <v>267.43</v>
      </c>
      <c r="CZ161" s="57">
        <v>199.85</v>
      </c>
      <c r="DA161" s="57">
        <v>267.93</v>
      </c>
      <c r="DB161" s="57">
        <v>329.66</v>
      </c>
      <c r="DC161" s="57">
        <v>312.37</v>
      </c>
      <c r="DD161" s="57">
        <v>428.93</v>
      </c>
      <c r="DE161" s="57">
        <v>567.70000000000005</v>
      </c>
      <c r="DF161" s="57">
        <v>313.26</v>
      </c>
      <c r="DG161" s="57">
        <v>365.05</v>
      </c>
      <c r="DH161" s="57">
        <v>203.13</v>
      </c>
      <c r="DI161" s="57">
        <v>319.17</v>
      </c>
      <c r="DJ161" s="57">
        <v>434.87</v>
      </c>
      <c r="DK161" s="57">
        <v>576.25</v>
      </c>
      <c r="DL161" s="57">
        <v>38.520000000000003</v>
      </c>
      <c r="DM161" s="57">
        <v>153.56</v>
      </c>
      <c r="DN161" s="57">
        <v>43.56</v>
      </c>
      <c r="DO161" s="57">
        <v>107.48</v>
      </c>
      <c r="DP161" s="57">
        <v>178.73</v>
      </c>
      <c r="DQ161" s="57">
        <v>320</v>
      </c>
      <c r="DR161" s="57">
        <v>369.94</v>
      </c>
      <c r="DS161" s="57">
        <v>303.02</v>
      </c>
      <c r="DT161" s="57"/>
      <c r="DU161" s="57">
        <v>313.83</v>
      </c>
      <c r="DV161" s="57">
        <v>367.33</v>
      </c>
      <c r="DW161" s="57">
        <v>246.33</v>
      </c>
      <c r="DX161" s="57">
        <v>369.97</v>
      </c>
      <c r="DY161" s="57">
        <v>471.33</v>
      </c>
      <c r="DZ161" s="57">
        <v>400.08</v>
      </c>
      <c r="EA161" s="57">
        <v>340.25</v>
      </c>
      <c r="EB161" s="57">
        <v>397.33</v>
      </c>
      <c r="EC161" s="57">
        <v>424.44</v>
      </c>
      <c r="ED161" s="57">
        <v>372.77</v>
      </c>
      <c r="EE161" s="57">
        <v>271.29000000000002</v>
      </c>
      <c r="EF161" s="57">
        <v>237.3</v>
      </c>
      <c r="EG161" s="57">
        <v>493.28</v>
      </c>
      <c r="EH161" s="57">
        <v>328.49</v>
      </c>
      <c r="EI161" s="57">
        <v>390.84</v>
      </c>
      <c r="EJ161" s="57">
        <v>172.37</v>
      </c>
      <c r="EK161" s="57">
        <v>231.4</v>
      </c>
      <c r="EL161" s="57">
        <v>867.16</v>
      </c>
      <c r="EM161" s="57">
        <v>414.86</v>
      </c>
      <c r="EN161" s="57">
        <v>380.87</v>
      </c>
      <c r="EO161" s="57">
        <v>271.22000000000003</v>
      </c>
      <c r="EP161" s="57">
        <v>345.62</v>
      </c>
      <c r="EQ161" s="57">
        <v>424.04</v>
      </c>
      <c r="ER161" s="57">
        <v>517.29999999999995</v>
      </c>
      <c r="ES161" s="57">
        <v>403.99</v>
      </c>
      <c r="ET161" s="57">
        <v>414.12</v>
      </c>
      <c r="EU161" s="57">
        <v>319.22000000000003</v>
      </c>
      <c r="EV161" s="57">
        <v>375.52</v>
      </c>
      <c r="EW161" s="57">
        <v>328.75</v>
      </c>
      <c r="EX161" s="57">
        <v>312.02999999999997</v>
      </c>
      <c r="EY161" s="57">
        <v>224.65</v>
      </c>
      <c r="EZ161" s="57">
        <v>390.79</v>
      </c>
      <c r="FA161" s="57">
        <v>430.89</v>
      </c>
      <c r="FB161" s="57">
        <v>283.3</v>
      </c>
      <c r="FC161" s="57">
        <v>513.87</v>
      </c>
      <c r="FD161" s="57">
        <v>328.2</v>
      </c>
      <c r="FE161" s="57">
        <v>363.15</v>
      </c>
      <c r="FF161" s="57"/>
      <c r="FG161" s="57">
        <v>263</v>
      </c>
      <c r="FH161" s="57">
        <v>273.11</v>
      </c>
      <c r="FI161" s="57">
        <v>368.75</v>
      </c>
      <c r="FJ161" s="57">
        <v>507.7</v>
      </c>
      <c r="FK161" s="57">
        <v>586.88</v>
      </c>
      <c r="FL161" s="57">
        <v>265.36</v>
      </c>
      <c r="FM161" s="57">
        <v>324.93</v>
      </c>
      <c r="FN161" s="57">
        <v>266.70999999999998</v>
      </c>
      <c r="FO161" s="57">
        <v>586.41</v>
      </c>
      <c r="FP161" s="57">
        <v>459.58</v>
      </c>
      <c r="FQ161" s="57">
        <v>342.4</v>
      </c>
      <c r="FR161" s="57">
        <v>604.29</v>
      </c>
      <c r="FS161" s="57">
        <v>372.62</v>
      </c>
      <c r="FT161" s="57">
        <v>239.81</v>
      </c>
      <c r="FU161" s="57">
        <v>386.57</v>
      </c>
      <c r="FV161" s="57">
        <v>280.56</v>
      </c>
      <c r="FW161" s="57">
        <v>216.24</v>
      </c>
      <c r="FX161" s="57">
        <v>373.12</v>
      </c>
      <c r="FY161" s="57">
        <v>370.45</v>
      </c>
      <c r="FZ161" s="57">
        <v>410.02</v>
      </c>
      <c r="GA161" s="57">
        <v>260.48</v>
      </c>
      <c r="GB161" s="57">
        <v>268.74</v>
      </c>
      <c r="GC161" s="57">
        <v>258.22000000000003</v>
      </c>
      <c r="GD161" s="57">
        <v>225.09</v>
      </c>
      <c r="GE161" s="57">
        <v>699.56</v>
      </c>
      <c r="GF161" s="57">
        <v>384.89</v>
      </c>
      <c r="GG161" s="57">
        <v>635.28</v>
      </c>
      <c r="GH161" s="57">
        <v>585.45000000000005</v>
      </c>
      <c r="GI161" s="57">
        <v>224.14</v>
      </c>
      <c r="GJ161" s="57">
        <v>204.63</v>
      </c>
      <c r="GK161" s="57">
        <v>191.65</v>
      </c>
      <c r="GL161" s="57">
        <v>266.33999999999997</v>
      </c>
      <c r="GM161" s="57">
        <v>235.19</v>
      </c>
      <c r="GN161" s="57">
        <v>322.74</v>
      </c>
      <c r="GO161" s="57">
        <v>244.46</v>
      </c>
      <c r="GP161" s="57">
        <v>235.64</v>
      </c>
      <c r="GQ161" s="57">
        <v>243.99</v>
      </c>
      <c r="GR161" s="57">
        <v>378.17</v>
      </c>
      <c r="GS161" s="57">
        <v>435.6</v>
      </c>
      <c r="GT161" s="57">
        <v>294.38</v>
      </c>
      <c r="GU161" s="57">
        <v>343.16</v>
      </c>
      <c r="GV161" s="57">
        <v>268.39</v>
      </c>
      <c r="GW161" s="57">
        <v>310.58</v>
      </c>
      <c r="GX161" s="57">
        <v>402.76</v>
      </c>
      <c r="GY161" s="57">
        <v>395.25</v>
      </c>
      <c r="GZ161" s="57">
        <v>364.65</v>
      </c>
      <c r="HA161" s="57">
        <v>294.20999999999998</v>
      </c>
      <c r="HB161" s="57">
        <v>302.76</v>
      </c>
      <c r="HC161" s="57">
        <v>278.02</v>
      </c>
      <c r="HD161" s="57">
        <v>249.64</v>
      </c>
      <c r="HE161" s="57">
        <v>148.38</v>
      </c>
      <c r="HF161" s="57">
        <v>164.45</v>
      </c>
      <c r="HG161" s="57">
        <v>214.24</v>
      </c>
      <c r="HH161" s="57">
        <v>258.48</v>
      </c>
      <c r="HI161" s="57">
        <v>129.91999999999999</v>
      </c>
      <c r="HJ161" s="57">
        <v>229.22</v>
      </c>
      <c r="HK161" s="57">
        <v>438.72</v>
      </c>
      <c r="HL161" s="57">
        <v>254.4</v>
      </c>
      <c r="HM161" s="57">
        <v>314.19</v>
      </c>
      <c r="HN161" s="57">
        <v>322.64</v>
      </c>
      <c r="HO161" s="57">
        <v>261.31</v>
      </c>
      <c r="HP161" s="57">
        <v>338.04</v>
      </c>
      <c r="HQ161" s="57">
        <v>183.69</v>
      </c>
      <c r="HR161" s="57">
        <v>304</v>
      </c>
      <c r="HS161" s="57">
        <v>484.53</v>
      </c>
      <c r="HT161" s="57">
        <v>285.55</v>
      </c>
      <c r="HU161" s="57">
        <v>139.62</v>
      </c>
      <c r="HV161" s="57">
        <v>218.65</v>
      </c>
      <c r="HW161" s="57">
        <v>131.63</v>
      </c>
      <c r="HX161" s="57">
        <v>149.34</v>
      </c>
      <c r="HY161" s="57">
        <v>247.71</v>
      </c>
      <c r="HZ161" s="57">
        <v>263.98</v>
      </c>
      <c r="IA161" s="57">
        <v>127.98</v>
      </c>
      <c r="IB161" s="57">
        <v>315.49</v>
      </c>
      <c r="IC161" s="57">
        <v>242.97</v>
      </c>
      <c r="ID161" s="57">
        <v>271.99</v>
      </c>
      <c r="IE161" s="57">
        <v>199.85</v>
      </c>
      <c r="IF161" s="57">
        <v>267.93</v>
      </c>
      <c r="IG161" s="57">
        <v>329.66</v>
      </c>
      <c r="IH161" s="57">
        <v>312.37</v>
      </c>
      <c r="II161" s="57">
        <v>428.93</v>
      </c>
      <c r="IJ161" s="57">
        <v>567.70000000000005</v>
      </c>
      <c r="IK161" s="57">
        <v>382.43</v>
      </c>
      <c r="IL161" s="57">
        <v>241.12</v>
      </c>
      <c r="IM161" s="57">
        <v>382.07</v>
      </c>
      <c r="IN161" s="57">
        <v>367.05</v>
      </c>
      <c r="IO161" s="57">
        <v>299.36</v>
      </c>
      <c r="IP161" s="57">
        <v>203.13</v>
      </c>
      <c r="IQ161" s="57">
        <v>319.17</v>
      </c>
      <c r="IR161" s="57">
        <v>434.87</v>
      </c>
      <c r="IS161" s="57">
        <v>576.25</v>
      </c>
      <c r="IT161" s="57">
        <v>38.520000000000003</v>
      </c>
      <c r="IU161" s="57">
        <v>153.56</v>
      </c>
      <c r="IV161" s="57">
        <v>43.57</v>
      </c>
      <c r="IW161" s="57">
        <v>107.48</v>
      </c>
      <c r="IX161" s="57">
        <v>178.73</v>
      </c>
      <c r="IY161" s="57">
        <v>320</v>
      </c>
      <c r="IZ161" s="57">
        <v>369.94</v>
      </c>
      <c r="JA161" s="57">
        <v>303.02</v>
      </c>
      <c r="JB161" s="57"/>
      <c r="JC161" s="57">
        <v>313.83</v>
      </c>
      <c r="JD161" s="57">
        <v>367.33</v>
      </c>
      <c r="JE161" s="57">
        <v>329.74</v>
      </c>
      <c r="JF161" s="57">
        <v>232.06</v>
      </c>
      <c r="JG161" s="57">
        <v>369.97</v>
      </c>
      <c r="JH161" s="57">
        <v>471.33</v>
      </c>
      <c r="JI161" s="57">
        <v>400.08</v>
      </c>
      <c r="JJ161" s="57">
        <v>340.25</v>
      </c>
      <c r="JK161" s="57">
        <v>397.33</v>
      </c>
      <c r="JL161" s="57">
        <v>424.44</v>
      </c>
      <c r="JM161" s="57">
        <v>372.77</v>
      </c>
      <c r="JN161" s="57">
        <v>271.29000000000002</v>
      </c>
      <c r="JO161" s="57">
        <v>237.3</v>
      </c>
      <c r="JP161" s="57">
        <v>515.35</v>
      </c>
      <c r="JQ161" s="57">
        <v>442.95</v>
      </c>
      <c r="JR161" s="57">
        <v>279.92</v>
      </c>
      <c r="JS161" s="57">
        <v>434.66</v>
      </c>
      <c r="JT161" s="57">
        <v>439.87</v>
      </c>
      <c r="JU161" s="57">
        <v>343.58</v>
      </c>
      <c r="JV161" s="57">
        <v>172.37</v>
      </c>
      <c r="JW161" s="57">
        <v>231.4</v>
      </c>
      <c r="JX161" s="57">
        <v>867.16</v>
      </c>
      <c r="JY161" s="57">
        <v>436.94</v>
      </c>
      <c r="JZ161" s="57">
        <v>374.27</v>
      </c>
      <c r="KA161" s="57">
        <v>380.87</v>
      </c>
      <c r="KB161" s="57">
        <v>271.22000000000003</v>
      </c>
      <c r="KC161" s="57">
        <v>345.62</v>
      </c>
      <c r="KD161" s="57">
        <v>424.04</v>
      </c>
      <c r="KE161" s="57">
        <v>517.29999999999995</v>
      </c>
      <c r="KF161" s="57">
        <v>403.99</v>
      </c>
    </row>
    <row r="162" spans="1:292">
      <c r="A162" s="41">
        <v>2018</v>
      </c>
      <c r="B162" s="59" t="s">
        <v>977</v>
      </c>
      <c r="C162" s="41" t="s">
        <v>978</v>
      </c>
      <c r="D162" s="57">
        <v>330.75</v>
      </c>
      <c r="E162" s="57">
        <v>369.45</v>
      </c>
      <c r="F162" s="57">
        <v>593.66999999999996</v>
      </c>
      <c r="G162" s="57">
        <v>207.78</v>
      </c>
      <c r="H162" s="57">
        <v>366.86</v>
      </c>
      <c r="I162" s="57">
        <v>264.95</v>
      </c>
      <c r="J162" s="57">
        <v>200.19</v>
      </c>
      <c r="K162" s="57">
        <v>330.9</v>
      </c>
      <c r="L162" s="57">
        <v>133.44</v>
      </c>
      <c r="M162" s="57">
        <v>225.92</v>
      </c>
      <c r="N162" s="57">
        <v>325.12</v>
      </c>
      <c r="O162" s="57">
        <v>487.35</v>
      </c>
      <c r="P162" s="57">
        <v>405.36</v>
      </c>
      <c r="Q162" s="57">
        <v>373.07</v>
      </c>
      <c r="R162" s="57">
        <v>318.64999999999998</v>
      </c>
      <c r="S162" s="57">
        <v>694.48</v>
      </c>
      <c r="T162" s="57">
        <v>586.42999999999995</v>
      </c>
      <c r="U162" s="57">
        <v>200.5</v>
      </c>
      <c r="V162" s="57">
        <v>229.19</v>
      </c>
      <c r="W162" s="57">
        <v>439.17</v>
      </c>
      <c r="X162" s="57">
        <v>302.07</v>
      </c>
      <c r="Y162" s="57">
        <v>349.16</v>
      </c>
      <c r="Z162" s="57">
        <v>346.06</v>
      </c>
      <c r="AA162" s="57">
        <v>312.3</v>
      </c>
      <c r="AB162" s="57">
        <v>253.17</v>
      </c>
      <c r="AC162" s="57">
        <v>204.24</v>
      </c>
      <c r="AD162" s="57">
        <v>296.17</v>
      </c>
      <c r="AE162" s="57">
        <v>302.8</v>
      </c>
      <c r="AF162" s="57">
        <v>255.2</v>
      </c>
      <c r="AG162" s="57">
        <v>139.4</v>
      </c>
      <c r="AH162" s="57">
        <v>239.13</v>
      </c>
      <c r="AI162" s="57">
        <v>329.26</v>
      </c>
      <c r="AJ162" s="57">
        <v>268.55</v>
      </c>
      <c r="AK162" s="57">
        <v>345.99</v>
      </c>
      <c r="AL162" s="57">
        <v>360.13</v>
      </c>
      <c r="AM162" s="57">
        <v>748.38</v>
      </c>
      <c r="AN162" s="57">
        <v>38.6</v>
      </c>
      <c r="AO162" s="57">
        <v>151.55000000000001</v>
      </c>
      <c r="AP162" s="57">
        <v>72.790000000000006</v>
      </c>
      <c r="AQ162" s="57">
        <v>321.54000000000002</v>
      </c>
      <c r="AR162" s="57">
        <v>357.25</v>
      </c>
      <c r="AS162" s="57">
        <v>314.58999999999997</v>
      </c>
      <c r="AT162" s="57">
        <v>409.83</v>
      </c>
      <c r="AU162" s="57">
        <v>399.67</v>
      </c>
      <c r="AV162" s="57">
        <v>424.81</v>
      </c>
      <c r="AW162" s="57">
        <v>373.97</v>
      </c>
      <c r="AX162" s="57">
        <v>271.29000000000002</v>
      </c>
      <c r="AY162" s="57">
        <v>239.57</v>
      </c>
      <c r="AZ162" s="57">
        <v>498.83</v>
      </c>
      <c r="BA162" s="57">
        <v>329.19</v>
      </c>
      <c r="BB162" s="57">
        <v>269.27999999999997</v>
      </c>
      <c r="BC162" s="57">
        <v>755.22</v>
      </c>
      <c r="BD162" s="57">
        <v>383.96</v>
      </c>
      <c r="BE162" s="57">
        <v>443.35</v>
      </c>
      <c r="BF162" s="57">
        <v>530.76</v>
      </c>
      <c r="BG162" s="57">
        <v>453.98</v>
      </c>
      <c r="BH162" s="57">
        <v>369.22</v>
      </c>
      <c r="BI162" s="57">
        <v>377.79</v>
      </c>
      <c r="BJ162" s="57">
        <v>366.47</v>
      </c>
      <c r="BK162" s="57">
        <v>346.48</v>
      </c>
      <c r="BL162" s="57">
        <v>351.82</v>
      </c>
      <c r="BM162" s="57">
        <v>331.56</v>
      </c>
      <c r="BN162" s="57">
        <v>452.65</v>
      </c>
      <c r="BO162" s="57">
        <v>277.37</v>
      </c>
      <c r="BP162" s="57">
        <v>377.98</v>
      </c>
      <c r="BQ162" s="57">
        <v>401.99</v>
      </c>
      <c r="BR162" s="57">
        <v>261.70999999999998</v>
      </c>
      <c r="BS162" s="57">
        <v>744.6</v>
      </c>
      <c r="BT162" s="57">
        <v>406.89</v>
      </c>
      <c r="BU162" s="57">
        <v>667.26</v>
      </c>
      <c r="BV162" s="57">
        <v>586.42999999999995</v>
      </c>
      <c r="BW162" s="57">
        <v>196.62</v>
      </c>
      <c r="BX162" s="57">
        <v>229.39</v>
      </c>
      <c r="BY162" s="57">
        <v>327.37</v>
      </c>
      <c r="BZ162" s="57">
        <v>228.37</v>
      </c>
      <c r="CA162" s="57">
        <v>382.84</v>
      </c>
      <c r="CB162" s="58">
        <v>439.17</v>
      </c>
      <c r="CC162" s="57">
        <v>302.07</v>
      </c>
      <c r="CD162" s="57">
        <v>347.82</v>
      </c>
      <c r="CE162" s="57">
        <v>291.97000000000003</v>
      </c>
      <c r="CF162" s="57">
        <v>353.26</v>
      </c>
      <c r="CG162" s="57">
        <v>398.43</v>
      </c>
      <c r="CH162" s="57">
        <v>320.43</v>
      </c>
      <c r="CI162" s="57">
        <v>286.45999999999998</v>
      </c>
      <c r="CJ162" s="57">
        <v>253.17</v>
      </c>
      <c r="CK162" s="57">
        <v>183.9</v>
      </c>
      <c r="CL162" s="57">
        <v>231.88</v>
      </c>
      <c r="CM162" s="57">
        <v>455.01</v>
      </c>
      <c r="CN162" s="57">
        <v>296.17</v>
      </c>
      <c r="CO162" s="57">
        <v>302.8</v>
      </c>
      <c r="CP162" s="57">
        <v>200.57</v>
      </c>
      <c r="CQ162" s="57">
        <v>483</v>
      </c>
      <c r="CR162" s="57">
        <v>139.91999999999999</v>
      </c>
      <c r="CS162" s="57">
        <v>222.78</v>
      </c>
      <c r="CT162" s="57">
        <v>141.5</v>
      </c>
      <c r="CU162" s="57">
        <v>249.77</v>
      </c>
      <c r="CV162" s="57">
        <v>275.05</v>
      </c>
      <c r="CW162" s="57">
        <v>146.25</v>
      </c>
      <c r="CX162" s="57">
        <v>329.26</v>
      </c>
      <c r="CY162" s="57">
        <v>270.36</v>
      </c>
      <c r="CZ162" s="57">
        <v>203.55</v>
      </c>
      <c r="DA162" s="57">
        <v>273.45999999999998</v>
      </c>
      <c r="DB162" s="57">
        <v>338.89</v>
      </c>
      <c r="DC162" s="57">
        <v>315.54000000000002</v>
      </c>
      <c r="DD162" s="57">
        <v>453.84</v>
      </c>
      <c r="DE162" s="57">
        <v>588.07000000000005</v>
      </c>
      <c r="DF162" s="57">
        <v>314.35000000000002</v>
      </c>
      <c r="DG162" s="57">
        <v>367.48</v>
      </c>
      <c r="DH162" s="57">
        <v>203.23</v>
      </c>
      <c r="DI162" s="57">
        <v>319.33</v>
      </c>
      <c r="DJ162" s="57">
        <v>436.82</v>
      </c>
      <c r="DK162" s="57">
        <v>748.38</v>
      </c>
      <c r="DL162" s="57">
        <v>38.6</v>
      </c>
      <c r="DM162" s="57">
        <v>151.55000000000001</v>
      </c>
      <c r="DN162" s="57">
        <v>43.6</v>
      </c>
      <c r="DO162" s="57">
        <v>106.75</v>
      </c>
      <c r="DP162" s="57">
        <v>180.99</v>
      </c>
      <c r="DQ162" s="57">
        <v>321.54000000000002</v>
      </c>
      <c r="DR162" s="57">
        <v>373.22</v>
      </c>
      <c r="DS162" s="57">
        <v>301.11</v>
      </c>
      <c r="DT162" s="57"/>
      <c r="DU162" s="57">
        <v>333.83</v>
      </c>
      <c r="DV162" s="57">
        <v>370.65</v>
      </c>
      <c r="DW162" s="57">
        <v>260.8</v>
      </c>
      <c r="DX162" s="57">
        <v>369.97</v>
      </c>
      <c r="DY162" s="57">
        <v>477.18</v>
      </c>
      <c r="DZ162" s="57">
        <v>428.41</v>
      </c>
      <c r="EA162" s="57">
        <v>342.76</v>
      </c>
      <c r="EB162" s="57">
        <v>399.67</v>
      </c>
      <c r="EC162" s="57">
        <v>424.81</v>
      </c>
      <c r="ED162" s="57">
        <v>373.97</v>
      </c>
      <c r="EE162" s="57">
        <v>271.29000000000002</v>
      </c>
      <c r="EF162" s="57">
        <v>239.57</v>
      </c>
      <c r="EG162" s="57">
        <v>498.83</v>
      </c>
      <c r="EH162" s="57">
        <v>329.19</v>
      </c>
      <c r="EI162" s="57">
        <v>397.62</v>
      </c>
      <c r="EJ162" s="57">
        <v>181.22</v>
      </c>
      <c r="EK162" s="57">
        <v>233.44</v>
      </c>
      <c r="EL162" s="57">
        <v>892.63</v>
      </c>
      <c r="EM162" s="57">
        <v>413.85</v>
      </c>
      <c r="EN162" s="57">
        <v>383.96</v>
      </c>
      <c r="EO162" s="57">
        <v>282.93</v>
      </c>
      <c r="EP162" s="57">
        <v>375.67</v>
      </c>
      <c r="EQ162" s="57">
        <v>455.99</v>
      </c>
      <c r="ER162" s="57">
        <v>530.76</v>
      </c>
      <c r="ES162" s="57">
        <v>453.98</v>
      </c>
      <c r="ET162" s="57">
        <v>425.35</v>
      </c>
      <c r="EU162" s="57">
        <v>324.24</v>
      </c>
      <c r="EV162" s="57">
        <v>389.54</v>
      </c>
      <c r="EW162" s="57">
        <v>334.08</v>
      </c>
      <c r="EX162" s="57">
        <v>315.02</v>
      </c>
      <c r="EY162" s="57">
        <v>224.86</v>
      </c>
      <c r="EZ162" s="57">
        <v>394.32</v>
      </c>
      <c r="FA162" s="57">
        <v>438.16</v>
      </c>
      <c r="FB162" s="57">
        <v>285.89999999999998</v>
      </c>
      <c r="FC162" s="57">
        <v>522.20000000000005</v>
      </c>
      <c r="FD162" s="57">
        <v>333.56</v>
      </c>
      <c r="FE162" s="57">
        <v>366.47</v>
      </c>
      <c r="FF162" s="57"/>
      <c r="FG162" s="57">
        <v>271.32</v>
      </c>
      <c r="FH162" s="57">
        <v>283.27999999999997</v>
      </c>
      <c r="FI162" s="57">
        <v>372.27</v>
      </c>
      <c r="FJ162" s="57">
        <v>485.77</v>
      </c>
      <c r="FK162" s="57">
        <v>596.98</v>
      </c>
      <c r="FL162" s="57">
        <v>273.41000000000003</v>
      </c>
      <c r="FM162" s="57">
        <v>324.77</v>
      </c>
      <c r="FN162" s="57">
        <v>281.14</v>
      </c>
      <c r="FO162" s="57">
        <v>593.75</v>
      </c>
      <c r="FP162" s="57">
        <v>468.81</v>
      </c>
      <c r="FQ162" s="57">
        <v>333.36</v>
      </c>
      <c r="FR162" s="57">
        <v>597.41</v>
      </c>
      <c r="FS162" s="57">
        <v>378.84</v>
      </c>
      <c r="FT162" s="57">
        <v>240.3</v>
      </c>
      <c r="FU162" s="57">
        <v>393.56</v>
      </c>
      <c r="FV162" s="57">
        <v>281.85000000000002</v>
      </c>
      <c r="FW162" s="57">
        <v>218.43</v>
      </c>
      <c r="FX162" s="57">
        <v>377.98</v>
      </c>
      <c r="FY162" s="57">
        <v>378.16</v>
      </c>
      <c r="FZ162" s="57">
        <v>409.25</v>
      </c>
      <c r="GA162" s="57">
        <v>264.11</v>
      </c>
      <c r="GB162" s="57">
        <v>276.66000000000003</v>
      </c>
      <c r="GC162" s="57">
        <v>259.72000000000003</v>
      </c>
      <c r="GD162" s="57">
        <v>231.5</v>
      </c>
      <c r="GE162" s="57">
        <v>744.6</v>
      </c>
      <c r="GF162" s="57">
        <v>406.89</v>
      </c>
      <c r="GG162" s="57">
        <v>667.26</v>
      </c>
      <c r="GH162" s="57">
        <v>585.45000000000005</v>
      </c>
      <c r="GI162" s="57">
        <v>210.27</v>
      </c>
      <c r="GJ162" s="57">
        <v>188.91</v>
      </c>
      <c r="GK162" s="57">
        <v>180.33</v>
      </c>
      <c r="GL162" s="57">
        <v>261.08999999999997</v>
      </c>
      <c r="GM162" s="57">
        <v>229.39</v>
      </c>
      <c r="GN162" s="57">
        <v>327.37</v>
      </c>
      <c r="GO162" s="57">
        <v>231.46</v>
      </c>
      <c r="GP162" s="57">
        <v>222.21</v>
      </c>
      <c r="GQ162" s="57">
        <v>234.63</v>
      </c>
      <c r="GR162" s="57">
        <v>382.84</v>
      </c>
      <c r="GS162" s="57">
        <v>439.17</v>
      </c>
      <c r="GT162" s="57">
        <v>302.07</v>
      </c>
      <c r="GU162" s="57">
        <v>347.82</v>
      </c>
      <c r="GV162" s="57">
        <v>291.97000000000003</v>
      </c>
      <c r="GW162" s="57">
        <v>312.36</v>
      </c>
      <c r="GX162" s="57">
        <v>402.89</v>
      </c>
      <c r="GY162" s="57">
        <v>398.43</v>
      </c>
      <c r="GZ162" s="57">
        <v>383.12</v>
      </c>
      <c r="HA162" s="57">
        <v>308.06</v>
      </c>
      <c r="HB162" s="57">
        <v>318.52</v>
      </c>
      <c r="HC162" s="57">
        <v>286.45999999999998</v>
      </c>
      <c r="HD162" s="57">
        <v>253.17</v>
      </c>
      <c r="HE162" s="57">
        <v>150.13</v>
      </c>
      <c r="HF162" s="57">
        <v>165.61</v>
      </c>
      <c r="HG162" s="57">
        <v>215.92</v>
      </c>
      <c r="HH162" s="57">
        <v>262.33999999999997</v>
      </c>
      <c r="HI162" s="57">
        <v>131.46</v>
      </c>
      <c r="HJ162" s="57">
        <v>231.88</v>
      </c>
      <c r="HK162" s="57">
        <v>455.01</v>
      </c>
      <c r="HL162" s="57">
        <v>258.54000000000002</v>
      </c>
      <c r="HM162" s="57">
        <v>316.98</v>
      </c>
      <c r="HN162" s="57">
        <v>325.44</v>
      </c>
      <c r="HO162" s="57">
        <v>262</v>
      </c>
      <c r="HP162" s="57">
        <v>341.89</v>
      </c>
      <c r="HQ162" s="57">
        <v>184.52</v>
      </c>
      <c r="HR162" s="57">
        <v>314.81</v>
      </c>
      <c r="HS162" s="57">
        <v>492.27</v>
      </c>
      <c r="HT162" s="57">
        <v>294.48</v>
      </c>
      <c r="HU162" s="57">
        <v>139.91999999999999</v>
      </c>
      <c r="HV162" s="57">
        <v>222.78</v>
      </c>
      <c r="HW162" s="57">
        <v>132.33000000000001</v>
      </c>
      <c r="HX162" s="57">
        <v>150.47999999999999</v>
      </c>
      <c r="HY162" s="57">
        <v>249.77</v>
      </c>
      <c r="HZ162" s="57">
        <v>275.05</v>
      </c>
      <c r="IA162" s="57">
        <v>133.6</v>
      </c>
      <c r="IB162" s="57">
        <v>329.26</v>
      </c>
      <c r="IC162" s="57">
        <v>244.55</v>
      </c>
      <c r="ID162" s="57">
        <v>276.88</v>
      </c>
      <c r="IE162" s="57">
        <v>203.55</v>
      </c>
      <c r="IF162" s="57">
        <v>273.45999999999998</v>
      </c>
      <c r="IG162" s="57">
        <v>338.89</v>
      </c>
      <c r="IH162" s="57">
        <v>315.54000000000002</v>
      </c>
      <c r="II162" s="57">
        <v>453.84</v>
      </c>
      <c r="IJ162" s="57">
        <v>588.07000000000005</v>
      </c>
      <c r="IK162" s="57">
        <v>387.2</v>
      </c>
      <c r="IL162" s="57">
        <v>241.12</v>
      </c>
      <c r="IM162" s="57">
        <v>383.07</v>
      </c>
      <c r="IN162" s="57">
        <v>368.23</v>
      </c>
      <c r="IO162" s="57">
        <v>305.8</v>
      </c>
      <c r="IP162" s="57">
        <v>203.23</v>
      </c>
      <c r="IQ162" s="57">
        <v>319.33</v>
      </c>
      <c r="IR162" s="57">
        <v>436.82</v>
      </c>
      <c r="IS162" s="57">
        <v>748.38</v>
      </c>
      <c r="IT162" s="57">
        <v>38.6</v>
      </c>
      <c r="IU162" s="57">
        <v>151.55000000000001</v>
      </c>
      <c r="IV162" s="57">
        <v>43.61</v>
      </c>
      <c r="IW162" s="57">
        <v>106.75</v>
      </c>
      <c r="IX162" s="57">
        <v>180.99</v>
      </c>
      <c r="IY162" s="57">
        <v>321.54000000000002</v>
      </c>
      <c r="IZ162" s="57">
        <v>373.22</v>
      </c>
      <c r="JA162" s="57">
        <v>301.11</v>
      </c>
      <c r="JB162" s="57"/>
      <c r="JC162" s="57">
        <v>333.83</v>
      </c>
      <c r="JD162" s="57">
        <v>370.65</v>
      </c>
      <c r="JE162" s="57">
        <v>334.22</v>
      </c>
      <c r="JF162" s="57">
        <v>247.27</v>
      </c>
      <c r="JG162" s="57">
        <v>369.97</v>
      </c>
      <c r="JH162" s="57">
        <v>477.18</v>
      </c>
      <c r="JI162" s="57">
        <v>428.41</v>
      </c>
      <c r="JJ162" s="57">
        <v>342.76</v>
      </c>
      <c r="JK162" s="57">
        <v>399.67</v>
      </c>
      <c r="JL162" s="57">
        <v>424.81</v>
      </c>
      <c r="JM162" s="57">
        <v>373.97</v>
      </c>
      <c r="JN162" s="57">
        <v>271.29000000000002</v>
      </c>
      <c r="JO162" s="57">
        <v>239.57</v>
      </c>
      <c r="JP162" s="57">
        <v>520.73</v>
      </c>
      <c r="JQ162" s="57">
        <v>449.52</v>
      </c>
      <c r="JR162" s="57">
        <v>280.95</v>
      </c>
      <c r="JS162" s="57">
        <v>434.53</v>
      </c>
      <c r="JT162" s="57">
        <v>445.85</v>
      </c>
      <c r="JU162" s="57">
        <v>350.61</v>
      </c>
      <c r="JV162" s="57">
        <v>181.22</v>
      </c>
      <c r="JW162" s="57">
        <v>233.44</v>
      </c>
      <c r="JX162" s="57">
        <v>892.63</v>
      </c>
      <c r="JY162" s="57">
        <v>434.12</v>
      </c>
      <c r="JZ162" s="57">
        <v>375.54</v>
      </c>
      <c r="KA162" s="57">
        <v>383.96</v>
      </c>
      <c r="KB162" s="57">
        <v>282.93</v>
      </c>
      <c r="KC162" s="57">
        <v>375.67</v>
      </c>
      <c r="KD162" s="57">
        <v>455.99</v>
      </c>
      <c r="KE162" s="57">
        <v>530.76</v>
      </c>
      <c r="KF162" s="57">
        <v>453.98</v>
      </c>
    </row>
    <row r="163" spans="1:292">
      <c r="A163" s="41">
        <v>2018</v>
      </c>
      <c r="B163" s="54" t="s">
        <v>979</v>
      </c>
      <c r="C163" s="50" t="s">
        <v>980</v>
      </c>
      <c r="D163" s="57">
        <v>333.17</v>
      </c>
      <c r="E163" s="57">
        <v>377.74</v>
      </c>
      <c r="F163" s="57">
        <v>593.86</v>
      </c>
      <c r="G163" s="57">
        <v>199.29</v>
      </c>
      <c r="H163" s="57">
        <v>368.78</v>
      </c>
      <c r="I163" s="57">
        <v>268.2</v>
      </c>
      <c r="J163" s="57">
        <v>205.33</v>
      </c>
      <c r="K163" s="57">
        <v>331.92</v>
      </c>
      <c r="L163" s="57">
        <v>133.74</v>
      </c>
      <c r="M163" s="57">
        <v>230.18</v>
      </c>
      <c r="N163" s="57">
        <v>325.77</v>
      </c>
      <c r="O163" s="57">
        <v>492</v>
      </c>
      <c r="P163" s="57">
        <v>408.69</v>
      </c>
      <c r="Q163" s="57">
        <v>381.34</v>
      </c>
      <c r="R163" s="57">
        <v>326.99</v>
      </c>
      <c r="S163" s="57">
        <v>697.53</v>
      </c>
      <c r="T163" s="57">
        <v>586.42999999999995</v>
      </c>
      <c r="U163" s="57">
        <v>192.08</v>
      </c>
      <c r="V163" s="57">
        <v>220.7</v>
      </c>
      <c r="W163" s="57">
        <v>441.59</v>
      </c>
      <c r="X163" s="57">
        <v>308.66000000000003</v>
      </c>
      <c r="Y163" s="57">
        <v>351.22</v>
      </c>
      <c r="Z163" s="57">
        <v>345.9</v>
      </c>
      <c r="AA163" s="57">
        <v>318.27</v>
      </c>
      <c r="AB163" s="57">
        <v>255.31</v>
      </c>
      <c r="AC163" s="57">
        <v>205.52</v>
      </c>
      <c r="AD163" s="57">
        <v>301.27</v>
      </c>
      <c r="AE163" s="57">
        <v>304.02</v>
      </c>
      <c r="AF163" s="57">
        <v>257.69</v>
      </c>
      <c r="AG163" s="57">
        <v>146.24</v>
      </c>
      <c r="AH163" s="57">
        <v>241.9</v>
      </c>
      <c r="AI163" s="57">
        <v>337.92</v>
      </c>
      <c r="AJ163" s="57">
        <v>273.27999999999997</v>
      </c>
      <c r="AK163" s="57">
        <v>341.87</v>
      </c>
      <c r="AL163" s="57">
        <v>361.69</v>
      </c>
      <c r="AM163" s="57">
        <v>748.38</v>
      </c>
      <c r="AN163" s="57">
        <v>38.4</v>
      </c>
      <c r="AO163" s="57">
        <v>152.18</v>
      </c>
      <c r="AP163" s="57">
        <v>73.14</v>
      </c>
      <c r="AQ163" s="57">
        <v>323.75</v>
      </c>
      <c r="AR163" s="57">
        <v>355.85</v>
      </c>
      <c r="AS163" s="57">
        <v>316.68</v>
      </c>
      <c r="AT163" s="57">
        <v>414.81</v>
      </c>
      <c r="AU163" s="57">
        <v>442.85</v>
      </c>
      <c r="AV163" s="57">
        <v>424.78</v>
      </c>
      <c r="AW163" s="57">
        <v>375.41</v>
      </c>
      <c r="AX163" s="57">
        <v>271.29000000000002</v>
      </c>
      <c r="AY163" s="57">
        <v>241.49</v>
      </c>
      <c r="AZ163" s="57">
        <v>503.77</v>
      </c>
      <c r="BA163" s="57">
        <v>331.49</v>
      </c>
      <c r="BB163" s="57">
        <v>272.17</v>
      </c>
      <c r="BC163" s="57">
        <v>760.58</v>
      </c>
      <c r="BD163" s="57">
        <v>387.18</v>
      </c>
      <c r="BE163" s="57">
        <v>445.73</v>
      </c>
      <c r="BF163" s="57">
        <v>553.14</v>
      </c>
      <c r="BG163" s="57">
        <v>454.48</v>
      </c>
      <c r="BH163" s="57">
        <v>375.67</v>
      </c>
      <c r="BI163" s="57">
        <v>384.68</v>
      </c>
      <c r="BJ163" s="57">
        <v>374.82</v>
      </c>
      <c r="BK163" s="57">
        <v>356.39</v>
      </c>
      <c r="BL163" s="57">
        <v>357.87</v>
      </c>
      <c r="BM163" s="57">
        <v>347.06</v>
      </c>
      <c r="BN163" s="57">
        <v>460.53</v>
      </c>
      <c r="BO163" s="57">
        <v>279.74</v>
      </c>
      <c r="BP163" s="57">
        <v>387.52</v>
      </c>
      <c r="BQ163" s="57">
        <v>403.12</v>
      </c>
      <c r="BR163" s="57">
        <v>273.12</v>
      </c>
      <c r="BS163" s="57">
        <v>744.93</v>
      </c>
      <c r="BT163" s="57">
        <v>417.11</v>
      </c>
      <c r="BU163" s="57">
        <v>670.29</v>
      </c>
      <c r="BV163" s="57">
        <v>586.42999999999995</v>
      </c>
      <c r="BW163" s="57">
        <v>187.7</v>
      </c>
      <c r="BX163" s="57">
        <v>226.79</v>
      </c>
      <c r="BY163" s="57">
        <v>331.1</v>
      </c>
      <c r="BZ163" s="57">
        <v>219.85</v>
      </c>
      <c r="CA163" s="57">
        <v>387.7</v>
      </c>
      <c r="CB163" s="58">
        <v>441.59</v>
      </c>
      <c r="CC163" s="57">
        <v>308.66000000000003</v>
      </c>
      <c r="CD163" s="57">
        <v>349.87</v>
      </c>
      <c r="CE163" s="57">
        <v>291.97000000000003</v>
      </c>
      <c r="CF163" s="57">
        <v>351.87</v>
      </c>
      <c r="CG163" s="57">
        <v>400.72</v>
      </c>
      <c r="CH163" s="57">
        <v>326.94</v>
      </c>
      <c r="CI163" s="57">
        <v>288.45</v>
      </c>
      <c r="CJ163" s="57">
        <v>255.31</v>
      </c>
      <c r="CK163" s="57">
        <v>184.97</v>
      </c>
      <c r="CL163" s="57">
        <v>233.39</v>
      </c>
      <c r="CM163" s="57">
        <v>460.02</v>
      </c>
      <c r="CN163" s="57">
        <v>301.27</v>
      </c>
      <c r="CO163" s="57">
        <v>304.02</v>
      </c>
      <c r="CP163" s="57">
        <v>202.9</v>
      </c>
      <c r="CQ163" s="57">
        <v>486.03</v>
      </c>
      <c r="CR163" s="57">
        <v>149.97</v>
      </c>
      <c r="CS163" s="57">
        <v>218.95</v>
      </c>
      <c r="CT163" s="57">
        <v>143.4</v>
      </c>
      <c r="CU163" s="57">
        <v>250.23</v>
      </c>
      <c r="CV163" s="57">
        <v>281.19</v>
      </c>
      <c r="CW163" s="57">
        <v>147.51</v>
      </c>
      <c r="CX163" s="57">
        <v>337.92</v>
      </c>
      <c r="CY163" s="57">
        <v>275.2</v>
      </c>
      <c r="CZ163" s="57">
        <v>205.55</v>
      </c>
      <c r="DA163" s="57">
        <v>276.63</v>
      </c>
      <c r="DB163" s="57">
        <v>342.89</v>
      </c>
      <c r="DC163" s="57">
        <v>310.29000000000002</v>
      </c>
      <c r="DD163" s="57">
        <v>453.9</v>
      </c>
      <c r="DE163" s="57">
        <v>588.57000000000005</v>
      </c>
      <c r="DF163" s="57">
        <v>314.35000000000002</v>
      </c>
      <c r="DG163" s="57">
        <v>368.85</v>
      </c>
      <c r="DH163" s="57">
        <v>205.34</v>
      </c>
      <c r="DI163" s="57">
        <v>319.33</v>
      </c>
      <c r="DJ163" s="57">
        <v>437.1</v>
      </c>
      <c r="DK163" s="57">
        <v>748.38</v>
      </c>
      <c r="DL163" s="57">
        <v>38.4</v>
      </c>
      <c r="DM163" s="57">
        <v>152.18</v>
      </c>
      <c r="DN163" s="57">
        <v>43.67</v>
      </c>
      <c r="DO163" s="57">
        <v>107.62</v>
      </c>
      <c r="DP163" s="57">
        <v>184.28</v>
      </c>
      <c r="DQ163" s="57">
        <v>323.75</v>
      </c>
      <c r="DR163" s="57">
        <v>369.97</v>
      </c>
      <c r="DS163" s="57">
        <v>302.48</v>
      </c>
      <c r="DT163" s="57"/>
      <c r="DU163" s="57">
        <v>339.9</v>
      </c>
      <c r="DV163" s="57">
        <v>373.62</v>
      </c>
      <c r="DW163" s="57">
        <v>262.19</v>
      </c>
      <c r="DX163" s="57">
        <v>369.97</v>
      </c>
      <c r="DY163" s="57">
        <v>483.76</v>
      </c>
      <c r="DZ163" s="57">
        <v>429.84</v>
      </c>
      <c r="EA163" s="57">
        <v>347.33</v>
      </c>
      <c r="EB163" s="57">
        <v>442.85</v>
      </c>
      <c r="EC163" s="57">
        <v>424.78</v>
      </c>
      <c r="ED163" s="57">
        <v>375.41</v>
      </c>
      <c r="EE163" s="57">
        <v>271.29000000000002</v>
      </c>
      <c r="EF163" s="57">
        <v>241.49</v>
      </c>
      <c r="EG163" s="57">
        <v>503.77</v>
      </c>
      <c r="EH163" s="57">
        <v>331.49</v>
      </c>
      <c r="EI163" s="57">
        <v>401.72</v>
      </c>
      <c r="EJ163" s="57">
        <v>182.34</v>
      </c>
      <c r="EK163" s="57">
        <v>236.03</v>
      </c>
      <c r="EL163" s="57">
        <v>898.2</v>
      </c>
      <c r="EM163" s="57">
        <v>417.97</v>
      </c>
      <c r="EN163" s="57">
        <v>387.18</v>
      </c>
      <c r="EO163" s="57">
        <v>282.02999999999997</v>
      </c>
      <c r="EP163" s="57">
        <v>378.11</v>
      </c>
      <c r="EQ163" s="57">
        <v>458.68</v>
      </c>
      <c r="ER163" s="57">
        <v>553.14</v>
      </c>
      <c r="ES163" s="57">
        <v>454.48</v>
      </c>
      <c r="ET163" s="57">
        <v>426.95</v>
      </c>
      <c r="EU163" s="57">
        <v>333.69</v>
      </c>
      <c r="EV163" s="57">
        <v>397.09</v>
      </c>
      <c r="EW163" s="57">
        <v>338.22</v>
      </c>
      <c r="EX163" s="57">
        <v>321.48</v>
      </c>
      <c r="EY163" s="57">
        <v>223.3</v>
      </c>
      <c r="EZ163" s="57">
        <v>392.86</v>
      </c>
      <c r="FA163" s="57">
        <v>460.29</v>
      </c>
      <c r="FB163" s="57">
        <v>293.43</v>
      </c>
      <c r="FC163" s="57">
        <v>526.71</v>
      </c>
      <c r="FD163" s="57">
        <v>339.86</v>
      </c>
      <c r="FE163" s="57">
        <v>374.82</v>
      </c>
      <c r="FF163" s="57"/>
      <c r="FG163" s="57">
        <v>292.61</v>
      </c>
      <c r="FH163" s="57">
        <v>295.61</v>
      </c>
      <c r="FI163" s="57">
        <v>383.9</v>
      </c>
      <c r="FJ163" s="57">
        <v>466.92</v>
      </c>
      <c r="FK163" s="57">
        <v>626.39</v>
      </c>
      <c r="FL163" s="57">
        <v>289.95999999999998</v>
      </c>
      <c r="FM163" s="57">
        <v>324.36</v>
      </c>
      <c r="FN163" s="57">
        <v>298.87</v>
      </c>
      <c r="FO163" s="57">
        <v>596.91999999999996</v>
      </c>
      <c r="FP163" s="57">
        <v>484.67</v>
      </c>
      <c r="FQ163" s="57">
        <v>319.14999999999998</v>
      </c>
      <c r="FR163" s="57">
        <v>582.61</v>
      </c>
      <c r="FS163" s="57">
        <v>383.03</v>
      </c>
      <c r="FT163" s="57">
        <v>241.19</v>
      </c>
      <c r="FU163" s="57">
        <v>398.45</v>
      </c>
      <c r="FV163" s="57">
        <v>284.58999999999997</v>
      </c>
      <c r="FW163" s="57">
        <v>220.39</v>
      </c>
      <c r="FX163" s="57">
        <v>387.52</v>
      </c>
      <c r="FY163" s="57">
        <v>382.01</v>
      </c>
      <c r="FZ163" s="57">
        <v>409.77</v>
      </c>
      <c r="GA163" s="57">
        <v>262.94</v>
      </c>
      <c r="GB163" s="57">
        <v>284.12</v>
      </c>
      <c r="GC163" s="57">
        <v>276.39999999999998</v>
      </c>
      <c r="GD163" s="57">
        <v>241.27</v>
      </c>
      <c r="GE163" s="57">
        <v>744.93</v>
      </c>
      <c r="GF163" s="57">
        <v>417.11</v>
      </c>
      <c r="GG163" s="57">
        <v>670.29</v>
      </c>
      <c r="GH163" s="57">
        <v>585.45000000000005</v>
      </c>
      <c r="GI163" s="57">
        <v>202.06</v>
      </c>
      <c r="GJ163" s="57">
        <v>179.18</v>
      </c>
      <c r="GK163" s="57">
        <v>171.39</v>
      </c>
      <c r="GL163" s="57">
        <v>260.19</v>
      </c>
      <c r="GM163" s="57">
        <v>226.79</v>
      </c>
      <c r="GN163" s="57">
        <v>331.1</v>
      </c>
      <c r="GO163" s="57">
        <v>222.28</v>
      </c>
      <c r="GP163" s="57">
        <v>214.4</v>
      </c>
      <c r="GQ163" s="57">
        <v>226.14</v>
      </c>
      <c r="GR163" s="57">
        <v>387.7</v>
      </c>
      <c r="GS163" s="57">
        <v>441.59</v>
      </c>
      <c r="GT163" s="57">
        <v>308.66000000000003</v>
      </c>
      <c r="GU163" s="57">
        <v>349.87</v>
      </c>
      <c r="GV163" s="57">
        <v>291.97000000000003</v>
      </c>
      <c r="GW163" s="57">
        <v>312.47000000000003</v>
      </c>
      <c r="GX163" s="57">
        <v>397.69</v>
      </c>
      <c r="GY163" s="57">
        <v>400.72</v>
      </c>
      <c r="GZ163" s="57">
        <v>389.55</v>
      </c>
      <c r="HA163" s="57">
        <v>312</v>
      </c>
      <c r="HB163" s="57">
        <v>327.16000000000003</v>
      </c>
      <c r="HC163" s="57">
        <v>288.45</v>
      </c>
      <c r="HD163" s="57">
        <v>255.31</v>
      </c>
      <c r="HE163" s="57">
        <v>150.52000000000001</v>
      </c>
      <c r="HF163" s="57">
        <v>165.23</v>
      </c>
      <c r="HG163" s="57">
        <v>216.97</v>
      </c>
      <c r="HH163" s="57">
        <v>269.17</v>
      </c>
      <c r="HI163" s="57">
        <v>130.69</v>
      </c>
      <c r="HJ163" s="57">
        <v>233.39</v>
      </c>
      <c r="HK163" s="57">
        <v>460.02</v>
      </c>
      <c r="HL163" s="57">
        <v>263.37</v>
      </c>
      <c r="HM163" s="57">
        <v>318.74</v>
      </c>
      <c r="HN163" s="57">
        <v>331.22</v>
      </c>
      <c r="HO163" s="57">
        <v>261.57</v>
      </c>
      <c r="HP163" s="57">
        <v>345.49</v>
      </c>
      <c r="HQ163" s="57">
        <v>186.78</v>
      </c>
      <c r="HR163" s="57">
        <v>317.77</v>
      </c>
      <c r="HS163" s="57">
        <v>495.32</v>
      </c>
      <c r="HT163" s="57">
        <v>296.51</v>
      </c>
      <c r="HU163" s="57">
        <v>149.97</v>
      </c>
      <c r="HV163" s="57">
        <v>218.95</v>
      </c>
      <c r="HW163" s="57">
        <v>134.59</v>
      </c>
      <c r="HX163" s="57">
        <v>151.66999999999999</v>
      </c>
      <c r="HY163" s="57">
        <v>250.23</v>
      </c>
      <c r="HZ163" s="57">
        <v>281.19</v>
      </c>
      <c r="IA163" s="57">
        <v>134.75</v>
      </c>
      <c r="IB163" s="57">
        <v>337.92</v>
      </c>
      <c r="IC163" s="57">
        <v>246.76</v>
      </c>
      <c r="ID163" s="57">
        <v>285.66000000000003</v>
      </c>
      <c r="IE163" s="57">
        <v>205.55</v>
      </c>
      <c r="IF163" s="57">
        <v>276.63</v>
      </c>
      <c r="IG163" s="57">
        <v>342.89</v>
      </c>
      <c r="IH163" s="57">
        <v>310.29000000000002</v>
      </c>
      <c r="II163" s="57">
        <v>453.9</v>
      </c>
      <c r="IJ163" s="57">
        <v>588.57000000000005</v>
      </c>
      <c r="IK163" s="57">
        <v>387.2</v>
      </c>
      <c r="IL163" s="57">
        <v>241.12</v>
      </c>
      <c r="IM163" s="57">
        <v>385.15</v>
      </c>
      <c r="IN163" s="57">
        <v>369.67</v>
      </c>
      <c r="IO163" s="57">
        <v>305.23</v>
      </c>
      <c r="IP163" s="57">
        <v>205.34</v>
      </c>
      <c r="IQ163" s="57">
        <v>319.33</v>
      </c>
      <c r="IR163" s="57">
        <v>437.1</v>
      </c>
      <c r="IS163" s="57">
        <v>748.38</v>
      </c>
      <c r="IT163" s="57">
        <v>38.4</v>
      </c>
      <c r="IU163" s="57">
        <v>152.18</v>
      </c>
      <c r="IV163" s="57">
        <v>43.68</v>
      </c>
      <c r="IW163" s="57">
        <v>107.62</v>
      </c>
      <c r="IX163" s="57">
        <v>184.28</v>
      </c>
      <c r="IY163" s="57">
        <v>323.75</v>
      </c>
      <c r="IZ163" s="57">
        <v>369.97</v>
      </c>
      <c r="JA163" s="57">
        <v>302.48</v>
      </c>
      <c r="JB163" s="57"/>
      <c r="JC163" s="57">
        <v>339.9</v>
      </c>
      <c r="JD163" s="57">
        <v>373.62</v>
      </c>
      <c r="JE163" s="57">
        <v>335.54</v>
      </c>
      <c r="JF163" s="57">
        <v>248.64</v>
      </c>
      <c r="JG163" s="57">
        <v>369.97</v>
      </c>
      <c r="JH163" s="57">
        <v>483.76</v>
      </c>
      <c r="JI163" s="57">
        <v>429.84</v>
      </c>
      <c r="JJ163" s="57">
        <v>347.33</v>
      </c>
      <c r="JK163" s="57">
        <v>442.85</v>
      </c>
      <c r="JL163" s="57">
        <v>424.78</v>
      </c>
      <c r="JM163" s="57">
        <v>375.41</v>
      </c>
      <c r="JN163" s="57">
        <v>271.29000000000002</v>
      </c>
      <c r="JO163" s="57">
        <v>241.49</v>
      </c>
      <c r="JP163" s="57">
        <v>525.16999999999996</v>
      </c>
      <c r="JQ163" s="57">
        <v>456.79</v>
      </c>
      <c r="JR163" s="57">
        <v>284.19</v>
      </c>
      <c r="JS163" s="57">
        <v>434.53</v>
      </c>
      <c r="JT163" s="57">
        <v>451.14</v>
      </c>
      <c r="JU163" s="57">
        <v>353.78</v>
      </c>
      <c r="JV163" s="57">
        <v>182.34</v>
      </c>
      <c r="JW163" s="57">
        <v>236.03</v>
      </c>
      <c r="JX163" s="57">
        <v>898.2</v>
      </c>
      <c r="JY163" s="57">
        <v>437.84</v>
      </c>
      <c r="JZ163" s="57">
        <v>380.04</v>
      </c>
      <c r="KA163" s="57">
        <v>387.18</v>
      </c>
      <c r="KB163" s="57">
        <v>282.02999999999997</v>
      </c>
      <c r="KC163" s="57">
        <v>378.11</v>
      </c>
      <c r="KD163" s="57">
        <v>458.68</v>
      </c>
      <c r="KE163" s="57">
        <v>553.14</v>
      </c>
      <c r="KF163" s="57">
        <v>454.48</v>
      </c>
    </row>
    <row r="164" spans="1:292">
      <c r="A164" s="41">
        <v>2018</v>
      </c>
      <c r="B164" s="54" t="s">
        <v>981</v>
      </c>
      <c r="C164" s="50" t="s">
        <v>982</v>
      </c>
      <c r="D164" s="57">
        <v>336.48</v>
      </c>
      <c r="E164" s="57">
        <v>385.4</v>
      </c>
      <c r="F164" s="57">
        <v>593.87</v>
      </c>
      <c r="G164" s="57">
        <v>201.38</v>
      </c>
      <c r="H164" s="57">
        <v>370.39</v>
      </c>
      <c r="I164" s="57">
        <v>270.3</v>
      </c>
      <c r="J164" s="57">
        <v>209.23</v>
      </c>
      <c r="K164" s="57">
        <v>334.43</v>
      </c>
      <c r="L164" s="57">
        <v>133.87</v>
      </c>
      <c r="M164" s="57">
        <v>231.36</v>
      </c>
      <c r="N164" s="57">
        <v>328.83</v>
      </c>
      <c r="O164" s="57">
        <v>496.07</v>
      </c>
      <c r="P164" s="57">
        <v>411.49</v>
      </c>
      <c r="Q164" s="57">
        <v>389.24</v>
      </c>
      <c r="R164" s="57">
        <v>331.76</v>
      </c>
      <c r="S164" s="57">
        <v>697.76</v>
      </c>
      <c r="T164" s="57">
        <v>586.42999999999995</v>
      </c>
      <c r="U164" s="57">
        <v>194.18</v>
      </c>
      <c r="V164" s="57">
        <v>222.69</v>
      </c>
      <c r="W164" s="57">
        <v>444.25</v>
      </c>
      <c r="X164" s="57">
        <v>311.93</v>
      </c>
      <c r="Y164" s="57">
        <v>353.77</v>
      </c>
      <c r="Z164" s="57">
        <v>345.77</v>
      </c>
      <c r="AA164" s="57">
        <v>318.91000000000003</v>
      </c>
      <c r="AB164" s="57">
        <v>256.66000000000003</v>
      </c>
      <c r="AC164" s="57">
        <v>207.79</v>
      </c>
      <c r="AD164" s="57">
        <v>306.75</v>
      </c>
      <c r="AE164" s="57">
        <v>307.49</v>
      </c>
      <c r="AF164" s="57">
        <v>260.23</v>
      </c>
      <c r="AG164" s="57">
        <v>153.76</v>
      </c>
      <c r="AH164" s="57">
        <v>242.92</v>
      </c>
      <c r="AI164" s="57">
        <v>339.46</v>
      </c>
      <c r="AJ164" s="57">
        <v>277.24</v>
      </c>
      <c r="AK164" s="57">
        <v>343.11</v>
      </c>
      <c r="AL164" s="57">
        <v>362.3</v>
      </c>
      <c r="AM164" s="57">
        <v>748.38</v>
      </c>
      <c r="AN164" s="57">
        <v>38.340000000000003</v>
      </c>
      <c r="AO164" s="57">
        <v>152.41999999999999</v>
      </c>
      <c r="AP164" s="57">
        <v>72.97</v>
      </c>
      <c r="AQ164" s="57">
        <v>328.25</v>
      </c>
      <c r="AR164" s="57">
        <v>360.04</v>
      </c>
      <c r="AS164" s="57">
        <v>317.8</v>
      </c>
      <c r="AT164" s="57">
        <v>417.75</v>
      </c>
      <c r="AU164" s="57">
        <v>449.14</v>
      </c>
      <c r="AV164" s="57">
        <v>431.86</v>
      </c>
      <c r="AW164" s="57">
        <v>380.45</v>
      </c>
      <c r="AX164" s="57">
        <v>271.29000000000002</v>
      </c>
      <c r="AY164" s="57">
        <v>242.58</v>
      </c>
      <c r="AZ164" s="57">
        <v>507.06</v>
      </c>
      <c r="BA164" s="57">
        <v>338.15</v>
      </c>
      <c r="BB164" s="57">
        <v>272.35000000000002</v>
      </c>
      <c r="BC164" s="57">
        <v>773.02</v>
      </c>
      <c r="BD164" s="57">
        <v>389.72</v>
      </c>
      <c r="BE164" s="57">
        <v>450.87</v>
      </c>
      <c r="BF164" s="57">
        <v>570.75</v>
      </c>
      <c r="BG164" s="57">
        <v>457.06</v>
      </c>
      <c r="BH164" s="57">
        <v>378.72</v>
      </c>
      <c r="BI164" s="57">
        <v>399.85</v>
      </c>
      <c r="BJ164" s="57">
        <v>378.62</v>
      </c>
      <c r="BK164" s="57">
        <v>366.61</v>
      </c>
      <c r="BL164" s="57">
        <v>361.35</v>
      </c>
      <c r="BM164" s="57">
        <v>360.68</v>
      </c>
      <c r="BN164" s="57">
        <v>460.77</v>
      </c>
      <c r="BO164" s="57">
        <v>286.5</v>
      </c>
      <c r="BP164" s="57">
        <v>395.79</v>
      </c>
      <c r="BQ164" s="57">
        <v>401.54</v>
      </c>
      <c r="BR164" s="57">
        <v>280.72000000000003</v>
      </c>
      <c r="BS164" s="57">
        <v>744.59</v>
      </c>
      <c r="BT164" s="57">
        <v>418.15</v>
      </c>
      <c r="BU164" s="57">
        <v>670.8</v>
      </c>
      <c r="BV164" s="57">
        <v>586.42999999999995</v>
      </c>
      <c r="BW164" s="57">
        <v>189.68</v>
      </c>
      <c r="BX164" s="57">
        <v>231.32</v>
      </c>
      <c r="BY164" s="57">
        <v>333.58</v>
      </c>
      <c r="BZ164" s="57">
        <v>221.84</v>
      </c>
      <c r="CA164" s="57">
        <v>392.39</v>
      </c>
      <c r="CB164" s="58">
        <v>444.25</v>
      </c>
      <c r="CC164" s="57">
        <v>311.93</v>
      </c>
      <c r="CD164" s="57">
        <v>352.42</v>
      </c>
      <c r="CE164" s="57">
        <v>291.97000000000003</v>
      </c>
      <c r="CF164" s="57">
        <v>351.02</v>
      </c>
      <c r="CG164" s="57">
        <v>401.97</v>
      </c>
      <c r="CH164" s="57">
        <v>327.58</v>
      </c>
      <c r="CI164" s="57">
        <v>289.22000000000003</v>
      </c>
      <c r="CJ164" s="57">
        <v>256.66000000000003</v>
      </c>
      <c r="CK164" s="57">
        <v>187.26</v>
      </c>
      <c r="CL164" s="57">
        <v>235.21</v>
      </c>
      <c r="CM164" s="57">
        <v>459.79</v>
      </c>
      <c r="CN164" s="57">
        <v>306.75</v>
      </c>
      <c r="CO164" s="57">
        <v>307.49</v>
      </c>
      <c r="CP164" s="57">
        <v>205.63</v>
      </c>
      <c r="CQ164" s="57">
        <v>487.46</v>
      </c>
      <c r="CR164" s="57">
        <v>160.75</v>
      </c>
      <c r="CS164" s="57">
        <v>223.91</v>
      </c>
      <c r="CT164" s="57">
        <v>144.16999999999999</v>
      </c>
      <c r="CU164" s="57">
        <v>250.14</v>
      </c>
      <c r="CV164" s="57">
        <v>283.70999999999998</v>
      </c>
      <c r="CW164" s="57">
        <v>148.01</v>
      </c>
      <c r="CX164" s="57">
        <v>339.46</v>
      </c>
      <c r="CY164" s="57">
        <v>279.17</v>
      </c>
      <c r="CZ164" s="57">
        <v>209.17</v>
      </c>
      <c r="DA164" s="57">
        <v>279.62</v>
      </c>
      <c r="DB164" s="57">
        <v>345.73</v>
      </c>
      <c r="DC164" s="57">
        <v>311.94</v>
      </c>
      <c r="DD164" s="57">
        <v>451.07</v>
      </c>
      <c r="DE164" s="57">
        <v>588.39</v>
      </c>
      <c r="DF164" s="57">
        <v>314.35000000000002</v>
      </c>
      <c r="DG164" s="57">
        <v>369.12</v>
      </c>
      <c r="DH164" s="57">
        <v>206.91</v>
      </c>
      <c r="DI164" s="57">
        <v>319.33</v>
      </c>
      <c r="DJ164" s="57">
        <v>438.98</v>
      </c>
      <c r="DK164" s="57">
        <v>748.38</v>
      </c>
      <c r="DL164" s="57">
        <v>38.340000000000003</v>
      </c>
      <c r="DM164" s="57">
        <v>152.41999999999999</v>
      </c>
      <c r="DN164" s="57">
        <v>43.34</v>
      </c>
      <c r="DO164" s="57">
        <v>108.72</v>
      </c>
      <c r="DP164" s="57">
        <v>184.28</v>
      </c>
      <c r="DQ164" s="57">
        <v>328.25</v>
      </c>
      <c r="DR164" s="57">
        <v>373.4</v>
      </c>
      <c r="DS164" s="57">
        <v>308.18</v>
      </c>
      <c r="DT164" s="57"/>
      <c r="DU164" s="57">
        <v>343.82</v>
      </c>
      <c r="DV164" s="57">
        <v>375.38</v>
      </c>
      <c r="DW164" s="57">
        <v>262.74</v>
      </c>
      <c r="DX164" s="57">
        <v>369.97</v>
      </c>
      <c r="DY164" s="57">
        <v>486.16</v>
      </c>
      <c r="DZ164" s="57">
        <v>429.84</v>
      </c>
      <c r="EA164" s="57">
        <v>351.89</v>
      </c>
      <c r="EB164" s="57">
        <v>449.14</v>
      </c>
      <c r="EC164" s="57">
        <v>431.86</v>
      </c>
      <c r="ED164" s="57">
        <v>380.45</v>
      </c>
      <c r="EE164" s="57">
        <v>271.29000000000002</v>
      </c>
      <c r="EF164" s="57">
        <v>242.58</v>
      </c>
      <c r="EG164" s="57">
        <v>507.06</v>
      </c>
      <c r="EH164" s="57">
        <v>338.15</v>
      </c>
      <c r="EI164" s="57">
        <v>404.06</v>
      </c>
      <c r="EJ164" s="57">
        <v>184.92</v>
      </c>
      <c r="EK164" s="57">
        <v>235.5</v>
      </c>
      <c r="EL164" s="57">
        <v>915.52</v>
      </c>
      <c r="EM164" s="57">
        <v>420.78</v>
      </c>
      <c r="EN164" s="57">
        <v>389.72</v>
      </c>
      <c r="EO164" s="57">
        <v>282.36</v>
      </c>
      <c r="EP164" s="57">
        <v>392.15</v>
      </c>
      <c r="EQ164" s="57">
        <v>460.64</v>
      </c>
      <c r="ER164" s="57">
        <v>570.75</v>
      </c>
      <c r="ES164" s="57">
        <v>457.06</v>
      </c>
      <c r="ET164" s="57">
        <v>428.76</v>
      </c>
      <c r="EU164" s="57">
        <v>341.1</v>
      </c>
      <c r="EV164" s="57">
        <v>398.49</v>
      </c>
      <c r="EW164" s="57">
        <v>341.19</v>
      </c>
      <c r="EX164" s="57">
        <v>328.98</v>
      </c>
      <c r="EY164" s="57">
        <v>222.9</v>
      </c>
      <c r="EZ164" s="57">
        <v>404.84</v>
      </c>
      <c r="FA164" s="57">
        <v>499.95</v>
      </c>
      <c r="FB164" s="57">
        <v>298.17</v>
      </c>
      <c r="FC164" s="57">
        <v>525.54</v>
      </c>
      <c r="FD164" s="57">
        <v>344.64</v>
      </c>
      <c r="FE164" s="57">
        <v>378.62</v>
      </c>
      <c r="FF164" s="57"/>
      <c r="FG164" s="57">
        <v>299.61</v>
      </c>
      <c r="FH164" s="57">
        <v>299.02999999999997</v>
      </c>
      <c r="FI164" s="57">
        <v>395.89</v>
      </c>
      <c r="FJ164" s="57">
        <v>488.02</v>
      </c>
      <c r="FK164" s="57">
        <v>638.89</v>
      </c>
      <c r="FL164" s="57">
        <v>291.07</v>
      </c>
      <c r="FM164" s="57">
        <v>326.24</v>
      </c>
      <c r="FN164" s="57">
        <v>314.17</v>
      </c>
      <c r="FO164" s="57">
        <v>601.32000000000005</v>
      </c>
      <c r="FP164" s="57">
        <v>484.7</v>
      </c>
      <c r="FQ164" s="57">
        <v>313.07</v>
      </c>
      <c r="FR164" s="57">
        <v>575.89</v>
      </c>
      <c r="FS164" s="57">
        <v>390.16</v>
      </c>
      <c r="FT164" s="57">
        <v>254.44</v>
      </c>
      <c r="FU164" s="57">
        <v>404.13</v>
      </c>
      <c r="FV164" s="57">
        <v>286.7</v>
      </c>
      <c r="FW164" s="57">
        <v>224.83</v>
      </c>
      <c r="FX164" s="57">
        <v>395.79</v>
      </c>
      <c r="FY164" s="57">
        <v>380.51</v>
      </c>
      <c r="FZ164" s="57">
        <v>408.05</v>
      </c>
      <c r="GA164" s="57">
        <v>265.27999999999997</v>
      </c>
      <c r="GB164" s="57">
        <v>289.3</v>
      </c>
      <c r="GC164" s="57">
        <v>287.08999999999997</v>
      </c>
      <c r="GD164" s="57">
        <v>248.22</v>
      </c>
      <c r="GE164" s="57">
        <v>744.59</v>
      </c>
      <c r="GF164" s="57">
        <v>418.15</v>
      </c>
      <c r="GG164" s="57">
        <v>670.8</v>
      </c>
      <c r="GH164" s="57">
        <v>585.45000000000005</v>
      </c>
      <c r="GI164" s="57">
        <v>203.24</v>
      </c>
      <c r="GJ164" s="57">
        <v>181.56</v>
      </c>
      <c r="GK164" s="57">
        <v>173.54</v>
      </c>
      <c r="GL164" s="57">
        <v>264.18</v>
      </c>
      <c r="GM164" s="57">
        <v>231.32</v>
      </c>
      <c r="GN164" s="57">
        <v>333.58</v>
      </c>
      <c r="GO164" s="57">
        <v>224.43</v>
      </c>
      <c r="GP164" s="57">
        <v>215.35</v>
      </c>
      <c r="GQ164" s="57">
        <v>230</v>
      </c>
      <c r="GR164" s="57">
        <v>392.39</v>
      </c>
      <c r="GS164" s="57">
        <v>444.25</v>
      </c>
      <c r="GT164" s="57">
        <v>311.93</v>
      </c>
      <c r="GU164" s="57">
        <v>352.42</v>
      </c>
      <c r="GV164" s="57">
        <v>291.97000000000003</v>
      </c>
      <c r="GW164" s="57">
        <v>312.79000000000002</v>
      </c>
      <c r="GX164" s="57">
        <v>393.83</v>
      </c>
      <c r="GY164" s="57">
        <v>401.97</v>
      </c>
      <c r="GZ164" s="57">
        <v>393.73</v>
      </c>
      <c r="HA164" s="57">
        <v>313.11</v>
      </c>
      <c r="HB164" s="57">
        <v>326.35000000000002</v>
      </c>
      <c r="HC164" s="57">
        <v>289.22000000000003</v>
      </c>
      <c r="HD164" s="57">
        <v>256.66000000000003</v>
      </c>
      <c r="HE164" s="57">
        <v>152.26</v>
      </c>
      <c r="HF164" s="57">
        <v>166.75</v>
      </c>
      <c r="HG164" s="57">
        <v>220.32</v>
      </c>
      <c r="HH164" s="57">
        <v>272.62</v>
      </c>
      <c r="HI164" s="57">
        <v>133.5</v>
      </c>
      <c r="HJ164" s="57">
        <v>235.21</v>
      </c>
      <c r="HK164" s="57">
        <v>459.79</v>
      </c>
      <c r="HL164" s="57">
        <v>269.14999999999998</v>
      </c>
      <c r="HM164" s="57">
        <v>321.95</v>
      </c>
      <c r="HN164" s="57">
        <v>336.53</v>
      </c>
      <c r="HO164" s="57">
        <v>264.66000000000003</v>
      </c>
      <c r="HP164" s="57">
        <v>349.27</v>
      </c>
      <c r="HQ164" s="57">
        <v>189.35</v>
      </c>
      <c r="HR164" s="57">
        <v>321.73</v>
      </c>
      <c r="HS164" s="57">
        <v>496.61</v>
      </c>
      <c r="HT164" s="57">
        <v>298.16000000000003</v>
      </c>
      <c r="HU164" s="57">
        <v>160.75</v>
      </c>
      <c r="HV164" s="57">
        <v>223.91</v>
      </c>
      <c r="HW164" s="57">
        <v>135.07</v>
      </c>
      <c r="HX164" s="57">
        <v>152.91999999999999</v>
      </c>
      <c r="HY164" s="57">
        <v>250.14</v>
      </c>
      <c r="HZ164" s="57">
        <v>283.70999999999998</v>
      </c>
      <c r="IA164" s="57">
        <v>135.19999999999999</v>
      </c>
      <c r="IB164" s="57">
        <v>339.46</v>
      </c>
      <c r="IC164" s="57">
        <v>253.59</v>
      </c>
      <c r="ID164" s="57">
        <v>284.01</v>
      </c>
      <c r="IE164" s="57">
        <v>209.17</v>
      </c>
      <c r="IF164" s="57">
        <v>279.62</v>
      </c>
      <c r="IG164" s="57">
        <v>345.73</v>
      </c>
      <c r="IH164" s="57">
        <v>311.94</v>
      </c>
      <c r="II164" s="57">
        <v>451.07</v>
      </c>
      <c r="IJ164" s="57">
        <v>588.39</v>
      </c>
      <c r="IK164" s="57">
        <v>387.2</v>
      </c>
      <c r="IL164" s="57">
        <v>241.12</v>
      </c>
      <c r="IM164" s="57">
        <v>387.74</v>
      </c>
      <c r="IN164" s="57">
        <v>370.66</v>
      </c>
      <c r="IO164" s="57">
        <v>299.2</v>
      </c>
      <c r="IP164" s="57">
        <v>206.91</v>
      </c>
      <c r="IQ164" s="57">
        <v>319.33</v>
      </c>
      <c r="IR164" s="57">
        <v>438.98</v>
      </c>
      <c r="IS164" s="57">
        <v>748.38</v>
      </c>
      <c r="IT164" s="57">
        <v>38.340000000000003</v>
      </c>
      <c r="IU164" s="57">
        <v>152.41999999999999</v>
      </c>
      <c r="IV164" s="57">
        <v>43.35</v>
      </c>
      <c r="IW164" s="57">
        <v>108.72</v>
      </c>
      <c r="IX164" s="57">
        <v>184.28</v>
      </c>
      <c r="IY164" s="57">
        <v>328.25</v>
      </c>
      <c r="IZ164" s="57">
        <v>373.4</v>
      </c>
      <c r="JA164" s="57">
        <v>308.18</v>
      </c>
      <c r="JB164" s="57"/>
      <c r="JC164" s="57">
        <v>343.82</v>
      </c>
      <c r="JD164" s="57">
        <v>375.38</v>
      </c>
      <c r="JE164" s="57">
        <v>337.93</v>
      </c>
      <c r="JF164" s="57">
        <v>248.98</v>
      </c>
      <c r="JG164" s="57">
        <v>369.97</v>
      </c>
      <c r="JH164" s="57">
        <v>486.16</v>
      </c>
      <c r="JI164" s="57">
        <v>429.84</v>
      </c>
      <c r="JJ164" s="57">
        <v>351.89</v>
      </c>
      <c r="JK164" s="57">
        <v>449.14</v>
      </c>
      <c r="JL164" s="57">
        <v>431.86</v>
      </c>
      <c r="JM164" s="57">
        <v>380.45</v>
      </c>
      <c r="JN164" s="57">
        <v>271.29000000000002</v>
      </c>
      <c r="JO164" s="57">
        <v>242.58</v>
      </c>
      <c r="JP164" s="57">
        <v>528.91999999999996</v>
      </c>
      <c r="JQ164" s="57">
        <v>458.5</v>
      </c>
      <c r="JR164" s="57">
        <v>293.56</v>
      </c>
      <c r="JS164" s="57">
        <v>434.54</v>
      </c>
      <c r="JT164" s="57">
        <v>455.2</v>
      </c>
      <c r="JU164" s="57">
        <v>354.91</v>
      </c>
      <c r="JV164" s="57">
        <v>184.92</v>
      </c>
      <c r="JW164" s="57">
        <v>235.5</v>
      </c>
      <c r="JX164" s="57">
        <v>915.52</v>
      </c>
      <c r="JY164" s="57">
        <v>440.76</v>
      </c>
      <c r="JZ164" s="57">
        <v>382.63</v>
      </c>
      <c r="KA164" s="57">
        <v>389.72</v>
      </c>
      <c r="KB164" s="57">
        <v>282.36</v>
      </c>
      <c r="KC164" s="57">
        <v>392.15</v>
      </c>
      <c r="KD164" s="57">
        <v>460.64</v>
      </c>
      <c r="KE164" s="57">
        <v>570.75</v>
      </c>
      <c r="KF164" s="57">
        <v>457.06</v>
      </c>
    </row>
    <row r="165" spans="1:292">
      <c r="A165" s="41">
        <v>2018</v>
      </c>
      <c r="B165" s="54" t="s">
        <v>983</v>
      </c>
      <c r="C165" s="50" t="s">
        <v>984</v>
      </c>
      <c r="D165" s="57">
        <v>342.78</v>
      </c>
      <c r="E165" s="57">
        <v>384.6</v>
      </c>
      <c r="F165" s="57">
        <v>593.91999999999996</v>
      </c>
      <c r="G165" s="57">
        <v>222.32</v>
      </c>
      <c r="H165" s="57">
        <v>375.15</v>
      </c>
      <c r="I165" s="57">
        <v>276.01</v>
      </c>
      <c r="J165" s="57">
        <v>210.19</v>
      </c>
      <c r="K165" s="57">
        <v>346.28</v>
      </c>
      <c r="L165" s="57">
        <v>133.82</v>
      </c>
      <c r="M165" s="57">
        <v>235.23</v>
      </c>
      <c r="N165" s="57">
        <v>331.06</v>
      </c>
      <c r="O165" s="57">
        <v>501.78</v>
      </c>
      <c r="P165" s="57">
        <v>421.03</v>
      </c>
      <c r="Q165" s="57">
        <v>388.35</v>
      </c>
      <c r="R165" s="57">
        <v>332.05</v>
      </c>
      <c r="S165" s="57">
        <v>698.48</v>
      </c>
      <c r="T165" s="57">
        <v>586.42999999999995</v>
      </c>
      <c r="U165" s="57">
        <v>216.22</v>
      </c>
      <c r="V165" s="57">
        <v>238.54</v>
      </c>
      <c r="W165" s="57">
        <v>447.53</v>
      </c>
      <c r="X165" s="57">
        <v>317.77</v>
      </c>
      <c r="Y165" s="57">
        <v>358.12</v>
      </c>
      <c r="Z165" s="57">
        <v>351.35</v>
      </c>
      <c r="AA165" s="57">
        <v>332.22</v>
      </c>
      <c r="AB165" s="57">
        <v>259.83999999999997</v>
      </c>
      <c r="AC165" s="57">
        <v>209.94</v>
      </c>
      <c r="AD165" s="57">
        <v>310.68</v>
      </c>
      <c r="AE165" s="57">
        <v>310.05</v>
      </c>
      <c r="AF165" s="57">
        <v>262.89</v>
      </c>
      <c r="AG165" s="57">
        <v>154.38999999999999</v>
      </c>
      <c r="AH165" s="57">
        <v>243.9</v>
      </c>
      <c r="AI165" s="57">
        <v>341.89</v>
      </c>
      <c r="AJ165" s="57">
        <v>289.99</v>
      </c>
      <c r="AK165" s="57">
        <v>356.78</v>
      </c>
      <c r="AL165" s="57">
        <v>364.98</v>
      </c>
      <c r="AM165" s="57">
        <v>748.38</v>
      </c>
      <c r="AN165" s="57">
        <v>38.28</v>
      </c>
      <c r="AO165" s="57">
        <v>152.41999999999999</v>
      </c>
      <c r="AP165" s="57">
        <v>72.91</v>
      </c>
      <c r="AQ165" s="57">
        <v>330.54</v>
      </c>
      <c r="AR165" s="57">
        <v>369.82</v>
      </c>
      <c r="AS165" s="57">
        <v>319.06</v>
      </c>
      <c r="AT165" s="57">
        <v>423.61</v>
      </c>
      <c r="AU165" s="57">
        <v>480.77</v>
      </c>
      <c r="AV165" s="57">
        <v>436.97</v>
      </c>
      <c r="AW165" s="57">
        <v>384.06</v>
      </c>
      <c r="AX165" s="57">
        <v>271.29000000000002</v>
      </c>
      <c r="AY165" s="57">
        <v>243.6</v>
      </c>
      <c r="AZ165" s="57">
        <v>512.22</v>
      </c>
      <c r="BA165" s="57">
        <v>345.06</v>
      </c>
      <c r="BB165" s="57">
        <v>277.61</v>
      </c>
      <c r="BC165" s="57">
        <v>806.15</v>
      </c>
      <c r="BD165" s="57">
        <v>391.52</v>
      </c>
      <c r="BE165" s="57">
        <v>450.13</v>
      </c>
      <c r="BF165" s="57">
        <v>585.6</v>
      </c>
      <c r="BG165" s="57">
        <v>456.99</v>
      </c>
      <c r="BH165" s="57">
        <v>380.76</v>
      </c>
      <c r="BI165" s="57">
        <v>415.38</v>
      </c>
      <c r="BJ165" s="57">
        <v>387.81</v>
      </c>
      <c r="BK165" s="57">
        <v>360.96</v>
      </c>
      <c r="BL165" s="57">
        <v>359.48</v>
      </c>
      <c r="BM165" s="57">
        <v>361.76</v>
      </c>
      <c r="BN165" s="57">
        <v>434.7</v>
      </c>
      <c r="BO165" s="57">
        <v>291.19</v>
      </c>
      <c r="BP165" s="57">
        <v>395.62</v>
      </c>
      <c r="BQ165" s="57">
        <v>402.13</v>
      </c>
      <c r="BR165" s="57">
        <v>280.83999999999997</v>
      </c>
      <c r="BS165" s="57">
        <v>745.29</v>
      </c>
      <c r="BT165" s="57">
        <v>418.45</v>
      </c>
      <c r="BU165" s="57">
        <v>671.58</v>
      </c>
      <c r="BV165" s="57">
        <v>586.42999999999995</v>
      </c>
      <c r="BW165" s="57">
        <v>212.36</v>
      </c>
      <c r="BX165" s="57">
        <v>247.79</v>
      </c>
      <c r="BY165" s="57">
        <v>337.65</v>
      </c>
      <c r="BZ165" s="57">
        <v>237.7</v>
      </c>
      <c r="CA165" s="57">
        <v>396.5</v>
      </c>
      <c r="CB165" s="58">
        <v>447.53</v>
      </c>
      <c r="CC165" s="57">
        <v>317.77</v>
      </c>
      <c r="CD165" s="57">
        <v>356.74</v>
      </c>
      <c r="CE165" s="57">
        <v>300.44</v>
      </c>
      <c r="CF165" s="57">
        <v>353.13</v>
      </c>
      <c r="CG165" s="57">
        <v>403.84</v>
      </c>
      <c r="CH165" s="57">
        <v>341.71</v>
      </c>
      <c r="CI165" s="57">
        <v>297.2</v>
      </c>
      <c r="CJ165" s="57">
        <v>259.83999999999997</v>
      </c>
      <c r="CK165" s="57">
        <v>189.65</v>
      </c>
      <c r="CL165" s="57">
        <v>233.79</v>
      </c>
      <c r="CM165" s="57">
        <v>461.46</v>
      </c>
      <c r="CN165" s="57">
        <v>310.68</v>
      </c>
      <c r="CO165" s="57">
        <v>310.05</v>
      </c>
      <c r="CP165" s="57">
        <v>208.07</v>
      </c>
      <c r="CQ165" s="57">
        <v>490.87</v>
      </c>
      <c r="CR165" s="57">
        <v>160.75</v>
      </c>
      <c r="CS165" s="57">
        <v>226.54</v>
      </c>
      <c r="CT165" s="57">
        <v>146.09</v>
      </c>
      <c r="CU165" s="57">
        <v>250.38</v>
      </c>
      <c r="CV165" s="57">
        <v>286.05</v>
      </c>
      <c r="CW165" s="57">
        <v>148.19</v>
      </c>
      <c r="CX165" s="57">
        <v>341.89</v>
      </c>
      <c r="CY165" s="57">
        <v>292.27999999999997</v>
      </c>
      <c r="CZ165" s="57">
        <v>212.93</v>
      </c>
      <c r="DA165" s="57">
        <v>291.52999999999997</v>
      </c>
      <c r="DB165" s="57">
        <v>352.87</v>
      </c>
      <c r="DC165" s="57">
        <v>326.61</v>
      </c>
      <c r="DD165" s="57">
        <v>458.75</v>
      </c>
      <c r="DE165" s="57">
        <v>595.82000000000005</v>
      </c>
      <c r="DF165" s="57">
        <v>321.77999999999997</v>
      </c>
      <c r="DG165" s="57">
        <v>371</v>
      </c>
      <c r="DH165" s="57">
        <v>210.95</v>
      </c>
      <c r="DI165" s="57">
        <v>319.45999999999998</v>
      </c>
      <c r="DJ165" s="57">
        <v>447.16</v>
      </c>
      <c r="DK165" s="57">
        <v>748.38</v>
      </c>
      <c r="DL165" s="57">
        <v>38.28</v>
      </c>
      <c r="DM165" s="57">
        <v>152.41999999999999</v>
      </c>
      <c r="DN165" s="57">
        <v>43.28</v>
      </c>
      <c r="DO165" s="57">
        <v>108.31</v>
      </c>
      <c r="DP165" s="57">
        <v>184.28</v>
      </c>
      <c r="DQ165" s="57">
        <v>330.54</v>
      </c>
      <c r="DR165" s="57">
        <v>381.8</v>
      </c>
      <c r="DS165" s="57">
        <v>321.47000000000003</v>
      </c>
      <c r="DT165" s="57"/>
      <c r="DU165" s="57">
        <v>348.8</v>
      </c>
      <c r="DV165" s="57">
        <v>376.99</v>
      </c>
      <c r="DW165" s="57">
        <v>263.17</v>
      </c>
      <c r="DX165" s="57">
        <v>375.96</v>
      </c>
      <c r="DY165" s="57">
        <v>495.48</v>
      </c>
      <c r="DZ165" s="57">
        <v>429.84</v>
      </c>
      <c r="EA165" s="57">
        <v>356.1</v>
      </c>
      <c r="EB165" s="57">
        <v>480.77</v>
      </c>
      <c r="EC165" s="57">
        <v>436.97</v>
      </c>
      <c r="ED165" s="57">
        <v>384.06</v>
      </c>
      <c r="EE165" s="57">
        <v>271.29000000000002</v>
      </c>
      <c r="EF165" s="57">
        <v>243.6</v>
      </c>
      <c r="EG165" s="57">
        <v>512.22</v>
      </c>
      <c r="EH165" s="57">
        <v>345.06</v>
      </c>
      <c r="EI165" s="57">
        <v>409.24</v>
      </c>
      <c r="EJ165" s="57">
        <v>188.36</v>
      </c>
      <c r="EK165" s="57">
        <v>240.8</v>
      </c>
      <c r="EL165" s="57">
        <v>965.13</v>
      </c>
      <c r="EM165" s="57">
        <v>422.94</v>
      </c>
      <c r="EN165" s="57">
        <v>391.52</v>
      </c>
      <c r="EO165" s="57">
        <v>284.08999999999997</v>
      </c>
      <c r="EP165" s="57">
        <v>396.02</v>
      </c>
      <c r="EQ165" s="57">
        <v>457.74</v>
      </c>
      <c r="ER165" s="57">
        <v>585.6</v>
      </c>
      <c r="ES165" s="57">
        <v>456.99</v>
      </c>
      <c r="ET165" s="57">
        <v>429.79</v>
      </c>
      <c r="EU165" s="57">
        <v>345.1</v>
      </c>
      <c r="EV165" s="57">
        <v>399.26</v>
      </c>
      <c r="EW165" s="57">
        <v>344.01</v>
      </c>
      <c r="EX165" s="57">
        <v>333.17</v>
      </c>
      <c r="EY165" s="57">
        <v>225.72</v>
      </c>
      <c r="EZ165" s="57">
        <v>418.89</v>
      </c>
      <c r="FA165" s="57">
        <v>528.5</v>
      </c>
      <c r="FB165" s="57">
        <v>309.98</v>
      </c>
      <c r="FC165" s="57">
        <v>537.26</v>
      </c>
      <c r="FD165" s="57">
        <v>348.4</v>
      </c>
      <c r="FE165" s="57">
        <v>387.81</v>
      </c>
      <c r="FF165" s="57"/>
      <c r="FG165" s="57">
        <v>290</v>
      </c>
      <c r="FH165" s="57">
        <v>297.26</v>
      </c>
      <c r="FI165" s="57">
        <v>400.4</v>
      </c>
      <c r="FJ165" s="57">
        <v>456.57</v>
      </c>
      <c r="FK165" s="57">
        <v>636.94000000000005</v>
      </c>
      <c r="FL165" s="57">
        <v>291.12</v>
      </c>
      <c r="FM165" s="57">
        <v>324.02999999999997</v>
      </c>
      <c r="FN165" s="57">
        <v>314.64</v>
      </c>
      <c r="FO165" s="57">
        <v>605.61</v>
      </c>
      <c r="FP165" s="57">
        <v>439.47</v>
      </c>
      <c r="FQ165" s="57">
        <v>320.45</v>
      </c>
      <c r="FR165" s="57">
        <v>575.1</v>
      </c>
      <c r="FS165" s="57">
        <v>395.37</v>
      </c>
      <c r="FT165" s="57">
        <v>257.81</v>
      </c>
      <c r="FU165" s="57">
        <v>408.45</v>
      </c>
      <c r="FV165" s="57">
        <v>288.45999999999998</v>
      </c>
      <c r="FW165" s="57">
        <v>238.24</v>
      </c>
      <c r="FX165" s="57">
        <v>395.62</v>
      </c>
      <c r="FY165" s="57">
        <v>383.65</v>
      </c>
      <c r="FZ165" s="57">
        <v>408</v>
      </c>
      <c r="GA165" s="57">
        <v>266.33</v>
      </c>
      <c r="GB165" s="57">
        <v>290.02</v>
      </c>
      <c r="GC165" s="57">
        <v>286.23</v>
      </c>
      <c r="GD165" s="57">
        <v>248.98</v>
      </c>
      <c r="GE165" s="57">
        <v>745.29</v>
      </c>
      <c r="GF165" s="57">
        <v>418.45</v>
      </c>
      <c r="GG165" s="57">
        <v>671.58</v>
      </c>
      <c r="GH165" s="57">
        <v>585.45000000000005</v>
      </c>
      <c r="GI165" s="57">
        <v>223.09</v>
      </c>
      <c r="GJ165" s="57">
        <v>207.17</v>
      </c>
      <c r="GK165" s="57">
        <v>194.92</v>
      </c>
      <c r="GL165" s="57">
        <v>274.06</v>
      </c>
      <c r="GM165" s="57">
        <v>247.79</v>
      </c>
      <c r="GN165" s="57">
        <v>337.65</v>
      </c>
      <c r="GO165" s="57">
        <v>240.55</v>
      </c>
      <c r="GP165" s="57">
        <v>232.15</v>
      </c>
      <c r="GQ165" s="57">
        <v>243.19</v>
      </c>
      <c r="GR165" s="57">
        <v>396.5</v>
      </c>
      <c r="GS165" s="57">
        <v>447.53</v>
      </c>
      <c r="GT165" s="57">
        <v>317.77</v>
      </c>
      <c r="GU165" s="57">
        <v>356.74</v>
      </c>
      <c r="GV165" s="57">
        <v>300.44</v>
      </c>
      <c r="GW165" s="57">
        <v>313.91000000000003</v>
      </c>
      <c r="GX165" s="57">
        <v>398.23</v>
      </c>
      <c r="GY165" s="57">
        <v>403.84</v>
      </c>
      <c r="GZ165" s="57">
        <v>404.38</v>
      </c>
      <c r="HA165" s="57">
        <v>328.12</v>
      </c>
      <c r="HB165" s="57">
        <v>341.27</v>
      </c>
      <c r="HC165" s="57">
        <v>297.2</v>
      </c>
      <c r="HD165" s="57">
        <v>259.83999999999997</v>
      </c>
      <c r="HE165" s="57">
        <v>153.94999999999999</v>
      </c>
      <c r="HF165" s="57">
        <v>168.81</v>
      </c>
      <c r="HG165" s="57">
        <v>224.32</v>
      </c>
      <c r="HH165" s="57">
        <v>275.45999999999998</v>
      </c>
      <c r="HI165" s="57">
        <v>136.13</v>
      </c>
      <c r="HJ165" s="57">
        <v>233.79</v>
      </c>
      <c r="HK165" s="57">
        <v>461.46</v>
      </c>
      <c r="HL165" s="57">
        <v>272.39999999999998</v>
      </c>
      <c r="HM165" s="57">
        <v>325.63</v>
      </c>
      <c r="HN165" s="57">
        <v>341.14</v>
      </c>
      <c r="HO165" s="57">
        <v>265.85000000000002</v>
      </c>
      <c r="HP165" s="57">
        <v>353.7</v>
      </c>
      <c r="HQ165" s="57">
        <v>191.76</v>
      </c>
      <c r="HR165" s="57">
        <v>324.63</v>
      </c>
      <c r="HS165" s="57">
        <v>499.18</v>
      </c>
      <c r="HT165" s="57">
        <v>304.33999999999997</v>
      </c>
      <c r="HU165" s="57">
        <v>160.75</v>
      </c>
      <c r="HV165" s="57">
        <v>226.54</v>
      </c>
      <c r="HW165" s="57">
        <v>136.16</v>
      </c>
      <c r="HX165" s="57">
        <v>156.19999999999999</v>
      </c>
      <c r="HY165" s="57">
        <v>250.38</v>
      </c>
      <c r="HZ165" s="57">
        <v>286.05</v>
      </c>
      <c r="IA165" s="57">
        <v>135.37</v>
      </c>
      <c r="IB165" s="57">
        <v>341.89</v>
      </c>
      <c r="IC165" s="57">
        <v>264.35000000000002</v>
      </c>
      <c r="ID165" s="57">
        <v>299.38</v>
      </c>
      <c r="IE165" s="57">
        <v>212.93</v>
      </c>
      <c r="IF165" s="57">
        <v>291.52999999999997</v>
      </c>
      <c r="IG165" s="57">
        <v>352.87</v>
      </c>
      <c r="IH165" s="57">
        <v>326.61</v>
      </c>
      <c r="II165" s="57">
        <v>458.75</v>
      </c>
      <c r="IJ165" s="57">
        <v>595.82000000000005</v>
      </c>
      <c r="IK165" s="57">
        <v>387.58</v>
      </c>
      <c r="IL165" s="57">
        <v>248.96</v>
      </c>
      <c r="IM165" s="57">
        <v>388.06</v>
      </c>
      <c r="IN165" s="57">
        <v>371.37</v>
      </c>
      <c r="IO165" s="57">
        <v>305.47000000000003</v>
      </c>
      <c r="IP165" s="57">
        <v>210.95</v>
      </c>
      <c r="IQ165" s="57">
        <v>319.45999999999998</v>
      </c>
      <c r="IR165" s="57">
        <v>447.16</v>
      </c>
      <c r="IS165" s="57">
        <v>748.38</v>
      </c>
      <c r="IT165" s="57">
        <v>38.28</v>
      </c>
      <c r="IU165" s="57">
        <v>152.41999999999999</v>
      </c>
      <c r="IV165" s="57">
        <v>43.29</v>
      </c>
      <c r="IW165" s="57">
        <v>108.31</v>
      </c>
      <c r="IX165" s="57">
        <v>184.28</v>
      </c>
      <c r="IY165" s="57">
        <v>330.54</v>
      </c>
      <c r="IZ165" s="57">
        <v>381.8</v>
      </c>
      <c r="JA165" s="57">
        <v>321.47000000000003</v>
      </c>
      <c r="JB165" s="57"/>
      <c r="JC165" s="57">
        <v>348.8</v>
      </c>
      <c r="JD165" s="57">
        <v>376.99</v>
      </c>
      <c r="JE165" s="57">
        <v>341.11</v>
      </c>
      <c r="JF165" s="57">
        <v>249.11</v>
      </c>
      <c r="JG165" s="57">
        <v>375.96</v>
      </c>
      <c r="JH165" s="57">
        <v>495.48</v>
      </c>
      <c r="JI165" s="57">
        <v>429.84</v>
      </c>
      <c r="JJ165" s="57">
        <v>356.1</v>
      </c>
      <c r="JK165" s="57">
        <v>480.77</v>
      </c>
      <c r="JL165" s="57">
        <v>436.97</v>
      </c>
      <c r="JM165" s="57">
        <v>384.06</v>
      </c>
      <c r="JN165" s="57">
        <v>271.29000000000002</v>
      </c>
      <c r="JO165" s="57">
        <v>243.6</v>
      </c>
      <c r="JP165" s="57">
        <v>534.72</v>
      </c>
      <c r="JQ165" s="57">
        <v>461.57</v>
      </c>
      <c r="JR165" s="57">
        <v>303.27</v>
      </c>
      <c r="JS165" s="57">
        <v>434.52</v>
      </c>
      <c r="JT165" s="57">
        <v>461.37</v>
      </c>
      <c r="JU165" s="57">
        <v>359.25</v>
      </c>
      <c r="JV165" s="57">
        <v>188.36</v>
      </c>
      <c r="JW165" s="57">
        <v>240.8</v>
      </c>
      <c r="JX165" s="57">
        <v>965.13</v>
      </c>
      <c r="JY165" s="57">
        <v>443.71</v>
      </c>
      <c r="JZ165" s="57">
        <v>383.73</v>
      </c>
      <c r="KA165" s="57">
        <v>391.52</v>
      </c>
      <c r="KB165" s="57">
        <v>284.08999999999997</v>
      </c>
      <c r="KC165" s="57">
        <v>396.02</v>
      </c>
      <c r="KD165" s="57">
        <v>457.74</v>
      </c>
      <c r="KE165" s="57">
        <v>585.6</v>
      </c>
      <c r="KF165" s="57">
        <v>456.99</v>
      </c>
    </row>
    <row r="166" spans="1:292">
      <c r="A166" s="41">
        <v>2018</v>
      </c>
      <c r="B166" s="54" t="s">
        <v>985</v>
      </c>
      <c r="C166" s="50" t="s">
        <v>986</v>
      </c>
      <c r="D166" s="57">
        <v>348.34</v>
      </c>
      <c r="E166" s="57">
        <v>390.19</v>
      </c>
      <c r="F166" s="57">
        <v>594.83000000000004</v>
      </c>
      <c r="G166" s="57">
        <v>233.91</v>
      </c>
      <c r="H166" s="57">
        <v>378.73</v>
      </c>
      <c r="I166" s="57">
        <v>278.42</v>
      </c>
      <c r="J166" s="57">
        <v>210.91</v>
      </c>
      <c r="K166" s="57">
        <v>354.31</v>
      </c>
      <c r="L166" s="57">
        <v>134.28</v>
      </c>
      <c r="M166" s="57">
        <v>238.15</v>
      </c>
      <c r="N166" s="57">
        <v>334.48</v>
      </c>
      <c r="O166" s="57">
        <v>509.07</v>
      </c>
      <c r="P166" s="57">
        <v>429.7</v>
      </c>
      <c r="Q166" s="57">
        <v>394.19</v>
      </c>
      <c r="R166" s="57">
        <v>334.67</v>
      </c>
      <c r="S166" s="57">
        <v>713.37</v>
      </c>
      <c r="T166" s="57">
        <v>586.42999999999995</v>
      </c>
      <c r="U166" s="57">
        <v>227.24</v>
      </c>
      <c r="V166" s="57">
        <v>251.99</v>
      </c>
      <c r="W166" s="57">
        <v>450.71</v>
      </c>
      <c r="X166" s="57">
        <v>325.45999999999998</v>
      </c>
      <c r="Y166" s="57">
        <v>362.1</v>
      </c>
      <c r="Z166" s="57">
        <v>353.57</v>
      </c>
      <c r="AA166" s="57">
        <v>332.05</v>
      </c>
      <c r="AB166" s="57">
        <v>262.52999999999997</v>
      </c>
      <c r="AC166" s="57">
        <v>213.83</v>
      </c>
      <c r="AD166" s="57">
        <v>314.64</v>
      </c>
      <c r="AE166" s="57">
        <v>314.5</v>
      </c>
      <c r="AF166" s="57">
        <v>265.23</v>
      </c>
      <c r="AG166" s="57">
        <v>154.78</v>
      </c>
      <c r="AH166" s="57">
        <v>244.91</v>
      </c>
      <c r="AI166" s="57">
        <v>342.91</v>
      </c>
      <c r="AJ166" s="57">
        <v>296.08</v>
      </c>
      <c r="AK166" s="57">
        <v>367.32</v>
      </c>
      <c r="AL166" s="57">
        <v>370.59</v>
      </c>
      <c r="AM166" s="57">
        <v>748.38</v>
      </c>
      <c r="AN166" s="57">
        <v>37.729999999999997</v>
      </c>
      <c r="AO166" s="57">
        <v>153.65</v>
      </c>
      <c r="AP166" s="57">
        <v>73.67</v>
      </c>
      <c r="AQ166" s="57">
        <v>333.1</v>
      </c>
      <c r="AR166" s="57">
        <v>370.61</v>
      </c>
      <c r="AS166" s="57">
        <v>319.08999999999997</v>
      </c>
      <c r="AT166" s="57">
        <v>425.28</v>
      </c>
      <c r="AU166" s="57">
        <v>508.84</v>
      </c>
      <c r="AV166" s="57">
        <v>442.84</v>
      </c>
      <c r="AW166" s="57">
        <v>391.02</v>
      </c>
      <c r="AX166" s="57">
        <v>271.29000000000002</v>
      </c>
      <c r="AY166" s="57">
        <v>245.47</v>
      </c>
      <c r="AZ166" s="57">
        <v>519.41</v>
      </c>
      <c r="BA166" s="57">
        <v>351.16</v>
      </c>
      <c r="BB166" s="57">
        <v>280.08999999999997</v>
      </c>
      <c r="BC166" s="57">
        <v>845.52</v>
      </c>
      <c r="BD166" s="57">
        <v>393.4</v>
      </c>
      <c r="BE166" s="57">
        <v>453.44</v>
      </c>
      <c r="BF166" s="57">
        <v>585.6</v>
      </c>
      <c r="BG166" s="57">
        <v>457.09</v>
      </c>
      <c r="BH166" s="57">
        <v>383.14</v>
      </c>
      <c r="BI166" s="57">
        <v>425.37</v>
      </c>
      <c r="BJ166" s="57">
        <v>414.22</v>
      </c>
      <c r="BK166" s="57">
        <v>360.82</v>
      </c>
      <c r="BL166" s="57">
        <v>360.39</v>
      </c>
      <c r="BM166" s="57">
        <v>381.64</v>
      </c>
      <c r="BN166" s="57">
        <v>435.15</v>
      </c>
      <c r="BO166" s="57">
        <v>294.98</v>
      </c>
      <c r="BP166" s="57">
        <v>395.43</v>
      </c>
      <c r="BQ166" s="57">
        <v>403.49</v>
      </c>
      <c r="BR166" s="57">
        <v>283.94</v>
      </c>
      <c r="BS166" s="57">
        <v>779.01</v>
      </c>
      <c r="BT166" s="57">
        <v>422.91</v>
      </c>
      <c r="BU166" s="57">
        <v>670.99</v>
      </c>
      <c r="BV166" s="57">
        <v>586.42999999999995</v>
      </c>
      <c r="BW166" s="57">
        <v>223.62</v>
      </c>
      <c r="BX166" s="57">
        <v>255.33</v>
      </c>
      <c r="BY166" s="57">
        <v>344.44</v>
      </c>
      <c r="BZ166" s="57">
        <v>251.14</v>
      </c>
      <c r="CA166" s="57">
        <v>404.02</v>
      </c>
      <c r="CB166" s="58">
        <v>450.71</v>
      </c>
      <c r="CC166" s="57">
        <v>325.45999999999998</v>
      </c>
      <c r="CD166" s="57">
        <v>360.71</v>
      </c>
      <c r="CE166" s="57">
        <v>300.44</v>
      </c>
      <c r="CF166" s="57">
        <v>356.77</v>
      </c>
      <c r="CG166" s="57">
        <v>409.66</v>
      </c>
      <c r="CH166" s="57">
        <v>341.23</v>
      </c>
      <c r="CI166" s="57">
        <v>299.73</v>
      </c>
      <c r="CJ166" s="57">
        <v>262.52999999999997</v>
      </c>
      <c r="CK166" s="57">
        <v>193.48</v>
      </c>
      <c r="CL166" s="57">
        <v>232.34</v>
      </c>
      <c r="CM166" s="57">
        <v>476.53</v>
      </c>
      <c r="CN166" s="57">
        <v>314.64</v>
      </c>
      <c r="CO166" s="57">
        <v>314.5</v>
      </c>
      <c r="CP166" s="57">
        <v>209.88</v>
      </c>
      <c r="CQ166" s="57">
        <v>495.47</v>
      </c>
      <c r="CR166" s="57">
        <v>160.75</v>
      </c>
      <c r="CS166" s="57">
        <v>226.86</v>
      </c>
      <c r="CT166" s="57">
        <v>147.58000000000001</v>
      </c>
      <c r="CU166" s="57">
        <v>250.42</v>
      </c>
      <c r="CV166" s="57">
        <v>288.63</v>
      </c>
      <c r="CW166" s="57">
        <v>148.44999999999999</v>
      </c>
      <c r="CX166" s="57">
        <v>342.91</v>
      </c>
      <c r="CY166" s="57">
        <v>298.33</v>
      </c>
      <c r="CZ166" s="57">
        <v>219.47</v>
      </c>
      <c r="DA166" s="57">
        <v>296.95999999999998</v>
      </c>
      <c r="DB166" s="57">
        <v>360.51</v>
      </c>
      <c r="DC166" s="57">
        <v>337.02</v>
      </c>
      <c r="DD166" s="57">
        <v>469.92</v>
      </c>
      <c r="DE166" s="57">
        <v>604.22</v>
      </c>
      <c r="DF166" s="57">
        <v>321.77999999999997</v>
      </c>
      <c r="DG166" s="57">
        <v>377.1</v>
      </c>
      <c r="DH166" s="57">
        <v>213.39</v>
      </c>
      <c r="DI166" s="57">
        <v>319.45999999999998</v>
      </c>
      <c r="DJ166" s="57">
        <v>452.03</v>
      </c>
      <c r="DK166" s="57">
        <v>748.38</v>
      </c>
      <c r="DL166" s="57">
        <v>37.729999999999997</v>
      </c>
      <c r="DM166" s="57">
        <v>153.65</v>
      </c>
      <c r="DN166" s="57">
        <v>43.34</v>
      </c>
      <c r="DO166" s="57">
        <v>112.08</v>
      </c>
      <c r="DP166" s="57">
        <v>186.51</v>
      </c>
      <c r="DQ166" s="57">
        <v>333.1</v>
      </c>
      <c r="DR166" s="57">
        <v>380.92</v>
      </c>
      <c r="DS166" s="57">
        <v>325.99</v>
      </c>
      <c r="DT166" s="57"/>
      <c r="DU166" s="57">
        <v>349.73</v>
      </c>
      <c r="DV166" s="57">
        <v>376.47</v>
      </c>
      <c r="DW166" s="57">
        <v>263.83999999999997</v>
      </c>
      <c r="DX166" s="57">
        <v>375.96</v>
      </c>
      <c r="DY166" s="57">
        <v>494.84</v>
      </c>
      <c r="DZ166" s="57">
        <v>431.35</v>
      </c>
      <c r="EA166" s="57">
        <v>360.35</v>
      </c>
      <c r="EB166" s="57">
        <v>508.84</v>
      </c>
      <c r="EC166" s="57">
        <v>442.84</v>
      </c>
      <c r="ED166" s="57">
        <v>391.02</v>
      </c>
      <c r="EE166" s="57">
        <v>271.29000000000002</v>
      </c>
      <c r="EF166" s="57">
        <v>245.47</v>
      </c>
      <c r="EG166" s="57">
        <v>519.41</v>
      </c>
      <c r="EH166" s="57">
        <v>351.16</v>
      </c>
      <c r="EI166" s="57">
        <v>413.4</v>
      </c>
      <c r="EJ166" s="57">
        <v>186.68</v>
      </c>
      <c r="EK166" s="57">
        <v>242.93</v>
      </c>
      <c r="EL166" s="57">
        <v>1024.07</v>
      </c>
      <c r="EM166" s="57">
        <v>425.53</v>
      </c>
      <c r="EN166" s="57">
        <v>393.4</v>
      </c>
      <c r="EO166" s="57">
        <v>283.60000000000002</v>
      </c>
      <c r="EP166" s="57">
        <v>396.02</v>
      </c>
      <c r="EQ166" s="57">
        <v>462.69</v>
      </c>
      <c r="ER166" s="57">
        <v>585.6</v>
      </c>
      <c r="ES166" s="57">
        <v>457.09</v>
      </c>
      <c r="ET166" s="57">
        <v>431.37</v>
      </c>
      <c r="EU166" s="57">
        <v>341.36</v>
      </c>
      <c r="EV166" s="57">
        <v>403.58</v>
      </c>
      <c r="EW166" s="57">
        <v>347.68</v>
      </c>
      <c r="EX166" s="57">
        <v>328.74</v>
      </c>
      <c r="EY166" s="57">
        <v>220.57</v>
      </c>
      <c r="EZ166" s="57">
        <v>427.16</v>
      </c>
      <c r="FA166" s="57">
        <v>539.37</v>
      </c>
      <c r="FB166" s="57">
        <v>326.12</v>
      </c>
      <c r="FC166" s="57">
        <v>537.11</v>
      </c>
      <c r="FD166" s="57">
        <v>348</v>
      </c>
      <c r="FE166" s="57">
        <v>414.22</v>
      </c>
      <c r="FF166" s="57"/>
      <c r="FG166" s="57">
        <v>285.58</v>
      </c>
      <c r="FH166" s="57">
        <v>295.73</v>
      </c>
      <c r="FI166" s="57">
        <v>397.7</v>
      </c>
      <c r="FJ166" s="57">
        <v>472.89</v>
      </c>
      <c r="FK166" s="57">
        <v>636.78</v>
      </c>
      <c r="FL166" s="57">
        <v>290.33999999999997</v>
      </c>
      <c r="FM166" s="57">
        <v>325.45999999999998</v>
      </c>
      <c r="FN166" s="57">
        <v>337.37</v>
      </c>
      <c r="FO166" s="57">
        <v>609.79999999999995</v>
      </c>
      <c r="FP166" s="57">
        <v>413.95</v>
      </c>
      <c r="FQ166" s="57">
        <v>431.49</v>
      </c>
      <c r="FR166" s="57">
        <v>567.53</v>
      </c>
      <c r="FS166" s="57">
        <v>392.78</v>
      </c>
      <c r="FT166" s="57">
        <v>260.69</v>
      </c>
      <c r="FU166" s="57">
        <v>405.32</v>
      </c>
      <c r="FV166" s="57">
        <v>294.5</v>
      </c>
      <c r="FW166" s="57">
        <v>245.87</v>
      </c>
      <c r="FX166" s="57">
        <v>395.43</v>
      </c>
      <c r="FY166" s="57">
        <v>388.44</v>
      </c>
      <c r="FZ166" s="57">
        <v>408.52</v>
      </c>
      <c r="GA166" s="57">
        <v>267.43</v>
      </c>
      <c r="GB166" s="57">
        <v>293.45999999999998</v>
      </c>
      <c r="GC166" s="57">
        <v>288.63</v>
      </c>
      <c r="GD166" s="57">
        <v>252.79</v>
      </c>
      <c r="GE166" s="57">
        <v>779.01</v>
      </c>
      <c r="GF166" s="57">
        <v>422.91</v>
      </c>
      <c r="GG166" s="57">
        <v>670.99</v>
      </c>
      <c r="GH166" s="57">
        <v>585.45000000000005</v>
      </c>
      <c r="GI166" s="57">
        <v>235.93</v>
      </c>
      <c r="GJ166" s="57">
        <v>217.21</v>
      </c>
      <c r="GK166" s="57">
        <v>207.14</v>
      </c>
      <c r="GL166" s="57">
        <v>277.64999999999998</v>
      </c>
      <c r="GM166" s="57">
        <v>255.33</v>
      </c>
      <c r="GN166" s="57">
        <v>344.44</v>
      </c>
      <c r="GO166" s="57">
        <v>254.5</v>
      </c>
      <c r="GP166" s="57">
        <v>245.75</v>
      </c>
      <c r="GQ166" s="57">
        <v>255.11</v>
      </c>
      <c r="GR166" s="57">
        <v>404.02</v>
      </c>
      <c r="GS166" s="57">
        <v>450.71</v>
      </c>
      <c r="GT166" s="57">
        <v>325.45999999999998</v>
      </c>
      <c r="GU166" s="57">
        <v>360.71</v>
      </c>
      <c r="GV166" s="57">
        <v>300.44</v>
      </c>
      <c r="GW166" s="57">
        <v>315.36</v>
      </c>
      <c r="GX166" s="57">
        <v>407.19</v>
      </c>
      <c r="GY166" s="57">
        <v>409.66</v>
      </c>
      <c r="GZ166" s="57">
        <v>408.25</v>
      </c>
      <c r="HA166" s="57">
        <v>327.16000000000003</v>
      </c>
      <c r="HB166" s="57">
        <v>339.8</v>
      </c>
      <c r="HC166" s="57">
        <v>299.73</v>
      </c>
      <c r="HD166" s="57">
        <v>262.52999999999997</v>
      </c>
      <c r="HE166" s="57">
        <v>157.13999999999999</v>
      </c>
      <c r="HF166" s="57">
        <v>172.46</v>
      </c>
      <c r="HG166" s="57">
        <v>228.13</v>
      </c>
      <c r="HH166" s="57">
        <v>283.31</v>
      </c>
      <c r="HI166" s="57">
        <v>135.58000000000001</v>
      </c>
      <c r="HJ166" s="57">
        <v>232.34</v>
      </c>
      <c r="HK166" s="57">
        <v>476.53</v>
      </c>
      <c r="HL166" s="57">
        <v>278.64</v>
      </c>
      <c r="HM166" s="57">
        <v>330.64</v>
      </c>
      <c r="HN166" s="57">
        <v>342.22</v>
      </c>
      <c r="HO166" s="57">
        <v>269.62</v>
      </c>
      <c r="HP166" s="57">
        <v>358.84</v>
      </c>
      <c r="HQ166" s="57">
        <v>193.88</v>
      </c>
      <c r="HR166" s="57">
        <v>324.70999999999998</v>
      </c>
      <c r="HS166" s="57">
        <v>504.07</v>
      </c>
      <c r="HT166" s="57">
        <v>306.25</v>
      </c>
      <c r="HU166" s="57">
        <v>160.75</v>
      </c>
      <c r="HV166" s="57">
        <v>226.86</v>
      </c>
      <c r="HW166" s="57">
        <v>136.74</v>
      </c>
      <c r="HX166" s="57">
        <v>159.22999999999999</v>
      </c>
      <c r="HY166" s="57">
        <v>250.42</v>
      </c>
      <c r="HZ166" s="57">
        <v>288.63</v>
      </c>
      <c r="IA166" s="57">
        <v>135.6</v>
      </c>
      <c r="IB166" s="57">
        <v>342.91</v>
      </c>
      <c r="IC166" s="57">
        <v>273.11</v>
      </c>
      <c r="ID166" s="57">
        <v>299.75</v>
      </c>
      <c r="IE166" s="57">
        <v>219.47</v>
      </c>
      <c r="IF166" s="57">
        <v>296.95999999999998</v>
      </c>
      <c r="IG166" s="57">
        <v>360.51</v>
      </c>
      <c r="IH166" s="57">
        <v>337.02</v>
      </c>
      <c r="II166" s="57">
        <v>469.92</v>
      </c>
      <c r="IJ166" s="57">
        <v>604.22</v>
      </c>
      <c r="IK166" s="57">
        <v>387.58</v>
      </c>
      <c r="IL166" s="57">
        <v>248.96</v>
      </c>
      <c r="IM166" s="57">
        <v>389.65</v>
      </c>
      <c r="IN166" s="57">
        <v>372.85</v>
      </c>
      <c r="IO166" s="57">
        <v>324.62</v>
      </c>
      <c r="IP166" s="57">
        <v>213.39</v>
      </c>
      <c r="IQ166" s="57">
        <v>319.45999999999998</v>
      </c>
      <c r="IR166" s="57">
        <v>452.03</v>
      </c>
      <c r="IS166" s="57">
        <v>748.38</v>
      </c>
      <c r="IT166" s="57">
        <v>37.729999999999997</v>
      </c>
      <c r="IU166" s="57">
        <v>153.65</v>
      </c>
      <c r="IV166" s="57">
        <v>43.35</v>
      </c>
      <c r="IW166" s="57">
        <v>112.08</v>
      </c>
      <c r="IX166" s="57">
        <v>186.51</v>
      </c>
      <c r="IY166" s="57">
        <v>333.1</v>
      </c>
      <c r="IZ166" s="57">
        <v>380.92</v>
      </c>
      <c r="JA166" s="57">
        <v>325.99</v>
      </c>
      <c r="JB166" s="57"/>
      <c r="JC166" s="57">
        <v>349.73</v>
      </c>
      <c r="JD166" s="57">
        <v>376.47</v>
      </c>
      <c r="JE166" s="57">
        <v>344.82</v>
      </c>
      <c r="JF166" s="57">
        <v>249.44</v>
      </c>
      <c r="JG166" s="57">
        <v>375.96</v>
      </c>
      <c r="JH166" s="57">
        <v>494.84</v>
      </c>
      <c r="JI166" s="57">
        <v>431.35</v>
      </c>
      <c r="JJ166" s="57">
        <v>360.35</v>
      </c>
      <c r="JK166" s="57">
        <v>508.84</v>
      </c>
      <c r="JL166" s="57">
        <v>442.84</v>
      </c>
      <c r="JM166" s="57">
        <v>391.02</v>
      </c>
      <c r="JN166" s="57">
        <v>271.29000000000002</v>
      </c>
      <c r="JO166" s="57">
        <v>245.47</v>
      </c>
      <c r="JP166" s="57">
        <v>543.08000000000004</v>
      </c>
      <c r="JQ166" s="57">
        <v>464.76</v>
      </c>
      <c r="JR166" s="57">
        <v>311.83</v>
      </c>
      <c r="JS166" s="57">
        <v>434.54</v>
      </c>
      <c r="JT166" s="57">
        <v>468.9</v>
      </c>
      <c r="JU166" s="57">
        <v>361.06</v>
      </c>
      <c r="JV166" s="57">
        <v>186.68</v>
      </c>
      <c r="JW166" s="57">
        <v>242.93</v>
      </c>
      <c r="JX166" s="57">
        <v>1024.07</v>
      </c>
      <c r="JY166" s="57">
        <v>449.11</v>
      </c>
      <c r="JZ166" s="57">
        <v>382.72</v>
      </c>
      <c r="KA166" s="57">
        <v>393.4</v>
      </c>
      <c r="KB166" s="57">
        <v>283.60000000000002</v>
      </c>
      <c r="KC166" s="57">
        <v>396.02</v>
      </c>
      <c r="KD166" s="57">
        <v>462.69</v>
      </c>
      <c r="KE166" s="57">
        <v>585.6</v>
      </c>
      <c r="KF166" s="57">
        <v>457.09</v>
      </c>
    </row>
    <row r="167" spans="1:292">
      <c r="A167" s="41">
        <v>2018</v>
      </c>
      <c r="B167" s="54" t="s">
        <v>987</v>
      </c>
      <c r="C167" s="50" t="s">
        <v>988</v>
      </c>
      <c r="D167" s="57">
        <v>357.44</v>
      </c>
      <c r="E167" s="57">
        <v>413.51</v>
      </c>
      <c r="F167" s="57">
        <v>594.96</v>
      </c>
      <c r="G167" s="57">
        <v>231.23</v>
      </c>
      <c r="H167" s="57">
        <v>382.64</v>
      </c>
      <c r="I167" s="57">
        <v>284.66000000000003</v>
      </c>
      <c r="J167" s="57">
        <v>212.69</v>
      </c>
      <c r="K167" s="57">
        <v>363.74</v>
      </c>
      <c r="L167" s="57">
        <v>140.66999999999999</v>
      </c>
      <c r="M167" s="57">
        <v>243.29</v>
      </c>
      <c r="N167" s="57">
        <v>337.33</v>
      </c>
      <c r="O167" s="57">
        <v>517.91999999999996</v>
      </c>
      <c r="P167" s="57">
        <v>437.23</v>
      </c>
      <c r="Q167" s="57">
        <v>419.13</v>
      </c>
      <c r="R167" s="57">
        <v>339.15</v>
      </c>
      <c r="S167" s="57">
        <v>715.38</v>
      </c>
      <c r="T167" s="57">
        <v>586.42999999999995</v>
      </c>
      <c r="U167" s="57">
        <v>224.64</v>
      </c>
      <c r="V167" s="57">
        <v>249.08</v>
      </c>
      <c r="W167" s="57">
        <v>454.04</v>
      </c>
      <c r="X167" s="57">
        <v>335.04</v>
      </c>
      <c r="Y167" s="57">
        <v>366.33</v>
      </c>
      <c r="Z167" s="57">
        <v>355.71</v>
      </c>
      <c r="AA167" s="57">
        <v>336.4</v>
      </c>
      <c r="AB167" s="57">
        <v>270.73</v>
      </c>
      <c r="AC167" s="57">
        <v>222.45</v>
      </c>
      <c r="AD167" s="57">
        <v>321.35000000000002</v>
      </c>
      <c r="AE167" s="57">
        <v>317.33</v>
      </c>
      <c r="AF167" s="57">
        <v>268.88</v>
      </c>
      <c r="AG167" s="57">
        <v>157</v>
      </c>
      <c r="AH167" s="57">
        <v>246.23</v>
      </c>
      <c r="AI167" s="57">
        <v>345.02</v>
      </c>
      <c r="AJ167" s="57">
        <v>307.72000000000003</v>
      </c>
      <c r="AK167" s="57">
        <v>373.29</v>
      </c>
      <c r="AL167" s="57">
        <v>378.55</v>
      </c>
      <c r="AM167" s="57">
        <v>748.38</v>
      </c>
      <c r="AN167" s="57">
        <v>38.25</v>
      </c>
      <c r="AO167" s="57">
        <v>162.27000000000001</v>
      </c>
      <c r="AP167" s="57">
        <v>75.97</v>
      </c>
      <c r="AQ167" s="57">
        <v>336.58</v>
      </c>
      <c r="AR167" s="57">
        <v>365.7</v>
      </c>
      <c r="AS167" s="57">
        <v>320.54000000000002</v>
      </c>
      <c r="AT167" s="57">
        <v>426.82</v>
      </c>
      <c r="AU167" s="57">
        <v>551.75</v>
      </c>
      <c r="AV167" s="57">
        <v>445.82</v>
      </c>
      <c r="AW167" s="57">
        <v>399.81</v>
      </c>
      <c r="AX167" s="57">
        <v>271.29000000000002</v>
      </c>
      <c r="AY167" s="57">
        <v>244.5</v>
      </c>
      <c r="AZ167" s="57">
        <v>528.78</v>
      </c>
      <c r="BA167" s="57">
        <v>355.73</v>
      </c>
      <c r="BB167" s="57">
        <v>284.23</v>
      </c>
      <c r="BC167" s="57">
        <v>869.56</v>
      </c>
      <c r="BD167" s="57">
        <v>397.7</v>
      </c>
      <c r="BE167" s="57">
        <v>459.51</v>
      </c>
      <c r="BF167" s="57">
        <v>591.04999999999995</v>
      </c>
      <c r="BG167" s="57">
        <v>457.57</v>
      </c>
      <c r="BH167" s="57">
        <v>387.58</v>
      </c>
      <c r="BI167" s="57">
        <v>437.01</v>
      </c>
      <c r="BJ167" s="57">
        <v>408.86</v>
      </c>
      <c r="BK167" s="57">
        <v>366.19</v>
      </c>
      <c r="BL167" s="57">
        <v>366.52</v>
      </c>
      <c r="BM167" s="57">
        <v>399.5</v>
      </c>
      <c r="BN167" s="57">
        <v>552.92999999999995</v>
      </c>
      <c r="BO167" s="57">
        <v>300.23</v>
      </c>
      <c r="BP167" s="57">
        <v>398.39</v>
      </c>
      <c r="BQ167" s="57">
        <v>408.44</v>
      </c>
      <c r="BR167" s="57">
        <v>287.95</v>
      </c>
      <c r="BS167" s="57">
        <v>782.97</v>
      </c>
      <c r="BT167" s="57">
        <v>423.88</v>
      </c>
      <c r="BU167" s="57">
        <v>671.34</v>
      </c>
      <c r="BV167" s="57">
        <v>586.42999999999995</v>
      </c>
      <c r="BW167" s="57">
        <v>220.88</v>
      </c>
      <c r="BX167" s="57">
        <v>251.22</v>
      </c>
      <c r="BY167" s="57">
        <v>348.73</v>
      </c>
      <c r="BZ167" s="57">
        <v>248.22</v>
      </c>
      <c r="CA167" s="57">
        <v>406.83</v>
      </c>
      <c r="CB167" s="58">
        <v>454.04</v>
      </c>
      <c r="CC167" s="57">
        <v>335.04</v>
      </c>
      <c r="CD167" s="57">
        <v>364.92</v>
      </c>
      <c r="CE167" s="57">
        <v>300.44</v>
      </c>
      <c r="CF167" s="57">
        <v>359.42</v>
      </c>
      <c r="CG167" s="57">
        <v>417.45</v>
      </c>
      <c r="CH167" s="57">
        <v>345.47</v>
      </c>
      <c r="CI167" s="57">
        <v>305.74</v>
      </c>
      <c r="CJ167" s="57">
        <v>270.73</v>
      </c>
      <c r="CK167" s="57">
        <v>201.37</v>
      </c>
      <c r="CL167" s="57">
        <v>247.55</v>
      </c>
      <c r="CM167" s="57">
        <v>476.89</v>
      </c>
      <c r="CN167" s="57">
        <v>321.35000000000002</v>
      </c>
      <c r="CO167" s="57">
        <v>317.33</v>
      </c>
      <c r="CP167" s="57">
        <v>213.78</v>
      </c>
      <c r="CQ167" s="57">
        <v>497.58</v>
      </c>
      <c r="CR167" s="57">
        <v>163.32</v>
      </c>
      <c r="CS167" s="57">
        <v>227.31</v>
      </c>
      <c r="CT167" s="57">
        <v>149.66</v>
      </c>
      <c r="CU167" s="57">
        <v>250.5</v>
      </c>
      <c r="CV167" s="57">
        <v>291.73</v>
      </c>
      <c r="CW167" s="57">
        <v>149.02000000000001</v>
      </c>
      <c r="CX167" s="57">
        <v>345.02</v>
      </c>
      <c r="CY167" s="57">
        <v>310.18</v>
      </c>
      <c r="CZ167" s="57">
        <v>226.66</v>
      </c>
      <c r="DA167" s="57">
        <v>300.61</v>
      </c>
      <c r="DB167" s="57">
        <v>376.21</v>
      </c>
      <c r="DC167" s="57">
        <v>341.58</v>
      </c>
      <c r="DD167" s="57">
        <v>478.28</v>
      </c>
      <c r="DE167" s="57">
        <v>618.1</v>
      </c>
      <c r="DF167" s="57">
        <v>321.77999999999997</v>
      </c>
      <c r="DG167" s="57">
        <v>384.44</v>
      </c>
      <c r="DH167" s="57">
        <v>221.44</v>
      </c>
      <c r="DI167" s="57">
        <v>319.45999999999998</v>
      </c>
      <c r="DJ167" s="57">
        <v>462.31</v>
      </c>
      <c r="DK167" s="57">
        <v>748.38</v>
      </c>
      <c r="DL167" s="57">
        <v>38.25</v>
      </c>
      <c r="DM167" s="57">
        <v>162.27000000000001</v>
      </c>
      <c r="DN167" s="57">
        <v>44.39</v>
      </c>
      <c r="DO167" s="57">
        <v>118.2</v>
      </c>
      <c r="DP167" s="57">
        <v>188.37</v>
      </c>
      <c r="DQ167" s="57">
        <v>336.58</v>
      </c>
      <c r="DR167" s="57">
        <v>376.49</v>
      </c>
      <c r="DS167" s="57">
        <v>318.85000000000002</v>
      </c>
      <c r="DT167" s="57"/>
      <c r="DU167" s="57">
        <v>351.75</v>
      </c>
      <c r="DV167" s="57">
        <v>378.73</v>
      </c>
      <c r="DW167" s="57">
        <v>264.58</v>
      </c>
      <c r="DX167" s="57">
        <v>375.96</v>
      </c>
      <c r="DY167" s="57">
        <v>491.48</v>
      </c>
      <c r="DZ167" s="57">
        <v>433.01</v>
      </c>
      <c r="EA167" s="57">
        <v>367.14</v>
      </c>
      <c r="EB167" s="57">
        <v>551.75</v>
      </c>
      <c r="EC167" s="57">
        <v>445.82</v>
      </c>
      <c r="ED167" s="57">
        <v>399.81</v>
      </c>
      <c r="EE167" s="57">
        <v>271.29000000000002</v>
      </c>
      <c r="EF167" s="57">
        <v>244.5</v>
      </c>
      <c r="EG167" s="57">
        <v>528.78</v>
      </c>
      <c r="EH167" s="57">
        <v>355.73</v>
      </c>
      <c r="EI167" s="57">
        <v>418.32</v>
      </c>
      <c r="EJ167" s="57">
        <v>192.54</v>
      </c>
      <c r="EK167" s="57">
        <v>246.74</v>
      </c>
      <c r="EL167" s="57">
        <v>1060.27</v>
      </c>
      <c r="EM167" s="57">
        <v>426.79</v>
      </c>
      <c r="EN167" s="57">
        <v>397.7</v>
      </c>
      <c r="EO167" s="57">
        <v>282.52999999999997</v>
      </c>
      <c r="EP167" s="57">
        <v>396.96</v>
      </c>
      <c r="EQ167" s="57">
        <v>471.42</v>
      </c>
      <c r="ER167" s="57">
        <v>591.04999999999995</v>
      </c>
      <c r="ES167" s="57">
        <v>457.57</v>
      </c>
      <c r="ET167" s="57">
        <v>443.63</v>
      </c>
      <c r="EU167" s="57">
        <v>346.37</v>
      </c>
      <c r="EV167" s="57">
        <v>405.62</v>
      </c>
      <c r="EW167" s="57">
        <v>352.38</v>
      </c>
      <c r="EX167" s="57">
        <v>341.47</v>
      </c>
      <c r="EY167" s="57">
        <v>223.87</v>
      </c>
      <c r="EZ167" s="57">
        <v>431.88</v>
      </c>
      <c r="FA167" s="57">
        <v>544.62</v>
      </c>
      <c r="FB167" s="57">
        <v>355.72</v>
      </c>
      <c r="FC167" s="57">
        <v>537.87</v>
      </c>
      <c r="FD167" s="57">
        <v>352.96</v>
      </c>
      <c r="FE167" s="57">
        <v>408.86</v>
      </c>
      <c r="FF167" s="57"/>
      <c r="FG167" s="57">
        <v>284.43</v>
      </c>
      <c r="FH167" s="57">
        <v>296.02999999999997</v>
      </c>
      <c r="FI167" s="57">
        <v>401.68</v>
      </c>
      <c r="FJ167" s="57">
        <v>500.87</v>
      </c>
      <c r="FK167" s="57">
        <v>635.59</v>
      </c>
      <c r="FL167" s="57">
        <v>293.61</v>
      </c>
      <c r="FM167" s="57">
        <v>334.02</v>
      </c>
      <c r="FN167" s="57">
        <v>357.03</v>
      </c>
      <c r="FO167" s="57">
        <v>617.59</v>
      </c>
      <c r="FP167" s="57">
        <v>530.94000000000005</v>
      </c>
      <c r="FQ167" s="57">
        <v>704.8</v>
      </c>
      <c r="FR167" s="57">
        <v>569.39</v>
      </c>
      <c r="FS167" s="57">
        <v>402.24</v>
      </c>
      <c r="FT167" s="57">
        <v>264.81</v>
      </c>
      <c r="FU167" s="57">
        <v>410.18</v>
      </c>
      <c r="FV167" s="57">
        <v>302.37</v>
      </c>
      <c r="FW167" s="57">
        <v>248.2</v>
      </c>
      <c r="FX167" s="57">
        <v>398.39</v>
      </c>
      <c r="FY167" s="57">
        <v>391.47</v>
      </c>
      <c r="FZ167" s="57">
        <v>414</v>
      </c>
      <c r="GA167" s="57">
        <v>269.25</v>
      </c>
      <c r="GB167" s="57">
        <v>299.11</v>
      </c>
      <c r="GC167" s="57">
        <v>290.04000000000002</v>
      </c>
      <c r="GD167" s="57">
        <v>258.48</v>
      </c>
      <c r="GE167" s="57">
        <v>782.97</v>
      </c>
      <c r="GF167" s="57">
        <v>423.88</v>
      </c>
      <c r="GG167" s="57">
        <v>671.34</v>
      </c>
      <c r="GH167" s="57">
        <v>585.45000000000005</v>
      </c>
      <c r="GI167" s="57">
        <v>235.13</v>
      </c>
      <c r="GJ167" s="57">
        <v>212.19</v>
      </c>
      <c r="GK167" s="57">
        <v>206.33</v>
      </c>
      <c r="GL167" s="57">
        <v>279.3</v>
      </c>
      <c r="GM167" s="57">
        <v>251.22</v>
      </c>
      <c r="GN167" s="57">
        <v>348.73</v>
      </c>
      <c r="GO167" s="57">
        <v>251.85</v>
      </c>
      <c r="GP167" s="57">
        <v>242.59</v>
      </c>
      <c r="GQ167" s="57">
        <v>252.03</v>
      </c>
      <c r="GR167" s="57">
        <v>406.83</v>
      </c>
      <c r="GS167" s="57">
        <v>454.04</v>
      </c>
      <c r="GT167" s="57">
        <v>335.04</v>
      </c>
      <c r="GU167" s="57">
        <v>364.92</v>
      </c>
      <c r="GV167" s="57">
        <v>300.44</v>
      </c>
      <c r="GW167" s="57">
        <v>317.14999999999998</v>
      </c>
      <c r="GX167" s="57">
        <v>411.7</v>
      </c>
      <c r="GY167" s="57">
        <v>417.45</v>
      </c>
      <c r="GZ167" s="57">
        <v>416.17</v>
      </c>
      <c r="HA167" s="57">
        <v>329.4</v>
      </c>
      <c r="HB167" s="57">
        <v>344.5</v>
      </c>
      <c r="HC167" s="57">
        <v>305.74</v>
      </c>
      <c r="HD167" s="57">
        <v>270.73</v>
      </c>
      <c r="HE167" s="57">
        <v>163.57</v>
      </c>
      <c r="HF167" s="57">
        <v>181.96</v>
      </c>
      <c r="HG167" s="57">
        <v>238.43</v>
      </c>
      <c r="HH167" s="57">
        <v>290.56</v>
      </c>
      <c r="HI167" s="57">
        <v>139.27000000000001</v>
      </c>
      <c r="HJ167" s="57">
        <v>247.55</v>
      </c>
      <c r="HK167" s="57">
        <v>476.89</v>
      </c>
      <c r="HL167" s="57">
        <v>282.89999999999998</v>
      </c>
      <c r="HM167" s="57">
        <v>341.62</v>
      </c>
      <c r="HN167" s="57">
        <v>350.8</v>
      </c>
      <c r="HO167" s="57">
        <v>271.61</v>
      </c>
      <c r="HP167" s="57">
        <v>362.7</v>
      </c>
      <c r="HQ167" s="57">
        <v>197.25</v>
      </c>
      <c r="HR167" s="57">
        <v>332.14</v>
      </c>
      <c r="HS167" s="57">
        <v>505.87</v>
      </c>
      <c r="HT167" s="57">
        <v>309.17</v>
      </c>
      <c r="HU167" s="57">
        <v>163.32</v>
      </c>
      <c r="HV167" s="57">
        <v>227.31</v>
      </c>
      <c r="HW167" s="57">
        <v>138.33000000000001</v>
      </c>
      <c r="HX167" s="57">
        <v>162.07</v>
      </c>
      <c r="HY167" s="57">
        <v>250.5</v>
      </c>
      <c r="HZ167" s="57">
        <v>291.73</v>
      </c>
      <c r="IA167" s="57">
        <v>136.13</v>
      </c>
      <c r="IB167" s="57">
        <v>345.02</v>
      </c>
      <c r="IC167" s="57">
        <v>286.35000000000002</v>
      </c>
      <c r="ID167" s="57">
        <v>307.44</v>
      </c>
      <c r="IE167" s="57">
        <v>226.66</v>
      </c>
      <c r="IF167" s="57">
        <v>300.61</v>
      </c>
      <c r="IG167" s="57">
        <v>376.21</v>
      </c>
      <c r="IH167" s="57">
        <v>341.58</v>
      </c>
      <c r="II167" s="57">
        <v>478.28</v>
      </c>
      <c r="IJ167" s="57">
        <v>618.1</v>
      </c>
      <c r="IK167" s="57">
        <v>387.58</v>
      </c>
      <c r="IL167" s="57">
        <v>248.96</v>
      </c>
      <c r="IM167" s="57">
        <v>390.07</v>
      </c>
      <c r="IN167" s="57">
        <v>374.27</v>
      </c>
      <c r="IO167" s="57">
        <v>351.65</v>
      </c>
      <c r="IP167" s="57">
        <v>221.44</v>
      </c>
      <c r="IQ167" s="57">
        <v>319.45999999999998</v>
      </c>
      <c r="IR167" s="57">
        <v>462.31</v>
      </c>
      <c r="IS167" s="57">
        <v>748.38</v>
      </c>
      <c r="IT167" s="57">
        <v>38.25</v>
      </c>
      <c r="IU167" s="57">
        <v>162.27000000000001</v>
      </c>
      <c r="IV167" s="57">
        <v>44.4</v>
      </c>
      <c r="IW167" s="57">
        <v>118.2</v>
      </c>
      <c r="IX167" s="57">
        <v>188.37</v>
      </c>
      <c r="IY167" s="57">
        <v>336.58</v>
      </c>
      <c r="IZ167" s="57">
        <v>376.49</v>
      </c>
      <c r="JA167" s="57">
        <v>318.85000000000002</v>
      </c>
      <c r="JB167" s="57"/>
      <c r="JC167" s="57">
        <v>351.75</v>
      </c>
      <c r="JD167" s="57">
        <v>378.73</v>
      </c>
      <c r="JE167" s="57">
        <v>350.79</v>
      </c>
      <c r="JF167" s="57">
        <v>249.61</v>
      </c>
      <c r="JG167" s="57">
        <v>375.96</v>
      </c>
      <c r="JH167" s="57">
        <v>491.48</v>
      </c>
      <c r="JI167" s="57">
        <v>433.01</v>
      </c>
      <c r="JJ167" s="57">
        <v>367.14</v>
      </c>
      <c r="JK167" s="57">
        <v>551.75</v>
      </c>
      <c r="JL167" s="57">
        <v>445.82</v>
      </c>
      <c r="JM167" s="57">
        <v>399.81</v>
      </c>
      <c r="JN167" s="57">
        <v>271.29000000000002</v>
      </c>
      <c r="JO167" s="57">
        <v>244.5</v>
      </c>
      <c r="JP167" s="57">
        <v>553.33000000000004</v>
      </c>
      <c r="JQ167" s="57">
        <v>471.4</v>
      </c>
      <c r="JR167" s="57">
        <v>318.23</v>
      </c>
      <c r="JS167" s="57">
        <v>434.61</v>
      </c>
      <c r="JT167" s="57">
        <v>474.93</v>
      </c>
      <c r="JU167" s="57">
        <v>365.07</v>
      </c>
      <c r="JV167" s="57">
        <v>192.54</v>
      </c>
      <c r="JW167" s="57">
        <v>246.74</v>
      </c>
      <c r="JX167" s="57">
        <v>1060.27</v>
      </c>
      <c r="JY167" s="57">
        <v>450.82</v>
      </c>
      <c r="JZ167" s="57">
        <v>383.4</v>
      </c>
      <c r="KA167" s="57">
        <v>397.7</v>
      </c>
      <c r="KB167" s="57">
        <v>282.52999999999997</v>
      </c>
      <c r="KC167" s="57">
        <v>396.96</v>
      </c>
      <c r="KD167" s="57">
        <v>471.42</v>
      </c>
      <c r="KE167" s="57">
        <v>591.04999999999995</v>
      </c>
      <c r="KF167" s="57">
        <v>457.57</v>
      </c>
    </row>
    <row r="168" spans="1:292">
      <c r="A168" s="41">
        <v>2018</v>
      </c>
      <c r="B168" s="54" t="s">
        <v>989</v>
      </c>
      <c r="C168" s="50" t="s">
        <v>990</v>
      </c>
      <c r="D168" s="57">
        <v>359.41</v>
      </c>
      <c r="E168" s="57">
        <v>412.35</v>
      </c>
      <c r="F168" s="57">
        <v>599.46</v>
      </c>
      <c r="G168" s="57">
        <v>224.14</v>
      </c>
      <c r="H168" s="57">
        <v>386.86</v>
      </c>
      <c r="I168" s="57">
        <v>289.85000000000002</v>
      </c>
      <c r="J168" s="57">
        <v>215.24</v>
      </c>
      <c r="K168" s="57">
        <v>367.71</v>
      </c>
      <c r="L168" s="57">
        <v>140.51</v>
      </c>
      <c r="M168" s="57">
        <v>247.22</v>
      </c>
      <c r="N168" s="57">
        <v>340.92</v>
      </c>
      <c r="O168" s="57">
        <v>529.6</v>
      </c>
      <c r="P168" s="57">
        <v>439.78</v>
      </c>
      <c r="Q168" s="57">
        <v>417.28</v>
      </c>
      <c r="R168" s="57">
        <v>345.69</v>
      </c>
      <c r="S168" s="57">
        <v>788.8</v>
      </c>
      <c r="T168" s="57">
        <v>586.42999999999995</v>
      </c>
      <c r="U168" s="57">
        <v>217.32</v>
      </c>
      <c r="V168" s="57">
        <v>243.16</v>
      </c>
      <c r="W168" s="57">
        <v>459.33</v>
      </c>
      <c r="X168" s="57">
        <v>341.6</v>
      </c>
      <c r="Y168" s="57">
        <v>371.72</v>
      </c>
      <c r="Z168" s="57">
        <v>357.87</v>
      </c>
      <c r="AA168" s="57">
        <v>341.01</v>
      </c>
      <c r="AB168" s="57">
        <v>278.33999999999997</v>
      </c>
      <c r="AC168" s="57">
        <v>225.29</v>
      </c>
      <c r="AD168" s="57">
        <v>327.51</v>
      </c>
      <c r="AE168" s="57">
        <v>321.83</v>
      </c>
      <c r="AF168" s="57">
        <v>276.54000000000002</v>
      </c>
      <c r="AG168" s="57">
        <v>157.72</v>
      </c>
      <c r="AH168" s="57">
        <v>248.3</v>
      </c>
      <c r="AI168" s="57">
        <v>357.21</v>
      </c>
      <c r="AJ168" s="57">
        <v>312.05</v>
      </c>
      <c r="AK168" s="57">
        <v>376.72</v>
      </c>
      <c r="AL168" s="57">
        <v>381.55</v>
      </c>
      <c r="AM168" s="57">
        <v>748.38</v>
      </c>
      <c r="AN168" s="57">
        <v>39.51</v>
      </c>
      <c r="AO168" s="57">
        <v>160.75</v>
      </c>
      <c r="AP168" s="57">
        <v>76.39</v>
      </c>
      <c r="AQ168" s="57">
        <v>340.16</v>
      </c>
      <c r="AR168" s="57">
        <v>372.1</v>
      </c>
      <c r="AS168" s="57">
        <v>323.02999999999997</v>
      </c>
      <c r="AT168" s="57">
        <v>432.7</v>
      </c>
      <c r="AU168" s="57">
        <v>578.74</v>
      </c>
      <c r="AV168" s="57">
        <v>452.22</v>
      </c>
      <c r="AW168" s="57">
        <v>407.84</v>
      </c>
      <c r="AX168" s="57">
        <v>271.29000000000002</v>
      </c>
      <c r="AY168" s="57">
        <v>244.78</v>
      </c>
      <c r="AZ168" s="57">
        <v>540.26</v>
      </c>
      <c r="BA168" s="57">
        <v>365.75</v>
      </c>
      <c r="BB168" s="57">
        <v>288.32</v>
      </c>
      <c r="BC168" s="57">
        <v>864.54</v>
      </c>
      <c r="BD168" s="57">
        <v>399.6</v>
      </c>
      <c r="BE168" s="57">
        <v>466.59</v>
      </c>
      <c r="BF168" s="57">
        <v>609.29</v>
      </c>
      <c r="BG168" s="57">
        <v>457.85</v>
      </c>
      <c r="BH168" s="57">
        <v>392.01</v>
      </c>
      <c r="BI168" s="57">
        <v>435.86</v>
      </c>
      <c r="BJ168" s="57">
        <v>433.08</v>
      </c>
      <c r="BK168" s="57">
        <v>373.92</v>
      </c>
      <c r="BL168" s="57">
        <v>370.52</v>
      </c>
      <c r="BM168" s="57">
        <v>381.51</v>
      </c>
      <c r="BN168" s="57">
        <v>536.20000000000005</v>
      </c>
      <c r="BO168" s="57">
        <v>302.77999999999997</v>
      </c>
      <c r="BP168" s="57">
        <v>406.9</v>
      </c>
      <c r="BQ168" s="57">
        <v>417.91</v>
      </c>
      <c r="BR168" s="57">
        <v>292.73</v>
      </c>
      <c r="BS168" s="57">
        <v>873.05</v>
      </c>
      <c r="BT168" s="57">
        <v>431.12</v>
      </c>
      <c r="BU168" s="57">
        <v>742.45</v>
      </c>
      <c r="BV168" s="57">
        <v>586.42999999999995</v>
      </c>
      <c r="BW168" s="57">
        <v>213</v>
      </c>
      <c r="BX168" s="57">
        <v>250.3</v>
      </c>
      <c r="BY168" s="57">
        <v>354.83</v>
      </c>
      <c r="BZ168" s="57">
        <v>242.28</v>
      </c>
      <c r="CA168" s="57">
        <v>408.62</v>
      </c>
      <c r="CB168" s="58">
        <v>459.33</v>
      </c>
      <c r="CC168" s="57">
        <v>341.6</v>
      </c>
      <c r="CD168" s="57">
        <v>370.3</v>
      </c>
      <c r="CE168" s="57">
        <v>300.44</v>
      </c>
      <c r="CF168" s="57">
        <v>362.14</v>
      </c>
      <c r="CG168" s="57">
        <v>425.18</v>
      </c>
      <c r="CH168" s="57">
        <v>349.89</v>
      </c>
      <c r="CI168" s="57">
        <v>312.72000000000003</v>
      </c>
      <c r="CJ168" s="57">
        <v>278.33999999999997</v>
      </c>
      <c r="CK168" s="57">
        <v>203.96</v>
      </c>
      <c r="CL168" s="57">
        <v>250.3</v>
      </c>
      <c r="CM168" s="57">
        <v>483.17</v>
      </c>
      <c r="CN168" s="57">
        <v>327.51</v>
      </c>
      <c r="CO168" s="57">
        <v>321.83</v>
      </c>
      <c r="CP168" s="57">
        <v>222.18</v>
      </c>
      <c r="CQ168" s="57">
        <v>501.12</v>
      </c>
      <c r="CR168" s="57">
        <v>163.32</v>
      </c>
      <c r="CS168" s="57">
        <v>229.9</v>
      </c>
      <c r="CT168" s="57">
        <v>151.97</v>
      </c>
      <c r="CU168" s="57">
        <v>251.63</v>
      </c>
      <c r="CV168" s="57">
        <v>296.02</v>
      </c>
      <c r="CW168" s="57">
        <v>149.46</v>
      </c>
      <c r="CX168" s="57">
        <v>357.21</v>
      </c>
      <c r="CY168" s="57">
        <v>314.52</v>
      </c>
      <c r="CZ168" s="57">
        <v>230.38</v>
      </c>
      <c r="DA168" s="57">
        <v>303.93</v>
      </c>
      <c r="DB168" s="57">
        <v>386.84</v>
      </c>
      <c r="DC168" s="57">
        <v>341.79</v>
      </c>
      <c r="DD168" s="57">
        <v>498.84</v>
      </c>
      <c r="DE168" s="57">
        <v>635.19000000000005</v>
      </c>
      <c r="DF168" s="57">
        <v>322.83</v>
      </c>
      <c r="DG168" s="57">
        <v>386.5</v>
      </c>
      <c r="DH168" s="57">
        <v>226.35</v>
      </c>
      <c r="DI168" s="57">
        <v>325.43</v>
      </c>
      <c r="DJ168" s="57">
        <v>469.45</v>
      </c>
      <c r="DK168" s="57">
        <v>748.38</v>
      </c>
      <c r="DL168" s="57">
        <v>39.51</v>
      </c>
      <c r="DM168" s="57">
        <v>160.75</v>
      </c>
      <c r="DN168" s="57">
        <v>44.62</v>
      </c>
      <c r="DO168" s="57">
        <v>118.76</v>
      </c>
      <c r="DP168" s="57">
        <v>188.67</v>
      </c>
      <c r="DQ168" s="57">
        <v>340.16</v>
      </c>
      <c r="DR168" s="57">
        <v>387.79</v>
      </c>
      <c r="DS168" s="57">
        <v>314.85000000000002</v>
      </c>
      <c r="DT168" s="57"/>
      <c r="DU168" s="57">
        <v>352.18</v>
      </c>
      <c r="DV168" s="57">
        <v>382.92</v>
      </c>
      <c r="DW168" s="57">
        <v>265.45</v>
      </c>
      <c r="DX168" s="57">
        <v>375.96</v>
      </c>
      <c r="DY168" s="57">
        <v>492.66</v>
      </c>
      <c r="DZ168" s="57">
        <v>447.17</v>
      </c>
      <c r="EA168" s="57">
        <v>375.52</v>
      </c>
      <c r="EB168" s="57">
        <v>578.74</v>
      </c>
      <c r="EC168" s="57">
        <v>452.22</v>
      </c>
      <c r="ED168" s="57">
        <v>407.84</v>
      </c>
      <c r="EE168" s="57">
        <v>271.29000000000002</v>
      </c>
      <c r="EF168" s="57">
        <v>244.78</v>
      </c>
      <c r="EG168" s="57">
        <v>540.26</v>
      </c>
      <c r="EH168" s="57">
        <v>365.75</v>
      </c>
      <c r="EI168" s="57">
        <v>422.29</v>
      </c>
      <c r="EJ168" s="57">
        <v>189.74</v>
      </c>
      <c r="EK168" s="57">
        <v>251.08</v>
      </c>
      <c r="EL168" s="57">
        <v>1050.43</v>
      </c>
      <c r="EM168" s="57">
        <v>430</v>
      </c>
      <c r="EN168" s="57">
        <v>399.6</v>
      </c>
      <c r="EO168" s="57">
        <v>282</v>
      </c>
      <c r="EP168" s="57">
        <v>398.4</v>
      </c>
      <c r="EQ168" s="57">
        <v>481.37</v>
      </c>
      <c r="ER168" s="57">
        <v>609.29</v>
      </c>
      <c r="ES168" s="57">
        <v>457.85</v>
      </c>
      <c r="ET168" s="57">
        <v>457.5</v>
      </c>
      <c r="EU168" s="57">
        <v>350.29</v>
      </c>
      <c r="EV168" s="57">
        <v>408.4</v>
      </c>
      <c r="EW168" s="57">
        <v>356.45</v>
      </c>
      <c r="EX168" s="57">
        <v>351.69</v>
      </c>
      <c r="EY168" s="57">
        <v>224.49</v>
      </c>
      <c r="EZ168" s="57">
        <v>429.93</v>
      </c>
      <c r="FA168" s="57">
        <v>535.28</v>
      </c>
      <c r="FB168" s="57">
        <v>357.58</v>
      </c>
      <c r="FC168" s="57">
        <v>545.05999999999995</v>
      </c>
      <c r="FD168" s="57">
        <v>361.39</v>
      </c>
      <c r="FE168" s="57">
        <v>433.08</v>
      </c>
      <c r="FF168" s="57"/>
      <c r="FG168" s="57">
        <v>282.94</v>
      </c>
      <c r="FH168" s="57">
        <v>294.2</v>
      </c>
      <c r="FI168" s="57">
        <v>404.93</v>
      </c>
      <c r="FJ168" s="57">
        <v>551.03</v>
      </c>
      <c r="FK168" s="57">
        <v>639.13</v>
      </c>
      <c r="FL168" s="57">
        <v>314.08999999999997</v>
      </c>
      <c r="FM168" s="57">
        <v>336.25</v>
      </c>
      <c r="FN168" s="57">
        <v>334.59</v>
      </c>
      <c r="FO168" s="57">
        <v>623.84</v>
      </c>
      <c r="FP168" s="57">
        <v>527.15</v>
      </c>
      <c r="FQ168" s="57">
        <v>602.4</v>
      </c>
      <c r="FR168" s="57">
        <v>572.46</v>
      </c>
      <c r="FS168" s="57">
        <v>409.16</v>
      </c>
      <c r="FT168" s="57">
        <v>264.81</v>
      </c>
      <c r="FU168" s="57">
        <v>419.24</v>
      </c>
      <c r="FV168" s="57">
        <v>303.83</v>
      </c>
      <c r="FW168" s="57">
        <v>251.44</v>
      </c>
      <c r="FX168" s="57">
        <v>406.9</v>
      </c>
      <c r="FY168" s="57">
        <v>397.19</v>
      </c>
      <c r="FZ168" s="57">
        <v>424.46</v>
      </c>
      <c r="GA168" s="57">
        <v>274.25</v>
      </c>
      <c r="GB168" s="57">
        <v>308.47000000000003</v>
      </c>
      <c r="GC168" s="57">
        <v>290.63</v>
      </c>
      <c r="GD168" s="57">
        <v>261.11</v>
      </c>
      <c r="GE168" s="57">
        <v>873.05</v>
      </c>
      <c r="GF168" s="57">
        <v>431.12</v>
      </c>
      <c r="GG168" s="57">
        <v>742.45</v>
      </c>
      <c r="GH168" s="57">
        <v>585.45000000000005</v>
      </c>
      <c r="GI168" s="57">
        <v>229.29</v>
      </c>
      <c r="GJ168" s="57">
        <v>203.84</v>
      </c>
      <c r="GK168" s="57">
        <v>195.38</v>
      </c>
      <c r="GL168" s="57">
        <v>276.85000000000002</v>
      </c>
      <c r="GM168" s="57">
        <v>250.3</v>
      </c>
      <c r="GN168" s="57">
        <v>354.83</v>
      </c>
      <c r="GO168" s="57">
        <v>247.35</v>
      </c>
      <c r="GP168" s="57">
        <v>236.2</v>
      </c>
      <c r="GQ168" s="57">
        <v>243.76</v>
      </c>
      <c r="GR168" s="57">
        <v>408.62</v>
      </c>
      <c r="GS168" s="57">
        <v>459.33</v>
      </c>
      <c r="GT168" s="57">
        <v>341.6</v>
      </c>
      <c r="GU168" s="57">
        <v>370.3</v>
      </c>
      <c r="GV168" s="57">
        <v>300.44</v>
      </c>
      <c r="GW168" s="57">
        <v>320.57</v>
      </c>
      <c r="GX168" s="57">
        <v>412.03</v>
      </c>
      <c r="GY168" s="57">
        <v>425.18</v>
      </c>
      <c r="GZ168" s="57">
        <v>421.57</v>
      </c>
      <c r="HA168" s="57">
        <v>334.09</v>
      </c>
      <c r="HB168" s="57">
        <v>348.53</v>
      </c>
      <c r="HC168" s="57">
        <v>312.72000000000003</v>
      </c>
      <c r="HD168" s="57">
        <v>278.33999999999997</v>
      </c>
      <c r="HE168" s="57">
        <v>165.93</v>
      </c>
      <c r="HF168" s="57">
        <v>185.38</v>
      </c>
      <c r="HG168" s="57">
        <v>239.98</v>
      </c>
      <c r="HH168" s="57">
        <v>292.83999999999997</v>
      </c>
      <c r="HI168" s="57">
        <v>140.35</v>
      </c>
      <c r="HJ168" s="57">
        <v>250.3</v>
      </c>
      <c r="HK168" s="57">
        <v>483.17</v>
      </c>
      <c r="HL168" s="57">
        <v>288.23</v>
      </c>
      <c r="HM168" s="57">
        <v>347.75</v>
      </c>
      <c r="HN168" s="57">
        <v>357.69</v>
      </c>
      <c r="HO168" s="57">
        <v>275.52999999999997</v>
      </c>
      <c r="HP168" s="57">
        <v>367.76</v>
      </c>
      <c r="HQ168" s="57">
        <v>206.42</v>
      </c>
      <c r="HR168" s="57">
        <v>336.89</v>
      </c>
      <c r="HS168" s="57">
        <v>509.24</v>
      </c>
      <c r="HT168" s="57">
        <v>312.39</v>
      </c>
      <c r="HU168" s="57">
        <v>163.32</v>
      </c>
      <c r="HV168" s="57">
        <v>229.9</v>
      </c>
      <c r="HW168" s="57">
        <v>139.93</v>
      </c>
      <c r="HX168" s="57">
        <v>165.53</v>
      </c>
      <c r="HY168" s="57">
        <v>251.63</v>
      </c>
      <c r="HZ168" s="57">
        <v>296.02</v>
      </c>
      <c r="IA168" s="57">
        <v>136.53</v>
      </c>
      <c r="IB168" s="57">
        <v>357.21</v>
      </c>
      <c r="IC168" s="57">
        <v>290.52</v>
      </c>
      <c r="ID168" s="57">
        <v>311.47000000000003</v>
      </c>
      <c r="IE168" s="57">
        <v>230.38</v>
      </c>
      <c r="IF168" s="57">
        <v>303.93</v>
      </c>
      <c r="IG168" s="57">
        <v>386.84</v>
      </c>
      <c r="IH168" s="57">
        <v>341.79</v>
      </c>
      <c r="II168" s="57">
        <v>498.84</v>
      </c>
      <c r="IJ168" s="57">
        <v>635.19000000000005</v>
      </c>
      <c r="IK168" s="57">
        <v>392.17</v>
      </c>
      <c r="IL168" s="57">
        <v>248.96</v>
      </c>
      <c r="IM168" s="57">
        <v>391.75</v>
      </c>
      <c r="IN168" s="57">
        <v>374.91</v>
      </c>
      <c r="IO168" s="57">
        <v>355.12</v>
      </c>
      <c r="IP168" s="57">
        <v>226.35</v>
      </c>
      <c r="IQ168" s="57">
        <v>325.43</v>
      </c>
      <c r="IR168" s="57">
        <v>469.45</v>
      </c>
      <c r="IS168" s="57">
        <v>748.38</v>
      </c>
      <c r="IT168" s="57">
        <v>39.51</v>
      </c>
      <c r="IU168" s="57">
        <v>160.75</v>
      </c>
      <c r="IV168" s="57">
        <v>44.63</v>
      </c>
      <c r="IW168" s="57">
        <v>118.76</v>
      </c>
      <c r="IX168" s="57">
        <v>188.67</v>
      </c>
      <c r="IY168" s="57">
        <v>340.16</v>
      </c>
      <c r="IZ168" s="57">
        <v>387.79</v>
      </c>
      <c r="JA168" s="57">
        <v>314.85000000000002</v>
      </c>
      <c r="JB168" s="57"/>
      <c r="JC168" s="57">
        <v>352.18</v>
      </c>
      <c r="JD168" s="57">
        <v>382.92</v>
      </c>
      <c r="JE168" s="57">
        <v>355.88</v>
      </c>
      <c r="JF168" s="57">
        <v>250.01</v>
      </c>
      <c r="JG168" s="57">
        <v>375.96</v>
      </c>
      <c r="JH168" s="57">
        <v>492.66</v>
      </c>
      <c r="JI168" s="57">
        <v>447.17</v>
      </c>
      <c r="JJ168" s="57">
        <v>375.52</v>
      </c>
      <c r="JK168" s="57">
        <v>578.74</v>
      </c>
      <c r="JL168" s="57">
        <v>452.22</v>
      </c>
      <c r="JM168" s="57">
        <v>407.84</v>
      </c>
      <c r="JN168" s="57">
        <v>271.29000000000002</v>
      </c>
      <c r="JO168" s="57">
        <v>244.78</v>
      </c>
      <c r="JP168" s="57">
        <v>564.71</v>
      </c>
      <c r="JQ168" s="57">
        <v>484.07</v>
      </c>
      <c r="JR168" s="57">
        <v>332.3</v>
      </c>
      <c r="JS168" s="57">
        <v>434.61</v>
      </c>
      <c r="JT168" s="57">
        <v>479.97</v>
      </c>
      <c r="JU168" s="57">
        <v>368.18</v>
      </c>
      <c r="JV168" s="57">
        <v>189.74</v>
      </c>
      <c r="JW168" s="57">
        <v>251.08</v>
      </c>
      <c r="JX168" s="57">
        <v>1050.43</v>
      </c>
      <c r="JY168" s="57">
        <v>453.47</v>
      </c>
      <c r="JZ168" s="57">
        <v>387.2</v>
      </c>
      <c r="KA168" s="57">
        <v>399.6</v>
      </c>
      <c r="KB168" s="57">
        <v>282</v>
      </c>
      <c r="KC168" s="57">
        <v>398.4</v>
      </c>
      <c r="KD168" s="57">
        <v>481.37</v>
      </c>
      <c r="KE168" s="57">
        <v>609.29</v>
      </c>
      <c r="KF168" s="57">
        <v>457.85</v>
      </c>
    </row>
    <row r="169" spans="1:292">
      <c r="A169" s="41">
        <v>2018</v>
      </c>
      <c r="B169" s="54" t="s">
        <v>991</v>
      </c>
      <c r="C169" s="50" t="s">
        <v>992</v>
      </c>
      <c r="D169" s="57">
        <v>367.66</v>
      </c>
      <c r="E169" s="57">
        <v>412.61</v>
      </c>
      <c r="F169" s="57">
        <v>602</v>
      </c>
      <c r="G169" s="57">
        <v>220.58</v>
      </c>
      <c r="H169" s="57">
        <v>401.77</v>
      </c>
      <c r="I169" s="57">
        <v>303.08</v>
      </c>
      <c r="J169" s="57">
        <v>217.13</v>
      </c>
      <c r="K169" s="57">
        <v>384.08</v>
      </c>
      <c r="L169" s="57">
        <v>144.19999999999999</v>
      </c>
      <c r="M169" s="57">
        <v>253.68</v>
      </c>
      <c r="N169" s="57">
        <v>343.62</v>
      </c>
      <c r="O169" s="57">
        <v>539.58000000000004</v>
      </c>
      <c r="P169" s="57">
        <v>465.52</v>
      </c>
      <c r="Q169" s="57">
        <v>417.28</v>
      </c>
      <c r="R169" s="57">
        <v>348.91</v>
      </c>
      <c r="S169" s="57">
        <v>799.34</v>
      </c>
      <c r="T169" s="57">
        <v>588.44000000000005</v>
      </c>
      <c r="U169" s="57">
        <v>213.49</v>
      </c>
      <c r="V169" s="57">
        <v>240.74</v>
      </c>
      <c r="W169" s="57">
        <v>464.09</v>
      </c>
      <c r="X169" s="57">
        <v>357.88</v>
      </c>
      <c r="Y169" s="57">
        <v>375.77</v>
      </c>
      <c r="Z169" s="57">
        <v>383.95</v>
      </c>
      <c r="AA169" s="57">
        <v>363.45</v>
      </c>
      <c r="AB169" s="57">
        <v>292.05</v>
      </c>
      <c r="AC169" s="57">
        <v>233.96</v>
      </c>
      <c r="AD169" s="57">
        <v>336.96</v>
      </c>
      <c r="AE169" s="57">
        <v>331.81</v>
      </c>
      <c r="AF169" s="57">
        <v>284.67</v>
      </c>
      <c r="AG169" s="57">
        <v>159.03</v>
      </c>
      <c r="AH169" s="57">
        <v>250.95</v>
      </c>
      <c r="AI169" s="57">
        <v>358.79</v>
      </c>
      <c r="AJ169" s="57">
        <v>330.34</v>
      </c>
      <c r="AK169" s="57">
        <v>394.14</v>
      </c>
      <c r="AL169" s="57">
        <v>386.36</v>
      </c>
      <c r="AM169" s="57">
        <v>561.28</v>
      </c>
      <c r="AN169" s="57">
        <v>40.9</v>
      </c>
      <c r="AO169" s="57">
        <v>164.64</v>
      </c>
      <c r="AP169" s="57">
        <v>79.64</v>
      </c>
      <c r="AQ169" s="57">
        <v>350.09</v>
      </c>
      <c r="AR169" s="57">
        <v>382.64</v>
      </c>
      <c r="AS169" s="57">
        <v>327.87</v>
      </c>
      <c r="AT169" s="57">
        <v>444.63</v>
      </c>
      <c r="AU169" s="57">
        <v>588.58000000000004</v>
      </c>
      <c r="AV169" s="57">
        <v>455.45</v>
      </c>
      <c r="AW169" s="57">
        <v>411.83</v>
      </c>
      <c r="AX169" s="57">
        <v>271.29000000000002</v>
      </c>
      <c r="AY169" s="57">
        <v>251.23</v>
      </c>
      <c r="AZ169" s="57">
        <v>547.64</v>
      </c>
      <c r="BA169" s="57">
        <v>385.14</v>
      </c>
      <c r="BB169" s="57">
        <v>294.48</v>
      </c>
      <c r="BC169" s="57">
        <v>986.99</v>
      </c>
      <c r="BD169" s="57">
        <v>402.25</v>
      </c>
      <c r="BE169" s="57">
        <v>478.04</v>
      </c>
      <c r="BF169" s="57">
        <v>609.29</v>
      </c>
      <c r="BG169" s="57">
        <v>458.35</v>
      </c>
      <c r="BH169" s="57">
        <v>399.72</v>
      </c>
      <c r="BI169" s="57">
        <v>436.32</v>
      </c>
      <c r="BJ169" s="57">
        <v>436.23</v>
      </c>
      <c r="BK169" s="57">
        <v>398.32</v>
      </c>
      <c r="BL169" s="57">
        <v>379.95</v>
      </c>
      <c r="BM169" s="57">
        <v>389.41</v>
      </c>
      <c r="BN169" s="57">
        <v>486.92</v>
      </c>
      <c r="BO169" s="57">
        <v>304.94</v>
      </c>
      <c r="BP169" s="57">
        <v>411.94</v>
      </c>
      <c r="BQ169" s="57">
        <v>422.29</v>
      </c>
      <c r="BR169" s="57">
        <v>295.23</v>
      </c>
      <c r="BS169" s="57">
        <v>879.87</v>
      </c>
      <c r="BT169" s="57">
        <v>449.19</v>
      </c>
      <c r="BU169" s="57">
        <v>753.03</v>
      </c>
      <c r="BV169" s="57">
        <v>588.44000000000005</v>
      </c>
      <c r="BW169" s="57">
        <v>208.55</v>
      </c>
      <c r="BX169" s="57">
        <v>255.81</v>
      </c>
      <c r="BY169" s="57">
        <v>359.14</v>
      </c>
      <c r="BZ169" s="57">
        <v>239.83</v>
      </c>
      <c r="CA169" s="57">
        <v>418.42</v>
      </c>
      <c r="CB169" s="58">
        <v>464.09</v>
      </c>
      <c r="CC169" s="57">
        <v>357.88</v>
      </c>
      <c r="CD169" s="57">
        <v>374.33</v>
      </c>
      <c r="CE169" s="57">
        <v>327.47000000000003</v>
      </c>
      <c r="CF169" s="57">
        <v>384.43</v>
      </c>
      <c r="CG169" s="57">
        <v>447.88</v>
      </c>
      <c r="CH169" s="57">
        <v>372.92</v>
      </c>
      <c r="CI169" s="57">
        <v>333.24</v>
      </c>
      <c r="CJ169" s="57">
        <v>292.05</v>
      </c>
      <c r="CK169" s="57">
        <v>212.3</v>
      </c>
      <c r="CL169" s="57">
        <v>258.37</v>
      </c>
      <c r="CM169" s="57">
        <v>491.64</v>
      </c>
      <c r="CN169" s="57">
        <v>336.96</v>
      </c>
      <c r="CO169" s="57">
        <v>331.81</v>
      </c>
      <c r="CP169" s="57">
        <v>231.47</v>
      </c>
      <c r="CQ169" s="57">
        <v>503.15</v>
      </c>
      <c r="CR169" s="57">
        <v>163.32</v>
      </c>
      <c r="CS169" s="57">
        <v>237.73</v>
      </c>
      <c r="CT169" s="57">
        <v>155.43</v>
      </c>
      <c r="CU169" s="57">
        <v>252.11</v>
      </c>
      <c r="CV169" s="57">
        <v>301.72000000000003</v>
      </c>
      <c r="CW169" s="57">
        <v>150.80000000000001</v>
      </c>
      <c r="CX169" s="57">
        <v>358.79</v>
      </c>
      <c r="CY169" s="57">
        <v>333.36</v>
      </c>
      <c r="CZ169" s="57">
        <v>236.9</v>
      </c>
      <c r="DA169" s="57">
        <v>308.76</v>
      </c>
      <c r="DB169" s="57">
        <v>399.42</v>
      </c>
      <c r="DC169" s="57">
        <v>359.75</v>
      </c>
      <c r="DD169" s="57">
        <v>510.99</v>
      </c>
      <c r="DE169" s="57">
        <v>651.41999999999996</v>
      </c>
      <c r="DF169" s="57">
        <v>324.56</v>
      </c>
      <c r="DG169" s="57">
        <v>389.69</v>
      </c>
      <c r="DH169" s="57">
        <v>235.4</v>
      </c>
      <c r="DI169" s="57">
        <v>325.63</v>
      </c>
      <c r="DJ169" s="57">
        <v>479.34</v>
      </c>
      <c r="DK169" s="57">
        <v>561.28</v>
      </c>
      <c r="DL169" s="57">
        <v>40.9</v>
      </c>
      <c r="DM169" s="57">
        <v>164.64</v>
      </c>
      <c r="DN169" s="57">
        <v>45.58</v>
      </c>
      <c r="DO169" s="57">
        <v>130.69</v>
      </c>
      <c r="DP169" s="57">
        <v>188.67</v>
      </c>
      <c r="DQ169" s="57">
        <v>350.09</v>
      </c>
      <c r="DR169" s="57">
        <v>402.16</v>
      </c>
      <c r="DS169" s="57">
        <v>317.32</v>
      </c>
      <c r="DT169" s="57"/>
      <c r="DU169" s="57">
        <v>356.06</v>
      </c>
      <c r="DV169" s="57">
        <v>386.85</v>
      </c>
      <c r="DW169" s="57">
        <v>272.17</v>
      </c>
      <c r="DX169" s="57">
        <v>375.96</v>
      </c>
      <c r="DY169" s="57">
        <v>500.92</v>
      </c>
      <c r="DZ169" s="57">
        <v>462.3</v>
      </c>
      <c r="EA169" s="57">
        <v>390.66</v>
      </c>
      <c r="EB169" s="57">
        <v>588.58000000000004</v>
      </c>
      <c r="EC169" s="57">
        <v>455.45</v>
      </c>
      <c r="ED169" s="57">
        <v>411.83</v>
      </c>
      <c r="EE169" s="57">
        <v>271.29000000000002</v>
      </c>
      <c r="EF169" s="57">
        <v>251.23</v>
      </c>
      <c r="EG169" s="57">
        <v>547.64</v>
      </c>
      <c r="EH169" s="57">
        <v>385.14</v>
      </c>
      <c r="EI169" s="57">
        <v>426.06</v>
      </c>
      <c r="EJ169" s="57">
        <v>191.86</v>
      </c>
      <c r="EK169" s="57">
        <v>258</v>
      </c>
      <c r="EL169" s="57">
        <v>1233.27</v>
      </c>
      <c r="EM169" s="57">
        <v>438.81</v>
      </c>
      <c r="EN169" s="57">
        <v>402.25</v>
      </c>
      <c r="EO169" s="57">
        <v>281.02999999999997</v>
      </c>
      <c r="EP169" s="57">
        <v>399.84</v>
      </c>
      <c r="EQ169" s="57">
        <v>497.79</v>
      </c>
      <c r="ER169" s="57">
        <v>609.29</v>
      </c>
      <c r="ES169" s="57">
        <v>458.35</v>
      </c>
      <c r="ET169" s="57">
        <v>465.2</v>
      </c>
      <c r="EU169" s="57">
        <v>357.29</v>
      </c>
      <c r="EV169" s="57">
        <v>418.06</v>
      </c>
      <c r="EW169" s="57">
        <v>361.75</v>
      </c>
      <c r="EX169" s="57">
        <v>354.69</v>
      </c>
      <c r="EY169" s="57">
        <v>227.09</v>
      </c>
      <c r="EZ169" s="57">
        <v>430.5</v>
      </c>
      <c r="FA169" s="57">
        <v>530.69000000000005</v>
      </c>
      <c r="FB169" s="57">
        <v>358.83</v>
      </c>
      <c r="FC169" s="57">
        <v>545.91999999999996</v>
      </c>
      <c r="FD169" s="57">
        <v>368.04</v>
      </c>
      <c r="FE169" s="57">
        <v>436.23</v>
      </c>
      <c r="FF169" s="57"/>
      <c r="FG169" s="57">
        <v>288.11</v>
      </c>
      <c r="FH169" s="57">
        <v>310</v>
      </c>
      <c r="FI169" s="57">
        <v>411.38</v>
      </c>
      <c r="FJ169" s="57">
        <v>668.49</v>
      </c>
      <c r="FK169" s="57">
        <v>645.36</v>
      </c>
      <c r="FL169" s="57">
        <v>325.83999999999997</v>
      </c>
      <c r="FM169" s="57">
        <v>346.67</v>
      </c>
      <c r="FN169" s="57">
        <v>342.26</v>
      </c>
      <c r="FO169" s="57">
        <v>632.78</v>
      </c>
      <c r="FP169" s="57">
        <v>463.14</v>
      </c>
      <c r="FQ169" s="57">
        <v>505.05</v>
      </c>
      <c r="FR169" s="57">
        <v>573.99</v>
      </c>
      <c r="FS169" s="57">
        <v>437.03</v>
      </c>
      <c r="FT169" s="57">
        <v>266.08</v>
      </c>
      <c r="FU169" s="57">
        <v>420.47</v>
      </c>
      <c r="FV169" s="57">
        <v>306.86</v>
      </c>
      <c r="FW169" s="57">
        <v>254.41</v>
      </c>
      <c r="FX169" s="57">
        <v>411.94</v>
      </c>
      <c r="FY169" s="57">
        <v>406.56</v>
      </c>
      <c r="FZ169" s="57">
        <v>427.57</v>
      </c>
      <c r="GA169" s="57">
        <v>279.12</v>
      </c>
      <c r="GB169" s="57">
        <v>312.93</v>
      </c>
      <c r="GC169" s="57">
        <v>291.17</v>
      </c>
      <c r="GD169" s="57">
        <v>263.06</v>
      </c>
      <c r="GE169" s="57">
        <v>879.87</v>
      </c>
      <c r="GF169" s="57">
        <v>449.19</v>
      </c>
      <c r="GG169" s="57">
        <v>753.03</v>
      </c>
      <c r="GH169" s="57">
        <v>587.45000000000005</v>
      </c>
      <c r="GI169" s="57">
        <v>224.42</v>
      </c>
      <c r="GJ169" s="57">
        <v>199.42</v>
      </c>
      <c r="GK169" s="57">
        <v>191.16</v>
      </c>
      <c r="GL169" s="57">
        <v>277.35000000000002</v>
      </c>
      <c r="GM169" s="57">
        <v>255.81</v>
      </c>
      <c r="GN169" s="57">
        <v>359.14</v>
      </c>
      <c r="GO169" s="57">
        <v>246.32</v>
      </c>
      <c r="GP169" s="57">
        <v>232.84</v>
      </c>
      <c r="GQ169" s="57">
        <v>239.98</v>
      </c>
      <c r="GR169" s="57">
        <v>418.42</v>
      </c>
      <c r="GS169" s="57">
        <v>464.09</v>
      </c>
      <c r="GT169" s="57">
        <v>357.88</v>
      </c>
      <c r="GU169" s="57">
        <v>374.33</v>
      </c>
      <c r="GV169" s="57">
        <v>327.47000000000003</v>
      </c>
      <c r="GW169" s="57">
        <v>344.06</v>
      </c>
      <c r="GX169" s="57">
        <v>427.2</v>
      </c>
      <c r="GY169" s="57">
        <v>447.88</v>
      </c>
      <c r="GZ169" s="57">
        <v>443.12</v>
      </c>
      <c r="HA169" s="57">
        <v>355.74</v>
      </c>
      <c r="HB169" s="57">
        <v>373.66</v>
      </c>
      <c r="HC169" s="57">
        <v>333.24</v>
      </c>
      <c r="HD169" s="57">
        <v>292.05</v>
      </c>
      <c r="HE169" s="57">
        <v>173.35</v>
      </c>
      <c r="HF169" s="57">
        <v>197.2</v>
      </c>
      <c r="HG169" s="57">
        <v>249.16</v>
      </c>
      <c r="HH169" s="57">
        <v>295.51</v>
      </c>
      <c r="HI169" s="57">
        <v>145.08000000000001</v>
      </c>
      <c r="HJ169" s="57">
        <v>258.37</v>
      </c>
      <c r="HK169" s="57">
        <v>491.64</v>
      </c>
      <c r="HL169" s="57">
        <v>297.3</v>
      </c>
      <c r="HM169" s="57">
        <v>358.87</v>
      </c>
      <c r="HN169" s="57">
        <v>367</v>
      </c>
      <c r="HO169" s="57">
        <v>283.39999999999998</v>
      </c>
      <c r="HP169" s="57">
        <v>380.18</v>
      </c>
      <c r="HQ169" s="57">
        <v>215.72</v>
      </c>
      <c r="HR169" s="57">
        <v>347.03</v>
      </c>
      <c r="HS169" s="57">
        <v>511.05</v>
      </c>
      <c r="HT169" s="57">
        <v>314.77999999999997</v>
      </c>
      <c r="HU169" s="57">
        <v>163.32</v>
      </c>
      <c r="HV169" s="57">
        <v>237.73</v>
      </c>
      <c r="HW169" s="57">
        <v>144.31</v>
      </c>
      <c r="HX169" s="57">
        <v>167.19</v>
      </c>
      <c r="HY169" s="57">
        <v>252.11</v>
      </c>
      <c r="HZ169" s="57">
        <v>301.72000000000003</v>
      </c>
      <c r="IA169" s="57">
        <v>137.75</v>
      </c>
      <c r="IB169" s="57">
        <v>358.79</v>
      </c>
      <c r="IC169" s="57">
        <v>308.95</v>
      </c>
      <c r="ID169" s="57">
        <v>328.29</v>
      </c>
      <c r="IE169" s="57">
        <v>236.9</v>
      </c>
      <c r="IF169" s="57">
        <v>308.76</v>
      </c>
      <c r="IG169" s="57">
        <v>399.42</v>
      </c>
      <c r="IH169" s="57">
        <v>359.75</v>
      </c>
      <c r="II169" s="57">
        <v>510.99</v>
      </c>
      <c r="IJ169" s="57">
        <v>651.41999999999996</v>
      </c>
      <c r="IK169" s="57">
        <v>396.81</v>
      </c>
      <c r="IL169" s="57">
        <v>249.67</v>
      </c>
      <c r="IM169" s="57">
        <v>393.63</v>
      </c>
      <c r="IN169" s="57">
        <v>379.71</v>
      </c>
      <c r="IO169" s="57">
        <v>360.92</v>
      </c>
      <c r="IP169" s="57">
        <v>235.4</v>
      </c>
      <c r="IQ169" s="57">
        <v>325.63</v>
      </c>
      <c r="IR169" s="57">
        <v>479.34</v>
      </c>
      <c r="IS169" s="57">
        <v>561.28</v>
      </c>
      <c r="IT169" s="57">
        <v>40.9</v>
      </c>
      <c r="IU169" s="57">
        <v>164.64</v>
      </c>
      <c r="IV169" s="57">
        <v>45.59</v>
      </c>
      <c r="IW169" s="57">
        <v>130.69</v>
      </c>
      <c r="IX169" s="57">
        <v>188.67</v>
      </c>
      <c r="IY169" s="57">
        <v>350.09</v>
      </c>
      <c r="IZ169" s="57">
        <v>402.16</v>
      </c>
      <c r="JA169" s="57">
        <v>317.32</v>
      </c>
      <c r="JB169" s="57"/>
      <c r="JC169" s="57">
        <v>356.06</v>
      </c>
      <c r="JD169" s="57">
        <v>386.85</v>
      </c>
      <c r="JE169" s="57">
        <v>360.84</v>
      </c>
      <c r="JF169" s="57">
        <v>256.77</v>
      </c>
      <c r="JG169" s="57">
        <v>375.96</v>
      </c>
      <c r="JH169" s="57">
        <v>500.92</v>
      </c>
      <c r="JI169" s="57">
        <v>462.3</v>
      </c>
      <c r="JJ169" s="57">
        <v>390.66</v>
      </c>
      <c r="JK169" s="57">
        <v>588.58000000000004</v>
      </c>
      <c r="JL169" s="57">
        <v>455.45</v>
      </c>
      <c r="JM169" s="57">
        <v>411.83</v>
      </c>
      <c r="JN169" s="57">
        <v>271.29000000000002</v>
      </c>
      <c r="JO169" s="57">
        <v>251.23</v>
      </c>
      <c r="JP169" s="57">
        <v>572.12</v>
      </c>
      <c r="JQ169" s="57">
        <v>491.85</v>
      </c>
      <c r="JR169" s="57">
        <v>359.5</v>
      </c>
      <c r="JS169" s="57">
        <v>434.75</v>
      </c>
      <c r="JT169" s="57">
        <v>485.5</v>
      </c>
      <c r="JU169" s="57">
        <v>370.66</v>
      </c>
      <c r="JV169" s="57">
        <v>191.86</v>
      </c>
      <c r="JW169" s="57">
        <v>258</v>
      </c>
      <c r="JX169" s="57">
        <v>1233.27</v>
      </c>
      <c r="JY169" s="57">
        <v>462.99</v>
      </c>
      <c r="JZ169" s="57">
        <v>394.84</v>
      </c>
      <c r="KA169" s="57">
        <v>402.25</v>
      </c>
      <c r="KB169" s="57">
        <v>281.02999999999997</v>
      </c>
      <c r="KC169" s="57">
        <v>399.84</v>
      </c>
      <c r="KD169" s="57">
        <v>497.79</v>
      </c>
      <c r="KE169" s="57">
        <v>609.29</v>
      </c>
      <c r="KF169" s="57">
        <v>458.35</v>
      </c>
    </row>
    <row r="170" spans="1:292">
      <c r="A170" s="41">
        <v>2018</v>
      </c>
      <c r="B170" s="54" t="s">
        <v>993</v>
      </c>
      <c r="C170" s="50" t="s">
        <v>994</v>
      </c>
      <c r="D170" s="57">
        <v>390.84</v>
      </c>
      <c r="E170" s="57">
        <v>439.01</v>
      </c>
      <c r="F170" s="57">
        <v>602.41</v>
      </c>
      <c r="G170" s="57">
        <v>229.34</v>
      </c>
      <c r="H170" s="57">
        <v>424.11</v>
      </c>
      <c r="I170" s="57">
        <v>337.67</v>
      </c>
      <c r="J170" s="57">
        <v>222.13</v>
      </c>
      <c r="K170" s="57">
        <v>419.21</v>
      </c>
      <c r="L170" s="57">
        <v>145.80000000000001</v>
      </c>
      <c r="M170" s="57">
        <v>270.47000000000003</v>
      </c>
      <c r="N170" s="57">
        <v>357.3</v>
      </c>
      <c r="O170" s="57">
        <v>565.29999999999995</v>
      </c>
      <c r="P170" s="57">
        <v>500.05</v>
      </c>
      <c r="Q170" s="57">
        <v>444.58</v>
      </c>
      <c r="R170" s="57">
        <v>364.56</v>
      </c>
      <c r="S170" s="57">
        <v>806.07</v>
      </c>
      <c r="T170" s="57">
        <v>588.44000000000005</v>
      </c>
      <c r="U170" s="57">
        <v>222.3</v>
      </c>
      <c r="V170" s="57">
        <v>249.01</v>
      </c>
      <c r="W170" s="57">
        <v>468.29</v>
      </c>
      <c r="X170" s="57">
        <v>408.66</v>
      </c>
      <c r="Y170" s="57">
        <v>378.01</v>
      </c>
      <c r="Z170" s="57">
        <v>417.14</v>
      </c>
      <c r="AA170" s="57">
        <v>400</v>
      </c>
      <c r="AB170" s="57">
        <v>336.9</v>
      </c>
      <c r="AC170" s="57">
        <v>270.94</v>
      </c>
      <c r="AD170" s="57">
        <v>367.82</v>
      </c>
      <c r="AE170" s="57">
        <v>364.35</v>
      </c>
      <c r="AF170" s="57">
        <v>306.20999999999998</v>
      </c>
      <c r="AG170" s="57">
        <v>162.61000000000001</v>
      </c>
      <c r="AH170" s="57">
        <v>256.77999999999997</v>
      </c>
      <c r="AI170" s="57">
        <v>367.2</v>
      </c>
      <c r="AJ170" s="57">
        <v>375.35</v>
      </c>
      <c r="AK170" s="57">
        <v>418.92</v>
      </c>
      <c r="AL170" s="57">
        <v>407.01</v>
      </c>
      <c r="AM170" s="57">
        <v>561.28</v>
      </c>
      <c r="AN170" s="57">
        <v>43.13</v>
      </c>
      <c r="AO170" s="57">
        <v>164.64</v>
      </c>
      <c r="AP170" s="57">
        <v>92.32</v>
      </c>
      <c r="AQ170" s="57">
        <v>407.08</v>
      </c>
      <c r="AR170" s="57">
        <v>412.36</v>
      </c>
      <c r="AS170" s="57">
        <v>332.64</v>
      </c>
      <c r="AT170" s="57">
        <v>490.71</v>
      </c>
      <c r="AU170" s="57">
        <v>565.4</v>
      </c>
      <c r="AV170" s="57">
        <v>468.5</v>
      </c>
      <c r="AW170" s="57">
        <v>413.66</v>
      </c>
      <c r="AX170" s="57">
        <v>296.86</v>
      </c>
      <c r="AY170" s="57">
        <v>259.07</v>
      </c>
      <c r="AZ170" s="57">
        <v>573.58000000000004</v>
      </c>
      <c r="BA170" s="57">
        <v>404.25</v>
      </c>
      <c r="BB170" s="57">
        <v>318.22000000000003</v>
      </c>
      <c r="BC170" s="57">
        <v>1075.8</v>
      </c>
      <c r="BD170" s="57">
        <v>427.44</v>
      </c>
      <c r="BE170" s="57">
        <v>499.7</v>
      </c>
      <c r="BF170" s="57">
        <v>609.29</v>
      </c>
      <c r="BG170" s="57">
        <v>461.09</v>
      </c>
      <c r="BH170" s="57">
        <v>423.85</v>
      </c>
      <c r="BI170" s="57">
        <v>452.3</v>
      </c>
      <c r="BJ170" s="57">
        <v>377.53</v>
      </c>
      <c r="BK170" s="57">
        <v>430.93</v>
      </c>
      <c r="BL170" s="57">
        <v>412.78</v>
      </c>
      <c r="BM170" s="57">
        <v>428.11</v>
      </c>
      <c r="BN170" s="57">
        <v>532.47</v>
      </c>
      <c r="BO170" s="57">
        <v>314.54000000000002</v>
      </c>
      <c r="BP170" s="57">
        <v>442.43</v>
      </c>
      <c r="BQ170" s="57">
        <v>431.76</v>
      </c>
      <c r="BR170" s="57">
        <v>313.06</v>
      </c>
      <c r="BS170" s="57">
        <v>888.06</v>
      </c>
      <c r="BT170" s="57">
        <v>460.53</v>
      </c>
      <c r="BU170" s="57">
        <v>756.34</v>
      </c>
      <c r="BV170" s="57">
        <v>588.44000000000005</v>
      </c>
      <c r="BW170" s="57">
        <v>216.62</v>
      </c>
      <c r="BX170" s="57">
        <v>275.27</v>
      </c>
      <c r="BY170" s="57">
        <v>369.62</v>
      </c>
      <c r="BZ170" s="57">
        <v>248.04</v>
      </c>
      <c r="CA170" s="57">
        <v>443.03</v>
      </c>
      <c r="CB170" s="58">
        <v>468.29</v>
      </c>
      <c r="CC170" s="57">
        <v>408.66</v>
      </c>
      <c r="CD170" s="57">
        <v>376.56</v>
      </c>
      <c r="CE170" s="57">
        <v>356.92</v>
      </c>
      <c r="CF170" s="57">
        <v>410.31</v>
      </c>
      <c r="CG170" s="57">
        <v>500.63</v>
      </c>
      <c r="CH170" s="57">
        <v>409.9</v>
      </c>
      <c r="CI170" s="57">
        <v>371.43</v>
      </c>
      <c r="CJ170" s="57">
        <v>336.9</v>
      </c>
      <c r="CK170" s="57">
        <v>247.48</v>
      </c>
      <c r="CL170" s="57">
        <v>305.22000000000003</v>
      </c>
      <c r="CM170" s="57">
        <v>503</v>
      </c>
      <c r="CN170" s="57">
        <v>367.82</v>
      </c>
      <c r="CO170" s="57">
        <v>364.35</v>
      </c>
      <c r="CP170" s="57">
        <v>255.39</v>
      </c>
      <c r="CQ170" s="57">
        <v>511.7</v>
      </c>
      <c r="CR170" s="57">
        <v>163.33000000000001</v>
      </c>
      <c r="CS170" s="57">
        <v>259.01</v>
      </c>
      <c r="CT170" s="57">
        <v>164.94</v>
      </c>
      <c r="CU170" s="57">
        <v>253.12</v>
      </c>
      <c r="CV170" s="57">
        <v>313.82</v>
      </c>
      <c r="CW170" s="57">
        <v>154.22999999999999</v>
      </c>
      <c r="CX170" s="57">
        <v>367.2</v>
      </c>
      <c r="CY170" s="57">
        <v>379.68</v>
      </c>
      <c r="CZ170" s="57">
        <v>254.02</v>
      </c>
      <c r="DA170" s="57">
        <v>317.87</v>
      </c>
      <c r="DB170" s="57">
        <v>470.05</v>
      </c>
      <c r="DC170" s="57">
        <v>379.86</v>
      </c>
      <c r="DD170" s="57">
        <v>548.66</v>
      </c>
      <c r="DE170" s="57">
        <v>634.49</v>
      </c>
      <c r="DF170" s="57">
        <v>325.19</v>
      </c>
      <c r="DG170" s="57">
        <v>411.05</v>
      </c>
      <c r="DH170" s="57">
        <v>248.67</v>
      </c>
      <c r="DI170" s="57">
        <v>345.59</v>
      </c>
      <c r="DJ170" s="57">
        <v>488.8</v>
      </c>
      <c r="DK170" s="57">
        <v>561.28</v>
      </c>
      <c r="DL170" s="57">
        <v>43.13</v>
      </c>
      <c r="DM170" s="57">
        <v>164.64</v>
      </c>
      <c r="DN170" s="57">
        <v>51.95</v>
      </c>
      <c r="DO170" s="57">
        <v>159.31</v>
      </c>
      <c r="DP170" s="57">
        <v>191.77</v>
      </c>
      <c r="DQ170" s="57">
        <v>407.08</v>
      </c>
      <c r="DR170" s="57">
        <v>432.97</v>
      </c>
      <c r="DS170" s="57">
        <v>345.73</v>
      </c>
      <c r="DT170" s="57"/>
      <c r="DU170" s="57">
        <v>370.57</v>
      </c>
      <c r="DV170" s="57">
        <v>393.72</v>
      </c>
      <c r="DW170" s="57">
        <v>275.24</v>
      </c>
      <c r="DX170" s="57">
        <v>375.96</v>
      </c>
      <c r="DY170" s="57">
        <v>541.07000000000005</v>
      </c>
      <c r="DZ170" s="57">
        <v>470.74</v>
      </c>
      <c r="EA170" s="57">
        <v>456.63</v>
      </c>
      <c r="EB170" s="57">
        <v>565.4</v>
      </c>
      <c r="EC170" s="57">
        <v>468.5</v>
      </c>
      <c r="ED170" s="57">
        <v>413.66</v>
      </c>
      <c r="EE170" s="57">
        <v>296.86</v>
      </c>
      <c r="EF170" s="57">
        <v>259.07</v>
      </c>
      <c r="EG170" s="57">
        <v>573.58000000000004</v>
      </c>
      <c r="EH170" s="57">
        <v>404.25</v>
      </c>
      <c r="EI170" s="57">
        <v>435.97</v>
      </c>
      <c r="EJ170" s="57">
        <v>205.05</v>
      </c>
      <c r="EK170" s="57">
        <v>285.81</v>
      </c>
      <c r="EL170" s="57">
        <v>1347.37</v>
      </c>
      <c r="EM170" s="57">
        <v>473.48</v>
      </c>
      <c r="EN170" s="57">
        <v>427.44</v>
      </c>
      <c r="EO170" s="57">
        <v>282.76</v>
      </c>
      <c r="EP170" s="57">
        <v>399.84</v>
      </c>
      <c r="EQ170" s="57">
        <v>529.36</v>
      </c>
      <c r="ER170" s="57">
        <v>609.29</v>
      </c>
      <c r="ES170" s="57">
        <v>461.09</v>
      </c>
      <c r="ET170" s="57">
        <v>483.99</v>
      </c>
      <c r="EU170" s="57">
        <v>389.29</v>
      </c>
      <c r="EV170" s="57">
        <v>436.95</v>
      </c>
      <c r="EW170" s="57">
        <v>392.21</v>
      </c>
      <c r="EX170" s="57">
        <v>365.07</v>
      </c>
      <c r="EY170" s="57">
        <v>227.92</v>
      </c>
      <c r="EZ170" s="57">
        <v>446.64</v>
      </c>
      <c r="FA170" s="57">
        <v>539.45000000000005</v>
      </c>
      <c r="FB170" s="57">
        <v>380.71</v>
      </c>
      <c r="FC170" s="57">
        <v>543.23</v>
      </c>
      <c r="FD170" s="57">
        <v>380.66</v>
      </c>
      <c r="FE170" s="57">
        <v>377.53</v>
      </c>
      <c r="FF170" s="57"/>
      <c r="FG170" s="57">
        <v>318.76</v>
      </c>
      <c r="FH170" s="57">
        <v>343.51</v>
      </c>
      <c r="FI170" s="57">
        <v>447.79</v>
      </c>
      <c r="FJ170" s="57">
        <v>690.85</v>
      </c>
      <c r="FK170" s="57">
        <v>704.54</v>
      </c>
      <c r="FL170" s="57">
        <v>377.84</v>
      </c>
      <c r="FM170" s="57">
        <v>372.78</v>
      </c>
      <c r="FN170" s="57">
        <v>380.65</v>
      </c>
      <c r="FO170" s="57">
        <v>672.28</v>
      </c>
      <c r="FP170" s="57">
        <v>533.17999999999995</v>
      </c>
      <c r="FQ170" s="57">
        <v>463.87</v>
      </c>
      <c r="FR170" s="57">
        <v>584.20000000000005</v>
      </c>
      <c r="FS170" s="57">
        <v>473.79</v>
      </c>
      <c r="FT170" s="57">
        <v>266.42</v>
      </c>
      <c r="FU170" s="57">
        <v>441.01</v>
      </c>
      <c r="FV170" s="57">
        <v>323.87</v>
      </c>
      <c r="FW170" s="57">
        <v>256.01</v>
      </c>
      <c r="FX170" s="57">
        <v>442.43</v>
      </c>
      <c r="FY170" s="57">
        <v>443.45</v>
      </c>
      <c r="FZ170" s="57">
        <v>430.31</v>
      </c>
      <c r="GA170" s="57">
        <v>285.45</v>
      </c>
      <c r="GB170" s="57">
        <v>327.52999999999997</v>
      </c>
      <c r="GC170" s="57">
        <v>317.95999999999998</v>
      </c>
      <c r="GD170" s="57">
        <v>269.5</v>
      </c>
      <c r="GE170" s="57">
        <v>888.06</v>
      </c>
      <c r="GF170" s="57">
        <v>460.53</v>
      </c>
      <c r="GG170" s="57">
        <v>756.34</v>
      </c>
      <c r="GH170" s="57">
        <v>587.45000000000005</v>
      </c>
      <c r="GI170" s="57">
        <v>231.83</v>
      </c>
      <c r="GJ170" s="57">
        <v>208.35</v>
      </c>
      <c r="GK170" s="57">
        <v>197.2</v>
      </c>
      <c r="GL170" s="57">
        <v>292.08999999999997</v>
      </c>
      <c r="GM170" s="57">
        <v>275.27</v>
      </c>
      <c r="GN170" s="57">
        <v>369.62</v>
      </c>
      <c r="GO170" s="57">
        <v>254.7</v>
      </c>
      <c r="GP170" s="57">
        <v>239.77</v>
      </c>
      <c r="GQ170" s="57">
        <v>250.62</v>
      </c>
      <c r="GR170" s="57">
        <v>443.03</v>
      </c>
      <c r="GS170" s="57">
        <v>468.29</v>
      </c>
      <c r="GT170" s="57">
        <v>408.66</v>
      </c>
      <c r="GU170" s="57">
        <v>376.56</v>
      </c>
      <c r="GV170" s="57">
        <v>356.92</v>
      </c>
      <c r="GW170" s="57">
        <v>371.01</v>
      </c>
      <c r="GX170" s="57">
        <v>445.72</v>
      </c>
      <c r="GY170" s="57">
        <v>500.63</v>
      </c>
      <c r="GZ170" s="57">
        <v>493.02</v>
      </c>
      <c r="HA170" s="57">
        <v>391</v>
      </c>
      <c r="HB170" s="57">
        <v>408.86</v>
      </c>
      <c r="HC170" s="57">
        <v>371.43</v>
      </c>
      <c r="HD170" s="57">
        <v>336.9</v>
      </c>
      <c r="HE170" s="57">
        <v>200.4</v>
      </c>
      <c r="HF170" s="57">
        <v>235.63</v>
      </c>
      <c r="HG170" s="57">
        <v>296.58999999999997</v>
      </c>
      <c r="HH170" s="57">
        <v>335.02</v>
      </c>
      <c r="HI170" s="57">
        <v>166.86</v>
      </c>
      <c r="HJ170" s="57">
        <v>305.22000000000003</v>
      </c>
      <c r="HK170" s="57">
        <v>503</v>
      </c>
      <c r="HL170" s="57">
        <v>320.91000000000003</v>
      </c>
      <c r="HM170" s="57">
        <v>396.69</v>
      </c>
      <c r="HN170" s="57">
        <v>403.88</v>
      </c>
      <c r="HO170" s="57">
        <v>304.76</v>
      </c>
      <c r="HP170" s="57">
        <v>427.06</v>
      </c>
      <c r="HQ170" s="57">
        <v>235.95</v>
      </c>
      <c r="HR170" s="57">
        <v>395.03</v>
      </c>
      <c r="HS170" s="57">
        <v>518.46</v>
      </c>
      <c r="HT170" s="57">
        <v>326.02999999999997</v>
      </c>
      <c r="HU170" s="57">
        <v>163.33000000000001</v>
      </c>
      <c r="HV170" s="57">
        <v>259.01</v>
      </c>
      <c r="HW170" s="57">
        <v>152.01</v>
      </c>
      <c r="HX170" s="57">
        <v>179.42</v>
      </c>
      <c r="HY170" s="57">
        <v>253.12</v>
      </c>
      <c r="HZ170" s="57">
        <v>313.82</v>
      </c>
      <c r="IA170" s="57">
        <v>140.88999999999999</v>
      </c>
      <c r="IB170" s="57">
        <v>367.2</v>
      </c>
      <c r="IC170" s="57">
        <v>347.57</v>
      </c>
      <c r="ID170" s="57">
        <v>381.54</v>
      </c>
      <c r="IE170" s="57">
        <v>254.02</v>
      </c>
      <c r="IF170" s="57">
        <v>317.87</v>
      </c>
      <c r="IG170" s="57">
        <v>470.05</v>
      </c>
      <c r="IH170" s="57">
        <v>379.86</v>
      </c>
      <c r="II170" s="57">
        <v>548.66</v>
      </c>
      <c r="IJ170" s="57">
        <v>634.49</v>
      </c>
      <c r="IK170" s="57">
        <v>399.56</v>
      </c>
      <c r="IL170" s="57">
        <v>249.67</v>
      </c>
      <c r="IM170" s="57">
        <v>422.47</v>
      </c>
      <c r="IN170" s="57">
        <v>382.09</v>
      </c>
      <c r="IO170" s="57">
        <v>368.79</v>
      </c>
      <c r="IP170" s="57">
        <v>248.67</v>
      </c>
      <c r="IQ170" s="57">
        <v>345.59</v>
      </c>
      <c r="IR170" s="57">
        <v>488.8</v>
      </c>
      <c r="IS170" s="57">
        <v>561.28</v>
      </c>
      <c r="IT170" s="57">
        <v>43.13</v>
      </c>
      <c r="IU170" s="57">
        <v>164.64</v>
      </c>
      <c r="IV170" s="57">
        <v>51.97</v>
      </c>
      <c r="IW170" s="57">
        <v>159.31</v>
      </c>
      <c r="IX170" s="57">
        <v>191.77</v>
      </c>
      <c r="IY170" s="57">
        <v>407.08</v>
      </c>
      <c r="IZ170" s="57">
        <v>432.97</v>
      </c>
      <c r="JA170" s="57">
        <v>345.73</v>
      </c>
      <c r="JB170" s="57"/>
      <c r="JC170" s="57">
        <v>370.57</v>
      </c>
      <c r="JD170" s="57">
        <v>393.72</v>
      </c>
      <c r="JE170" s="57">
        <v>378.18</v>
      </c>
      <c r="JF170" s="57">
        <v>258.26</v>
      </c>
      <c r="JG170" s="57">
        <v>375.96</v>
      </c>
      <c r="JH170" s="57">
        <v>541.07000000000005</v>
      </c>
      <c r="JI170" s="57">
        <v>470.74</v>
      </c>
      <c r="JJ170" s="57">
        <v>456.63</v>
      </c>
      <c r="JK170" s="57">
        <v>565.4</v>
      </c>
      <c r="JL170" s="57">
        <v>468.5</v>
      </c>
      <c r="JM170" s="57">
        <v>413.66</v>
      </c>
      <c r="JN170" s="57">
        <v>296.86</v>
      </c>
      <c r="JO170" s="57">
        <v>259.07</v>
      </c>
      <c r="JP170" s="57">
        <v>600.77</v>
      </c>
      <c r="JQ170" s="57">
        <v>509.13</v>
      </c>
      <c r="JR170" s="57">
        <v>376.89</v>
      </c>
      <c r="JS170" s="57">
        <v>457.42</v>
      </c>
      <c r="JT170" s="57">
        <v>496.26</v>
      </c>
      <c r="JU170" s="57">
        <v>379.63</v>
      </c>
      <c r="JV170" s="57">
        <v>205.05</v>
      </c>
      <c r="JW170" s="57">
        <v>285.81</v>
      </c>
      <c r="JX170" s="57">
        <v>1347.37</v>
      </c>
      <c r="JY170" s="57">
        <v>507.92</v>
      </c>
      <c r="JZ170" s="57">
        <v>415.63</v>
      </c>
      <c r="KA170" s="57">
        <v>427.44</v>
      </c>
      <c r="KB170" s="57">
        <v>282.76</v>
      </c>
      <c r="KC170" s="57">
        <v>399.84</v>
      </c>
      <c r="KD170" s="57">
        <v>529.36</v>
      </c>
      <c r="KE170" s="57">
        <v>609.29</v>
      </c>
      <c r="KF170" s="57">
        <v>461.09</v>
      </c>
    </row>
    <row r="171" spans="1:292">
      <c r="A171" s="41">
        <v>2018</v>
      </c>
      <c r="B171" s="54" t="s">
        <v>995</v>
      </c>
      <c r="C171" s="50" t="s">
        <v>996</v>
      </c>
      <c r="D171" s="57">
        <v>401.27</v>
      </c>
      <c r="E171" s="57">
        <v>453.16</v>
      </c>
      <c r="F171" s="57">
        <v>603.51</v>
      </c>
      <c r="G171" s="57">
        <v>258.56</v>
      </c>
      <c r="H171" s="57">
        <v>441.7</v>
      </c>
      <c r="I171" s="57">
        <v>349.28</v>
      </c>
      <c r="J171" s="57">
        <v>225.41</v>
      </c>
      <c r="K171" s="57">
        <v>415.66</v>
      </c>
      <c r="L171" s="57">
        <v>148.79</v>
      </c>
      <c r="M171" s="57">
        <v>276.06</v>
      </c>
      <c r="N171" s="57">
        <v>357.32</v>
      </c>
      <c r="O171" s="57">
        <v>573.91</v>
      </c>
      <c r="P171" s="57">
        <v>508.11</v>
      </c>
      <c r="Q171" s="57">
        <v>458.98</v>
      </c>
      <c r="R171" s="57">
        <v>375.5</v>
      </c>
      <c r="S171" s="57">
        <v>823.97</v>
      </c>
      <c r="T171" s="57">
        <v>588.44000000000005</v>
      </c>
      <c r="U171" s="57">
        <v>252.34</v>
      </c>
      <c r="V171" s="57">
        <v>274.02999999999997</v>
      </c>
      <c r="W171" s="57">
        <v>472.13</v>
      </c>
      <c r="X171" s="57">
        <v>430.03</v>
      </c>
      <c r="Y171" s="57">
        <v>383.8</v>
      </c>
      <c r="Z171" s="57">
        <v>447.97</v>
      </c>
      <c r="AA171" s="57">
        <v>398.24</v>
      </c>
      <c r="AB171" s="57">
        <v>352.05</v>
      </c>
      <c r="AC171" s="57">
        <v>286.22000000000003</v>
      </c>
      <c r="AD171" s="57">
        <v>388.64</v>
      </c>
      <c r="AE171" s="57">
        <v>393.27</v>
      </c>
      <c r="AF171" s="57">
        <v>321.68</v>
      </c>
      <c r="AG171" s="57">
        <v>165.08</v>
      </c>
      <c r="AH171" s="57">
        <v>260.17</v>
      </c>
      <c r="AI171" s="57">
        <v>373.93</v>
      </c>
      <c r="AJ171" s="57">
        <v>364.56</v>
      </c>
      <c r="AK171" s="57">
        <v>424.66</v>
      </c>
      <c r="AL171" s="57">
        <v>404.3</v>
      </c>
      <c r="AM171" s="57">
        <v>561.28</v>
      </c>
      <c r="AN171" s="57">
        <v>43.24</v>
      </c>
      <c r="AO171" s="57">
        <v>168.81</v>
      </c>
      <c r="AP171" s="57">
        <v>94.45</v>
      </c>
      <c r="AQ171" s="57">
        <v>434.62</v>
      </c>
      <c r="AR171" s="57">
        <v>433.76</v>
      </c>
      <c r="AS171" s="57">
        <v>338.97</v>
      </c>
      <c r="AT171" s="57">
        <v>509.13</v>
      </c>
      <c r="AU171" s="57">
        <v>550.39</v>
      </c>
      <c r="AV171" s="57">
        <v>469.36</v>
      </c>
      <c r="AW171" s="57">
        <v>413.72</v>
      </c>
      <c r="AX171" s="57">
        <v>296.86</v>
      </c>
      <c r="AY171" s="57">
        <v>257.77999999999997</v>
      </c>
      <c r="AZ171" s="57">
        <v>586.24</v>
      </c>
      <c r="BA171" s="57">
        <v>392.91</v>
      </c>
      <c r="BB171" s="57">
        <v>337.41</v>
      </c>
      <c r="BC171" s="57">
        <v>1032.55</v>
      </c>
      <c r="BD171" s="57">
        <v>432.75</v>
      </c>
      <c r="BE171" s="57">
        <v>525.54</v>
      </c>
      <c r="BF171" s="57">
        <v>609.29</v>
      </c>
      <c r="BG171" s="57">
        <v>461.97</v>
      </c>
      <c r="BH171" s="57">
        <v>436.64</v>
      </c>
      <c r="BI171" s="57">
        <v>458.36</v>
      </c>
      <c r="BJ171" s="57">
        <v>386.46</v>
      </c>
      <c r="BK171" s="57">
        <v>444.85</v>
      </c>
      <c r="BL171" s="57">
        <v>431.09</v>
      </c>
      <c r="BM171" s="57">
        <v>416.08</v>
      </c>
      <c r="BN171" s="57">
        <v>579.65</v>
      </c>
      <c r="BO171" s="57">
        <v>326.16000000000003</v>
      </c>
      <c r="BP171" s="57">
        <v>471.62</v>
      </c>
      <c r="BQ171" s="57">
        <v>434.65</v>
      </c>
      <c r="BR171" s="57">
        <v>327.35000000000002</v>
      </c>
      <c r="BS171" s="57">
        <v>888.72</v>
      </c>
      <c r="BT171" s="57">
        <v>472.9</v>
      </c>
      <c r="BU171" s="57">
        <v>789.88</v>
      </c>
      <c r="BV171" s="57">
        <v>588.44000000000005</v>
      </c>
      <c r="BW171" s="57">
        <v>247.43</v>
      </c>
      <c r="BX171" s="57">
        <v>293.8</v>
      </c>
      <c r="BY171" s="57">
        <v>378.22</v>
      </c>
      <c r="BZ171" s="57">
        <v>273.07</v>
      </c>
      <c r="CA171" s="57">
        <v>449.49</v>
      </c>
      <c r="CB171" s="58">
        <v>472.13</v>
      </c>
      <c r="CC171" s="57">
        <v>430.03</v>
      </c>
      <c r="CD171" s="57">
        <v>382.33</v>
      </c>
      <c r="CE171" s="57">
        <v>389.04</v>
      </c>
      <c r="CF171" s="57">
        <v>435.06</v>
      </c>
      <c r="CG171" s="57">
        <v>530.88</v>
      </c>
      <c r="CH171" s="57">
        <v>406.4</v>
      </c>
      <c r="CI171" s="57">
        <v>384.87</v>
      </c>
      <c r="CJ171" s="57">
        <v>352.05</v>
      </c>
      <c r="CK171" s="57">
        <v>261.87</v>
      </c>
      <c r="CL171" s="57">
        <v>323.76</v>
      </c>
      <c r="CM171" s="57">
        <v>514.66999999999996</v>
      </c>
      <c r="CN171" s="57">
        <v>388.64</v>
      </c>
      <c r="CO171" s="57">
        <v>393.27</v>
      </c>
      <c r="CP171" s="57">
        <v>272.8</v>
      </c>
      <c r="CQ171" s="57">
        <v>516.77</v>
      </c>
      <c r="CR171" s="57">
        <v>163.34</v>
      </c>
      <c r="CS171" s="57">
        <v>281.97000000000003</v>
      </c>
      <c r="CT171" s="57">
        <v>169.64</v>
      </c>
      <c r="CU171" s="57">
        <v>254.21</v>
      </c>
      <c r="CV171" s="57">
        <v>318.61</v>
      </c>
      <c r="CW171" s="57">
        <v>157.94999999999999</v>
      </c>
      <c r="CX171" s="57">
        <v>373.93</v>
      </c>
      <c r="CY171" s="57">
        <v>368.02</v>
      </c>
      <c r="CZ171" s="57">
        <v>261.42</v>
      </c>
      <c r="DA171" s="57">
        <v>322.14999999999998</v>
      </c>
      <c r="DB171" s="57">
        <v>486.82</v>
      </c>
      <c r="DC171" s="57">
        <v>382.04</v>
      </c>
      <c r="DD171" s="57">
        <v>577.36</v>
      </c>
      <c r="DE171" s="57">
        <v>626.33000000000004</v>
      </c>
      <c r="DF171" s="57">
        <v>325.14</v>
      </c>
      <c r="DG171" s="57">
        <v>411.27</v>
      </c>
      <c r="DH171" s="57">
        <v>232.19</v>
      </c>
      <c r="DI171" s="57">
        <v>367.48</v>
      </c>
      <c r="DJ171" s="57">
        <v>501.61</v>
      </c>
      <c r="DK171" s="57">
        <v>561.28</v>
      </c>
      <c r="DL171" s="57">
        <v>43.24</v>
      </c>
      <c r="DM171" s="57">
        <v>168.81</v>
      </c>
      <c r="DN171" s="57">
        <v>54.36</v>
      </c>
      <c r="DO171" s="57">
        <v>154.97999999999999</v>
      </c>
      <c r="DP171" s="57">
        <v>194.95</v>
      </c>
      <c r="DQ171" s="57">
        <v>434.62</v>
      </c>
      <c r="DR171" s="57">
        <v>459.24</v>
      </c>
      <c r="DS171" s="57">
        <v>358.71</v>
      </c>
      <c r="DT171" s="57"/>
      <c r="DU171" s="57">
        <v>372.11</v>
      </c>
      <c r="DV171" s="57">
        <v>403.06</v>
      </c>
      <c r="DW171" s="57">
        <v>279.05</v>
      </c>
      <c r="DX171" s="57">
        <v>375.96</v>
      </c>
      <c r="DY171" s="57">
        <v>568.15</v>
      </c>
      <c r="DZ171" s="57">
        <v>470.74</v>
      </c>
      <c r="EA171" s="57">
        <v>472.27</v>
      </c>
      <c r="EB171" s="57">
        <v>550.39</v>
      </c>
      <c r="EC171" s="57">
        <v>469.36</v>
      </c>
      <c r="ED171" s="57">
        <v>413.72</v>
      </c>
      <c r="EE171" s="57">
        <v>296.86</v>
      </c>
      <c r="EF171" s="57">
        <v>257.77999999999997</v>
      </c>
      <c r="EG171" s="57">
        <v>586.24</v>
      </c>
      <c r="EH171" s="57">
        <v>392.91</v>
      </c>
      <c r="EI171" s="57">
        <v>441.26</v>
      </c>
      <c r="EJ171" s="57">
        <v>208.76</v>
      </c>
      <c r="EK171" s="57">
        <v>309.31</v>
      </c>
      <c r="EL171" s="57">
        <v>1268.5</v>
      </c>
      <c r="EM171" s="57">
        <v>492.26</v>
      </c>
      <c r="EN171" s="57">
        <v>432.75</v>
      </c>
      <c r="EO171" s="57">
        <v>283.02999999999997</v>
      </c>
      <c r="EP171" s="57">
        <v>410.11</v>
      </c>
      <c r="EQ171" s="57">
        <v>563.26</v>
      </c>
      <c r="ER171" s="57">
        <v>609.29</v>
      </c>
      <c r="ES171" s="57">
        <v>461.97</v>
      </c>
      <c r="ET171" s="57">
        <v>501.26</v>
      </c>
      <c r="EU171" s="57">
        <v>415.72</v>
      </c>
      <c r="EV171" s="57">
        <v>442.03</v>
      </c>
      <c r="EW171" s="57">
        <v>406.62</v>
      </c>
      <c r="EX171" s="57">
        <v>390.77</v>
      </c>
      <c r="EY171" s="57">
        <v>232.49</v>
      </c>
      <c r="EZ171" s="57">
        <v>446.81</v>
      </c>
      <c r="FA171" s="57">
        <v>539.47</v>
      </c>
      <c r="FB171" s="57">
        <v>393.04</v>
      </c>
      <c r="FC171" s="57">
        <v>552.34</v>
      </c>
      <c r="FD171" s="57">
        <v>401.22</v>
      </c>
      <c r="FE171" s="57">
        <v>386.46</v>
      </c>
      <c r="FF171" s="57"/>
      <c r="FG171" s="57">
        <v>334.02</v>
      </c>
      <c r="FH171" s="57">
        <v>348.05</v>
      </c>
      <c r="FI171" s="57">
        <v>463.65</v>
      </c>
      <c r="FJ171" s="57">
        <v>711.17</v>
      </c>
      <c r="FK171" s="57">
        <v>729.97</v>
      </c>
      <c r="FL171" s="57">
        <v>399.57</v>
      </c>
      <c r="FM171" s="57">
        <v>390.03</v>
      </c>
      <c r="FN171" s="57">
        <v>361.75</v>
      </c>
      <c r="FO171" s="57">
        <v>697.26</v>
      </c>
      <c r="FP171" s="57">
        <v>595.38</v>
      </c>
      <c r="FQ171" s="57">
        <v>473.24</v>
      </c>
      <c r="FR171" s="57">
        <v>610.94000000000005</v>
      </c>
      <c r="FS171" s="57">
        <v>500.45</v>
      </c>
      <c r="FT171" s="57">
        <v>266.36</v>
      </c>
      <c r="FU171" s="57">
        <v>472.69</v>
      </c>
      <c r="FV171" s="57">
        <v>343.48</v>
      </c>
      <c r="FW171" s="57">
        <v>254.12</v>
      </c>
      <c r="FX171" s="57">
        <v>471.62</v>
      </c>
      <c r="FY171" s="57">
        <v>454.14</v>
      </c>
      <c r="FZ171" s="57">
        <v>430.96</v>
      </c>
      <c r="GA171" s="57">
        <v>298</v>
      </c>
      <c r="GB171" s="57">
        <v>347.36</v>
      </c>
      <c r="GC171" s="57">
        <v>324.86</v>
      </c>
      <c r="GD171" s="57">
        <v>286.35000000000002</v>
      </c>
      <c r="GE171" s="57">
        <v>888.72</v>
      </c>
      <c r="GF171" s="57">
        <v>472.9</v>
      </c>
      <c r="GG171" s="57">
        <v>789.88</v>
      </c>
      <c r="GH171" s="57">
        <v>587.45000000000005</v>
      </c>
      <c r="GI171" s="57">
        <v>263.54000000000002</v>
      </c>
      <c r="GJ171" s="57">
        <v>241.56</v>
      </c>
      <c r="GK171" s="57">
        <v>220.49</v>
      </c>
      <c r="GL171" s="57">
        <v>315.54000000000002</v>
      </c>
      <c r="GM171" s="57">
        <v>293.8</v>
      </c>
      <c r="GN171" s="57">
        <v>378.22</v>
      </c>
      <c r="GO171" s="57">
        <v>278.79000000000002</v>
      </c>
      <c r="GP171" s="57">
        <v>267.01</v>
      </c>
      <c r="GQ171" s="57">
        <v>272.99</v>
      </c>
      <c r="GR171" s="57">
        <v>449.49</v>
      </c>
      <c r="GS171" s="57">
        <v>472.13</v>
      </c>
      <c r="GT171" s="57">
        <v>430.03</v>
      </c>
      <c r="GU171" s="57">
        <v>382.33</v>
      </c>
      <c r="GV171" s="57">
        <v>389.04</v>
      </c>
      <c r="GW171" s="57">
        <v>403.62</v>
      </c>
      <c r="GX171" s="57">
        <v>444.9</v>
      </c>
      <c r="GY171" s="57">
        <v>530.88</v>
      </c>
      <c r="GZ171" s="57">
        <v>502.83</v>
      </c>
      <c r="HA171" s="57">
        <v>382.42</v>
      </c>
      <c r="HB171" s="57">
        <v>404.96</v>
      </c>
      <c r="HC171" s="57">
        <v>384.87</v>
      </c>
      <c r="HD171" s="57">
        <v>352.05</v>
      </c>
      <c r="HE171" s="57">
        <v>214.79</v>
      </c>
      <c r="HF171" s="57">
        <v>247.31</v>
      </c>
      <c r="HG171" s="57">
        <v>302.5</v>
      </c>
      <c r="HH171" s="57">
        <v>354</v>
      </c>
      <c r="HI171" s="57">
        <v>181.96</v>
      </c>
      <c r="HJ171" s="57">
        <v>323.76</v>
      </c>
      <c r="HK171" s="57">
        <v>514.66999999999996</v>
      </c>
      <c r="HL171" s="57">
        <v>333.03</v>
      </c>
      <c r="HM171" s="57">
        <v>426.42</v>
      </c>
      <c r="HN171" s="57">
        <v>432.39</v>
      </c>
      <c r="HO171" s="57">
        <v>324.72000000000003</v>
      </c>
      <c r="HP171" s="57">
        <v>467.3</v>
      </c>
      <c r="HQ171" s="57">
        <v>250.44</v>
      </c>
      <c r="HR171" s="57">
        <v>431.29</v>
      </c>
      <c r="HS171" s="57">
        <v>523.47</v>
      </c>
      <c r="HT171" s="57">
        <v>329.82</v>
      </c>
      <c r="HU171" s="57">
        <v>163.34</v>
      </c>
      <c r="HV171" s="57">
        <v>281.97000000000003</v>
      </c>
      <c r="HW171" s="57">
        <v>157.19999999999999</v>
      </c>
      <c r="HX171" s="57">
        <v>183</v>
      </c>
      <c r="HY171" s="57">
        <v>254.21</v>
      </c>
      <c r="HZ171" s="57">
        <v>318.61</v>
      </c>
      <c r="IA171" s="57">
        <v>144.28</v>
      </c>
      <c r="IB171" s="57">
        <v>373.93</v>
      </c>
      <c r="IC171" s="57">
        <v>335.38</v>
      </c>
      <c r="ID171" s="57">
        <v>372.49</v>
      </c>
      <c r="IE171" s="57">
        <v>261.42</v>
      </c>
      <c r="IF171" s="57">
        <v>322.14999999999998</v>
      </c>
      <c r="IG171" s="57">
        <v>486.82</v>
      </c>
      <c r="IH171" s="57">
        <v>382.04</v>
      </c>
      <c r="II171" s="57">
        <v>577.36</v>
      </c>
      <c r="IJ171" s="57">
        <v>626.33000000000004</v>
      </c>
      <c r="IK171" s="57">
        <v>399.37</v>
      </c>
      <c r="IL171" s="57">
        <v>249.67</v>
      </c>
      <c r="IM171" s="57">
        <v>425.96</v>
      </c>
      <c r="IN171" s="57">
        <v>384</v>
      </c>
      <c r="IO171" s="57">
        <v>359.88</v>
      </c>
      <c r="IP171" s="57">
        <v>232.19</v>
      </c>
      <c r="IQ171" s="57">
        <v>367.48</v>
      </c>
      <c r="IR171" s="57">
        <v>501.61</v>
      </c>
      <c r="IS171" s="57">
        <v>561.28</v>
      </c>
      <c r="IT171" s="57">
        <v>43.24</v>
      </c>
      <c r="IU171" s="57">
        <v>168.81</v>
      </c>
      <c r="IV171" s="57">
        <v>54.37</v>
      </c>
      <c r="IW171" s="57">
        <v>154.97999999999999</v>
      </c>
      <c r="IX171" s="57">
        <v>194.95</v>
      </c>
      <c r="IY171" s="57">
        <v>434.62</v>
      </c>
      <c r="IZ171" s="57">
        <v>459.24</v>
      </c>
      <c r="JA171" s="57">
        <v>358.71</v>
      </c>
      <c r="JB171" s="57"/>
      <c r="JC171" s="57">
        <v>372.11</v>
      </c>
      <c r="JD171" s="57">
        <v>403.06</v>
      </c>
      <c r="JE171" s="57">
        <v>387.57</v>
      </c>
      <c r="JF171" s="57">
        <v>261.39999999999998</v>
      </c>
      <c r="JG171" s="57">
        <v>375.96</v>
      </c>
      <c r="JH171" s="57">
        <v>568.15</v>
      </c>
      <c r="JI171" s="57">
        <v>470.74</v>
      </c>
      <c r="JJ171" s="57">
        <v>472.27</v>
      </c>
      <c r="JK171" s="57">
        <v>550.39</v>
      </c>
      <c r="JL171" s="57">
        <v>469.36</v>
      </c>
      <c r="JM171" s="57">
        <v>413.72</v>
      </c>
      <c r="JN171" s="57">
        <v>296.86</v>
      </c>
      <c r="JO171" s="57">
        <v>257.77999999999997</v>
      </c>
      <c r="JP171" s="57">
        <v>614.69000000000005</v>
      </c>
      <c r="JQ171" s="57">
        <v>517.83000000000004</v>
      </c>
      <c r="JR171" s="57">
        <v>360.45</v>
      </c>
      <c r="JS171" s="57">
        <v>458.59</v>
      </c>
      <c r="JT171" s="57">
        <v>501.83</v>
      </c>
      <c r="JU171" s="57">
        <v>384.52</v>
      </c>
      <c r="JV171" s="57">
        <v>208.76</v>
      </c>
      <c r="JW171" s="57">
        <v>309.31</v>
      </c>
      <c r="JX171" s="57">
        <v>1268.5</v>
      </c>
      <c r="JY171" s="57">
        <v>520.69000000000005</v>
      </c>
      <c r="JZ171" s="57">
        <v>441.31</v>
      </c>
      <c r="KA171" s="57">
        <v>432.75</v>
      </c>
      <c r="KB171" s="57">
        <v>283.02999999999997</v>
      </c>
      <c r="KC171" s="57">
        <v>410.11</v>
      </c>
      <c r="KD171" s="57">
        <v>563.26</v>
      </c>
      <c r="KE171" s="57">
        <v>609.29</v>
      </c>
      <c r="KF171" s="57">
        <v>461.97</v>
      </c>
    </row>
    <row r="172" spans="1:292">
      <c r="A172" s="41">
        <v>2018</v>
      </c>
      <c r="B172" s="54" t="s">
        <v>997</v>
      </c>
      <c r="C172" s="50" t="s">
        <v>998</v>
      </c>
      <c r="D172" s="57">
        <v>395.48</v>
      </c>
      <c r="E172" s="57">
        <v>449.8</v>
      </c>
      <c r="F172" s="57">
        <v>604.55999999999995</v>
      </c>
      <c r="G172" s="57">
        <v>264.7</v>
      </c>
      <c r="H172" s="57">
        <v>443.79</v>
      </c>
      <c r="I172" s="57">
        <v>339.32</v>
      </c>
      <c r="J172" s="57">
        <v>226.7</v>
      </c>
      <c r="K172" s="57">
        <v>388.79</v>
      </c>
      <c r="L172" s="57">
        <v>147.9</v>
      </c>
      <c r="M172" s="57">
        <v>270.31</v>
      </c>
      <c r="N172" s="57">
        <v>357.38</v>
      </c>
      <c r="O172" s="57">
        <v>576.29</v>
      </c>
      <c r="P172" s="57">
        <v>503.21</v>
      </c>
      <c r="Q172" s="57">
        <v>455.31</v>
      </c>
      <c r="R172" s="57">
        <v>375.66</v>
      </c>
      <c r="S172" s="57">
        <v>841.11</v>
      </c>
      <c r="T172" s="57">
        <v>588.44000000000005</v>
      </c>
      <c r="U172" s="57">
        <v>258.36</v>
      </c>
      <c r="V172" s="57">
        <v>280.42</v>
      </c>
      <c r="W172" s="57">
        <v>475.07</v>
      </c>
      <c r="X172" s="57">
        <v>434.86</v>
      </c>
      <c r="Y172" s="57">
        <v>386.49</v>
      </c>
      <c r="Z172" s="57">
        <v>448.24</v>
      </c>
      <c r="AA172" s="57">
        <v>367.71</v>
      </c>
      <c r="AB172" s="57">
        <v>353.28</v>
      </c>
      <c r="AC172" s="57">
        <v>275.88</v>
      </c>
      <c r="AD172" s="57">
        <v>396.15</v>
      </c>
      <c r="AE172" s="57">
        <v>405.73</v>
      </c>
      <c r="AF172" s="57">
        <v>327.36</v>
      </c>
      <c r="AG172" s="57">
        <v>166.54</v>
      </c>
      <c r="AH172" s="57">
        <v>261.14</v>
      </c>
      <c r="AI172" s="57">
        <v>376.04</v>
      </c>
      <c r="AJ172" s="57">
        <v>316.8</v>
      </c>
      <c r="AK172" s="57">
        <v>417.51</v>
      </c>
      <c r="AL172" s="57">
        <v>398.47</v>
      </c>
      <c r="AM172" s="57">
        <v>561.28</v>
      </c>
      <c r="AN172" s="57">
        <v>41.94</v>
      </c>
      <c r="AO172" s="57">
        <v>168.88</v>
      </c>
      <c r="AP172" s="57">
        <v>88.51</v>
      </c>
      <c r="AQ172" s="57">
        <v>442.87</v>
      </c>
      <c r="AR172" s="57">
        <v>439.29</v>
      </c>
      <c r="AS172" s="57">
        <v>343.19</v>
      </c>
      <c r="AT172" s="57">
        <v>511.55</v>
      </c>
      <c r="AU172" s="57">
        <v>517.19000000000005</v>
      </c>
      <c r="AV172" s="57">
        <v>469.35</v>
      </c>
      <c r="AW172" s="57">
        <v>413.66</v>
      </c>
      <c r="AX172" s="57">
        <v>296.86</v>
      </c>
      <c r="AY172" s="57">
        <v>258.29000000000002</v>
      </c>
      <c r="AZ172" s="57">
        <v>590.88</v>
      </c>
      <c r="BA172" s="57">
        <v>384.7</v>
      </c>
      <c r="BB172" s="57">
        <v>344.87</v>
      </c>
      <c r="BC172" s="57">
        <v>971.17</v>
      </c>
      <c r="BD172" s="57">
        <v>433.84</v>
      </c>
      <c r="BE172" s="57">
        <v>520.74</v>
      </c>
      <c r="BF172" s="57">
        <v>609.29</v>
      </c>
      <c r="BG172" s="57">
        <v>462.44</v>
      </c>
      <c r="BH172" s="57">
        <v>442.99</v>
      </c>
      <c r="BI172" s="57">
        <v>451.5</v>
      </c>
      <c r="BJ172" s="57">
        <v>405.07</v>
      </c>
      <c r="BK172" s="57">
        <v>435.39</v>
      </c>
      <c r="BL172" s="57">
        <v>429.16</v>
      </c>
      <c r="BM172" s="57">
        <v>379.93</v>
      </c>
      <c r="BN172" s="57">
        <v>592.51</v>
      </c>
      <c r="BO172" s="57">
        <v>327.08999999999997</v>
      </c>
      <c r="BP172" s="57">
        <v>480.86</v>
      </c>
      <c r="BQ172" s="57">
        <v>430.91</v>
      </c>
      <c r="BR172" s="57">
        <v>329.39</v>
      </c>
      <c r="BS172" s="57">
        <v>915.8</v>
      </c>
      <c r="BT172" s="57">
        <v>478.06</v>
      </c>
      <c r="BU172" s="57">
        <v>799.9</v>
      </c>
      <c r="BV172" s="57">
        <v>588.44000000000005</v>
      </c>
      <c r="BW172" s="57">
        <v>253.53</v>
      </c>
      <c r="BX172" s="57">
        <v>298.18</v>
      </c>
      <c r="BY172" s="57">
        <v>382.19</v>
      </c>
      <c r="BZ172" s="57">
        <v>279.45999999999998</v>
      </c>
      <c r="CA172" s="57">
        <v>453.55</v>
      </c>
      <c r="CB172" s="58">
        <v>475.07</v>
      </c>
      <c r="CC172" s="57">
        <v>434.86</v>
      </c>
      <c r="CD172" s="57">
        <v>385</v>
      </c>
      <c r="CE172" s="57">
        <v>389.04</v>
      </c>
      <c r="CF172" s="57">
        <v>437.73</v>
      </c>
      <c r="CG172" s="57">
        <v>526.12</v>
      </c>
      <c r="CH172" s="57">
        <v>371.86</v>
      </c>
      <c r="CI172" s="57">
        <v>385.48</v>
      </c>
      <c r="CJ172" s="57">
        <v>353.28</v>
      </c>
      <c r="CK172" s="57">
        <v>251.44</v>
      </c>
      <c r="CL172" s="57">
        <v>311.91000000000003</v>
      </c>
      <c r="CM172" s="57">
        <v>525.89</v>
      </c>
      <c r="CN172" s="57">
        <v>396.15</v>
      </c>
      <c r="CO172" s="57">
        <v>405.73</v>
      </c>
      <c r="CP172" s="57">
        <v>279.08999999999997</v>
      </c>
      <c r="CQ172" s="57">
        <v>519.14</v>
      </c>
      <c r="CR172" s="57">
        <v>163.34</v>
      </c>
      <c r="CS172" s="57">
        <v>289.57</v>
      </c>
      <c r="CT172" s="57">
        <v>173.79</v>
      </c>
      <c r="CU172" s="57">
        <v>254.48</v>
      </c>
      <c r="CV172" s="57">
        <v>320.01</v>
      </c>
      <c r="CW172" s="57">
        <v>159.01</v>
      </c>
      <c r="CX172" s="57">
        <v>376.04</v>
      </c>
      <c r="CY172" s="57">
        <v>317.99</v>
      </c>
      <c r="CZ172" s="57">
        <v>260.52</v>
      </c>
      <c r="DA172" s="57">
        <v>329.05</v>
      </c>
      <c r="DB172" s="57">
        <v>487.68</v>
      </c>
      <c r="DC172" s="57">
        <v>373.78</v>
      </c>
      <c r="DD172" s="57">
        <v>575.91</v>
      </c>
      <c r="DE172" s="57">
        <v>619.33000000000004</v>
      </c>
      <c r="DF172" s="57">
        <v>325.08</v>
      </c>
      <c r="DG172" s="57">
        <v>409.55</v>
      </c>
      <c r="DH172" s="57">
        <v>210.47</v>
      </c>
      <c r="DI172" s="57">
        <v>367.48</v>
      </c>
      <c r="DJ172" s="57">
        <v>508.01</v>
      </c>
      <c r="DK172" s="57">
        <v>561.28</v>
      </c>
      <c r="DL172" s="57">
        <v>41.94</v>
      </c>
      <c r="DM172" s="57">
        <v>168.88</v>
      </c>
      <c r="DN172" s="57">
        <v>51.53</v>
      </c>
      <c r="DO172" s="57">
        <v>140.4</v>
      </c>
      <c r="DP172" s="57">
        <v>194.95</v>
      </c>
      <c r="DQ172" s="57">
        <v>442.87</v>
      </c>
      <c r="DR172" s="57">
        <v>468.25</v>
      </c>
      <c r="DS172" s="57">
        <v>356.83</v>
      </c>
      <c r="DT172" s="57"/>
      <c r="DU172" s="57">
        <v>373.31</v>
      </c>
      <c r="DV172" s="57">
        <v>409.74</v>
      </c>
      <c r="DW172" s="57">
        <v>281.04000000000002</v>
      </c>
      <c r="DX172" s="57">
        <v>375.96</v>
      </c>
      <c r="DY172" s="57">
        <v>570.91999999999996</v>
      </c>
      <c r="DZ172" s="57">
        <v>470.74</v>
      </c>
      <c r="EA172" s="57">
        <v>475.18</v>
      </c>
      <c r="EB172" s="57">
        <v>517.19000000000005</v>
      </c>
      <c r="EC172" s="57">
        <v>469.35</v>
      </c>
      <c r="ED172" s="57">
        <v>413.66</v>
      </c>
      <c r="EE172" s="57">
        <v>296.86</v>
      </c>
      <c r="EF172" s="57">
        <v>258.29000000000002</v>
      </c>
      <c r="EG172" s="57">
        <v>590.88</v>
      </c>
      <c r="EH172" s="57">
        <v>384.7</v>
      </c>
      <c r="EI172" s="57">
        <v>446.86</v>
      </c>
      <c r="EJ172" s="57">
        <v>201.78</v>
      </c>
      <c r="EK172" s="57">
        <v>317.75</v>
      </c>
      <c r="EL172" s="57">
        <v>1169.75</v>
      </c>
      <c r="EM172" s="57">
        <v>498.7</v>
      </c>
      <c r="EN172" s="57">
        <v>433.84</v>
      </c>
      <c r="EO172" s="57">
        <v>282.70999999999998</v>
      </c>
      <c r="EP172" s="57">
        <v>416.97</v>
      </c>
      <c r="EQ172" s="57">
        <v>553.54999999999995</v>
      </c>
      <c r="ER172" s="57">
        <v>609.29</v>
      </c>
      <c r="ES172" s="57">
        <v>462.44</v>
      </c>
      <c r="ET172" s="57">
        <v>507.77</v>
      </c>
      <c r="EU172" s="57">
        <v>438.95</v>
      </c>
      <c r="EV172" s="57">
        <v>444.68</v>
      </c>
      <c r="EW172" s="57">
        <v>409.28</v>
      </c>
      <c r="EX172" s="57">
        <v>400.04</v>
      </c>
      <c r="EY172" s="57">
        <v>234.58</v>
      </c>
      <c r="EZ172" s="57">
        <v>436.33</v>
      </c>
      <c r="FA172" s="57">
        <v>537.6</v>
      </c>
      <c r="FB172" s="57">
        <v>383.43</v>
      </c>
      <c r="FC172" s="57">
        <v>563.58000000000004</v>
      </c>
      <c r="FD172" s="57">
        <v>404.25</v>
      </c>
      <c r="FE172" s="57">
        <v>405.07</v>
      </c>
      <c r="FF172" s="57"/>
      <c r="FG172" s="57">
        <v>340.56</v>
      </c>
      <c r="FH172" s="57">
        <v>338.58</v>
      </c>
      <c r="FI172" s="57">
        <v>461.4</v>
      </c>
      <c r="FJ172" s="57">
        <v>655.43</v>
      </c>
      <c r="FK172" s="57">
        <v>730.82</v>
      </c>
      <c r="FL172" s="57">
        <v>395.16</v>
      </c>
      <c r="FM172" s="57">
        <v>387.66</v>
      </c>
      <c r="FN172" s="57">
        <v>318.35000000000002</v>
      </c>
      <c r="FO172" s="57">
        <v>700.67</v>
      </c>
      <c r="FP172" s="57">
        <v>592.94000000000005</v>
      </c>
      <c r="FQ172" s="57">
        <v>545.6</v>
      </c>
      <c r="FR172" s="57">
        <v>651.27</v>
      </c>
      <c r="FS172" s="57">
        <v>506.13</v>
      </c>
      <c r="FT172" s="57">
        <v>265.52999999999997</v>
      </c>
      <c r="FU172" s="57">
        <v>483.02</v>
      </c>
      <c r="FV172" s="57">
        <v>344.72</v>
      </c>
      <c r="FW172" s="57">
        <v>248.65</v>
      </c>
      <c r="FX172" s="57">
        <v>480.86</v>
      </c>
      <c r="FY172" s="57">
        <v>463.89</v>
      </c>
      <c r="FZ172" s="57">
        <v>423.44</v>
      </c>
      <c r="GA172" s="57">
        <v>310.42</v>
      </c>
      <c r="GB172" s="57">
        <v>347.83</v>
      </c>
      <c r="GC172" s="57">
        <v>326.51</v>
      </c>
      <c r="GD172" s="57">
        <v>293.10000000000002</v>
      </c>
      <c r="GE172" s="57">
        <v>915.8</v>
      </c>
      <c r="GF172" s="57">
        <v>478.06</v>
      </c>
      <c r="GG172" s="57">
        <v>799.9</v>
      </c>
      <c r="GH172" s="57">
        <v>587.45000000000005</v>
      </c>
      <c r="GI172" s="57">
        <v>268.5</v>
      </c>
      <c r="GJ172" s="57">
        <v>248.84</v>
      </c>
      <c r="GK172" s="57">
        <v>225.44</v>
      </c>
      <c r="GL172" s="57">
        <v>321.97000000000003</v>
      </c>
      <c r="GM172" s="57">
        <v>298.18</v>
      </c>
      <c r="GN172" s="57">
        <v>382.19</v>
      </c>
      <c r="GO172" s="57">
        <v>285.66000000000003</v>
      </c>
      <c r="GP172" s="57">
        <v>273.07</v>
      </c>
      <c r="GQ172" s="57">
        <v>278.95</v>
      </c>
      <c r="GR172" s="57">
        <v>453.55</v>
      </c>
      <c r="GS172" s="57">
        <v>475.07</v>
      </c>
      <c r="GT172" s="57">
        <v>434.86</v>
      </c>
      <c r="GU172" s="57">
        <v>385</v>
      </c>
      <c r="GV172" s="57">
        <v>389.04</v>
      </c>
      <c r="GW172" s="57">
        <v>407.79</v>
      </c>
      <c r="GX172" s="57">
        <v>443.02</v>
      </c>
      <c r="GY172" s="57">
        <v>526.12</v>
      </c>
      <c r="GZ172" s="57">
        <v>478.01</v>
      </c>
      <c r="HA172" s="57">
        <v>347.55</v>
      </c>
      <c r="HB172" s="57">
        <v>366.75</v>
      </c>
      <c r="HC172" s="57">
        <v>385.48</v>
      </c>
      <c r="HD172" s="57">
        <v>353.28</v>
      </c>
      <c r="HE172" s="57">
        <v>205.14</v>
      </c>
      <c r="HF172" s="57">
        <v>230.8</v>
      </c>
      <c r="HG172" s="57">
        <v>292.83999999999997</v>
      </c>
      <c r="HH172" s="57">
        <v>356.58</v>
      </c>
      <c r="HI172" s="57">
        <v>172.9</v>
      </c>
      <c r="HJ172" s="57">
        <v>311.91000000000003</v>
      </c>
      <c r="HK172" s="57">
        <v>525.89</v>
      </c>
      <c r="HL172" s="57">
        <v>337.85</v>
      </c>
      <c r="HM172" s="57">
        <v>432.64</v>
      </c>
      <c r="HN172" s="57">
        <v>442.89</v>
      </c>
      <c r="HO172" s="57">
        <v>334.95</v>
      </c>
      <c r="HP172" s="57">
        <v>482.18</v>
      </c>
      <c r="HQ172" s="57">
        <v>256.42</v>
      </c>
      <c r="HR172" s="57">
        <v>440.01</v>
      </c>
      <c r="HS172" s="57">
        <v>526.12</v>
      </c>
      <c r="HT172" s="57">
        <v>330.21</v>
      </c>
      <c r="HU172" s="57">
        <v>163.34</v>
      </c>
      <c r="HV172" s="57">
        <v>289.57</v>
      </c>
      <c r="HW172" s="57">
        <v>160.66999999999999</v>
      </c>
      <c r="HX172" s="57">
        <v>188.14</v>
      </c>
      <c r="HY172" s="57">
        <v>254.48</v>
      </c>
      <c r="HZ172" s="57">
        <v>320.01</v>
      </c>
      <c r="IA172" s="57">
        <v>145.25</v>
      </c>
      <c r="IB172" s="57">
        <v>376.04</v>
      </c>
      <c r="IC172" s="57">
        <v>289.22000000000003</v>
      </c>
      <c r="ID172" s="57">
        <v>322.85000000000002</v>
      </c>
      <c r="IE172" s="57">
        <v>260.52</v>
      </c>
      <c r="IF172" s="57">
        <v>329.05</v>
      </c>
      <c r="IG172" s="57">
        <v>487.68</v>
      </c>
      <c r="IH172" s="57">
        <v>373.78</v>
      </c>
      <c r="II172" s="57">
        <v>575.91</v>
      </c>
      <c r="IJ172" s="57">
        <v>619.33000000000004</v>
      </c>
      <c r="IK172" s="57">
        <v>399.07</v>
      </c>
      <c r="IL172" s="57">
        <v>249.67</v>
      </c>
      <c r="IM172" s="57">
        <v>427.26</v>
      </c>
      <c r="IN172" s="57">
        <v>385.32</v>
      </c>
      <c r="IO172" s="57">
        <v>349.29</v>
      </c>
      <c r="IP172" s="57">
        <v>210.47</v>
      </c>
      <c r="IQ172" s="57">
        <v>367.48</v>
      </c>
      <c r="IR172" s="57">
        <v>508.01</v>
      </c>
      <c r="IS172" s="57">
        <v>561.28</v>
      </c>
      <c r="IT172" s="57">
        <v>41.94</v>
      </c>
      <c r="IU172" s="57">
        <v>168.88</v>
      </c>
      <c r="IV172" s="57">
        <v>51.54</v>
      </c>
      <c r="IW172" s="57">
        <v>140.4</v>
      </c>
      <c r="IX172" s="57">
        <v>194.95</v>
      </c>
      <c r="IY172" s="57">
        <v>442.87</v>
      </c>
      <c r="IZ172" s="57">
        <v>468.25</v>
      </c>
      <c r="JA172" s="57">
        <v>356.83</v>
      </c>
      <c r="JB172" s="57"/>
      <c r="JC172" s="57">
        <v>373.31</v>
      </c>
      <c r="JD172" s="57">
        <v>409.74</v>
      </c>
      <c r="JE172" s="57">
        <v>396.16</v>
      </c>
      <c r="JF172" s="57">
        <v>262.64999999999998</v>
      </c>
      <c r="JG172" s="57">
        <v>375.96</v>
      </c>
      <c r="JH172" s="57">
        <v>570.91999999999996</v>
      </c>
      <c r="JI172" s="57">
        <v>470.74</v>
      </c>
      <c r="JJ172" s="57">
        <v>475.18</v>
      </c>
      <c r="JK172" s="57">
        <v>517.19000000000005</v>
      </c>
      <c r="JL172" s="57">
        <v>469.35</v>
      </c>
      <c r="JM172" s="57">
        <v>413.66</v>
      </c>
      <c r="JN172" s="57">
        <v>296.86</v>
      </c>
      <c r="JO172" s="57">
        <v>258.29000000000002</v>
      </c>
      <c r="JP172" s="57">
        <v>619.12</v>
      </c>
      <c r="JQ172" s="57">
        <v>523.65</v>
      </c>
      <c r="JR172" s="57">
        <v>348.99</v>
      </c>
      <c r="JS172" s="57">
        <v>458.42</v>
      </c>
      <c r="JT172" s="57">
        <v>506.15</v>
      </c>
      <c r="JU172" s="57">
        <v>390.73</v>
      </c>
      <c r="JV172" s="57">
        <v>201.78</v>
      </c>
      <c r="JW172" s="57">
        <v>317.75</v>
      </c>
      <c r="JX172" s="57">
        <v>1169.75</v>
      </c>
      <c r="JY172" s="57">
        <v>524.73</v>
      </c>
      <c r="JZ172" s="57">
        <v>450.56</v>
      </c>
      <c r="KA172" s="57">
        <v>433.84</v>
      </c>
      <c r="KB172" s="57">
        <v>282.70999999999998</v>
      </c>
      <c r="KC172" s="57">
        <v>416.97</v>
      </c>
      <c r="KD172" s="57">
        <v>553.54999999999995</v>
      </c>
      <c r="KE172" s="57">
        <v>609.29</v>
      </c>
      <c r="KF172" s="57">
        <v>462.44</v>
      </c>
    </row>
    <row r="173" spans="1:292">
      <c r="A173" s="41">
        <v>2018</v>
      </c>
      <c r="B173" s="54" t="s">
        <v>999</v>
      </c>
      <c r="C173" s="50" t="s">
        <v>1000</v>
      </c>
      <c r="D173" s="57">
        <v>393.88</v>
      </c>
      <c r="E173" s="57">
        <v>454.64</v>
      </c>
      <c r="F173" s="57">
        <v>605.52</v>
      </c>
      <c r="G173" s="57">
        <v>253.89</v>
      </c>
      <c r="H173" s="57">
        <v>443.54</v>
      </c>
      <c r="I173" s="57">
        <v>339.77</v>
      </c>
      <c r="J173" s="57">
        <v>228.1</v>
      </c>
      <c r="K173" s="57">
        <v>378.82</v>
      </c>
      <c r="L173" s="57">
        <v>147.74</v>
      </c>
      <c r="M173" s="57">
        <v>269.64</v>
      </c>
      <c r="N173" s="57">
        <v>357.45</v>
      </c>
      <c r="O173" s="57">
        <v>578.07000000000005</v>
      </c>
      <c r="P173" s="57">
        <v>507.12</v>
      </c>
      <c r="Q173" s="57">
        <v>460.64</v>
      </c>
      <c r="R173" s="57">
        <v>374.92</v>
      </c>
      <c r="S173" s="57">
        <v>856.77</v>
      </c>
      <c r="T173" s="57">
        <v>588.44000000000005</v>
      </c>
      <c r="U173" s="57">
        <v>246.28</v>
      </c>
      <c r="V173" s="57">
        <v>275</v>
      </c>
      <c r="W173" s="57">
        <v>477.48</v>
      </c>
      <c r="X173" s="57">
        <v>436.82</v>
      </c>
      <c r="Y173" s="57">
        <v>384.72</v>
      </c>
      <c r="Z173" s="57">
        <v>445.91</v>
      </c>
      <c r="AA173" s="57">
        <v>367.01</v>
      </c>
      <c r="AB173" s="57">
        <v>352.02</v>
      </c>
      <c r="AC173" s="57">
        <v>275.16000000000003</v>
      </c>
      <c r="AD173" s="57">
        <v>400.84</v>
      </c>
      <c r="AE173" s="57">
        <v>406.23</v>
      </c>
      <c r="AF173" s="57">
        <v>330.32</v>
      </c>
      <c r="AG173" s="57">
        <v>168.07</v>
      </c>
      <c r="AH173" s="57">
        <v>261.89</v>
      </c>
      <c r="AI173" s="57">
        <v>379.76</v>
      </c>
      <c r="AJ173" s="57">
        <v>313.82</v>
      </c>
      <c r="AK173" s="57">
        <v>394.28</v>
      </c>
      <c r="AL173" s="57">
        <v>399.96</v>
      </c>
      <c r="AM173" s="57">
        <v>523.86</v>
      </c>
      <c r="AN173" s="57">
        <v>41.72</v>
      </c>
      <c r="AO173" s="57">
        <v>168.88</v>
      </c>
      <c r="AP173" s="57">
        <v>89.05</v>
      </c>
      <c r="AQ173" s="57">
        <v>445.27</v>
      </c>
      <c r="AR173" s="57">
        <v>435.27</v>
      </c>
      <c r="AS173" s="57">
        <v>342.29</v>
      </c>
      <c r="AT173" s="57">
        <v>507.35</v>
      </c>
      <c r="AU173" s="57">
        <v>514.05999999999995</v>
      </c>
      <c r="AV173" s="57">
        <v>469.77</v>
      </c>
      <c r="AW173" s="57">
        <v>413.74</v>
      </c>
      <c r="AX173" s="57">
        <v>296.86</v>
      </c>
      <c r="AY173" s="57">
        <v>258.02</v>
      </c>
      <c r="AZ173" s="57">
        <v>593.14</v>
      </c>
      <c r="BA173" s="57">
        <v>383.98</v>
      </c>
      <c r="BB173" s="57">
        <v>347.64</v>
      </c>
      <c r="BC173" s="57">
        <v>982.16</v>
      </c>
      <c r="BD173" s="57">
        <v>433.92</v>
      </c>
      <c r="BE173" s="57">
        <v>520.01</v>
      </c>
      <c r="BF173" s="57">
        <v>609.29</v>
      </c>
      <c r="BG173" s="57">
        <v>462.73</v>
      </c>
      <c r="BH173" s="57">
        <v>444.7</v>
      </c>
      <c r="BI173" s="57">
        <v>451.39</v>
      </c>
      <c r="BJ173" s="57">
        <v>402.2</v>
      </c>
      <c r="BK173" s="57">
        <v>434.44</v>
      </c>
      <c r="BL173" s="57">
        <v>426.18</v>
      </c>
      <c r="BM173" s="57">
        <v>376.24</v>
      </c>
      <c r="BN173" s="57">
        <v>630.13</v>
      </c>
      <c r="BO173" s="57">
        <v>327.43</v>
      </c>
      <c r="BP173" s="57">
        <v>487.3</v>
      </c>
      <c r="BQ173" s="57">
        <v>428.46</v>
      </c>
      <c r="BR173" s="57">
        <v>329.52</v>
      </c>
      <c r="BS173" s="57">
        <v>951.48</v>
      </c>
      <c r="BT173" s="57">
        <v>480.77</v>
      </c>
      <c r="BU173" s="57">
        <v>799.69</v>
      </c>
      <c r="BV173" s="57">
        <v>588.44000000000005</v>
      </c>
      <c r="BW173" s="57">
        <v>240.95</v>
      </c>
      <c r="BX173" s="57">
        <v>290.41000000000003</v>
      </c>
      <c r="BY173" s="57">
        <v>384.31</v>
      </c>
      <c r="BZ173" s="57">
        <v>274.02</v>
      </c>
      <c r="CA173" s="57">
        <v>458.36</v>
      </c>
      <c r="CB173" s="58">
        <v>477.48</v>
      </c>
      <c r="CC173" s="57">
        <v>436.82</v>
      </c>
      <c r="CD173" s="57">
        <v>383.24</v>
      </c>
      <c r="CE173" s="57">
        <v>389.04</v>
      </c>
      <c r="CF173" s="57">
        <v>433.95</v>
      </c>
      <c r="CG173" s="57">
        <v>519.91</v>
      </c>
      <c r="CH173" s="57">
        <v>371.4</v>
      </c>
      <c r="CI173" s="57">
        <v>382.53</v>
      </c>
      <c r="CJ173" s="57">
        <v>352.02</v>
      </c>
      <c r="CK173" s="57">
        <v>250.5</v>
      </c>
      <c r="CL173" s="57">
        <v>311.73</v>
      </c>
      <c r="CM173" s="57">
        <v>531.14</v>
      </c>
      <c r="CN173" s="57">
        <v>400.84</v>
      </c>
      <c r="CO173" s="57">
        <v>406.23</v>
      </c>
      <c r="CP173" s="57">
        <v>282.10000000000002</v>
      </c>
      <c r="CQ173" s="57">
        <v>521.61</v>
      </c>
      <c r="CR173" s="57">
        <v>164.11</v>
      </c>
      <c r="CS173" s="57">
        <v>292.70999999999998</v>
      </c>
      <c r="CT173" s="57">
        <v>177.2</v>
      </c>
      <c r="CU173" s="57">
        <v>254.79</v>
      </c>
      <c r="CV173" s="57">
        <v>321.5</v>
      </c>
      <c r="CW173" s="57">
        <v>159.34</v>
      </c>
      <c r="CX173" s="57">
        <v>379.76</v>
      </c>
      <c r="CY173" s="57">
        <v>314.81</v>
      </c>
      <c r="CZ173" s="57">
        <v>261.51</v>
      </c>
      <c r="DA173" s="57">
        <v>330.6</v>
      </c>
      <c r="DB173" s="57">
        <v>486.28</v>
      </c>
      <c r="DC173" s="57">
        <v>346.47</v>
      </c>
      <c r="DD173" s="57">
        <v>574.36</v>
      </c>
      <c r="DE173" s="57">
        <v>610.82000000000005</v>
      </c>
      <c r="DF173" s="57">
        <v>325.08</v>
      </c>
      <c r="DG173" s="57">
        <v>410.89</v>
      </c>
      <c r="DH173" s="57">
        <v>212.06</v>
      </c>
      <c r="DI173" s="57">
        <v>367.48</v>
      </c>
      <c r="DJ173" s="57">
        <v>510.29</v>
      </c>
      <c r="DK173" s="57">
        <v>523.86</v>
      </c>
      <c r="DL173" s="57">
        <v>41.72</v>
      </c>
      <c r="DM173" s="57">
        <v>168.88</v>
      </c>
      <c r="DN173" s="57">
        <v>52.61</v>
      </c>
      <c r="DO173" s="57">
        <v>136.94</v>
      </c>
      <c r="DP173" s="57">
        <v>194.95</v>
      </c>
      <c r="DQ173" s="57">
        <v>445.27</v>
      </c>
      <c r="DR173" s="57">
        <v>465.05</v>
      </c>
      <c r="DS173" s="57">
        <v>350.24</v>
      </c>
      <c r="DT173" s="57"/>
      <c r="DU173" s="57">
        <v>373.77</v>
      </c>
      <c r="DV173" s="57">
        <v>407.55</v>
      </c>
      <c r="DW173" s="57">
        <v>281.52</v>
      </c>
      <c r="DX173" s="57">
        <v>375.96</v>
      </c>
      <c r="DY173" s="57">
        <v>561.59</v>
      </c>
      <c r="DZ173" s="57">
        <v>470.74</v>
      </c>
      <c r="EA173" s="57">
        <v>474.98</v>
      </c>
      <c r="EB173" s="57">
        <v>514.05999999999995</v>
      </c>
      <c r="EC173" s="57">
        <v>469.77</v>
      </c>
      <c r="ED173" s="57">
        <v>413.74</v>
      </c>
      <c r="EE173" s="57">
        <v>296.86</v>
      </c>
      <c r="EF173" s="57">
        <v>258.02</v>
      </c>
      <c r="EG173" s="57">
        <v>593.14</v>
      </c>
      <c r="EH173" s="57">
        <v>383.98</v>
      </c>
      <c r="EI173" s="57">
        <v>451.01</v>
      </c>
      <c r="EJ173" s="57">
        <v>201.42</v>
      </c>
      <c r="EK173" s="57">
        <v>320.20999999999998</v>
      </c>
      <c r="EL173" s="57">
        <v>1185.33</v>
      </c>
      <c r="EM173" s="57">
        <v>500.77</v>
      </c>
      <c r="EN173" s="57">
        <v>433.92</v>
      </c>
      <c r="EO173" s="57">
        <v>283.33</v>
      </c>
      <c r="EP173" s="57">
        <v>416.97</v>
      </c>
      <c r="EQ173" s="57">
        <v>552.37</v>
      </c>
      <c r="ER173" s="57">
        <v>609.29</v>
      </c>
      <c r="ES173" s="57">
        <v>462.73</v>
      </c>
      <c r="ET173" s="57">
        <v>512.44000000000005</v>
      </c>
      <c r="EU173" s="57">
        <v>442.07</v>
      </c>
      <c r="EV173" s="57">
        <v>445.55</v>
      </c>
      <c r="EW173" s="57">
        <v>412.26</v>
      </c>
      <c r="EX173" s="57">
        <v>390.44</v>
      </c>
      <c r="EY173" s="57">
        <v>236.6</v>
      </c>
      <c r="EZ173" s="57">
        <v>435.48</v>
      </c>
      <c r="FA173" s="57">
        <v>537.88</v>
      </c>
      <c r="FB173" s="57">
        <v>383.44</v>
      </c>
      <c r="FC173" s="57">
        <v>562.46</v>
      </c>
      <c r="FD173" s="57">
        <v>405.65</v>
      </c>
      <c r="FE173" s="57">
        <v>402.2</v>
      </c>
      <c r="FF173" s="57"/>
      <c r="FG173" s="57">
        <v>342.29</v>
      </c>
      <c r="FH173" s="57">
        <v>338.18</v>
      </c>
      <c r="FI173" s="57">
        <v>457.88</v>
      </c>
      <c r="FJ173" s="57">
        <v>655.83</v>
      </c>
      <c r="FK173" s="57">
        <v>729.06</v>
      </c>
      <c r="FL173" s="57">
        <v>385.47</v>
      </c>
      <c r="FM173" s="57">
        <v>385.08</v>
      </c>
      <c r="FN173" s="57">
        <v>314.31</v>
      </c>
      <c r="FO173" s="57">
        <v>698.96</v>
      </c>
      <c r="FP173" s="57">
        <v>639.9</v>
      </c>
      <c r="FQ173" s="57">
        <v>596.67999999999995</v>
      </c>
      <c r="FR173" s="57">
        <v>652.41999999999996</v>
      </c>
      <c r="FS173" s="57">
        <v>507.34</v>
      </c>
      <c r="FT173" s="57">
        <v>265.27999999999997</v>
      </c>
      <c r="FU173" s="57">
        <v>484.07</v>
      </c>
      <c r="FV173" s="57">
        <v>345.44</v>
      </c>
      <c r="FW173" s="57">
        <v>248.7</v>
      </c>
      <c r="FX173" s="57">
        <v>487.3</v>
      </c>
      <c r="FY173" s="57">
        <v>465.18</v>
      </c>
      <c r="FZ173" s="57">
        <v>419.83</v>
      </c>
      <c r="GA173" s="57">
        <v>315.85000000000002</v>
      </c>
      <c r="GB173" s="57">
        <v>348.3</v>
      </c>
      <c r="GC173" s="57">
        <v>325.74</v>
      </c>
      <c r="GD173" s="57">
        <v>294.39</v>
      </c>
      <c r="GE173" s="57">
        <v>951.48</v>
      </c>
      <c r="GF173" s="57">
        <v>480.77</v>
      </c>
      <c r="GG173" s="57">
        <v>799.69</v>
      </c>
      <c r="GH173" s="57">
        <v>587.45000000000005</v>
      </c>
      <c r="GI173" s="57">
        <v>257.93</v>
      </c>
      <c r="GJ173" s="57">
        <v>232.88</v>
      </c>
      <c r="GK173" s="57">
        <v>216.43</v>
      </c>
      <c r="GL173" s="57">
        <v>324.07</v>
      </c>
      <c r="GM173" s="57">
        <v>290.41000000000003</v>
      </c>
      <c r="GN173" s="57">
        <v>384.31</v>
      </c>
      <c r="GO173" s="57">
        <v>281.01</v>
      </c>
      <c r="GP173" s="57">
        <v>268.8</v>
      </c>
      <c r="GQ173" s="57">
        <v>269.06</v>
      </c>
      <c r="GR173" s="57">
        <v>458.36</v>
      </c>
      <c r="GS173" s="57">
        <v>477.48</v>
      </c>
      <c r="GT173" s="57">
        <v>436.82</v>
      </c>
      <c r="GU173" s="57">
        <v>383.24</v>
      </c>
      <c r="GV173" s="57">
        <v>389.04</v>
      </c>
      <c r="GW173" s="57">
        <v>406.35</v>
      </c>
      <c r="GX173" s="57">
        <v>433.55</v>
      </c>
      <c r="GY173" s="57">
        <v>519.91</v>
      </c>
      <c r="GZ173" s="57">
        <v>478.67</v>
      </c>
      <c r="HA173" s="57">
        <v>346.18</v>
      </c>
      <c r="HB173" s="57">
        <v>366.62</v>
      </c>
      <c r="HC173" s="57">
        <v>382.53</v>
      </c>
      <c r="HD173" s="57">
        <v>352.02</v>
      </c>
      <c r="HE173" s="57">
        <v>204.7</v>
      </c>
      <c r="HF173" s="57">
        <v>228.61</v>
      </c>
      <c r="HG173" s="57">
        <v>293.08</v>
      </c>
      <c r="HH173" s="57">
        <v>355.68</v>
      </c>
      <c r="HI173" s="57">
        <v>173.29</v>
      </c>
      <c r="HJ173" s="57">
        <v>311.73</v>
      </c>
      <c r="HK173" s="57">
        <v>531.14</v>
      </c>
      <c r="HL173" s="57">
        <v>343.84</v>
      </c>
      <c r="HM173" s="57">
        <v>435.32</v>
      </c>
      <c r="HN173" s="57">
        <v>446.29</v>
      </c>
      <c r="HO173" s="57">
        <v>334.98</v>
      </c>
      <c r="HP173" s="57">
        <v>483.35</v>
      </c>
      <c r="HQ173" s="57">
        <v>260.18</v>
      </c>
      <c r="HR173" s="57">
        <v>438.88</v>
      </c>
      <c r="HS173" s="57">
        <v>529.04</v>
      </c>
      <c r="HT173" s="57">
        <v>329.85</v>
      </c>
      <c r="HU173" s="57">
        <v>164.11</v>
      </c>
      <c r="HV173" s="57">
        <v>292.70999999999998</v>
      </c>
      <c r="HW173" s="57">
        <v>163.19</v>
      </c>
      <c r="HX173" s="57">
        <v>192.96</v>
      </c>
      <c r="HY173" s="57">
        <v>254.79</v>
      </c>
      <c r="HZ173" s="57">
        <v>321.5</v>
      </c>
      <c r="IA173" s="57">
        <v>145.55000000000001</v>
      </c>
      <c r="IB173" s="57">
        <v>379.76</v>
      </c>
      <c r="IC173" s="57">
        <v>284.5</v>
      </c>
      <c r="ID173" s="57">
        <v>322.85000000000002</v>
      </c>
      <c r="IE173" s="57">
        <v>261.51</v>
      </c>
      <c r="IF173" s="57">
        <v>330.6</v>
      </c>
      <c r="IG173" s="57">
        <v>486.28</v>
      </c>
      <c r="IH173" s="57">
        <v>346.47</v>
      </c>
      <c r="II173" s="57">
        <v>574.36</v>
      </c>
      <c r="IJ173" s="57">
        <v>610.82000000000005</v>
      </c>
      <c r="IK173" s="57">
        <v>399.07</v>
      </c>
      <c r="IL173" s="57">
        <v>249.67</v>
      </c>
      <c r="IM173" s="57">
        <v>429.17</v>
      </c>
      <c r="IN173" s="57">
        <v>385.9</v>
      </c>
      <c r="IO173" s="57">
        <v>349.36</v>
      </c>
      <c r="IP173" s="57">
        <v>212.06</v>
      </c>
      <c r="IQ173" s="57">
        <v>367.48</v>
      </c>
      <c r="IR173" s="57">
        <v>510.29</v>
      </c>
      <c r="IS173" s="57">
        <v>523.86</v>
      </c>
      <c r="IT173" s="57">
        <v>41.72</v>
      </c>
      <c r="IU173" s="57">
        <v>168.88</v>
      </c>
      <c r="IV173" s="57">
        <v>52.62</v>
      </c>
      <c r="IW173" s="57">
        <v>136.94</v>
      </c>
      <c r="IX173" s="57">
        <v>194.95</v>
      </c>
      <c r="IY173" s="57">
        <v>445.27</v>
      </c>
      <c r="IZ173" s="57">
        <v>465.05</v>
      </c>
      <c r="JA173" s="57">
        <v>350.24</v>
      </c>
      <c r="JB173" s="57"/>
      <c r="JC173" s="57">
        <v>373.77</v>
      </c>
      <c r="JD173" s="57">
        <v>407.55</v>
      </c>
      <c r="JE173" s="57">
        <v>399.65</v>
      </c>
      <c r="JF173" s="57">
        <v>262.79000000000002</v>
      </c>
      <c r="JG173" s="57">
        <v>375.96</v>
      </c>
      <c r="JH173" s="57">
        <v>561.59</v>
      </c>
      <c r="JI173" s="57">
        <v>470.74</v>
      </c>
      <c r="JJ173" s="57">
        <v>474.98</v>
      </c>
      <c r="JK173" s="57">
        <v>514.05999999999995</v>
      </c>
      <c r="JL173" s="57">
        <v>469.77</v>
      </c>
      <c r="JM173" s="57">
        <v>413.74</v>
      </c>
      <c r="JN173" s="57">
        <v>296.86</v>
      </c>
      <c r="JO173" s="57">
        <v>258.02</v>
      </c>
      <c r="JP173" s="57">
        <v>621.29</v>
      </c>
      <c r="JQ173" s="57">
        <v>526.38</v>
      </c>
      <c r="JR173" s="57">
        <v>347.97</v>
      </c>
      <c r="JS173" s="57">
        <v>458.43</v>
      </c>
      <c r="JT173" s="57">
        <v>510.34</v>
      </c>
      <c r="JU173" s="57">
        <v>394.7</v>
      </c>
      <c r="JV173" s="57">
        <v>201.42</v>
      </c>
      <c r="JW173" s="57">
        <v>320.20999999999998</v>
      </c>
      <c r="JX173" s="57">
        <v>1185.33</v>
      </c>
      <c r="JY173" s="57">
        <v>524.32000000000005</v>
      </c>
      <c r="JZ173" s="57">
        <v>455.64</v>
      </c>
      <c r="KA173" s="57">
        <v>433.92</v>
      </c>
      <c r="KB173" s="57">
        <v>283.33</v>
      </c>
      <c r="KC173" s="57">
        <v>416.97</v>
      </c>
      <c r="KD173" s="57">
        <v>552.37</v>
      </c>
      <c r="KE173" s="57">
        <v>609.29</v>
      </c>
      <c r="KF173" s="57">
        <v>462.73</v>
      </c>
    </row>
    <row r="174" spans="1:292">
      <c r="A174" s="41">
        <v>2019</v>
      </c>
      <c r="B174" s="54" t="s">
        <v>977</v>
      </c>
      <c r="C174" s="50" t="s">
        <v>978</v>
      </c>
      <c r="D174" s="57">
        <v>398.07</v>
      </c>
      <c r="E174" s="57">
        <v>483.87</v>
      </c>
      <c r="F174" s="57">
        <v>609.26</v>
      </c>
      <c r="G174" s="57">
        <v>233.7</v>
      </c>
      <c r="H174" s="57">
        <v>429.81</v>
      </c>
      <c r="I174" s="57">
        <v>341.98</v>
      </c>
      <c r="J174" s="57">
        <v>236.21</v>
      </c>
      <c r="K174" s="57">
        <v>379.59</v>
      </c>
      <c r="L174" s="57">
        <v>148.84</v>
      </c>
      <c r="M174" s="57">
        <v>278.22000000000003</v>
      </c>
      <c r="N174" s="57">
        <v>357.71</v>
      </c>
      <c r="O174" s="57">
        <v>584.28</v>
      </c>
      <c r="P174" s="57">
        <v>525.48</v>
      </c>
      <c r="Q174" s="57">
        <v>492.36</v>
      </c>
      <c r="R174" s="57">
        <v>375.64</v>
      </c>
      <c r="S174" s="57">
        <v>919.72</v>
      </c>
      <c r="T174" s="57">
        <v>588.44000000000005</v>
      </c>
      <c r="U174" s="57">
        <v>224.46</v>
      </c>
      <c r="V174" s="57">
        <v>261.54000000000002</v>
      </c>
      <c r="W174" s="57">
        <v>483.82</v>
      </c>
      <c r="X174" s="57">
        <v>438.43</v>
      </c>
      <c r="Y174" s="57">
        <v>365.41</v>
      </c>
      <c r="Z174" s="57">
        <v>414.79</v>
      </c>
      <c r="AA174" s="57">
        <v>368.01</v>
      </c>
      <c r="AB174" s="57">
        <v>351.56</v>
      </c>
      <c r="AC174" s="57">
        <v>277.64</v>
      </c>
      <c r="AD174" s="57">
        <v>403.61</v>
      </c>
      <c r="AE174" s="57">
        <v>403.5</v>
      </c>
      <c r="AF174" s="57">
        <v>334.74</v>
      </c>
      <c r="AG174" s="57">
        <v>169.03</v>
      </c>
      <c r="AH174" s="57">
        <v>273.06</v>
      </c>
      <c r="AI174" s="57">
        <v>405.57</v>
      </c>
      <c r="AJ174" s="57">
        <v>311.52</v>
      </c>
      <c r="AK174" s="57">
        <v>398.01</v>
      </c>
      <c r="AL174" s="57">
        <v>403.35</v>
      </c>
      <c r="AM174" s="57">
        <v>561.28</v>
      </c>
      <c r="AN174" s="57">
        <v>41.41</v>
      </c>
      <c r="AO174" s="57">
        <v>170.86</v>
      </c>
      <c r="AP174" s="57">
        <v>89.53</v>
      </c>
      <c r="AQ174" s="57">
        <v>454.62</v>
      </c>
      <c r="AR174" s="57">
        <v>440.21</v>
      </c>
      <c r="AS174" s="57">
        <v>347.4</v>
      </c>
      <c r="AT174" s="57">
        <v>510.18</v>
      </c>
      <c r="AU174" s="57">
        <v>606.51</v>
      </c>
      <c r="AV174" s="57">
        <v>469.59</v>
      </c>
      <c r="AW174" s="57">
        <v>412.62</v>
      </c>
      <c r="AX174" s="57">
        <v>296.86</v>
      </c>
      <c r="AY174" s="57">
        <v>262.55</v>
      </c>
      <c r="AZ174" s="57">
        <v>599.32000000000005</v>
      </c>
      <c r="BA174" s="57">
        <v>388.91</v>
      </c>
      <c r="BB174" s="57">
        <v>351.95</v>
      </c>
      <c r="BC174" s="57">
        <v>1006.04</v>
      </c>
      <c r="BD174" s="57">
        <v>436.18</v>
      </c>
      <c r="BE174" s="57">
        <v>538.78</v>
      </c>
      <c r="BF174" s="57">
        <v>658.86</v>
      </c>
      <c r="BG174" s="57">
        <v>561.95000000000005</v>
      </c>
      <c r="BH174" s="57">
        <v>449.87</v>
      </c>
      <c r="BI174" s="57">
        <v>451.46</v>
      </c>
      <c r="BJ174" s="57">
        <v>426.22</v>
      </c>
      <c r="BK174" s="57">
        <v>442.06</v>
      </c>
      <c r="BL174" s="57">
        <v>425.63</v>
      </c>
      <c r="BM174" s="57">
        <v>393.79</v>
      </c>
      <c r="BN174" s="57">
        <v>817.34</v>
      </c>
      <c r="BO174" s="57">
        <v>331.3</v>
      </c>
      <c r="BP174" s="57">
        <v>491.78</v>
      </c>
      <c r="BQ174" s="57">
        <v>427.19</v>
      </c>
      <c r="BR174" s="57">
        <v>331.24</v>
      </c>
      <c r="BS174" s="57">
        <v>1039.19</v>
      </c>
      <c r="BT174" s="57">
        <v>497.23</v>
      </c>
      <c r="BU174" s="57">
        <v>848.41</v>
      </c>
      <c r="BV174" s="57">
        <v>588.44000000000005</v>
      </c>
      <c r="BW174" s="57">
        <v>217.85</v>
      </c>
      <c r="BX174" s="57">
        <v>287.24</v>
      </c>
      <c r="BY174" s="57">
        <v>388.09</v>
      </c>
      <c r="BZ174" s="57">
        <v>260.52</v>
      </c>
      <c r="CA174" s="57">
        <v>468.62</v>
      </c>
      <c r="CB174" s="58">
        <v>483.82</v>
      </c>
      <c r="CC174" s="57">
        <v>438.43</v>
      </c>
      <c r="CD174" s="57">
        <v>364.01</v>
      </c>
      <c r="CE174" s="57">
        <v>350.15</v>
      </c>
      <c r="CF174" s="57">
        <v>407.49</v>
      </c>
      <c r="CG174" s="57">
        <v>519.27</v>
      </c>
      <c r="CH174" s="57">
        <v>372.77</v>
      </c>
      <c r="CI174" s="57">
        <v>380.12</v>
      </c>
      <c r="CJ174" s="57">
        <v>351.56</v>
      </c>
      <c r="CK174" s="57">
        <v>252.23</v>
      </c>
      <c r="CL174" s="57">
        <v>312.35000000000002</v>
      </c>
      <c r="CM174" s="57">
        <v>556.07000000000005</v>
      </c>
      <c r="CN174" s="57">
        <v>403.61</v>
      </c>
      <c r="CO174" s="57">
        <v>403.5</v>
      </c>
      <c r="CP174" s="57">
        <v>284.41000000000003</v>
      </c>
      <c r="CQ174" s="57">
        <v>534.76</v>
      </c>
      <c r="CR174" s="57">
        <v>164.44</v>
      </c>
      <c r="CS174" s="57">
        <v>291.88</v>
      </c>
      <c r="CT174" s="57">
        <v>180.39</v>
      </c>
      <c r="CU174" s="57">
        <v>256.8</v>
      </c>
      <c r="CV174" s="57">
        <v>340.65</v>
      </c>
      <c r="CW174" s="57">
        <v>170.23</v>
      </c>
      <c r="CX174" s="57">
        <v>405.57</v>
      </c>
      <c r="CY174" s="57">
        <v>312.51</v>
      </c>
      <c r="CZ174" s="57">
        <v>258.27</v>
      </c>
      <c r="DA174" s="57">
        <v>336.35</v>
      </c>
      <c r="DB174" s="57">
        <v>489.17</v>
      </c>
      <c r="DC174" s="57">
        <v>347.05</v>
      </c>
      <c r="DD174" s="57">
        <v>593.22</v>
      </c>
      <c r="DE174" s="57">
        <v>640.98</v>
      </c>
      <c r="DF174" s="57">
        <v>325.08</v>
      </c>
      <c r="DG174" s="57">
        <v>412.26</v>
      </c>
      <c r="DH174" s="57">
        <v>222.25</v>
      </c>
      <c r="DI174" s="57">
        <v>367.48</v>
      </c>
      <c r="DJ174" s="57">
        <v>512.23</v>
      </c>
      <c r="DK174" s="57">
        <v>561.28</v>
      </c>
      <c r="DL174" s="57">
        <v>41.41</v>
      </c>
      <c r="DM174" s="57">
        <v>170.86</v>
      </c>
      <c r="DN174" s="57">
        <v>52.42</v>
      </c>
      <c r="DO174" s="57">
        <v>140.19999999999999</v>
      </c>
      <c r="DP174" s="57">
        <v>197.88</v>
      </c>
      <c r="DQ174" s="57">
        <v>454.62</v>
      </c>
      <c r="DR174" s="57">
        <v>478.41</v>
      </c>
      <c r="DS174" s="57">
        <v>341.42</v>
      </c>
      <c r="DT174" s="57">
        <v>97.4</v>
      </c>
      <c r="DU174" s="57">
        <v>407.64</v>
      </c>
      <c r="DV174" s="57">
        <v>412.08</v>
      </c>
      <c r="DW174" s="57">
        <v>287.88</v>
      </c>
      <c r="DX174" s="57">
        <v>375.96</v>
      </c>
      <c r="DY174" s="57">
        <v>561.28</v>
      </c>
      <c r="DZ174" s="57">
        <v>485.94</v>
      </c>
      <c r="EA174" s="57">
        <v>478.4</v>
      </c>
      <c r="EB174" s="57">
        <v>606.51</v>
      </c>
      <c r="EC174" s="57">
        <v>469.59</v>
      </c>
      <c r="ED174" s="57">
        <v>412.62</v>
      </c>
      <c r="EE174" s="57">
        <v>296.86</v>
      </c>
      <c r="EF174" s="57">
        <v>262.55</v>
      </c>
      <c r="EG174" s="57">
        <v>599.32000000000005</v>
      </c>
      <c r="EH174" s="57">
        <v>388.91</v>
      </c>
      <c r="EI174" s="57">
        <v>458.85</v>
      </c>
      <c r="EJ174" s="57">
        <v>202.52</v>
      </c>
      <c r="EK174" s="57">
        <v>323.64</v>
      </c>
      <c r="EL174" s="57">
        <v>1228.81</v>
      </c>
      <c r="EM174" s="57">
        <v>490.56</v>
      </c>
      <c r="EN174" s="57">
        <v>436.18</v>
      </c>
      <c r="EO174" s="57">
        <v>286.91000000000003</v>
      </c>
      <c r="EP174" s="57">
        <v>433.33</v>
      </c>
      <c r="EQ174" s="57">
        <v>572.88</v>
      </c>
      <c r="ER174" s="57">
        <v>658.86</v>
      </c>
      <c r="ES174" s="57">
        <v>561.95000000000005</v>
      </c>
      <c r="ET174" s="57">
        <v>514.91999999999996</v>
      </c>
      <c r="EU174" s="57">
        <v>446.68</v>
      </c>
      <c r="EV174" s="57">
        <v>450.28</v>
      </c>
      <c r="EW174" s="57">
        <v>416.94</v>
      </c>
      <c r="EX174" s="57">
        <v>408.13</v>
      </c>
      <c r="EY174" s="57">
        <v>242.2</v>
      </c>
      <c r="EZ174" s="57">
        <v>433.7</v>
      </c>
      <c r="FA174" s="57">
        <v>535.69000000000005</v>
      </c>
      <c r="FB174" s="57">
        <v>387.39</v>
      </c>
      <c r="FC174" s="57">
        <v>557.62</v>
      </c>
      <c r="FD174" s="57">
        <v>408.45</v>
      </c>
      <c r="FE174" s="57">
        <v>427.22</v>
      </c>
      <c r="FF174" s="57">
        <v>101.63</v>
      </c>
      <c r="FG174" s="57">
        <v>346.65</v>
      </c>
      <c r="FH174" s="57">
        <v>339.49</v>
      </c>
      <c r="FI174" s="57">
        <v>459.68</v>
      </c>
      <c r="FJ174" s="57">
        <v>695.56</v>
      </c>
      <c r="FK174" s="57">
        <v>724.33</v>
      </c>
      <c r="FL174" s="57">
        <v>384.44</v>
      </c>
      <c r="FM174" s="57">
        <v>385.43</v>
      </c>
      <c r="FN174" s="57">
        <v>336.14</v>
      </c>
      <c r="FO174" s="57">
        <v>697.96</v>
      </c>
      <c r="FP174" s="57">
        <v>912.32</v>
      </c>
      <c r="FQ174" s="57">
        <v>703.94</v>
      </c>
      <c r="FR174" s="57">
        <v>655.85</v>
      </c>
      <c r="FS174" s="57">
        <v>521.53</v>
      </c>
      <c r="FT174" s="57">
        <v>264.58</v>
      </c>
      <c r="FU174" s="57">
        <v>487.26</v>
      </c>
      <c r="FV174" s="57">
        <v>353.72</v>
      </c>
      <c r="FW174" s="57">
        <v>253.41</v>
      </c>
      <c r="FX174" s="57">
        <v>491.78</v>
      </c>
      <c r="FY174" s="57">
        <v>463.73</v>
      </c>
      <c r="FZ174" s="57">
        <v>418.38</v>
      </c>
      <c r="GA174" s="57">
        <v>322.83999999999997</v>
      </c>
      <c r="GB174" s="57">
        <v>350.83</v>
      </c>
      <c r="GC174" s="57">
        <v>326.86</v>
      </c>
      <c r="GD174" s="57">
        <v>295.32</v>
      </c>
      <c r="GE174" s="57">
        <v>1039.19</v>
      </c>
      <c r="GF174" s="57">
        <v>497.23</v>
      </c>
      <c r="GG174" s="57">
        <v>848.41</v>
      </c>
      <c r="GH174" s="57">
        <v>587.45000000000005</v>
      </c>
      <c r="GI174" s="57">
        <v>238.91</v>
      </c>
      <c r="GJ174" s="57">
        <v>204.13</v>
      </c>
      <c r="GK174" s="57">
        <v>199.61</v>
      </c>
      <c r="GL174" s="57">
        <v>308.04000000000002</v>
      </c>
      <c r="GM174" s="57">
        <v>287.24</v>
      </c>
      <c r="GN174" s="57">
        <v>388.09</v>
      </c>
      <c r="GO174" s="57">
        <v>268.56</v>
      </c>
      <c r="GP174" s="57">
        <v>257.38</v>
      </c>
      <c r="GQ174" s="57">
        <v>248.77</v>
      </c>
      <c r="GR174" s="57">
        <v>468.62</v>
      </c>
      <c r="GS174" s="57">
        <v>483.82</v>
      </c>
      <c r="GT174" s="57">
        <v>438.43</v>
      </c>
      <c r="GU174" s="57">
        <v>364.01</v>
      </c>
      <c r="GV174" s="57">
        <v>350.15</v>
      </c>
      <c r="GW174" s="57">
        <v>374.08</v>
      </c>
      <c r="GX174" s="57">
        <v>435.46</v>
      </c>
      <c r="GY174" s="57">
        <v>519.27</v>
      </c>
      <c r="GZ174" s="57">
        <v>477.39</v>
      </c>
      <c r="HA174" s="57">
        <v>348.32</v>
      </c>
      <c r="HB174" s="57">
        <v>368.29</v>
      </c>
      <c r="HC174" s="57">
        <v>380.12</v>
      </c>
      <c r="HD174" s="57">
        <v>351.56</v>
      </c>
      <c r="HE174" s="57">
        <v>205.16</v>
      </c>
      <c r="HF174" s="57">
        <v>231.48</v>
      </c>
      <c r="HG174" s="57">
        <v>293.08999999999997</v>
      </c>
      <c r="HH174" s="57">
        <v>359.4</v>
      </c>
      <c r="HI174" s="57">
        <v>174.04</v>
      </c>
      <c r="HJ174" s="57">
        <v>312.35000000000002</v>
      </c>
      <c r="HK174" s="57">
        <v>556.07000000000005</v>
      </c>
      <c r="HL174" s="57">
        <v>350.23</v>
      </c>
      <c r="HM174" s="57">
        <v>437.89</v>
      </c>
      <c r="HN174" s="57">
        <v>445.4</v>
      </c>
      <c r="HO174" s="57">
        <v>328.92</v>
      </c>
      <c r="HP174" s="57">
        <v>486.18</v>
      </c>
      <c r="HQ174" s="57">
        <v>262.92</v>
      </c>
      <c r="HR174" s="57">
        <v>438.84</v>
      </c>
      <c r="HS174" s="57">
        <v>542.19000000000005</v>
      </c>
      <c r="HT174" s="57">
        <v>338.97</v>
      </c>
      <c r="HU174" s="57">
        <v>164.44</v>
      </c>
      <c r="HV174" s="57">
        <v>291.88</v>
      </c>
      <c r="HW174" s="57">
        <v>165.38</v>
      </c>
      <c r="HX174" s="57">
        <v>197.85</v>
      </c>
      <c r="HY174" s="57">
        <v>256.8</v>
      </c>
      <c r="HZ174" s="57">
        <v>340.65</v>
      </c>
      <c r="IA174" s="57">
        <v>155.5</v>
      </c>
      <c r="IB174" s="57">
        <v>405.57</v>
      </c>
      <c r="IC174" s="57">
        <v>281.39</v>
      </c>
      <c r="ID174" s="57">
        <v>322.27</v>
      </c>
      <c r="IE174" s="57">
        <v>258.27</v>
      </c>
      <c r="IF174" s="57">
        <v>336.35</v>
      </c>
      <c r="IG174" s="57">
        <v>489.17</v>
      </c>
      <c r="IH174" s="57">
        <v>347.05</v>
      </c>
      <c r="II174" s="57">
        <v>593.22</v>
      </c>
      <c r="IJ174" s="57">
        <v>640.98</v>
      </c>
      <c r="IK174" s="57">
        <v>399.07</v>
      </c>
      <c r="IL174" s="57">
        <v>249.67</v>
      </c>
      <c r="IM174" s="57">
        <v>429.53</v>
      </c>
      <c r="IN174" s="57">
        <v>387.26</v>
      </c>
      <c r="IO174" s="57">
        <v>353.47</v>
      </c>
      <c r="IP174" s="57">
        <v>222.25</v>
      </c>
      <c r="IQ174" s="57">
        <v>367.48</v>
      </c>
      <c r="IR174" s="57">
        <v>512.23</v>
      </c>
      <c r="IS174" s="57">
        <v>561.28</v>
      </c>
      <c r="IT174" s="57">
        <v>41.41</v>
      </c>
      <c r="IU174" s="57">
        <v>170.86</v>
      </c>
      <c r="IV174" s="57">
        <v>52.43</v>
      </c>
      <c r="IW174" s="57">
        <v>140.19999999999999</v>
      </c>
      <c r="IX174" s="57">
        <v>197.88</v>
      </c>
      <c r="IY174" s="57">
        <v>454.62</v>
      </c>
      <c r="IZ174" s="57">
        <v>478.41</v>
      </c>
      <c r="JA174" s="57">
        <v>341.42</v>
      </c>
      <c r="JB174" s="57">
        <v>97.4</v>
      </c>
      <c r="JC174" s="57">
        <v>407.64</v>
      </c>
      <c r="JD174" s="57">
        <v>412.08</v>
      </c>
      <c r="JE174" s="57">
        <v>404.85</v>
      </c>
      <c r="JF174" s="57">
        <v>269.12</v>
      </c>
      <c r="JG174" s="57">
        <v>375.96</v>
      </c>
      <c r="JH174" s="57">
        <v>561.28</v>
      </c>
      <c r="JI174" s="57">
        <v>485.94</v>
      </c>
      <c r="JJ174" s="57">
        <v>478.4</v>
      </c>
      <c r="JK174" s="57">
        <v>606.51</v>
      </c>
      <c r="JL174" s="57">
        <v>469.59</v>
      </c>
      <c r="JM174" s="57">
        <v>412.62</v>
      </c>
      <c r="JN174" s="57">
        <v>296.86</v>
      </c>
      <c r="JO174" s="57">
        <v>262.55</v>
      </c>
      <c r="JP174" s="57">
        <v>626.79999999999995</v>
      </c>
      <c r="JQ174" s="57">
        <v>535.6</v>
      </c>
      <c r="JR174" s="57">
        <v>354.87</v>
      </c>
      <c r="JS174" s="57">
        <v>458.27</v>
      </c>
      <c r="JT174" s="57">
        <v>519.01</v>
      </c>
      <c r="JU174" s="57">
        <v>401.69</v>
      </c>
      <c r="JV174" s="57">
        <v>202.52</v>
      </c>
      <c r="JW174" s="57">
        <v>323.64</v>
      </c>
      <c r="JX174" s="57">
        <v>1228.81</v>
      </c>
      <c r="JY174" s="57">
        <v>498.16</v>
      </c>
      <c r="JZ174" s="57">
        <v>465.99</v>
      </c>
      <c r="KA174" s="57">
        <v>436.18</v>
      </c>
      <c r="KB174" s="57">
        <v>286.91000000000003</v>
      </c>
      <c r="KC174" s="57">
        <v>433.33</v>
      </c>
      <c r="KD174" s="57">
        <v>572.88</v>
      </c>
      <c r="KE174" s="57">
        <v>658.86</v>
      </c>
      <c r="KF174" s="57">
        <v>561.95000000000005</v>
      </c>
    </row>
    <row r="175" spans="1:292">
      <c r="A175" s="41">
        <v>2019</v>
      </c>
      <c r="B175" s="54" t="s">
        <v>979</v>
      </c>
      <c r="C175" s="50" t="s">
        <v>980</v>
      </c>
      <c r="D175" s="57">
        <v>398.71</v>
      </c>
      <c r="E175" s="57">
        <v>488.24</v>
      </c>
      <c r="F175" s="57">
        <v>609.94000000000005</v>
      </c>
      <c r="G175" s="57">
        <v>222.45</v>
      </c>
      <c r="H175" s="57">
        <v>429.84</v>
      </c>
      <c r="I175" s="57">
        <v>342.2</v>
      </c>
      <c r="J175" s="57">
        <v>242.06</v>
      </c>
      <c r="K175" s="57">
        <v>382.29</v>
      </c>
      <c r="L175" s="57">
        <v>148.34</v>
      </c>
      <c r="M175" s="57">
        <v>277.2</v>
      </c>
      <c r="N175" s="57">
        <v>363.56</v>
      </c>
      <c r="O175" s="57">
        <v>589.39</v>
      </c>
      <c r="P175" s="57">
        <v>523.44000000000005</v>
      </c>
      <c r="Q175" s="57">
        <v>497.04</v>
      </c>
      <c r="R175" s="57">
        <v>376.45</v>
      </c>
      <c r="S175" s="57">
        <v>931.2</v>
      </c>
      <c r="T175" s="57">
        <v>588.44000000000005</v>
      </c>
      <c r="U175" s="57">
        <v>211.52</v>
      </c>
      <c r="V175" s="57">
        <v>257.02999999999997</v>
      </c>
      <c r="W175" s="57">
        <v>486.57</v>
      </c>
      <c r="X175" s="57">
        <v>438.95</v>
      </c>
      <c r="Y175" s="57">
        <v>358.65</v>
      </c>
      <c r="Z175" s="57">
        <v>415.13</v>
      </c>
      <c r="AA175" s="57">
        <v>368.93</v>
      </c>
      <c r="AB175" s="57">
        <v>351.54</v>
      </c>
      <c r="AC175" s="57">
        <v>277.79000000000002</v>
      </c>
      <c r="AD175" s="57">
        <v>404.66</v>
      </c>
      <c r="AE175" s="57">
        <v>409.34</v>
      </c>
      <c r="AF175" s="57">
        <v>333.38</v>
      </c>
      <c r="AG175" s="57">
        <v>178.98</v>
      </c>
      <c r="AH175" s="57">
        <v>275.93</v>
      </c>
      <c r="AI175" s="57">
        <v>408.21</v>
      </c>
      <c r="AJ175" s="57">
        <v>311.41000000000003</v>
      </c>
      <c r="AK175" s="57">
        <v>406.83</v>
      </c>
      <c r="AL175" s="57">
        <v>401.3</v>
      </c>
      <c r="AM175" s="57">
        <v>523.86</v>
      </c>
      <c r="AN175" s="57">
        <v>40.46</v>
      </c>
      <c r="AO175" s="57">
        <v>171.25</v>
      </c>
      <c r="AP175" s="57">
        <v>88.52</v>
      </c>
      <c r="AQ175" s="57">
        <v>458.92</v>
      </c>
      <c r="AR175" s="57">
        <v>448.4</v>
      </c>
      <c r="AS175" s="57">
        <v>348.46</v>
      </c>
      <c r="AT175" s="57">
        <v>514.73</v>
      </c>
      <c r="AU175" s="57">
        <v>582</v>
      </c>
      <c r="AV175" s="57">
        <v>484.24</v>
      </c>
      <c r="AW175" s="57">
        <v>422.06</v>
      </c>
      <c r="AX175" s="57">
        <v>296.86</v>
      </c>
      <c r="AY175" s="57">
        <v>263.04000000000002</v>
      </c>
      <c r="AZ175" s="57">
        <v>605.20000000000005</v>
      </c>
      <c r="BA175" s="57">
        <v>389.65</v>
      </c>
      <c r="BB175" s="57">
        <v>349.39</v>
      </c>
      <c r="BC175" s="57">
        <v>1002.49</v>
      </c>
      <c r="BD175" s="57">
        <v>440.28</v>
      </c>
      <c r="BE175" s="57">
        <v>543.82000000000005</v>
      </c>
      <c r="BF175" s="57">
        <v>673.69</v>
      </c>
      <c r="BG175" s="57">
        <v>562.13</v>
      </c>
      <c r="BH175" s="57">
        <v>455.25</v>
      </c>
      <c r="BI175" s="57">
        <v>453.86</v>
      </c>
      <c r="BJ175" s="57">
        <v>436.65</v>
      </c>
      <c r="BK175" s="57">
        <v>437.57</v>
      </c>
      <c r="BL175" s="57">
        <v>424.3</v>
      </c>
      <c r="BM175" s="57">
        <v>412.79</v>
      </c>
      <c r="BN175" s="57">
        <v>824.34</v>
      </c>
      <c r="BO175" s="57">
        <v>334.21</v>
      </c>
      <c r="BP175" s="57">
        <v>494.01</v>
      </c>
      <c r="BQ175" s="57">
        <v>425.5</v>
      </c>
      <c r="BR175" s="57">
        <v>333.3</v>
      </c>
      <c r="BS175" s="57">
        <v>1038.0899999999999</v>
      </c>
      <c r="BT175" s="57">
        <v>526.01</v>
      </c>
      <c r="BU175" s="57">
        <v>864.37</v>
      </c>
      <c r="BV175" s="57">
        <v>588.44000000000005</v>
      </c>
      <c r="BW175" s="57">
        <v>204.3</v>
      </c>
      <c r="BX175" s="57">
        <v>280.76</v>
      </c>
      <c r="BY175" s="57">
        <v>391.45</v>
      </c>
      <c r="BZ175" s="57">
        <v>256</v>
      </c>
      <c r="CA175" s="57">
        <v>475.13</v>
      </c>
      <c r="CB175" s="58">
        <v>486.57</v>
      </c>
      <c r="CC175" s="57">
        <v>438.95</v>
      </c>
      <c r="CD175" s="57">
        <v>357.27</v>
      </c>
      <c r="CE175" s="57">
        <v>350.15</v>
      </c>
      <c r="CF175" s="57">
        <v>409.89</v>
      </c>
      <c r="CG175" s="57">
        <v>515.07000000000005</v>
      </c>
      <c r="CH175" s="57">
        <v>373.72</v>
      </c>
      <c r="CI175" s="57">
        <v>380.82</v>
      </c>
      <c r="CJ175" s="57">
        <v>351.54</v>
      </c>
      <c r="CK175" s="57">
        <v>252.5</v>
      </c>
      <c r="CL175" s="57">
        <v>308.04000000000002</v>
      </c>
      <c r="CM175" s="57">
        <v>563.38</v>
      </c>
      <c r="CN175" s="57">
        <v>404.66</v>
      </c>
      <c r="CO175" s="57">
        <v>409.34</v>
      </c>
      <c r="CP175" s="57">
        <v>281.52999999999997</v>
      </c>
      <c r="CQ175" s="57">
        <v>539.84</v>
      </c>
      <c r="CR175" s="57">
        <v>178.68</v>
      </c>
      <c r="CS175" s="57">
        <v>294.58999999999997</v>
      </c>
      <c r="CT175" s="57">
        <v>182.01</v>
      </c>
      <c r="CU175" s="57">
        <v>257.41000000000003</v>
      </c>
      <c r="CV175" s="57">
        <v>346.71</v>
      </c>
      <c r="CW175" s="57">
        <v>171.88</v>
      </c>
      <c r="CX175" s="57">
        <v>408.21</v>
      </c>
      <c r="CY175" s="57">
        <v>312.35000000000002</v>
      </c>
      <c r="CZ175" s="57">
        <v>257.82</v>
      </c>
      <c r="DA175" s="57">
        <v>346.94</v>
      </c>
      <c r="DB175" s="57">
        <v>487.92</v>
      </c>
      <c r="DC175" s="57">
        <v>356.5</v>
      </c>
      <c r="DD175" s="57">
        <v>604.1</v>
      </c>
      <c r="DE175" s="57">
        <v>638.20000000000005</v>
      </c>
      <c r="DF175" s="57">
        <v>325.08</v>
      </c>
      <c r="DG175" s="57">
        <v>411.08</v>
      </c>
      <c r="DH175" s="57">
        <v>216.21</v>
      </c>
      <c r="DI175" s="57">
        <v>367.48</v>
      </c>
      <c r="DJ175" s="57">
        <v>519.62</v>
      </c>
      <c r="DK175" s="57">
        <v>523.86</v>
      </c>
      <c r="DL175" s="57">
        <v>40.46</v>
      </c>
      <c r="DM175" s="57">
        <v>171.25</v>
      </c>
      <c r="DN175" s="57">
        <v>51.77</v>
      </c>
      <c r="DO175" s="57">
        <v>138.9</v>
      </c>
      <c r="DP175" s="57">
        <v>200.59</v>
      </c>
      <c r="DQ175" s="57">
        <v>458.92</v>
      </c>
      <c r="DR175" s="57">
        <v>493.39</v>
      </c>
      <c r="DS175" s="57">
        <v>343.47</v>
      </c>
      <c r="DT175" s="57">
        <v>96.63</v>
      </c>
      <c r="DU175" s="57">
        <v>417.54</v>
      </c>
      <c r="DV175" s="57">
        <v>412.63</v>
      </c>
      <c r="DW175" s="57">
        <v>289.63</v>
      </c>
      <c r="DX175" s="57">
        <v>375.96</v>
      </c>
      <c r="DY175" s="57">
        <v>565.03</v>
      </c>
      <c r="DZ175" s="57">
        <v>495.08</v>
      </c>
      <c r="EA175" s="57">
        <v>482.89</v>
      </c>
      <c r="EB175" s="57">
        <v>582</v>
      </c>
      <c r="EC175" s="57">
        <v>484.24</v>
      </c>
      <c r="ED175" s="57">
        <v>422.06</v>
      </c>
      <c r="EE175" s="57">
        <v>296.86</v>
      </c>
      <c r="EF175" s="57">
        <v>263.04000000000002</v>
      </c>
      <c r="EG175" s="57">
        <v>605.20000000000005</v>
      </c>
      <c r="EH175" s="57">
        <v>389.65</v>
      </c>
      <c r="EI175" s="57">
        <v>463.64</v>
      </c>
      <c r="EJ175" s="57">
        <v>202.11</v>
      </c>
      <c r="EK175" s="57">
        <v>319.06</v>
      </c>
      <c r="EL175" s="57">
        <v>1227.76</v>
      </c>
      <c r="EM175" s="57">
        <v>483.81</v>
      </c>
      <c r="EN175" s="57">
        <v>440.28</v>
      </c>
      <c r="EO175" s="57">
        <v>288.92</v>
      </c>
      <c r="EP175" s="57">
        <v>438.24</v>
      </c>
      <c r="EQ175" s="57">
        <v>578.11</v>
      </c>
      <c r="ER175" s="57">
        <v>673.69</v>
      </c>
      <c r="ES175" s="57">
        <v>562.13</v>
      </c>
      <c r="ET175" s="57">
        <v>535.32000000000005</v>
      </c>
      <c r="EU175" s="57">
        <v>447.64</v>
      </c>
      <c r="EV175" s="57">
        <v>455.42</v>
      </c>
      <c r="EW175" s="57">
        <v>421.95</v>
      </c>
      <c r="EX175" s="57">
        <v>408.5</v>
      </c>
      <c r="EY175" s="57">
        <v>246.29</v>
      </c>
      <c r="EZ175" s="57">
        <v>432.72</v>
      </c>
      <c r="FA175" s="57">
        <v>544.89</v>
      </c>
      <c r="FB175" s="57">
        <v>391.74</v>
      </c>
      <c r="FC175" s="57">
        <v>562.02</v>
      </c>
      <c r="FD175" s="57">
        <v>407.62</v>
      </c>
      <c r="FE175" s="57">
        <v>438.09</v>
      </c>
      <c r="FF175" s="57">
        <v>102.27</v>
      </c>
      <c r="FG175" s="57">
        <v>345.65</v>
      </c>
      <c r="FH175" s="57">
        <v>338.52</v>
      </c>
      <c r="FI175" s="57">
        <v>453.6</v>
      </c>
      <c r="FJ175" s="57">
        <v>683.9</v>
      </c>
      <c r="FK175" s="57">
        <v>725.33</v>
      </c>
      <c r="FL175" s="57">
        <v>381.24</v>
      </c>
      <c r="FM175" s="57">
        <v>383.75</v>
      </c>
      <c r="FN175" s="57">
        <v>358.62</v>
      </c>
      <c r="FO175" s="57">
        <v>702.31</v>
      </c>
      <c r="FP175" s="57">
        <v>909.58</v>
      </c>
      <c r="FQ175" s="57">
        <v>750.09</v>
      </c>
      <c r="FR175" s="57">
        <v>661.7</v>
      </c>
      <c r="FS175" s="57">
        <v>532.03</v>
      </c>
      <c r="FT175" s="57">
        <v>263.95</v>
      </c>
      <c r="FU175" s="57">
        <v>489.62</v>
      </c>
      <c r="FV175" s="57">
        <v>358.88</v>
      </c>
      <c r="FW175" s="57">
        <v>259.41000000000003</v>
      </c>
      <c r="FX175" s="57">
        <v>494.01</v>
      </c>
      <c r="FY175" s="57">
        <v>461.48</v>
      </c>
      <c r="FZ175" s="57">
        <v>416.83</v>
      </c>
      <c r="GA175" s="57">
        <v>321.69</v>
      </c>
      <c r="GB175" s="57">
        <v>351.92</v>
      </c>
      <c r="GC175" s="57">
        <v>330.9</v>
      </c>
      <c r="GD175" s="57">
        <v>295.7</v>
      </c>
      <c r="GE175" s="57">
        <v>1038.0899999999999</v>
      </c>
      <c r="GF175" s="57">
        <v>526.01</v>
      </c>
      <c r="GG175" s="57">
        <v>864.37</v>
      </c>
      <c r="GH175" s="57">
        <v>587.45000000000005</v>
      </c>
      <c r="GI175" s="57">
        <v>224.66</v>
      </c>
      <c r="GJ175" s="57">
        <v>188.77</v>
      </c>
      <c r="GK175" s="57">
        <v>191</v>
      </c>
      <c r="GL175" s="57">
        <v>303.66000000000003</v>
      </c>
      <c r="GM175" s="57">
        <v>280.76</v>
      </c>
      <c r="GN175" s="57">
        <v>391.45</v>
      </c>
      <c r="GO175" s="57">
        <v>264.37</v>
      </c>
      <c r="GP175" s="57">
        <v>252.94</v>
      </c>
      <c r="GQ175" s="57">
        <v>243.32</v>
      </c>
      <c r="GR175" s="57">
        <v>475.13</v>
      </c>
      <c r="GS175" s="57">
        <v>486.57</v>
      </c>
      <c r="GT175" s="57">
        <v>438.95</v>
      </c>
      <c r="GU175" s="57">
        <v>357.27</v>
      </c>
      <c r="GV175" s="57">
        <v>350.15</v>
      </c>
      <c r="GW175" s="57">
        <v>373.31</v>
      </c>
      <c r="GX175" s="57">
        <v>449.29</v>
      </c>
      <c r="GY175" s="57">
        <v>515.07000000000005</v>
      </c>
      <c r="GZ175" s="57">
        <v>476.36</v>
      </c>
      <c r="HA175" s="57">
        <v>349.22</v>
      </c>
      <c r="HB175" s="57">
        <v>369.96</v>
      </c>
      <c r="HC175" s="57">
        <v>380.82</v>
      </c>
      <c r="HD175" s="57">
        <v>351.54</v>
      </c>
      <c r="HE175" s="57">
        <v>205.19</v>
      </c>
      <c r="HF175" s="57">
        <v>231.25</v>
      </c>
      <c r="HG175" s="57">
        <v>292.16000000000003</v>
      </c>
      <c r="HH175" s="57">
        <v>362.51</v>
      </c>
      <c r="HI175" s="57">
        <v>173.9</v>
      </c>
      <c r="HJ175" s="57">
        <v>308.04000000000002</v>
      </c>
      <c r="HK175" s="57">
        <v>563.38</v>
      </c>
      <c r="HL175" s="57">
        <v>352.53</v>
      </c>
      <c r="HM175" s="57">
        <v>439.03</v>
      </c>
      <c r="HN175" s="57">
        <v>445.15</v>
      </c>
      <c r="HO175" s="57">
        <v>337.89</v>
      </c>
      <c r="HP175" s="57">
        <v>486.5</v>
      </c>
      <c r="HQ175" s="57">
        <v>260.51</v>
      </c>
      <c r="HR175" s="57">
        <v>432.98</v>
      </c>
      <c r="HS175" s="57">
        <v>547.6</v>
      </c>
      <c r="HT175" s="57">
        <v>341.05</v>
      </c>
      <c r="HU175" s="57">
        <v>178.68</v>
      </c>
      <c r="HV175" s="57">
        <v>294.58999999999997</v>
      </c>
      <c r="HW175" s="57">
        <v>166.05</v>
      </c>
      <c r="HX175" s="57">
        <v>201.18</v>
      </c>
      <c r="HY175" s="57">
        <v>257.41000000000003</v>
      </c>
      <c r="HZ175" s="57">
        <v>346.71</v>
      </c>
      <c r="IA175" s="57">
        <v>157</v>
      </c>
      <c r="IB175" s="57">
        <v>408.21</v>
      </c>
      <c r="IC175" s="57">
        <v>281.26</v>
      </c>
      <c r="ID175" s="57">
        <v>322.08</v>
      </c>
      <c r="IE175" s="57">
        <v>257.82</v>
      </c>
      <c r="IF175" s="57">
        <v>346.94</v>
      </c>
      <c r="IG175" s="57">
        <v>487.92</v>
      </c>
      <c r="IH175" s="57">
        <v>356.5</v>
      </c>
      <c r="II175" s="57">
        <v>604.1</v>
      </c>
      <c r="IJ175" s="57">
        <v>638.20000000000005</v>
      </c>
      <c r="IK175" s="57">
        <v>399.07</v>
      </c>
      <c r="IL175" s="57">
        <v>249.67</v>
      </c>
      <c r="IM175" s="57">
        <v>429.61</v>
      </c>
      <c r="IN175" s="57">
        <v>388.55</v>
      </c>
      <c r="IO175" s="57">
        <v>347.84</v>
      </c>
      <c r="IP175" s="57">
        <v>216.21</v>
      </c>
      <c r="IQ175" s="57">
        <v>367.48</v>
      </c>
      <c r="IR175" s="57">
        <v>519.62</v>
      </c>
      <c r="IS175" s="57">
        <v>523.86</v>
      </c>
      <c r="IT175" s="57">
        <v>40.46</v>
      </c>
      <c r="IU175" s="57">
        <v>171.25</v>
      </c>
      <c r="IV175" s="57">
        <v>51.78</v>
      </c>
      <c r="IW175" s="57">
        <v>138.9</v>
      </c>
      <c r="IX175" s="57">
        <v>200.59</v>
      </c>
      <c r="IY175" s="57">
        <v>458.92</v>
      </c>
      <c r="IZ175" s="57">
        <v>493.39</v>
      </c>
      <c r="JA175" s="57">
        <v>343.47</v>
      </c>
      <c r="JB175" s="57">
        <v>96.63</v>
      </c>
      <c r="JC175" s="57">
        <v>417.54</v>
      </c>
      <c r="JD175" s="57">
        <v>412.63</v>
      </c>
      <c r="JE175" s="57">
        <v>408.17</v>
      </c>
      <c r="JF175" s="57">
        <v>270.67</v>
      </c>
      <c r="JG175" s="57">
        <v>375.96</v>
      </c>
      <c r="JH175" s="57">
        <v>565.03</v>
      </c>
      <c r="JI175" s="57">
        <v>495.08</v>
      </c>
      <c r="JJ175" s="57">
        <v>482.89</v>
      </c>
      <c r="JK175" s="57">
        <v>582</v>
      </c>
      <c r="JL175" s="57">
        <v>484.24</v>
      </c>
      <c r="JM175" s="57">
        <v>422.06</v>
      </c>
      <c r="JN175" s="57">
        <v>296.86</v>
      </c>
      <c r="JO175" s="57">
        <v>263.04000000000002</v>
      </c>
      <c r="JP175" s="57">
        <v>633.23</v>
      </c>
      <c r="JQ175" s="57">
        <v>539.76</v>
      </c>
      <c r="JR175" s="57">
        <v>355.86</v>
      </c>
      <c r="JS175" s="57">
        <v>458.35</v>
      </c>
      <c r="JT175" s="57">
        <v>526.62</v>
      </c>
      <c r="JU175" s="57">
        <v>404.53</v>
      </c>
      <c r="JV175" s="57">
        <v>202.11</v>
      </c>
      <c r="JW175" s="57">
        <v>319.06</v>
      </c>
      <c r="JX175" s="57">
        <v>1227.76</v>
      </c>
      <c r="JY175" s="57">
        <v>490.9</v>
      </c>
      <c r="JZ175" s="57">
        <v>460.09</v>
      </c>
      <c r="KA175" s="57">
        <v>440.28</v>
      </c>
      <c r="KB175" s="57">
        <v>288.92</v>
      </c>
      <c r="KC175" s="57">
        <v>438.24</v>
      </c>
      <c r="KD175" s="57">
        <v>578.11</v>
      </c>
      <c r="KE175" s="57">
        <v>673.69</v>
      </c>
      <c r="KF175" s="57">
        <v>562.13</v>
      </c>
    </row>
    <row r="176" spans="1:292">
      <c r="A176" s="41">
        <v>2019</v>
      </c>
      <c r="B176" s="54" t="s">
        <v>981</v>
      </c>
      <c r="C176" s="50" t="s">
        <v>982</v>
      </c>
      <c r="D176" s="57">
        <v>402.81</v>
      </c>
      <c r="E176" s="57">
        <v>500.14</v>
      </c>
      <c r="F176" s="57">
        <v>609.99</v>
      </c>
      <c r="G176" s="57">
        <v>223.47</v>
      </c>
      <c r="H176" s="57">
        <v>430.98</v>
      </c>
      <c r="I176" s="57">
        <v>343.23</v>
      </c>
      <c r="J176" s="57">
        <v>250.48</v>
      </c>
      <c r="K176" s="57">
        <v>385.14</v>
      </c>
      <c r="L176" s="57">
        <v>147.91</v>
      </c>
      <c r="M176" s="57">
        <v>277.82</v>
      </c>
      <c r="N176" s="57">
        <v>368.84</v>
      </c>
      <c r="O176" s="57">
        <v>593.30999999999995</v>
      </c>
      <c r="P176" s="57">
        <v>526.48</v>
      </c>
      <c r="Q176" s="57">
        <v>509.94</v>
      </c>
      <c r="R176" s="57">
        <v>376.84</v>
      </c>
      <c r="S176" s="57">
        <v>932.07</v>
      </c>
      <c r="T176" s="57">
        <v>588.44000000000005</v>
      </c>
      <c r="U176" s="57">
        <v>211.72</v>
      </c>
      <c r="V176" s="57">
        <v>261.13</v>
      </c>
      <c r="W176" s="57">
        <v>489.21</v>
      </c>
      <c r="X176" s="57">
        <v>438.76</v>
      </c>
      <c r="Y176" s="57">
        <v>358.12</v>
      </c>
      <c r="Z176" s="57">
        <v>416.25</v>
      </c>
      <c r="AA176" s="57">
        <v>370.31</v>
      </c>
      <c r="AB176" s="57">
        <v>350.36</v>
      </c>
      <c r="AC176" s="57">
        <v>279.20999999999998</v>
      </c>
      <c r="AD176" s="57">
        <v>405.65</v>
      </c>
      <c r="AE176" s="57">
        <v>408</v>
      </c>
      <c r="AF176" s="57">
        <v>334.27</v>
      </c>
      <c r="AG176" s="57">
        <v>196.59</v>
      </c>
      <c r="AH176" s="57">
        <v>277.22000000000003</v>
      </c>
      <c r="AI176" s="57">
        <v>410.01</v>
      </c>
      <c r="AJ176" s="57">
        <v>307.04000000000002</v>
      </c>
      <c r="AK176" s="57">
        <v>421.34</v>
      </c>
      <c r="AL176" s="57">
        <v>401.07</v>
      </c>
      <c r="AM176" s="57">
        <v>561.28</v>
      </c>
      <c r="AN176" s="57">
        <v>39.71</v>
      </c>
      <c r="AO176" s="57">
        <v>171.48</v>
      </c>
      <c r="AP176" s="57">
        <v>87.27</v>
      </c>
      <c r="AQ176" s="57">
        <v>466.61</v>
      </c>
      <c r="AR176" s="57">
        <v>456.57</v>
      </c>
      <c r="AS176" s="57">
        <v>352.51</v>
      </c>
      <c r="AT176" s="57">
        <v>504.77</v>
      </c>
      <c r="AU176" s="57">
        <v>593.72</v>
      </c>
      <c r="AV176" s="57">
        <v>495.66</v>
      </c>
      <c r="AW176" s="57">
        <v>432.07</v>
      </c>
      <c r="AX176" s="57">
        <v>296.86</v>
      </c>
      <c r="AY176" s="57">
        <v>263.14999999999998</v>
      </c>
      <c r="AZ176" s="57">
        <v>609.20000000000005</v>
      </c>
      <c r="BA176" s="57">
        <v>392.35</v>
      </c>
      <c r="BB176" s="57">
        <v>348.81</v>
      </c>
      <c r="BC176" s="57">
        <v>1019.78</v>
      </c>
      <c r="BD176" s="57">
        <v>444.11</v>
      </c>
      <c r="BE176" s="57">
        <v>552.15</v>
      </c>
      <c r="BF176" s="57">
        <v>673.69</v>
      </c>
      <c r="BG176" s="57">
        <v>562.30999999999995</v>
      </c>
      <c r="BH176" s="57">
        <v>457.49</v>
      </c>
      <c r="BI176" s="57">
        <v>461.77</v>
      </c>
      <c r="BJ176" s="57">
        <v>442.77</v>
      </c>
      <c r="BK176" s="57">
        <v>427.58</v>
      </c>
      <c r="BL176" s="57">
        <v>423</v>
      </c>
      <c r="BM176" s="57">
        <v>451.33</v>
      </c>
      <c r="BN176" s="57">
        <v>876.41</v>
      </c>
      <c r="BO176" s="57">
        <v>337.07</v>
      </c>
      <c r="BP176" s="57">
        <v>494.68</v>
      </c>
      <c r="BQ176" s="57">
        <v>422.67</v>
      </c>
      <c r="BR176" s="57">
        <v>335.35</v>
      </c>
      <c r="BS176" s="57">
        <v>1038.02</v>
      </c>
      <c r="BT176" s="57">
        <v>532.1</v>
      </c>
      <c r="BU176" s="57">
        <v>864.24</v>
      </c>
      <c r="BV176" s="57">
        <v>588.44000000000005</v>
      </c>
      <c r="BW176" s="57">
        <v>204.3</v>
      </c>
      <c r="BX176" s="57">
        <v>284.64</v>
      </c>
      <c r="BY176" s="57">
        <v>394.25</v>
      </c>
      <c r="BZ176" s="57">
        <v>260.08999999999997</v>
      </c>
      <c r="CA176" s="57">
        <v>476.6</v>
      </c>
      <c r="CB176" s="58">
        <v>489.21</v>
      </c>
      <c r="CC176" s="57">
        <v>438.76</v>
      </c>
      <c r="CD176" s="57">
        <v>356.74</v>
      </c>
      <c r="CE176" s="57">
        <v>350.15</v>
      </c>
      <c r="CF176" s="57">
        <v>413.6</v>
      </c>
      <c r="CG176" s="57">
        <v>512.99</v>
      </c>
      <c r="CH176" s="57">
        <v>375.11</v>
      </c>
      <c r="CI176" s="57">
        <v>382.37</v>
      </c>
      <c r="CJ176" s="57">
        <v>350.36</v>
      </c>
      <c r="CK176" s="57">
        <v>253.35</v>
      </c>
      <c r="CL176" s="57">
        <v>315.04000000000002</v>
      </c>
      <c r="CM176" s="57">
        <v>565.65</v>
      </c>
      <c r="CN176" s="57">
        <v>405.65</v>
      </c>
      <c r="CO176" s="57">
        <v>408</v>
      </c>
      <c r="CP176" s="57">
        <v>281.74</v>
      </c>
      <c r="CQ176" s="57">
        <v>543.61</v>
      </c>
      <c r="CR176" s="57">
        <v>204.29</v>
      </c>
      <c r="CS176" s="57">
        <v>296.33</v>
      </c>
      <c r="CT176" s="57">
        <v>184.39</v>
      </c>
      <c r="CU176" s="57">
        <v>257.87</v>
      </c>
      <c r="CV176" s="57">
        <v>348.35</v>
      </c>
      <c r="CW176" s="57">
        <v>173.43</v>
      </c>
      <c r="CX176" s="57">
        <v>410.01</v>
      </c>
      <c r="CY176" s="57">
        <v>307.74</v>
      </c>
      <c r="CZ176" s="57">
        <v>257.93</v>
      </c>
      <c r="DA176" s="57">
        <v>356.26</v>
      </c>
      <c r="DB176" s="57">
        <v>483.91</v>
      </c>
      <c r="DC176" s="57">
        <v>374.11</v>
      </c>
      <c r="DD176" s="57">
        <v>608.63</v>
      </c>
      <c r="DE176" s="57">
        <v>638.41999999999996</v>
      </c>
      <c r="DF176" s="57">
        <v>325.08</v>
      </c>
      <c r="DG176" s="57">
        <v>410.22</v>
      </c>
      <c r="DH176" s="57">
        <v>218.11</v>
      </c>
      <c r="DI176" s="57">
        <v>367.48</v>
      </c>
      <c r="DJ176" s="57">
        <v>520.96</v>
      </c>
      <c r="DK176" s="57">
        <v>561.28</v>
      </c>
      <c r="DL176" s="57">
        <v>39.71</v>
      </c>
      <c r="DM176" s="57">
        <v>171.48</v>
      </c>
      <c r="DN176" s="57">
        <v>51.33</v>
      </c>
      <c r="DO176" s="57">
        <v>134.81</v>
      </c>
      <c r="DP176" s="57">
        <v>202.55</v>
      </c>
      <c r="DQ176" s="57">
        <v>466.61</v>
      </c>
      <c r="DR176" s="57">
        <v>495.49</v>
      </c>
      <c r="DS176" s="57">
        <v>342.5</v>
      </c>
      <c r="DT176" s="57">
        <v>103.85</v>
      </c>
      <c r="DU176" s="57">
        <v>421.2</v>
      </c>
      <c r="DV176" s="57">
        <v>418.86</v>
      </c>
      <c r="DW176" s="57">
        <v>291.77</v>
      </c>
      <c r="DX176" s="57">
        <v>375.96</v>
      </c>
      <c r="DY176" s="57">
        <v>540.35</v>
      </c>
      <c r="DZ176" s="57">
        <v>495.08</v>
      </c>
      <c r="EA176" s="57">
        <v>487.95</v>
      </c>
      <c r="EB176" s="57">
        <v>593.72</v>
      </c>
      <c r="EC176" s="57">
        <v>495.66</v>
      </c>
      <c r="ED176" s="57">
        <v>432.07</v>
      </c>
      <c r="EE176" s="57">
        <v>296.86</v>
      </c>
      <c r="EF176" s="57">
        <v>263.14999999999998</v>
      </c>
      <c r="EG176" s="57">
        <v>609.20000000000005</v>
      </c>
      <c r="EH176" s="57">
        <v>392.35</v>
      </c>
      <c r="EI176" s="57">
        <v>466.11</v>
      </c>
      <c r="EJ176" s="57">
        <v>203.43</v>
      </c>
      <c r="EK176" s="57">
        <v>317.61</v>
      </c>
      <c r="EL176" s="57">
        <v>1255</v>
      </c>
      <c r="EM176" s="57">
        <v>482.89</v>
      </c>
      <c r="EN176" s="57">
        <v>444.11</v>
      </c>
      <c r="EO176" s="57">
        <v>290.05</v>
      </c>
      <c r="EP176" s="57">
        <v>443.9</v>
      </c>
      <c r="EQ176" s="57">
        <v>587.66999999999996</v>
      </c>
      <c r="ER176" s="57">
        <v>673.69</v>
      </c>
      <c r="ES176" s="57">
        <v>562.30999999999995</v>
      </c>
      <c r="ET176" s="57">
        <v>537.69000000000005</v>
      </c>
      <c r="EU176" s="57">
        <v>452.34</v>
      </c>
      <c r="EV176" s="57">
        <v>456.37</v>
      </c>
      <c r="EW176" s="57">
        <v>424.1</v>
      </c>
      <c r="EX176" s="57">
        <v>416.31</v>
      </c>
      <c r="EY176" s="57">
        <v>246.97</v>
      </c>
      <c r="EZ176" s="57">
        <v>443.26</v>
      </c>
      <c r="FA176" s="57">
        <v>552.5</v>
      </c>
      <c r="FB176" s="57">
        <v>398.55</v>
      </c>
      <c r="FC176" s="57">
        <v>573</v>
      </c>
      <c r="FD176" s="57">
        <v>407.43</v>
      </c>
      <c r="FE176" s="57">
        <v>444.84</v>
      </c>
      <c r="FF176" s="57">
        <v>101.08</v>
      </c>
      <c r="FG176" s="57">
        <v>345.86</v>
      </c>
      <c r="FH176" s="57">
        <v>335.33</v>
      </c>
      <c r="FI176" s="57">
        <v>452.89</v>
      </c>
      <c r="FJ176" s="57">
        <v>618.22</v>
      </c>
      <c r="FK176" s="57">
        <v>723</v>
      </c>
      <c r="FL176" s="57">
        <v>380.15</v>
      </c>
      <c r="FM176" s="57">
        <v>382.59</v>
      </c>
      <c r="FN176" s="57">
        <v>402.76</v>
      </c>
      <c r="FO176" s="57">
        <v>717.99</v>
      </c>
      <c r="FP176" s="57">
        <v>979.08</v>
      </c>
      <c r="FQ176" s="57">
        <v>810.4</v>
      </c>
      <c r="FR176" s="57">
        <v>663.36</v>
      </c>
      <c r="FS176" s="57">
        <v>535.91999999999996</v>
      </c>
      <c r="FT176" s="57">
        <v>266.85000000000002</v>
      </c>
      <c r="FU176" s="57">
        <v>489.55</v>
      </c>
      <c r="FV176" s="57">
        <v>361.47</v>
      </c>
      <c r="FW176" s="57">
        <v>265.83999999999997</v>
      </c>
      <c r="FX176" s="57">
        <v>494.68</v>
      </c>
      <c r="FY176" s="57">
        <v>462.23</v>
      </c>
      <c r="FZ176" s="57">
        <v>412.94</v>
      </c>
      <c r="GA176" s="57">
        <v>325.74</v>
      </c>
      <c r="GB176" s="57">
        <v>353.72</v>
      </c>
      <c r="GC176" s="57">
        <v>333.29</v>
      </c>
      <c r="GD176" s="57">
        <v>297.73</v>
      </c>
      <c r="GE176" s="57">
        <v>1038.02</v>
      </c>
      <c r="GF176" s="57">
        <v>532.1</v>
      </c>
      <c r="GG176" s="57">
        <v>864.24</v>
      </c>
      <c r="GH176" s="57">
        <v>587.45000000000005</v>
      </c>
      <c r="GI176" s="57">
        <v>223.81</v>
      </c>
      <c r="GJ176" s="57">
        <v>189.15</v>
      </c>
      <c r="GK176" s="57">
        <v>191.33</v>
      </c>
      <c r="GL176" s="57">
        <v>305.87</v>
      </c>
      <c r="GM176" s="57">
        <v>284.64</v>
      </c>
      <c r="GN176" s="57">
        <v>394.25</v>
      </c>
      <c r="GO176" s="57">
        <v>268.77</v>
      </c>
      <c r="GP176" s="57">
        <v>256.89</v>
      </c>
      <c r="GQ176" s="57">
        <v>246.99</v>
      </c>
      <c r="GR176" s="57">
        <v>476.6</v>
      </c>
      <c r="GS176" s="57">
        <v>489.21</v>
      </c>
      <c r="GT176" s="57">
        <v>438.76</v>
      </c>
      <c r="GU176" s="57">
        <v>356.74</v>
      </c>
      <c r="GV176" s="57">
        <v>350.15</v>
      </c>
      <c r="GW176" s="57">
        <v>373.23</v>
      </c>
      <c r="GX176" s="57">
        <v>466.4</v>
      </c>
      <c r="GY176" s="57">
        <v>512.99</v>
      </c>
      <c r="GZ176" s="57">
        <v>477.45</v>
      </c>
      <c r="HA176" s="57">
        <v>351.57</v>
      </c>
      <c r="HB176" s="57">
        <v>370.77</v>
      </c>
      <c r="HC176" s="57">
        <v>382.37</v>
      </c>
      <c r="HD176" s="57">
        <v>350.36</v>
      </c>
      <c r="HE176" s="57">
        <v>206.22</v>
      </c>
      <c r="HF176" s="57">
        <v>233.17</v>
      </c>
      <c r="HG176" s="57">
        <v>294.95999999999998</v>
      </c>
      <c r="HH176" s="57">
        <v>362.24</v>
      </c>
      <c r="HI176" s="57">
        <v>171.21</v>
      </c>
      <c r="HJ176" s="57">
        <v>315.04000000000002</v>
      </c>
      <c r="HK176" s="57">
        <v>565.65</v>
      </c>
      <c r="HL176" s="57">
        <v>355.49</v>
      </c>
      <c r="HM176" s="57">
        <v>439.51</v>
      </c>
      <c r="HN176" s="57">
        <v>444.24</v>
      </c>
      <c r="HO176" s="57">
        <v>335.17</v>
      </c>
      <c r="HP176" s="57">
        <v>487.49</v>
      </c>
      <c r="HQ176" s="57">
        <v>261.58999999999997</v>
      </c>
      <c r="HR176" s="57">
        <v>428.07</v>
      </c>
      <c r="HS176" s="57">
        <v>551.46</v>
      </c>
      <c r="HT176" s="57">
        <v>343.29</v>
      </c>
      <c r="HU176" s="57">
        <v>204.29</v>
      </c>
      <c r="HV176" s="57">
        <v>296.33</v>
      </c>
      <c r="HW176" s="57">
        <v>168.12</v>
      </c>
      <c r="HX176" s="57">
        <v>203.97</v>
      </c>
      <c r="HY176" s="57">
        <v>257.87</v>
      </c>
      <c r="HZ176" s="57">
        <v>348.35</v>
      </c>
      <c r="IA176" s="57">
        <v>158.41999999999999</v>
      </c>
      <c r="IB176" s="57">
        <v>410.01</v>
      </c>
      <c r="IC176" s="57">
        <v>274.94</v>
      </c>
      <c r="ID176" s="57">
        <v>321.02999999999997</v>
      </c>
      <c r="IE176" s="57">
        <v>257.93</v>
      </c>
      <c r="IF176" s="57">
        <v>356.26</v>
      </c>
      <c r="IG176" s="57">
        <v>483.91</v>
      </c>
      <c r="IH176" s="57">
        <v>374.11</v>
      </c>
      <c r="II176" s="57">
        <v>608.63</v>
      </c>
      <c r="IJ176" s="57">
        <v>638.41999999999996</v>
      </c>
      <c r="IK176" s="57">
        <v>399.07</v>
      </c>
      <c r="IL176" s="57">
        <v>249.67</v>
      </c>
      <c r="IM176" s="57">
        <v>429.98</v>
      </c>
      <c r="IN176" s="57">
        <v>390.09</v>
      </c>
      <c r="IO176" s="57">
        <v>342.66</v>
      </c>
      <c r="IP176" s="57">
        <v>218.11</v>
      </c>
      <c r="IQ176" s="57">
        <v>367.48</v>
      </c>
      <c r="IR176" s="57">
        <v>520.96</v>
      </c>
      <c r="IS176" s="57">
        <v>561.28</v>
      </c>
      <c r="IT176" s="57">
        <v>39.71</v>
      </c>
      <c r="IU176" s="57">
        <v>171.48</v>
      </c>
      <c r="IV176" s="57">
        <v>51.34</v>
      </c>
      <c r="IW176" s="57">
        <v>134.81</v>
      </c>
      <c r="IX176" s="57">
        <v>202.55</v>
      </c>
      <c r="IY176" s="57">
        <v>466.61</v>
      </c>
      <c r="IZ176" s="57">
        <v>495.49</v>
      </c>
      <c r="JA176" s="57">
        <v>342.5</v>
      </c>
      <c r="JB176" s="57">
        <v>103.85</v>
      </c>
      <c r="JC176" s="57">
        <v>421.2</v>
      </c>
      <c r="JD176" s="57">
        <v>418.86</v>
      </c>
      <c r="JE176" s="57">
        <v>413.67</v>
      </c>
      <c r="JF176" s="57">
        <v>272.41000000000003</v>
      </c>
      <c r="JG176" s="57">
        <v>375.96</v>
      </c>
      <c r="JH176" s="57">
        <v>540.35</v>
      </c>
      <c r="JI176" s="57">
        <v>495.08</v>
      </c>
      <c r="JJ176" s="57">
        <v>487.95</v>
      </c>
      <c r="JK176" s="57">
        <v>593.72</v>
      </c>
      <c r="JL176" s="57">
        <v>495.66</v>
      </c>
      <c r="JM176" s="57">
        <v>432.07</v>
      </c>
      <c r="JN176" s="57">
        <v>296.86</v>
      </c>
      <c r="JO176" s="57">
        <v>263.14999999999998</v>
      </c>
      <c r="JP176" s="57">
        <v>637.6</v>
      </c>
      <c r="JQ176" s="57">
        <v>542.64</v>
      </c>
      <c r="JR176" s="57">
        <v>359.59</v>
      </c>
      <c r="JS176" s="57">
        <v>458.35</v>
      </c>
      <c r="JT176" s="57">
        <v>529.21</v>
      </c>
      <c r="JU176" s="57">
        <v>406.8</v>
      </c>
      <c r="JV176" s="57">
        <v>203.43</v>
      </c>
      <c r="JW176" s="57">
        <v>317.61</v>
      </c>
      <c r="JX176" s="57">
        <v>1255</v>
      </c>
      <c r="JY176" s="57">
        <v>489.87</v>
      </c>
      <c r="JZ176" s="57">
        <v>459.34</v>
      </c>
      <c r="KA176" s="57">
        <v>444.11</v>
      </c>
      <c r="KB176" s="57">
        <v>290.05</v>
      </c>
      <c r="KC176" s="57">
        <v>443.9</v>
      </c>
      <c r="KD176" s="57">
        <v>587.66999999999996</v>
      </c>
      <c r="KE176" s="57">
        <v>673.69</v>
      </c>
      <c r="KF176" s="57">
        <v>562.30999999999995</v>
      </c>
    </row>
    <row r="177" spans="1:292">
      <c r="A177" s="41">
        <v>2019</v>
      </c>
      <c r="B177" s="54" t="s">
        <v>983</v>
      </c>
      <c r="C177" s="50" t="s">
        <v>984</v>
      </c>
      <c r="D177" s="57">
        <v>409.63</v>
      </c>
      <c r="E177" s="57">
        <v>507.12</v>
      </c>
      <c r="F177" s="57">
        <v>651.30999999999995</v>
      </c>
      <c r="G177" s="57">
        <v>235.45</v>
      </c>
      <c r="H177" s="57">
        <v>432.57</v>
      </c>
      <c r="I177" s="57">
        <v>352.31</v>
      </c>
      <c r="J177" s="57">
        <v>251.7</v>
      </c>
      <c r="K177" s="57">
        <v>389.74</v>
      </c>
      <c r="L177" s="57">
        <v>147.47</v>
      </c>
      <c r="M177" s="57">
        <v>280.7</v>
      </c>
      <c r="N177" s="57">
        <v>373.49</v>
      </c>
      <c r="O177" s="57">
        <v>600.02</v>
      </c>
      <c r="P177" s="57">
        <v>536.66999999999996</v>
      </c>
      <c r="Q177" s="57">
        <v>517.38</v>
      </c>
      <c r="R177" s="57">
        <v>378.55</v>
      </c>
      <c r="S177" s="57">
        <v>932.36</v>
      </c>
      <c r="T177" s="57">
        <v>632.26</v>
      </c>
      <c r="U177" s="57">
        <v>223.56</v>
      </c>
      <c r="V177" s="57">
        <v>273.27</v>
      </c>
      <c r="W177" s="57">
        <v>492.19</v>
      </c>
      <c r="X177" s="57">
        <v>441.17</v>
      </c>
      <c r="Y177" s="57">
        <v>359.51</v>
      </c>
      <c r="Z177" s="57">
        <v>416.66</v>
      </c>
      <c r="AA177" s="57">
        <v>391.89</v>
      </c>
      <c r="AB177" s="57">
        <v>359.1</v>
      </c>
      <c r="AC177" s="57">
        <v>285.32</v>
      </c>
      <c r="AD177" s="57">
        <v>402.95</v>
      </c>
      <c r="AE177" s="57">
        <v>413.48</v>
      </c>
      <c r="AF177" s="57">
        <v>334.62</v>
      </c>
      <c r="AG177" s="57">
        <v>196.62</v>
      </c>
      <c r="AH177" s="57">
        <v>279.24</v>
      </c>
      <c r="AI177" s="57">
        <v>412.99</v>
      </c>
      <c r="AJ177" s="57">
        <v>310.25</v>
      </c>
      <c r="AK177" s="57">
        <v>427.63</v>
      </c>
      <c r="AL177" s="57">
        <v>404.72</v>
      </c>
      <c r="AM177" s="57">
        <v>561.28</v>
      </c>
      <c r="AN177" s="57">
        <v>39.14</v>
      </c>
      <c r="AO177" s="57">
        <v>171.49</v>
      </c>
      <c r="AP177" s="57">
        <v>87.78</v>
      </c>
      <c r="AQ177" s="57">
        <v>471.61</v>
      </c>
      <c r="AR177" s="57">
        <v>460.02</v>
      </c>
      <c r="AS177" s="57">
        <v>351.66</v>
      </c>
      <c r="AT177" s="57">
        <v>507.28</v>
      </c>
      <c r="AU177" s="57">
        <v>624.71</v>
      </c>
      <c r="AV177" s="57">
        <v>506.6</v>
      </c>
      <c r="AW177" s="57">
        <v>439.2</v>
      </c>
      <c r="AX177" s="57">
        <v>296.86</v>
      </c>
      <c r="AY177" s="57">
        <v>265.47000000000003</v>
      </c>
      <c r="AZ177" s="57">
        <v>615</v>
      </c>
      <c r="BA177" s="57">
        <v>401.32</v>
      </c>
      <c r="BB177" s="57">
        <v>354.36</v>
      </c>
      <c r="BC177" s="57">
        <v>1050.8699999999999</v>
      </c>
      <c r="BD177" s="57">
        <v>447.7</v>
      </c>
      <c r="BE177" s="57">
        <v>557.48</v>
      </c>
      <c r="BF177" s="57">
        <v>673.69</v>
      </c>
      <c r="BG177" s="57">
        <v>567.4</v>
      </c>
      <c r="BH177" s="57">
        <v>462.11</v>
      </c>
      <c r="BI177" s="57">
        <v>494.35</v>
      </c>
      <c r="BJ177" s="57">
        <v>466.99</v>
      </c>
      <c r="BK177" s="57">
        <v>424.29</v>
      </c>
      <c r="BL177" s="57">
        <v>427.39</v>
      </c>
      <c r="BM177" s="57">
        <v>470.33</v>
      </c>
      <c r="BN177" s="57">
        <v>853.32</v>
      </c>
      <c r="BO177" s="57">
        <v>343.6</v>
      </c>
      <c r="BP177" s="57">
        <v>499.37</v>
      </c>
      <c r="BQ177" s="57">
        <v>422.65</v>
      </c>
      <c r="BR177" s="57">
        <v>337.87</v>
      </c>
      <c r="BS177" s="57">
        <v>1037.5999999999999</v>
      </c>
      <c r="BT177" s="57">
        <v>532.66</v>
      </c>
      <c r="BU177" s="57">
        <v>865.06</v>
      </c>
      <c r="BV177" s="57">
        <v>632.26</v>
      </c>
      <c r="BW177" s="57">
        <v>216.19</v>
      </c>
      <c r="BX177" s="57">
        <v>299.83</v>
      </c>
      <c r="BY177" s="57">
        <v>398.19</v>
      </c>
      <c r="BZ177" s="57">
        <v>272.23</v>
      </c>
      <c r="CA177" s="57">
        <v>480.95</v>
      </c>
      <c r="CB177" s="58">
        <v>492.19</v>
      </c>
      <c r="CC177" s="57">
        <v>441.17</v>
      </c>
      <c r="CD177" s="57">
        <v>358.12</v>
      </c>
      <c r="CE177" s="57">
        <v>350.15</v>
      </c>
      <c r="CF177" s="57">
        <v>414.54</v>
      </c>
      <c r="CG177" s="57">
        <v>513.41999999999996</v>
      </c>
      <c r="CH177" s="57">
        <v>398.19</v>
      </c>
      <c r="CI177" s="57">
        <v>392.85</v>
      </c>
      <c r="CJ177" s="57">
        <v>359.1</v>
      </c>
      <c r="CK177" s="57">
        <v>259.27</v>
      </c>
      <c r="CL177" s="57">
        <v>318.97000000000003</v>
      </c>
      <c r="CM177" s="57">
        <v>574.54999999999995</v>
      </c>
      <c r="CN177" s="57">
        <v>402.95</v>
      </c>
      <c r="CO177" s="57">
        <v>413.48</v>
      </c>
      <c r="CP177" s="57">
        <v>280.64</v>
      </c>
      <c r="CQ177" s="57">
        <v>550.02</v>
      </c>
      <c r="CR177" s="57">
        <v>204.29</v>
      </c>
      <c r="CS177" s="57">
        <v>296.52</v>
      </c>
      <c r="CT177" s="57">
        <v>184.5</v>
      </c>
      <c r="CU177" s="57">
        <v>258</v>
      </c>
      <c r="CV177" s="57">
        <v>352.75</v>
      </c>
      <c r="CW177" s="57">
        <v>174.78</v>
      </c>
      <c r="CX177" s="57">
        <v>412.99</v>
      </c>
      <c r="CY177" s="57">
        <v>310.81</v>
      </c>
      <c r="CZ177" s="57">
        <v>262.38</v>
      </c>
      <c r="DA177" s="57">
        <v>373.85</v>
      </c>
      <c r="DB177" s="57">
        <v>482.69</v>
      </c>
      <c r="DC177" s="57">
        <v>382.89</v>
      </c>
      <c r="DD177" s="57">
        <v>600.38</v>
      </c>
      <c r="DE177" s="57">
        <v>651.38</v>
      </c>
      <c r="DF177" s="57">
        <v>325.08</v>
      </c>
      <c r="DG177" s="57">
        <v>413.88</v>
      </c>
      <c r="DH177" s="57">
        <v>220.62</v>
      </c>
      <c r="DI177" s="57">
        <v>367.48</v>
      </c>
      <c r="DJ177" s="57">
        <v>525.97</v>
      </c>
      <c r="DK177" s="57">
        <v>561.28</v>
      </c>
      <c r="DL177" s="57">
        <v>39.14</v>
      </c>
      <c r="DM177" s="57">
        <v>171.49</v>
      </c>
      <c r="DN177" s="57">
        <v>51.42</v>
      </c>
      <c r="DO177" s="57">
        <v>136.58000000000001</v>
      </c>
      <c r="DP177" s="57">
        <v>205.6</v>
      </c>
      <c r="DQ177" s="57">
        <v>471.61</v>
      </c>
      <c r="DR177" s="57">
        <v>493.76</v>
      </c>
      <c r="DS177" s="57">
        <v>345.92</v>
      </c>
      <c r="DT177" s="57">
        <v>107.37</v>
      </c>
      <c r="DU177" s="57">
        <v>425.51</v>
      </c>
      <c r="DV177" s="57">
        <v>416.91</v>
      </c>
      <c r="DW177" s="57">
        <v>292.02</v>
      </c>
      <c r="DX177" s="57">
        <v>375.96</v>
      </c>
      <c r="DY177" s="57">
        <v>541.09</v>
      </c>
      <c r="DZ177" s="57">
        <v>495.08</v>
      </c>
      <c r="EA177" s="57">
        <v>493.48</v>
      </c>
      <c r="EB177" s="57">
        <v>624.71</v>
      </c>
      <c r="EC177" s="57">
        <v>506.6</v>
      </c>
      <c r="ED177" s="57">
        <v>439.2</v>
      </c>
      <c r="EE177" s="57">
        <v>296.86</v>
      </c>
      <c r="EF177" s="57">
        <v>265.47000000000003</v>
      </c>
      <c r="EG177" s="57">
        <v>615</v>
      </c>
      <c r="EH177" s="57">
        <v>401.32</v>
      </c>
      <c r="EI177" s="57">
        <v>471.19</v>
      </c>
      <c r="EJ177" s="57">
        <v>203.31</v>
      </c>
      <c r="EK177" s="57">
        <v>323.42</v>
      </c>
      <c r="EL177" s="57">
        <v>1301.6300000000001</v>
      </c>
      <c r="EM177" s="57">
        <v>484.82</v>
      </c>
      <c r="EN177" s="57">
        <v>447.7</v>
      </c>
      <c r="EO177" s="57">
        <v>290.5</v>
      </c>
      <c r="EP177" s="57">
        <v>453.9</v>
      </c>
      <c r="EQ177" s="57">
        <v>592.27</v>
      </c>
      <c r="ER177" s="57">
        <v>673.69</v>
      </c>
      <c r="ES177" s="57">
        <v>567.4</v>
      </c>
      <c r="ET177" s="57">
        <v>545.25</v>
      </c>
      <c r="EU177" s="57">
        <v>460.24</v>
      </c>
      <c r="EV177" s="57">
        <v>459.9</v>
      </c>
      <c r="EW177" s="57">
        <v>427.33</v>
      </c>
      <c r="EX177" s="57">
        <v>425.93</v>
      </c>
      <c r="EY177" s="57">
        <v>245.23</v>
      </c>
      <c r="EZ177" s="57">
        <v>483.49</v>
      </c>
      <c r="FA177" s="57">
        <v>561.37</v>
      </c>
      <c r="FB177" s="57">
        <v>449.55</v>
      </c>
      <c r="FC177" s="57">
        <v>601.14</v>
      </c>
      <c r="FD177" s="57">
        <v>409.66</v>
      </c>
      <c r="FE177" s="57">
        <v>470.27</v>
      </c>
      <c r="FF177" s="57">
        <v>101.81</v>
      </c>
      <c r="FG177" s="57">
        <v>342.1</v>
      </c>
      <c r="FH177" s="57">
        <v>335.57</v>
      </c>
      <c r="FI177" s="57">
        <v>458.34</v>
      </c>
      <c r="FJ177" s="57">
        <v>585.51</v>
      </c>
      <c r="FK177" s="57">
        <v>725.39</v>
      </c>
      <c r="FL177" s="57">
        <v>379.92</v>
      </c>
      <c r="FM177" s="57">
        <v>388.07</v>
      </c>
      <c r="FN177" s="57">
        <v>423.34</v>
      </c>
      <c r="FO177" s="57">
        <v>731.2</v>
      </c>
      <c r="FP177" s="57">
        <v>902.46</v>
      </c>
      <c r="FQ177" s="57">
        <v>998.13</v>
      </c>
      <c r="FR177" s="57">
        <v>664.84</v>
      </c>
      <c r="FS177" s="57">
        <v>538.79</v>
      </c>
      <c r="FT177" s="57">
        <v>271.42</v>
      </c>
      <c r="FU177" s="57">
        <v>491.17</v>
      </c>
      <c r="FV177" s="57">
        <v>367.81</v>
      </c>
      <c r="FW177" s="57">
        <v>281.86</v>
      </c>
      <c r="FX177" s="57">
        <v>499.37</v>
      </c>
      <c r="FY177" s="57">
        <v>460.7</v>
      </c>
      <c r="FZ177" s="57">
        <v>413.23</v>
      </c>
      <c r="GA177" s="57">
        <v>327.58</v>
      </c>
      <c r="GB177" s="57">
        <v>356</v>
      </c>
      <c r="GC177" s="57">
        <v>336.96</v>
      </c>
      <c r="GD177" s="57">
        <v>298.47000000000003</v>
      </c>
      <c r="GE177" s="57">
        <v>1037.5999999999999</v>
      </c>
      <c r="GF177" s="57">
        <v>532.66</v>
      </c>
      <c r="GG177" s="57">
        <v>865.06</v>
      </c>
      <c r="GH177" s="57">
        <v>631.20000000000005</v>
      </c>
      <c r="GI177" s="57">
        <v>235.1</v>
      </c>
      <c r="GJ177" s="57">
        <v>200.3</v>
      </c>
      <c r="GK177" s="57">
        <v>206.08</v>
      </c>
      <c r="GL177" s="57">
        <v>314.58999999999997</v>
      </c>
      <c r="GM177" s="57">
        <v>299.83</v>
      </c>
      <c r="GN177" s="57">
        <v>398.19</v>
      </c>
      <c r="GO177" s="57">
        <v>280.97000000000003</v>
      </c>
      <c r="GP177" s="57">
        <v>267.68</v>
      </c>
      <c r="GQ177" s="57">
        <v>261.86</v>
      </c>
      <c r="GR177" s="57">
        <v>480.95</v>
      </c>
      <c r="GS177" s="57">
        <v>492.19</v>
      </c>
      <c r="GT177" s="57">
        <v>441.17</v>
      </c>
      <c r="GU177" s="57">
        <v>358.12</v>
      </c>
      <c r="GV177" s="57">
        <v>350.15</v>
      </c>
      <c r="GW177" s="57">
        <v>373.79</v>
      </c>
      <c r="GX177" s="57">
        <v>468.55</v>
      </c>
      <c r="GY177" s="57">
        <v>513.41999999999996</v>
      </c>
      <c r="GZ177" s="57">
        <v>498.58</v>
      </c>
      <c r="HA177" s="57">
        <v>374.15</v>
      </c>
      <c r="HB177" s="57">
        <v>395.5</v>
      </c>
      <c r="HC177" s="57">
        <v>392.85</v>
      </c>
      <c r="HD177" s="57">
        <v>359.1</v>
      </c>
      <c r="HE177" s="57">
        <v>211.12</v>
      </c>
      <c r="HF177" s="57">
        <v>238.44</v>
      </c>
      <c r="HG177" s="57">
        <v>298.95999999999998</v>
      </c>
      <c r="HH177" s="57">
        <v>371.24</v>
      </c>
      <c r="HI177" s="57">
        <v>176.67</v>
      </c>
      <c r="HJ177" s="57">
        <v>318.97000000000003</v>
      </c>
      <c r="HK177" s="57">
        <v>574.54999999999995</v>
      </c>
      <c r="HL177" s="57">
        <v>353.01</v>
      </c>
      <c r="HM177" s="57">
        <v>440.24</v>
      </c>
      <c r="HN177" s="57">
        <v>440.8</v>
      </c>
      <c r="HO177" s="57">
        <v>342.48</v>
      </c>
      <c r="HP177" s="57">
        <v>489.54</v>
      </c>
      <c r="HQ177" s="57">
        <v>260.31</v>
      </c>
      <c r="HR177" s="57">
        <v>427.94</v>
      </c>
      <c r="HS177" s="57">
        <v>558.26</v>
      </c>
      <c r="HT177" s="57">
        <v>346.05</v>
      </c>
      <c r="HU177" s="57">
        <v>204.29</v>
      </c>
      <c r="HV177" s="57">
        <v>296.52</v>
      </c>
      <c r="HW177" s="57">
        <v>167.95</v>
      </c>
      <c r="HX177" s="57">
        <v>204.6</v>
      </c>
      <c r="HY177" s="57">
        <v>258</v>
      </c>
      <c r="HZ177" s="57">
        <v>352.75</v>
      </c>
      <c r="IA177" s="57">
        <v>159.65</v>
      </c>
      <c r="IB177" s="57">
        <v>412.99</v>
      </c>
      <c r="IC177" s="57">
        <v>278.27</v>
      </c>
      <c r="ID177" s="57">
        <v>323.23</v>
      </c>
      <c r="IE177" s="57">
        <v>262.38</v>
      </c>
      <c r="IF177" s="57">
        <v>373.85</v>
      </c>
      <c r="IG177" s="57">
        <v>482.69</v>
      </c>
      <c r="IH177" s="57">
        <v>382.89</v>
      </c>
      <c r="II177" s="57">
        <v>600.38</v>
      </c>
      <c r="IJ177" s="57">
        <v>651.38</v>
      </c>
      <c r="IK177" s="57">
        <v>399.07</v>
      </c>
      <c r="IL177" s="57">
        <v>249.67</v>
      </c>
      <c r="IM177" s="57">
        <v>430.51</v>
      </c>
      <c r="IN177" s="57">
        <v>390.33</v>
      </c>
      <c r="IO177" s="57">
        <v>356.17</v>
      </c>
      <c r="IP177" s="57">
        <v>220.62</v>
      </c>
      <c r="IQ177" s="57">
        <v>367.48</v>
      </c>
      <c r="IR177" s="57">
        <v>525.97</v>
      </c>
      <c r="IS177" s="57">
        <v>561.28</v>
      </c>
      <c r="IT177" s="57">
        <v>39.14</v>
      </c>
      <c r="IU177" s="57">
        <v>171.49</v>
      </c>
      <c r="IV177" s="57">
        <v>51.43</v>
      </c>
      <c r="IW177" s="57">
        <v>136.58000000000001</v>
      </c>
      <c r="IX177" s="57">
        <v>205.6</v>
      </c>
      <c r="IY177" s="57">
        <v>471.61</v>
      </c>
      <c r="IZ177" s="57">
        <v>493.76</v>
      </c>
      <c r="JA177" s="57">
        <v>345.92</v>
      </c>
      <c r="JB177" s="57">
        <v>107.37</v>
      </c>
      <c r="JC177" s="57">
        <v>425.51</v>
      </c>
      <c r="JD177" s="57">
        <v>416.91</v>
      </c>
      <c r="JE177" s="57">
        <v>415.42</v>
      </c>
      <c r="JF177" s="57">
        <v>272.5</v>
      </c>
      <c r="JG177" s="57">
        <v>375.96</v>
      </c>
      <c r="JH177" s="57">
        <v>541.09</v>
      </c>
      <c r="JI177" s="57">
        <v>495.08</v>
      </c>
      <c r="JJ177" s="57">
        <v>493.48</v>
      </c>
      <c r="JK177" s="57">
        <v>624.71</v>
      </c>
      <c r="JL177" s="57">
        <v>506.6</v>
      </c>
      <c r="JM177" s="57">
        <v>439.2</v>
      </c>
      <c r="JN177" s="57">
        <v>296.86</v>
      </c>
      <c r="JO177" s="57">
        <v>265.47000000000003</v>
      </c>
      <c r="JP177" s="57">
        <v>644.24</v>
      </c>
      <c r="JQ177" s="57">
        <v>545.54</v>
      </c>
      <c r="JR177" s="57">
        <v>372.01</v>
      </c>
      <c r="JS177" s="57">
        <v>458.35</v>
      </c>
      <c r="JT177" s="57">
        <v>536.13</v>
      </c>
      <c r="JU177" s="57">
        <v>410.54</v>
      </c>
      <c r="JV177" s="57">
        <v>203.31</v>
      </c>
      <c r="JW177" s="57">
        <v>323.42</v>
      </c>
      <c r="JX177" s="57">
        <v>1301.6300000000001</v>
      </c>
      <c r="JY177" s="57">
        <v>494.62</v>
      </c>
      <c r="JZ177" s="57">
        <v>457.62</v>
      </c>
      <c r="KA177" s="57">
        <v>447.7</v>
      </c>
      <c r="KB177" s="57">
        <v>290.5</v>
      </c>
      <c r="KC177" s="57">
        <v>453.9</v>
      </c>
      <c r="KD177" s="57">
        <v>592.27</v>
      </c>
      <c r="KE177" s="57">
        <v>673.69</v>
      </c>
      <c r="KF177" s="57">
        <v>567.4</v>
      </c>
    </row>
    <row r="178" spans="1:292">
      <c r="A178" s="41">
        <v>2019</v>
      </c>
      <c r="B178" s="54" t="s">
        <v>985</v>
      </c>
      <c r="C178" s="50" t="s">
        <v>986</v>
      </c>
      <c r="D178" s="57">
        <v>413.52</v>
      </c>
      <c r="E178" s="57">
        <v>501.16</v>
      </c>
      <c r="F178" s="57">
        <v>709.14</v>
      </c>
      <c r="G178" s="57">
        <v>245.08</v>
      </c>
      <c r="H178" s="57">
        <v>434.32</v>
      </c>
      <c r="I178" s="57">
        <v>346.74</v>
      </c>
      <c r="J178" s="57">
        <v>251.77</v>
      </c>
      <c r="K178" s="57">
        <v>398.25</v>
      </c>
      <c r="L178" s="57">
        <v>147.56</v>
      </c>
      <c r="M178" s="57">
        <v>285.93</v>
      </c>
      <c r="N178" s="57">
        <v>378.42</v>
      </c>
      <c r="O178" s="57">
        <v>609.71</v>
      </c>
      <c r="P178" s="57">
        <v>544.63</v>
      </c>
      <c r="Q178" s="57">
        <v>510.45</v>
      </c>
      <c r="R178" s="57">
        <v>383.52</v>
      </c>
      <c r="S178" s="57">
        <v>933.13</v>
      </c>
      <c r="T178" s="57">
        <v>693.56</v>
      </c>
      <c r="U178" s="57">
        <v>233.67</v>
      </c>
      <c r="V178" s="57">
        <v>280.8</v>
      </c>
      <c r="W178" s="57">
        <v>496.11</v>
      </c>
      <c r="X178" s="57">
        <v>447.19</v>
      </c>
      <c r="Y178" s="57">
        <v>354.02</v>
      </c>
      <c r="Z178" s="57">
        <v>418.03</v>
      </c>
      <c r="AA178" s="57">
        <v>373.71</v>
      </c>
      <c r="AB178" s="57">
        <v>356.17</v>
      </c>
      <c r="AC178" s="57">
        <v>283.25</v>
      </c>
      <c r="AD178" s="57">
        <v>406.97</v>
      </c>
      <c r="AE178" s="57">
        <v>414.04</v>
      </c>
      <c r="AF178" s="57">
        <v>336.18</v>
      </c>
      <c r="AG178" s="57">
        <v>197</v>
      </c>
      <c r="AH178" s="57">
        <v>278.97000000000003</v>
      </c>
      <c r="AI178" s="57">
        <v>413.21</v>
      </c>
      <c r="AJ178" s="57">
        <v>321.85000000000002</v>
      </c>
      <c r="AK178" s="57">
        <v>432.46</v>
      </c>
      <c r="AL178" s="57">
        <v>408.74</v>
      </c>
      <c r="AM178" s="57">
        <v>561.28</v>
      </c>
      <c r="AN178" s="57">
        <v>38.880000000000003</v>
      </c>
      <c r="AO178" s="57">
        <v>171.94</v>
      </c>
      <c r="AP178" s="57">
        <v>88.67</v>
      </c>
      <c r="AQ178" s="57">
        <v>476.2</v>
      </c>
      <c r="AR178" s="57">
        <v>457.17</v>
      </c>
      <c r="AS178" s="57">
        <v>350.93</v>
      </c>
      <c r="AT178" s="57">
        <v>511.02</v>
      </c>
      <c r="AU178" s="57">
        <v>692.06</v>
      </c>
      <c r="AV178" s="57">
        <v>516.07000000000005</v>
      </c>
      <c r="AW178" s="57">
        <v>447.85</v>
      </c>
      <c r="AX178" s="57">
        <v>296.86</v>
      </c>
      <c r="AY178" s="57">
        <v>268.91000000000003</v>
      </c>
      <c r="AZ178" s="57">
        <v>625.19000000000005</v>
      </c>
      <c r="BA178" s="57">
        <v>406.72</v>
      </c>
      <c r="BB178" s="57">
        <v>354.97</v>
      </c>
      <c r="BC178" s="57">
        <v>1093.05</v>
      </c>
      <c r="BD178" s="57">
        <v>451.36</v>
      </c>
      <c r="BE178" s="57">
        <v>561.94000000000005</v>
      </c>
      <c r="BF178" s="57">
        <v>673.69</v>
      </c>
      <c r="BG178" s="57">
        <v>567.73</v>
      </c>
      <c r="BH178" s="57">
        <v>476.92</v>
      </c>
      <c r="BI178" s="57">
        <v>526.74</v>
      </c>
      <c r="BJ178" s="57">
        <v>485.24</v>
      </c>
      <c r="BK178" s="57">
        <v>437.52</v>
      </c>
      <c r="BL178" s="57">
        <v>440.44</v>
      </c>
      <c r="BM178" s="57">
        <v>511.45</v>
      </c>
      <c r="BN178" s="57">
        <v>673.98</v>
      </c>
      <c r="BO178" s="57">
        <v>348.04</v>
      </c>
      <c r="BP178" s="57">
        <v>494.79</v>
      </c>
      <c r="BQ178" s="57">
        <v>424.88</v>
      </c>
      <c r="BR178" s="57">
        <v>344.04</v>
      </c>
      <c r="BS178" s="57">
        <v>1037.74</v>
      </c>
      <c r="BT178" s="57">
        <v>536.32000000000005</v>
      </c>
      <c r="BU178" s="57">
        <v>865.34</v>
      </c>
      <c r="BV178" s="57">
        <v>693.56</v>
      </c>
      <c r="BW178" s="57">
        <v>226.61</v>
      </c>
      <c r="BX178" s="57">
        <v>305.2</v>
      </c>
      <c r="BY178" s="57">
        <v>402.86</v>
      </c>
      <c r="BZ178" s="57">
        <v>279.74</v>
      </c>
      <c r="CA178" s="57">
        <v>486.89</v>
      </c>
      <c r="CB178" s="58">
        <v>496.11</v>
      </c>
      <c r="CC178" s="57">
        <v>447.19</v>
      </c>
      <c r="CD178" s="57">
        <v>352.66</v>
      </c>
      <c r="CE178" s="57">
        <v>350.15</v>
      </c>
      <c r="CF178" s="57">
        <v>417.45</v>
      </c>
      <c r="CG178" s="57">
        <v>515.30999999999995</v>
      </c>
      <c r="CH178" s="57">
        <v>378.72</v>
      </c>
      <c r="CI178" s="57">
        <v>384.29</v>
      </c>
      <c r="CJ178" s="57">
        <v>356.17</v>
      </c>
      <c r="CK178" s="57">
        <v>258.24</v>
      </c>
      <c r="CL178" s="57">
        <v>308.14</v>
      </c>
      <c r="CM178" s="57">
        <v>566.84</v>
      </c>
      <c r="CN178" s="57">
        <v>406.97</v>
      </c>
      <c r="CO178" s="57">
        <v>414.04</v>
      </c>
      <c r="CP178" s="57">
        <v>281.64999999999998</v>
      </c>
      <c r="CQ178" s="57">
        <v>553.87</v>
      </c>
      <c r="CR178" s="57">
        <v>204.3</v>
      </c>
      <c r="CS178" s="57">
        <v>295.20999999999998</v>
      </c>
      <c r="CT178" s="57">
        <v>186.29</v>
      </c>
      <c r="CU178" s="57">
        <v>258.11</v>
      </c>
      <c r="CV178" s="57">
        <v>351.7</v>
      </c>
      <c r="CW178" s="57">
        <v>174.88</v>
      </c>
      <c r="CX178" s="57">
        <v>413.21</v>
      </c>
      <c r="CY178" s="57">
        <v>322.69</v>
      </c>
      <c r="CZ178" s="57">
        <v>266.72000000000003</v>
      </c>
      <c r="DA178" s="57">
        <v>380.38</v>
      </c>
      <c r="DB178" s="57">
        <v>489.9</v>
      </c>
      <c r="DC178" s="57">
        <v>386.04</v>
      </c>
      <c r="DD178" s="57">
        <v>614.88</v>
      </c>
      <c r="DE178" s="57">
        <v>654.34</v>
      </c>
      <c r="DF178" s="57">
        <v>325.60000000000002</v>
      </c>
      <c r="DG178" s="57">
        <v>418.22</v>
      </c>
      <c r="DH178" s="57">
        <v>221.8</v>
      </c>
      <c r="DI178" s="57">
        <v>375.11</v>
      </c>
      <c r="DJ178" s="57">
        <v>531.72</v>
      </c>
      <c r="DK178" s="57">
        <v>561.28</v>
      </c>
      <c r="DL178" s="57">
        <v>38.880000000000003</v>
      </c>
      <c r="DM178" s="57">
        <v>171.94</v>
      </c>
      <c r="DN178" s="57">
        <v>51.37</v>
      </c>
      <c r="DO178" s="57">
        <v>141.09</v>
      </c>
      <c r="DP178" s="57">
        <v>209.27</v>
      </c>
      <c r="DQ178" s="57">
        <v>476.2</v>
      </c>
      <c r="DR178" s="57">
        <v>491.51</v>
      </c>
      <c r="DS178" s="57">
        <v>350.23</v>
      </c>
      <c r="DT178" s="57">
        <v>104.74</v>
      </c>
      <c r="DU178" s="57">
        <v>426.34</v>
      </c>
      <c r="DV178" s="57">
        <v>417.45</v>
      </c>
      <c r="DW178" s="57">
        <v>289.8</v>
      </c>
      <c r="DX178" s="57">
        <v>375.96</v>
      </c>
      <c r="DY178" s="57">
        <v>544.54999999999995</v>
      </c>
      <c r="DZ178" s="57">
        <v>495.08</v>
      </c>
      <c r="EA178" s="57">
        <v>498.79</v>
      </c>
      <c r="EB178" s="57">
        <v>692.06</v>
      </c>
      <c r="EC178" s="57">
        <v>516.07000000000005</v>
      </c>
      <c r="ED178" s="57">
        <v>447.85</v>
      </c>
      <c r="EE178" s="57">
        <v>296.86</v>
      </c>
      <c r="EF178" s="57">
        <v>268.91000000000003</v>
      </c>
      <c r="EG178" s="57">
        <v>625.19000000000005</v>
      </c>
      <c r="EH178" s="57">
        <v>406.72</v>
      </c>
      <c r="EI178" s="57">
        <v>475.56</v>
      </c>
      <c r="EJ178" s="57">
        <v>202.66</v>
      </c>
      <c r="EK178" s="57">
        <v>323.06</v>
      </c>
      <c r="EL178" s="57">
        <v>1364.22</v>
      </c>
      <c r="EM178" s="57">
        <v>488.47</v>
      </c>
      <c r="EN178" s="57">
        <v>451.36</v>
      </c>
      <c r="EO178" s="57">
        <v>290.38</v>
      </c>
      <c r="EP178" s="57">
        <v>455.23</v>
      </c>
      <c r="EQ178" s="57">
        <v>597.88</v>
      </c>
      <c r="ER178" s="57">
        <v>673.69</v>
      </c>
      <c r="ES178" s="57">
        <v>567.73</v>
      </c>
      <c r="ET178" s="57">
        <v>561.02</v>
      </c>
      <c r="EU178" s="57">
        <v>461.5</v>
      </c>
      <c r="EV178" s="57">
        <v>483.83</v>
      </c>
      <c r="EW178" s="57">
        <v>433.44</v>
      </c>
      <c r="EX178" s="57">
        <v>440.93</v>
      </c>
      <c r="EY178" s="57">
        <v>247.11</v>
      </c>
      <c r="EZ178" s="57">
        <v>509.82</v>
      </c>
      <c r="FA178" s="57">
        <v>567.48</v>
      </c>
      <c r="FB178" s="57">
        <v>522.5</v>
      </c>
      <c r="FC178" s="57">
        <v>619.52</v>
      </c>
      <c r="FD178" s="57">
        <v>421.2</v>
      </c>
      <c r="FE178" s="57">
        <v>489.75</v>
      </c>
      <c r="FF178" s="57">
        <v>101.02</v>
      </c>
      <c r="FG178" s="57">
        <v>362.53</v>
      </c>
      <c r="FH178" s="57">
        <v>354.48</v>
      </c>
      <c r="FI178" s="57">
        <v>482.47</v>
      </c>
      <c r="FJ178" s="57">
        <v>543.88</v>
      </c>
      <c r="FK178" s="57">
        <v>760.15</v>
      </c>
      <c r="FL178" s="57">
        <v>376.02</v>
      </c>
      <c r="FM178" s="57">
        <v>398.87</v>
      </c>
      <c r="FN178" s="57">
        <v>467.78</v>
      </c>
      <c r="FO178" s="57">
        <v>760.29</v>
      </c>
      <c r="FP178" s="57">
        <v>643.20000000000005</v>
      </c>
      <c r="FQ178" s="57">
        <v>849.62</v>
      </c>
      <c r="FR178" s="57">
        <v>673.02</v>
      </c>
      <c r="FS178" s="57">
        <v>542.59</v>
      </c>
      <c r="FT178" s="57">
        <v>274.10000000000002</v>
      </c>
      <c r="FU178" s="57">
        <v>492.86</v>
      </c>
      <c r="FV178" s="57">
        <v>374.27</v>
      </c>
      <c r="FW178" s="57">
        <v>288.64999999999998</v>
      </c>
      <c r="FX178" s="57">
        <v>494.79</v>
      </c>
      <c r="FY178" s="57">
        <v>461.48</v>
      </c>
      <c r="FZ178" s="57">
        <v>415.87</v>
      </c>
      <c r="GA178" s="57">
        <v>327.74</v>
      </c>
      <c r="GB178" s="57">
        <v>360.07</v>
      </c>
      <c r="GC178" s="57">
        <v>348.55</v>
      </c>
      <c r="GD178" s="57">
        <v>298.62</v>
      </c>
      <c r="GE178" s="57">
        <v>1037.74</v>
      </c>
      <c r="GF178" s="57">
        <v>536.32000000000005</v>
      </c>
      <c r="GG178" s="57">
        <v>865.34</v>
      </c>
      <c r="GH178" s="57">
        <v>692.39</v>
      </c>
      <c r="GI178" s="57">
        <v>247.78</v>
      </c>
      <c r="GJ178" s="57">
        <v>210.11</v>
      </c>
      <c r="GK178" s="57">
        <v>214.2</v>
      </c>
      <c r="GL178" s="57">
        <v>321.27999999999997</v>
      </c>
      <c r="GM178" s="57">
        <v>305.2</v>
      </c>
      <c r="GN178" s="57">
        <v>402.86</v>
      </c>
      <c r="GO178" s="57">
        <v>288.44</v>
      </c>
      <c r="GP178" s="57">
        <v>273.97000000000003</v>
      </c>
      <c r="GQ178" s="57">
        <v>272.11</v>
      </c>
      <c r="GR178" s="57">
        <v>486.89</v>
      </c>
      <c r="GS178" s="57">
        <v>496.11</v>
      </c>
      <c r="GT178" s="57">
        <v>447.19</v>
      </c>
      <c r="GU178" s="57">
        <v>352.66</v>
      </c>
      <c r="GV178" s="57">
        <v>350.15</v>
      </c>
      <c r="GW178" s="57">
        <v>375.6</v>
      </c>
      <c r="GX178" s="57">
        <v>474.92</v>
      </c>
      <c r="GY178" s="57">
        <v>515.30999999999995</v>
      </c>
      <c r="GZ178" s="57">
        <v>480.14</v>
      </c>
      <c r="HA178" s="57">
        <v>355.28</v>
      </c>
      <c r="HB178" s="57">
        <v>374.71</v>
      </c>
      <c r="HC178" s="57">
        <v>384.29</v>
      </c>
      <c r="HD178" s="57">
        <v>356.17</v>
      </c>
      <c r="HE178" s="57">
        <v>210.78</v>
      </c>
      <c r="HF178" s="57">
        <v>237.13</v>
      </c>
      <c r="HG178" s="57">
        <v>297.36</v>
      </c>
      <c r="HH178" s="57">
        <v>372.71</v>
      </c>
      <c r="HI178" s="57">
        <v>172.75</v>
      </c>
      <c r="HJ178" s="57">
        <v>308.14</v>
      </c>
      <c r="HK178" s="57">
        <v>566.84</v>
      </c>
      <c r="HL178" s="57">
        <v>358.36</v>
      </c>
      <c r="HM178" s="57">
        <v>439.26</v>
      </c>
      <c r="HN178" s="57">
        <v>444.21</v>
      </c>
      <c r="HO178" s="57">
        <v>341.95</v>
      </c>
      <c r="HP178" s="57">
        <v>491.81</v>
      </c>
      <c r="HQ178" s="57">
        <v>261.76</v>
      </c>
      <c r="HR178" s="57">
        <v>426.47</v>
      </c>
      <c r="HS178" s="57">
        <v>562.4</v>
      </c>
      <c r="HT178" s="57">
        <v>347.49</v>
      </c>
      <c r="HU178" s="57">
        <v>204.3</v>
      </c>
      <c r="HV178" s="57">
        <v>295.20999999999998</v>
      </c>
      <c r="HW178" s="57">
        <v>169.4</v>
      </c>
      <c r="HX178" s="57">
        <v>206.95</v>
      </c>
      <c r="HY178" s="57">
        <v>258.11</v>
      </c>
      <c r="HZ178" s="57">
        <v>351.7</v>
      </c>
      <c r="IA178" s="57">
        <v>159.75</v>
      </c>
      <c r="IB178" s="57">
        <v>413.21</v>
      </c>
      <c r="IC178" s="57">
        <v>290.41000000000003</v>
      </c>
      <c r="ID178" s="57">
        <v>332.99</v>
      </c>
      <c r="IE178" s="57">
        <v>266.72000000000003</v>
      </c>
      <c r="IF178" s="57">
        <v>380.38</v>
      </c>
      <c r="IG178" s="57">
        <v>489.9</v>
      </c>
      <c r="IH178" s="57">
        <v>386.04</v>
      </c>
      <c r="II178" s="57">
        <v>614.88</v>
      </c>
      <c r="IJ178" s="57">
        <v>654.34</v>
      </c>
      <c r="IK178" s="57">
        <v>401.95</v>
      </c>
      <c r="IL178" s="57">
        <v>249.67</v>
      </c>
      <c r="IM178" s="57">
        <v>430.65</v>
      </c>
      <c r="IN178" s="57">
        <v>390.71</v>
      </c>
      <c r="IO178" s="57">
        <v>373.6</v>
      </c>
      <c r="IP178" s="57">
        <v>221.8</v>
      </c>
      <c r="IQ178" s="57">
        <v>375.11</v>
      </c>
      <c r="IR178" s="57">
        <v>531.72</v>
      </c>
      <c r="IS178" s="57">
        <v>561.28</v>
      </c>
      <c r="IT178" s="57">
        <v>38.880000000000003</v>
      </c>
      <c r="IU178" s="57">
        <v>171.94</v>
      </c>
      <c r="IV178" s="57">
        <v>51.38</v>
      </c>
      <c r="IW178" s="57">
        <v>141.09</v>
      </c>
      <c r="IX178" s="57">
        <v>209.27</v>
      </c>
      <c r="IY178" s="57">
        <v>476.2</v>
      </c>
      <c r="IZ178" s="57">
        <v>491.51</v>
      </c>
      <c r="JA178" s="57">
        <v>350.23</v>
      </c>
      <c r="JB178" s="57">
        <v>104.74</v>
      </c>
      <c r="JC178" s="57">
        <v>426.34</v>
      </c>
      <c r="JD178" s="57">
        <v>417.45</v>
      </c>
      <c r="JE178" s="57">
        <v>416.96</v>
      </c>
      <c r="JF178" s="57">
        <v>269.95</v>
      </c>
      <c r="JG178" s="57">
        <v>375.96</v>
      </c>
      <c r="JH178" s="57">
        <v>544.54999999999995</v>
      </c>
      <c r="JI178" s="57">
        <v>495.08</v>
      </c>
      <c r="JJ178" s="57">
        <v>498.79</v>
      </c>
      <c r="JK178" s="57">
        <v>692.06</v>
      </c>
      <c r="JL178" s="57">
        <v>516.07000000000005</v>
      </c>
      <c r="JM178" s="57">
        <v>447.85</v>
      </c>
      <c r="JN178" s="57">
        <v>296.86</v>
      </c>
      <c r="JO178" s="57">
        <v>268.91000000000003</v>
      </c>
      <c r="JP178" s="57">
        <v>656</v>
      </c>
      <c r="JQ178" s="57">
        <v>550.4</v>
      </c>
      <c r="JR178" s="57">
        <v>379.48</v>
      </c>
      <c r="JS178" s="57">
        <v>458.35</v>
      </c>
      <c r="JT178" s="57">
        <v>542.04</v>
      </c>
      <c r="JU178" s="57">
        <v>413.76</v>
      </c>
      <c r="JV178" s="57">
        <v>202.66</v>
      </c>
      <c r="JW178" s="57">
        <v>323.06</v>
      </c>
      <c r="JX178" s="57">
        <v>1364.22</v>
      </c>
      <c r="JY178" s="57">
        <v>497.36</v>
      </c>
      <c r="JZ178" s="57">
        <v>462.32</v>
      </c>
      <c r="KA178" s="57">
        <v>451.36</v>
      </c>
      <c r="KB178" s="57">
        <v>290.38</v>
      </c>
      <c r="KC178" s="57">
        <v>455.23</v>
      </c>
      <c r="KD178" s="57">
        <v>597.88</v>
      </c>
      <c r="KE178" s="57">
        <v>673.69</v>
      </c>
      <c r="KF178" s="57">
        <v>567.73</v>
      </c>
    </row>
    <row r="179" spans="1:292">
      <c r="A179" s="41">
        <v>2019</v>
      </c>
      <c r="B179" s="54" t="s">
        <v>987</v>
      </c>
      <c r="C179" s="50" t="s">
        <v>988</v>
      </c>
      <c r="D179" s="57">
        <v>413.63</v>
      </c>
      <c r="E179" s="57">
        <v>492.9</v>
      </c>
      <c r="F179" s="57">
        <v>709.43</v>
      </c>
      <c r="G179" s="57">
        <v>241.24</v>
      </c>
      <c r="H179" s="57">
        <v>435.43</v>
      </c>
      <c r="I179" s="57">
        <v>348.73</v>
      </c>
      <c r="J179" s="57">
        <v>253.21</v>
      </c>
      <c r="K179" s="57">
        <v>400.11</v>
      </c>
      <c r="L179" s="57">
        <v>148.12</v>
      </c>
      <c r="M179" s="57">
        <v>285.82</v>
      </c>
      <c r="N179" s="57">
        <v>384.11</v>
      </c>
      <c r="O179" s="57">
        <v>625.87</v>
      </c>
      <c r="P179" s="57">
        <v>554.76</v>
      </c>
      <c r="Q179" s="57">
        <v>501</v>
      </c>
      <c r="R179" s="57">
        <v>388.73</v>
      </c>
      <c r="S179" s="57">
        <v>936.35</v>
      </c>
      <c r="T179" s="57">
        <v>693.67</v>
      </c>
      <c r="U179" s="57">
        <v>229.92</v>
      </c>
      <c r="V179" s="57">
        <v>276.74</v>
      </c>
      <c r="W179" s="57">
        <v>500.36</v>
      </c>
      <c r="X179" s="57">
        <v>450.76</v>
      </c>
      <c r="Y179" s="57">
        <v>346.65</v>
      </c>
      <c r="Z179" s="57">
        <v>419.07</v>
      </c>
      <c r="AA179" s="57">
        <v>373.73</v>
      </c>
      <c r="AB179" s="57">
        <v>357.66</v>
      </c>
      <c r="AC179" s="57">
        <v>285.29000000000002</v>
      </c>
      <c r="AD179" s="57">
        <v>408.88</v>
      </c>
      <c r="AE179" s="57">
        <v>416.93</v>
      </c>
      <c r="AF179" s="57">
        <v>340.51</v>
      </c>
      <c r="AG179" s="57">
        <v>197.33</v>
      </c>
      <c r="AH179" s="57">
        <v>281.31</v>
      </c>
      <c r="AI179" s="57">
        <v>415.75</v>
      </c>
      <c r="AJ179" s="57">
        <v>325.18</v>
      </c>
      <c r="AK179" s="57">
        <v>426.48</v>
      </c>
      <c r="AL179" s="57">
        <v>420.76</v>
      </c>
      <c r="AM179" s="57">
        <v>561.28</v>
      </c>
      <c r="AN179" s="57">
        <v>38.840000000000003</v>
      </c>
      <c r="AO179" s="57">
        <v>172.8</v>
      </c>
      <c r="AP179" s="57">
        <v>87.13</v>
      </c>
      <c r="AQ179" s="57">
        <v>477.6</v>
      </c>
      <c r="AR179" s="57">
        <v>439.87</v>
      </c>
      <c r="AS179" s="57">
        <v>353.17</v>
      </c>
      <c r="AT179" s="57">
        <v>513.29</v>
      </c>
      <c r="AU179" s="57">
        <v>719.82</v>
      </c>
      <c r="AV179" s="57">
        <v>526.25</v>
      </c>
      <c r="AW179" s="57">
        <v>457.24</v>
      </c>
      <c r="AX179" s="57">
        <v>296.86</v>
      </c>
      <c r="AY179" s="57">
        <v>275.41000000000003</v>
      </c>
      <c r="AZ179" s="57">
        <v>639.4</v>
      </c>
      <c r="BA179" s="57">
        <v>427.22</v>
      </c>
      <c r="BB179" s="57">
        <v>365.13</v>
      </c>
      <c r="BC179" s="57">
        <v>1107.57</v>
      </c>
      <c r="BD179" s="57">
        <v>455.84</v>
      </c>
      <c r="BE179" s="57">
        <v>564.17999999999995</v>
      </c>
      <c r="BF179" s="57">
        <v>673.69</v>
      </c>
      <c r="BG179" s="57">
        <v>567.91999999999996</v>
      </c>
      <c r="BH179" s="57">
        <v>485.86</v>
      </c>
      <c r="BI179" s="57">
        <v>535.16</v>
      </c>
      <c r="BJ179" s="57">
        <v>507.35</v>
      </c>
      <c r="BK179" s="57">
        <v>444.26</v>
      </c>
      <c r="BL179" s="57">
        <v>450.15</v>
      </c>
      <c r="BM179" s="57">
        <v>523.33000000000004</v>
      </c>
      <c r="BN179" s="57">
        <v>551.57000000000005</v>
      </c>
      <c r="BO179" s="57">
        <v>354.3</v>
      </c>
      <c r="BP179" s="57">
        <v>501.42</v>
      </c>
      <c r="BQ179" s="57">
        <v>428.47</v>
      </c>
      <c r="BR179" s="57">
        <v>349.83</v>
      </c>
      <c r="BS179" s="57">
        <v>1041.7</v>
      </c>
      <c r="BT179" s="57">
        <v>545.24</v>
      </c>
      <c r="BU179" s="57">
        <v>865.6</v>
      </c>
      <c r="BV179" s="57">
        <v>693.67</v>
      </c>
      <c r="BW179" s="57">
        <v>222.37</v>
      </c>
      <c r="BX179" s="57">
        <v>309.17</v>
      </c>
      <c r="BY179" s="57">
        <v>406.41</v>
      </c>
      <c r="BZ179" s="57">
        <v>275.68</v>
      </c>
      <c r="CA179" s="57">
        <v>488.61</v>
      </c>
      <c r="CB179" s="58">
        <v>500.36</v>
      </c>
      <c r="CC179" s="57">
        <v>450.76</v>
      </c>
      <c r="CD179" s="57">
        <v>345.31</v>
      </c>
      <c r="CE179" s="57">
        <v>350.15</v>
      </c>
      <c r="CF179" s="57">
        <v>420.66</v>
      </c>
      <c r="CG179" s="57">
        <v>513.98</v>
      </c>
      <c r="CH179" s="57">
        <v>378.45</v>
      </c>
      <c r="CI179" s="57">
        <v>387.05</v>
      </c>
      <c r="CJ179" s="57">
        <v>357.66</v>
      </c>
      <c r="CK179" s="57">
        <v>259.67</v>
      </c>
      <c r="CL179" s="57">
        <v>317.02999999999997</v>
      </c>
      <c r="CM179" s="57">
        <v>566.85</v>
      </c>
      <c r="CN179" s="57">
        <v>408.88</v>
      </c>
      <c r="CO179" s="57">
        <v>416.93</v>
      </c>
      <c r="CP179" s="57">
        <v>285.52</v>
      </c>
      <c r="CQ179" s="57">
        <v>559.97</v>
      </c>
      <c r="CR179" s="57">
        <v>204.31</v>
      </c>
      <c r="CS179" s="57">
        <v>297.38</v>
      </c>
      <c r="CT179" s="57">
        <v>187.12</v>
      </c>
      <c r="CU179" s="57">
        <v>258.38</v>
      </c>
      <c r="CV179" s="57">
        <v>357.09</v>
      </c>
      <c r="CW179" s="57">
        <v>176.07</v>
      </c>
      <c r="CX179" s="57">
        <v>415.75</v>
      </c>
      <c r="CY179" s="57">
        <v>326.04000000000002</v>
      </c>
      <c r="CZ179" s="57">
        <v>268.58</v>
      </c>
      <c r="DA179" s="57">
        <v>386.25</v>
      </c>
      <c r="DB179" s="57">
        <v>494.66</v>
      </c>
      <c r="DC179" s="57">
        <v>377.43</v>
      </c>
      <c r="DD179" s="57">
        <v>617.44000000000005</v>
      </c>
      <c r="DE179" s="57">
        <v>668.44</v>
      </c>
      <c r="DF179" s="57">
        <v>325.60000000000002</v>
      </c>
      <c r="DG179" s="57">
        <v>433.11</v>
      </c>
      <c r="DH179" s="57">
        <v>221.31</v>
      </c>
      <c r="DI179" s="57">
        <v>375.49</v>
      </c>
      <c r="DJ179" s="57">
        <v>536.04</v>
      </c>
      <c r="DK179" s="57">
        <v>561.28</v>
      </c>
      <c r="DL179" s="57">
        <v>38.840000000000003</v>
      </c>
      <c r="DM179" s="57">
        <v>172.8</v>
      </c>
      <c r="DN179" s="57">
        <v>50.5</v>
      </c>
      <c r="DO179" s="57">
        <v>138.03</v>
      </c>
      <c r="DP179" s="57">
        <v>209.94</v>
      </c>
      <c r="DQ179" s="57">
        <v>477.6</v>
      </c>
      <c r="DR179" s="57">
        <v>453.51</v>
      </c>
      <c r="DS179" s="57">
        <v>349.95</v>
      </c>
      <c r="DT179" s="57">
        <v>107.58</v>
      </c>
      <c r="DU179" s="57">
        <v>427.71</v>
      </c>
      <c r="DV179" s="57">
        <v>420.89</v>
      </c>
      <c r="DW179" s="57">
        <v>291</v>
      </c>
      <c r="DX179" s="57">
        <v>375.96</v>
      </c>
      <c r="DY179" s="57">
        <v>549.84</v>
      </c>
      <c r="DZ179" s="57">
        <v>495.08</v>
      </c>
      <c r="EA179" s="57">
        <v>498.05</v>
      </c>
      <c r="EB179" s="57">
        <v>719.82</v>
      </c>
      <c r="EC179" s="57">
        <v>526.25</v>
      </c>
      <c r="ED179" s="57">
        <v>457.24</v>
      </c>
      <c r="EE179" s="57">
        <v>296.86</v>
      </c>
      <c r="EF179" s="57">
        <v>275.41000000000003</v>
      </c>
      <c r="EG179" s="57">
        <v>639.4</v>
      </c>
      <c r="EH179" s="57">
        <v>427.22</v>
      </c>
      <c r="EI179" s="57">
        <v>482.18</v>
      </c>
      <c r="EJ179" s="57">
        <v>211.7</v>
      </c>
      <c r="EK179" s="57">
        <v>334.05</v>
      </c>
      <c r="EL179" s="57">
        <v>1386.66</v>
      </c>
      <c r="EM179" s="57">
        <v>488.38</v>
      </c>
      <c r="EN179" s="57">
        <v>455.84</v>
      </c>
      <c r="EO179" s="57">
        <v>291.33</v>
      </c>
      <c r="EP179" s="57">
        <v>455.24</v>
      </c>
      <c r="EQ179" s="57">
        <v>600.74</v>
      </c>
      <c r="ER179" s="57">
        <v>673.69</v>
      </c>
      <c r="ES179" s="57">
        <v>567.91999999999996</v>
      </c>
      <c r="ET179" s="57">
        <v>566.87</v>
      </c>
      <c r="EU179" s="57">
        <v>472.17</v>
      </c>
      <c r="EV179" s="57">
        <v>494.04</v>
      </c>
      <c r="EW179" s="57">
        <v>438.64</v>
      </c>
      <c r="EX179" s="57">
        <v>457.27</v>
      </c>
      <c r="EY179" s="57">
        <v>251.71</v>
      </c>
      <c r="EZ179" s="57">
        <v>514.45000000000005</v>
      </c>
      <c r="FA179" s="57">
        <v>565.63</v>
      </c>
      <c r="FB179" s="57">
        <v>546.67999999999995</v>
      </c>
      <c r="FC179" s="57">
        <v>609.19000000000005</v>
      </c>
      <c r="FD179" s="57">
        <v>427.97</v>
      </c>
      <c r="FE179" s="57">
        <v>513.16999999999996</v>
      </c>
      <c r="FF179" s="57">
        <v>100.81</v>
      </c>
      <c r="FG179" s="57">
        <v>379.09</v>
      </c>
      <c r="FH179" s="57">
        <v>372.06</v>
      </c>
      <c r="FI179" s="57">
        <v>510.73</v>
      </c>
      <c r="FJ179" s="57">
        <v>452.79</v>
      </c>
      <c r="FK179" s="57">
        <v>797.98</v>
      </c>
      <c r="FL179" s="57">
        <v>378.32</v>
      </c>
      <c r="FM179" s="57">
        <v>403.85</v>
      </c>
      <c r="FN179" s="57">
        <v>479.66</v>
      </c>
      <c r="FO179" s="57">
        <v>773.21</v>
      </c>
      <c r="FP179" s="57">
        <v>496.55</v>
      </c>
      <c r="FQ179" s="57">
        <v>572.04999999999995</v>
      </c>
      <c r="FR179" s="57">
        <v>702.67</v>
      </c>
      <c r="FS179" s="57">
        <v>555.03</v>
      </c>
      <c r="FT179" s="57">
        <v>276.11</v>
      </c>
      <c r="FU179" s="57">
        <v>502.21</v>
      </c>
      <c r="FV179" s="57">
        <v>383.01</v>
      </c>
      <c r="FW179" s="57">
        <v>295.07</v>
      </c>
      <c r="FX179" s="57">
        <v>501.42</v>
      </c>
      <c r="FY179" s="57">
        <v>468.59</v>
      </c>
      <c r="FZ179" s="57">
        <v>418.44</v>
      </c>
      <c r="GA179" s="57">
        <v>335.6</v>
      </c>
      <c r="GB179" s="57">
        <v>366.72</v>
      </c>
      <c r="GC179" s="57">
        <v>353.59</v>
      </c>
      <c r="GD179" s="57">
        <v>303.89999999999998</v>
      </c>
      <c r="GE179" s="57">
        <v>1041.7</v>
      </c>
      <c r="GF179" s="57">
        <v>545.24</v>
      </c>
      <c r="GG179" s="57">
        <v>865.6</v>
      </c>
      <c r="GH179" s="57">
        <v>692.5</v>
      </c>
      <c r="GI179" s="57">
        <v>241.74</v>
      </c>
      <c r="GJ179" s="57">
        <v>207.09</v>
      </c>
      <c r="GK179" s="57">
        <v>209.99</v>
      </c>
      <c r="GL179" s="57">
        <v>319.51</v>
      </c>
      <c r="GM179" s="57">
        <v>309.17</v>
      </c>
      <c r="GN179" s="57">
        <v>406.41</v>
      </c>
      <c r="GO179" s="57">
        <v>285.70999999999998</v>
      </c>
      <c r="GP179" s="57">
        <v>268.72000000000003</v>
      </c>
      <c r="GQ179" s="57">
        <v>267.56</v>
      </c>
      <c r="GR179" s="57">
        <v>488.61</v>
      </c>
      <c r="GS179" s="57">
        <v>500.36</v>
      </c>
      <c r="GT179" s="57">
        <v>450.76</v>
      </c>
      <c r="GU179" s="57">
        <v>345.31</v>
      </c>
      <c r="GV179" s="57">
        <v>350.15</v>
      </c>
      <c r="GW179" s="57">
        <v>378.91</v>
      </c>
      <c r="GX179" s="57">
        <v>477.02</v>
      </c>
      <c r="GY179" s="57">
        <v>513.98</v>
      </c>
      <c r="GZ179" s="57">
        <v>482.2</v>
      </c>
      <c r="HA179" s="57">
        <v>354.9</v>
      </c>
      <c r="HB179" s="57">
        <v>373.77</v>
      </c>
      <c r="HC179" s="57">
        <v>387.05</v>
      </c>
      <c r="HD179" s="57">
        <v>357.66</v>
      </c>
      <c r="HE179" s="57">
        <v>210.29</v>
      </c>
      <c r="HF179" s="57">
        <v>237.22</v>
      </c>
      <c r="HG179" s="57">
        <v>301.75</v>
      </c>
      <c r="HH179" s="57">
        <v>374.7</v>
      </c>
      <c r="HI179" s="57">
        <v>179.62</v>
      </c>
      <c r="HJ179" s="57">
        <v>317.02999999999997</v>
      </c>
      <c r="HK179" s="57">
        <v>566.85</v>
      </c>
      <c r="HL179" s="57">
        <v>362.03</v>
      </c>
      <c r="HM179" s="57">
        <v>441.69</v>
      </c>
      <c r="HN179" s="57">
        <v>444.24</v>
      </c>
      <c r="HO179" s="57">
        <v>343.74</v>
      </c>
      <c r="HP179" s="57">
        <v>496.2</v>
      </c>
      <c r="HQ179" s="57">
        <v>266.07</v>
      </c>
      <c r="HR179" s="57">
        <v>428.15</v>
      </c>
      <c r="HS179" s="57">
        <v>568.66</v>
      </c>
      <c r="HT179" s="57">
        <v>351.03</v>
      </c>
      <c r="HU179" s="57">
        <v>204.31</v>
      </c>
      <c r="HV179" s="57">
        <v>297.38</v>
      </c>
      <c r="HW179" s="57">
        <v>170.01</v>
      </c>
      <c r="HX179" s="57">
        <v>208.15</v>
      </c>
      <c r="HY179" s="57">
        <v>258.38</v>
      </c>
      <c r="HZ179" s="57">
        <v>357.09</v>
      </c>
      <c r="IA179" s="57">
        <v>160.84</v>
      </c>
      <c r="IB179" s="57">
        <v>415.75</v>
      </c>
      <c r="IC179" s="57">
        <v>294.12</v>
      </c>
      <c r="ID179" s="57">
        <v>335.29</v>
      </c>
      <c r="IE179" s="57">
        <v>268.58</v>
      </c>
      <c r="IF179" s="57">
        <v>386.25</v>
      </c>
      <c r="IG179" s="57">
        <v>494.66</v>
      </c>
      <c r="IH179" s="57">
        <v>377.43</v>
      </c>
      <c r="II179" s="57">
        <v>617.44000000000005</v>
      </c>
      <c r="IJ179" s="57">
        <v>668.44</v>
      </c>
      <c r="IK179" s="57">
        <v>401.95</v>
      </c>
      <c r="IL179" s="57">
        <v>249.67</v>
      </c>
      <c r="IM179" s="57">
        <v>431.47</v>
      </c>
      <c r="IN179" s="57">
        <v>391.19</v>
      </c>
      <c r="IO179" s="57">
        <v>432.64</v>
      </c>
      <c r="IP179" s="57">
        <v>221.31</v>
      </c>
      <c r="IQ179" s="57">
        <v>375.49</v>
      </c>
      <c r="IR179" s="57">
        <v>536.04</v>
      </c>
      <c r="IS179" s="57">
        <v>561.28</v>
      </c>
      <c r="IT179" s="57">
        <v>38.840000000000003</v>
      </c>
      <c r="IU179" s="57">
        <v>172.8</v>
      </c>
      <c r="IV179" s="57">
        <v>50.51</v>
      </c>
      <c r="IW179" s="57">
        <v>138.03</v>
      </c>
      <c r="IX179" s="57">
        <v>209.94</v>
      </c>
      <c r="IY179" s="57">
        <v>477.6</v>
      </c>
      <c r="IZ179" s="57">
        <v>453.51</v>
      </c>
      <c r="JA179" s="57">
        <v>349.95</v>
      </c>
      <c r="JB179" s="57">
        <v>107.58</v>
      </c>
      <c r="JC179" s="57">
        <v>427.71</v>
      </c>
      <c r="JD179" s="57">
        <v>420.89</v>
      </c>
      <c r="JE179" s="57">
        <v>420.89</v>
      </c>
      <c r="JF179" s="57">
        <v>270.83</v>
      </c>
      <c r="JG179" s="57">
        <v>375.96</v>
      </c>
      <c r="JH179" s="57">
        <v>549.84</v>
      </c>
      <c r="JI179" s="57">
        <v>495.08</v>
      </c>
      <c r="JJ179" s="57">
        <v>498.05</v>
      </c>
      <c r="JK179" s="57">
        <v>719.82</v>
      </c>
      <c r="JL179" s="57">
        <v>526.25</v>
      </c>
      <c r="JM179" s="57">
        <v>457.24</v>
      </c>
      <c r="JN179" s="57">
        <v>296.86</v>
      </c>
      <c r="JO179" s="57">
        <v>275.41000000000003</v>
      </c>
      <c r="JP179" s="57">
        <v>671.26</v>
      </c>
      <c r="JQ179" s="57">
        <v>561.53</v>
      </c>
      <c r="JR179" s="57">
        <v>407.9</v>
      </c>
      <c r="JS179" s="57">
        <v>458.27</v>
      </c>
      <c r="JT179" s="57">
        <v>547.98</v>
      </c>
      <c r="JU179" s="57">
        <v>420.52</v>
      </c>
      <c r="JV179" s="57">
        <v>211.7</v>
      </c>
      <c r="JW179" s="57">
        <v>334.05</v>
      </c>
      <c r="JX179" s="57">
        <v>1386.66</v>
      </c>
      <c r="JY179" s="57">
        <v>495.48</v>
      </c>
      <c r="JZ179" s="57">
        <v>464.5</v>
      </c>
      <c r="KA179" s="57">
        <v>455.84</v>
      </c>
      <c r="KB179" s="57">
        <v>291.33</v>
      </c>
      <c r="KC179" s="57">
        <v>455.24</v>
      </c>
      <c r="KD179" s="57">
        <v>600.74</v>
      </c>
      <c r="KE179" s="57">
        <v>673.69</v>
      </c>
      <c r="KF179" s="57">
        <v>567.91999999999996</v>
      </c>
    </row>
    <row r="180" spans="1:292">
      <c r="A180" s="41">
        <v>2019</v>
      </c>
      <c r="B180" s="54" t="s">
        <v>989</v>
      </c>
      <c r="C180" s="50" t="s">
        <v>990</v>
      </c>
      <c r="D180" s="57">
        <v>419.24</v>
      </c>
      <c r="E180" s="57">
        <v>487.44</v>
      </c>
      <c r="F180" s="57">
        <v>714.76</v>
      </c>
      <c r="G180" s="57">
        <v>233.52</v>
      </c>
      <c r="H180" s="57">
        <v>448.94</v>
      </c>
      <c r="I180" s="57">
        <v>363.5</v>
      </c>
      <c r="J180" s="57">
        <v>253.84</v>
      </c>
      <c r="K180" s="57">
        <v>417.97</v>
      </c>
      <c r="L180" s="57">
        <v>149.35</v>
      </c>
      <c r="M180" s="57">
        <v>290.39999999999998</v>
      </c>
      <c r="N180" s="57">
        <v>387.55</v>
      </c>
      <c r="O180" s="57">
        <v>634.74</v>
      </c>
      <c r="P180" s="57">
        <v>558.23</v>
      </c>
      <c r="Q180" s="57">
        <v>494.02</v>
      </c>
      <c r="R180" s="57">
        <v>400.41</v>
      </c>
      <c r="S180" s="57">
        <v>1015.36</v>
      </c>
      <c r="T180" s="57">
        <v>694.34</v>
      </c>
      <c r="U180" s="57">
        <v>222.15</v>
      </c>
      <c r="V180" s="57">
        <v>269.44</v>
      </c>
      <c r="W180" s="57">
        <v>506.03</v>
      </c>
      <c r="X180" s="57">
        <v>453.17</v>
      </c>
      <c r="Y180" s="57">
        <v>344.48</v>
      </c>
      <c r="Z180" s="57">
        <v>447.38</v>
      </c>
      <c r="AA180" s="57">
        <v>412.72</v>
      </c>
      <c r="AB180" s="57">
        <v>359.99</v>
      </c>
      <c r="AC180" s="57">
        <v>292.72000000000003</v>
      </c>
      <c r="AD180" s="57">
        <v>411.77</v>
      </c>
      <c r="AE180" s="57">
        <v>418.3</v>
      </c>
      <c r="AF180" s="57">
        <v>342.97</v>
      </c>
      <c r="AG180" s="57">
        <v>197.62</v>
      </c>
      <c r="AH180" s="57">
        <v>282.11</v>
      </c>
      <c r="AI180" s="57">
        <v>417.21</v>
      </c>
      <c r="AJ180" s="57">
        <v>358.13</v>
      </c>
      <c r="AK180" s="57">
        <v>426.13</v>
      </c>
      <c r="AL180" s="57">
        <v>425.23</v>
      </c>
      <c r="AM180" s="57">
        <v>561.28</v>
      </c>
      <c r="AN180" s="57">
        <v>39.67</v>
      </c>
      <c r="AO180" s="57">
        <v>173.65</v>
      </c>
      <c r="AP180" s="57">
        <v>87.48</v>
      </c>
      <c r="AQ180" s="57">
        <v>479.04</v>
      </c>
      <c r="AR180" s="57">
        <v>457.67</v>
      </c>
      <c r="AS180" s="57">
        <v>355.54</v>
      </c>
      <c r="AT180" s="57">
        <v>517.66</v>
      </c>
      <c r="AU180" s="57">
        <v>745.75</v>
      </c>
      <c r="AV180" s="57">
        <v>532.53</v>
      </c>
      <c r="AW180" s="57">
        <v>462.5</v>
      </c>
      <c r="AX180" s="57">
        <v>296.86</v>
      </c>
      <c r="AY180" s="57">
        <v>279.97000000000003</v>
      </c>
      <c r="AZ180" s="57">
        <v>648.52</v>
      </c>
      <c r="BA180" s="57">
        <v>433.04</v>
      </c>
      <c r="BB180" s="57">
        <v>367.18</v>
      </c>
      <c r="BC180" s="57">
        <v>1116.5999999999999</v>
      </c>
      <c r="BD180" s="57">
        <v>462.42</v>
      </c>
      <c r="BE180" s="57">
        <v>568.07000000000005</v>
      </c>
      <c r="BF180" s="57">
        <v>681.48</v>
      </c>
      <c r="BG180" s="57">
        <v>567.9</v>
      </c>
      <c r="BH180" s="57">
        <v>492.77</v>
      </c>
      <c r="BI180" s="57">
        <v>526.74</v>
      </c>
      <c r="BJ180" s="57">
        <v>521.54</v>
      </c>
      <c r="BK180" s="57">
        <v>448.06</v>
      </c>
      <c r="BL180" s="57">
        <v>452.81</v>
      </c>
      <c r="BM180" s="57">
        <v>472.87</v>
      </c>
      <c r="BN180" s="57">
        <v>531.76</v>
      </c>
      <c r="BO180" s="57">
        <v>366.79</v>
      </c>
      <c r="BP180" s="57">
        <v>510.77</v>
      </c>
      <c r="BQ180" s="57">
        <v>452.01</v>
      </c>
      <c r="BR180" s="57">
        <v>354.81</v>
      </c>
      <c r="BS180" s="57">
        <v>1106.53</v>
      </c>
      <c r="BT180" s="57">
        <v>567.69000000000005</v>
      </c>
      <c r="BU180" s="57">
        <v>967.8</v>
      </c>
      <c r="BV180" s="57">
        <v>694.34</v>
      </c>
      <c r="BW180" s="57">
        <v>214.24</v>
      </c>
      <c r="BX180" s="57">
        <v>303.95999999999998</v>
      </c>
      <c r="BY180" s="57">
        <v>410.92</v>
      </c>
      <c r="BZ180" s="57">
        <v>268.36</v>
      </c>
      <c r="CA180" s="57">
        <v>493.37</v>
      </c>
      <c r="CB180" s="58">
        <v>506.03</v>
      </c>
      <c r="CC180" s="57">
        <v>453.17</v>
      </c>
      <c r="CD180" s="57">
        <v>343.16</v>
      </c>
      <c r="CE180" s="57">
        <v>402.66</v>
      </c>
      <c r="CF180" s="57">
        <v>421.63</v>
      </c>
      <c r="CG180" s="57">
        <v>511.21</v>
      </c>
      <c r="CH180" s="57">
        <v>421.5</v>
      </c>
      <c r="CI180" s="57">
        <v>393.12</v>
      </c>
      <c r="CJ180" s="57">
        <v>359.99</v>
      </c>
      <c r="CK180" s="57">
        <v>267.51</v>
      </c>
      <c r="CL180" s="57">
        <v>318.08</v>
      </c>
      <c r="CM180" s="57">
        <v>568.79</v>
      </c>
      <c r="CN180" s="57">
        <v>411.77</v>
      </c>
      <c r="CO180" s="57">
        <v>418.3</v>
      </c>
      <c r="CP180" s="57">
        <v>287.44</v>
      </c>
      <c r="CQ180" s="57">
        <v>564.6</v>
      </c>
      <c r="CR180" s="57">
        <v>204.31</v>
      </c>
      <c r="CS180" s="57">
        <v>297.02999999999997</v>
      </c>
      <c r="CT180" s="57">
        <v>188.39</v>
      </c>
      <c r="CU180" s="57">
        <v>258.55</v>
      </c>
      <c r="CV180" s="57">
        <v>358.91</v>
      </c>
      <c r="CW180" s="57">
        <v>176.4</v>
      </c>
      <c r="CX180" s="57">
        <v>417.21</v>
      </c>
      <c r="CY180" s="57">
        <v>359.52</v>
      </c>
      <c r="CZ180" s="57">
        <v>289.85000000000002</v>
      </c>
      <c r="DA180" s="57">
        <v>388.83</v>
      </c>
      <c r="DB180" s="57">
        <v>500.74</v>
      </c>
      <c r="DC180" s="57">
        <v>376.12</v>
      </c>
      <c r="DD180" s="57">
        <v>617.09</v>
      </c>
      <c r="DE180" s="57">
        <v>684.06</v>
      </c>
      <c r="DF180" s="57">
        <v>325.88</v>
      </c>
      <c r="DG180" s="57">
        <v>434.39</v>
      </c>
      <c r="DH180" s="57">
        <v>235.73</v>
      </c>
      <c r="DI180" s="57">
        <v>375.49</v>
      </c>
      <c r="DJ180" s="57">
        <v>545.27</v>
      </c>
      <c r="DK180" s="57">
        <v>561.28</v>
      </c>
      <c r="DL180" s="57">
        <v>39.67</v>
      </c>
      <c r="DM180" s="57">
        <v>173.65</v>
      </c>
      <c r="DN180" s="57">
        <v>50.97</v>
      </c>
      <c r="DO180" s="57">
        <v>137.07</v>
      </c>
      <c r="DP180" s="57">
        <v>210.68</v>
      </c>
      <c r="DQ180" s="57">
        <v>479.04</v>
      </c>
      <c r="DR180" s="57">
        <v>484.96</v>
      </c>
      <c r="DS180" s="57">
        <v>356.87</v>
      </c>
      <c r="DT180" s="57">
        <v>107.31</v>
      </c>
      <c r="DU180" s="57">
        <v>429.02</v>
      </c>
      <c r="DV180" s="57">
        <v>424.92</v>
      </c>
      <c r="DW180" s="57">
        <v>291.83</v>
      </c>
      <c r="DX180" s="57">
        <v>375.96</v>
      </c>
      <c r="DY180" s="57">
        <v>556.97</v>
      </c>
      <c r="DZ180" s="57">
        <v>497.64</v>
      </c>
      <c r="EA180" s="57">
        <v>499.7</v>
      </c>
      <c r="EB180" s="57">
        <v>745.75</v>
      </c>
      <c r="EC180" s="57">
        <v>532.53</v>
      </c>
      <c r="ED180" s="57">
        <v>462.5</v>
      </c>
      <c r="EE180" s="57">
        <v>296.86</v>
      </c>
      <c r="EF180" s="57">
        <v>279.97000000000003</v>
      </c>
      <c r="EG180" s="57">
        <v>648.52</v>
      </c>
      <c r="EH180" s="57">
        <v>433.04</v>
      </c>
      <c r="EI180" s="57">
        <v>486.72</v>
      </c>
      <c r="EJ180" s="57">
        <v>212.57</v>
      </c>
      <c r="EK180" s="57">
        <v>335.44</v>
      </c>
      <c r="EL180" s="57">
        <v>1401.1</v>
      </c>
      <c r="EM180" s="57">
        <v>487.57</v>
      </c>
      <c r="EN180" s="57">
        <v>462.42</v>
      </c>
      <c r="EO180" s="57">
        <v>292.98</v>
      </c>
      <c r="EP180" s="57">
        <v>462.09</v>
      </c>
      <c r="EQ180" s="57">
        <v>604.03</v>
      </c>
      <c r="ER180" s="57">
        <v>681.48</v>
      </c>
      <c r="ES180" s="57">
        <v>567.9</v>
      </c>
      <c r="ET180" s="57">
        <v>578.15</v>
      </c>
      <c r="EU180" s="57">
        <v>480.35</v>
      </c>
      <c r="EV180" s="57">
        <v>500.68</v>
      </c>
      <c r="EW180" s="57">
        <v>441.8</v>
      </c>
      <c r="EX180" s="57">
        <v>480.47</v>
      </c>
      <c r="EY180" s="57">
        <v>253.61</v>
      </c>
      <c r="EZ180" s="57">
        <v>515.79999999999995</v>
      </c>
      <c r="FA180" s="57">
        <v>567.25</v>
      </c>
      <c r="FB180" s="57">
        <v>507.83</v>
      </c>
      <c r="FC180" s="57">
        <v>599.36</v>
      </c>
      <c r="FD180" s="57">
        <v>429.72</v>
      </c>
      <c r="FE180" s="57">
        <v>528.54</v>
      </c>
      <c r="FF180" s="57">
        <v>99.21</v>
      </c>
      <c r="FG180" s="57">
        <v>377.47</v>
      </c>
      <c r="FH180" s="57">
        <v>375.51</v>
      </c>
      <c r="FI180" s="57">
        <v>521.45000000000005</v>
      </c>
      <c r="FJ180" s="57">
        <v>447.32</v>
      </c>
      <c r="FK180" s="57">
        <v>802.4</v>
      </c>
      <c r="FL180" s="57">
        <v>381.29</v>
      </c>
      <c r="FM180" s="57">
        <v>406.22</v>
      </c>
      <c r="FN180" s="57">
        <v>416.33</v>
      </c>
      <c r="FO180" s="57">
        <v>778.67</v>
      </c>
      <c r="FP180" s="57">
        <v>471.28</v>
      </c>
      <c r="FQ180" s="57">
        <v>528.15</v>
      </c>
      <c r="FR180" s="57">
        <v>711.3</v>
      </c>
      <c r="FS180" s="57">
        <v>559.70000000000005</v>
      </c>
      <c r="FT180" s="57">
        <v>308.37</v>
      </c>
      <c r="FU180" s="57">
        <v>507.34</v>
      </c>
      <c r="FV180" s="57">
        <v>385.39</v>
      </c>
      <c r="FW180" s="57">
        <v>296.14999999999998</v>
      </c>
      <c r="FX180" s="57">
        <v>510.77</v>
      </c>
      <c r="FY180" s="57">
        <v>469.53</v>
      </c>
      <c r="FZ180" s="57">
        <v>447.93</v>
      </c>
      <c r="GA180" s="57">
        <v>340.68</v>
      </c>
      <c r="GB180" s="57">
        <v>376.2</v>
      </c>
      <c r="GC180" s="57">
        <v>353.49</v>
      </c>
      <c r="GD180" s="57">
        <v>308.08999999999997</v>
      </c>
      <c r="GE180" s="57">
        <v>1106.53</v>
      </c>
      <c r="GF180" s="57">
        <v>567.69000000000005</v>
      </c>
      <c r="GG180" s="57">
        <v>967.8</v>
      </c>
      <c r="GH180" s="57">
        <v>693.17</v>
      </c>
      <c r="GI180" s="57">
        <v>233.12</v>
      </c>
      <c r="GJ180" s="57">
        <v>200.17</v>
      </c>
      <c r="GK180" s="57">
        <v>199.6</v>
      </c>
      <c r="GL180" s="57">
        <v>314.95999999999998</v>
      </c>
      <c r="GM180" s="57">
        <v>303.95999999999998</v>
      </c>
      <c r="GN180" s="57">
        <v>410.92</v>
      </c>
      <c r="GO180" s="57">
        <v>282.93</v>
      </c>
      <c r="GP180" s="57">
        <v>257.26</v>
      </c>
      <c r="GQ180" s="57">
        <v>258.81</v>
      </c>
      <c r="GR180" s="57">
        <v>493.37</v>
      </c>
      <c r="GS180" s="57">
        <v>506.03</v>
      </c>
      <c r="GT180" s="57">
        <v>453.17</v>
      </c>
      <c r="GU180" s="57">
        <v>343.16</v>
      </c>
      <c r="GV180" s="57">
        <v>402.66</v>
      </c>
      <c r="GW180" s="57">
        <v>380.11</v>
      </c>
      <c r="GX180" s="57">
        <v>476.89</v>
      </c>
      <c r="GY180" s="57">
        <v>511.21</v>
      </c>
      <c r="GZ180" s="57">
        <v>525.85</v>
      </c>
      <c r="HA180" s="57">
        <v>398.93</v>
      </c>
      <c r="HB180" s="57">
        <v>417.12</v>
      </c>
      <c r="HC180" s="57">
        <v>393.12</v>
      </c>
      <c r="HD180" s="57">
        <v>359.99</v>
      </c>
      <c r="HE180" s="57">
        <v>217.96</v>
      </c>
      <c r="HF180" s="57">
        <v>249.97</v>
      </c>
      <c r="HG180" s="57">
        <v>310.19</v>
      </c>
      <c r="HH180" s="57">
        <v>377.82</v>
      </c>
      <c r="HI180" s="57">
        <v>176.64</v>
      </c>
      <c r="HJ180" s="57">
        <v>318.08</v>
      </c>
      <c r="HK180" s="57">
        <v>568.79</v>
      </c>
      <c r="HL180" s="57">
        <v>364</v>
      </c>
      <c r="HM180" s="57">
        <v>441.67</v>
      </c>
      <c r="HN180" s="57">
        <v>448.47</v>
      </c>
      <c r="HO180" s="57">
        <v>343.51</v>
      </c>
      <c r="HP180" s="57">
        <v>499.97</v>
      </c>
      <c r="HQ180" s="57">
        <v>267.49</v>
      </c>
      <c r="HR180" s="57">
        <v>433.17</v>
      </c>
      <c r="HS180" s="57">
        <v>572.29</v>
      </c>
      <c r="HT180" s="57">
        <v>358.54</v>
      </c>
      <c r="HU180" s="57">
        <v>204.31</v>
      </c>
      <c r="HV180" s="57">
        <v>297.02999999999997</v>
      </c>
      <c r="HW180" s="57">
        <v>170.23</v>
      </c>
      <c r="HX180" s="57">
        <v>211.31</v>
      </c>
      <c r="HY180" s="57">
        <v>258.55</v>
      </c>
      <c r="HZ180" s="57">
        <v>358.91</v>
      </c>
      <c r="IA180" s="57">
        <v>161.13</v>
      </c>
      <c r="IB180" s="57">
        <v>417.21</v>
      </c>
      <c r="IC180" s="57">
        <v>322.83999999999997</v>
      </c>
      <c r="ID180" s="57">
        <v>372.24</v>
      </c>
      <c r="IE180" s="57">
        <v>289.85000000000002</v>
      </c>
      <c r="IF180" s="57">
        <v>388.83</v>
      </c>
      <c r="IG180" s="57">
        <v>500.74</v>
      </c>
      <c r="IH180" s="57">
        <v>376.12</v>
      </c>
      <c r="II180" s="57">
        <v>617.09</v>
      </c>
      <c r="IJ180" s="57">
        <v>684.06</v>
      </c>
      <c r="IK180" s="57">
        <v>403.5</v>
      </c>
      <c r="IL180" s="57">
        <v>249.67</v>
      </c>
      <c r="IM180" s="57">
        <v>434.81</v>
      </c>
      <c r="IN180" s="57">
        <v>392.28</v>
      </c>
      <c r="IO180" s="57">
        <v>428.21</v>
      </c>
      <c r="IP180" s="57">
        <v>235.73</v>
      </c>
      <c r="IQ180" s="57">
        <v>375.49</v>
      </c>
      <c r="IR180" s="57">
        <v>545.27</v>
      </c>
      <c r="IS180" s="57">
        <v>561.28</v>
      </c>
      <c r="IT180" s="57">
        <v>39.67</v>
      </c>
      <c r="IU180" s="57">
        <v>173.65</v>
      </c>
      <c r="IV180" s="57">
        <v>50.98</v>
      </c>
      <c r="IW180" s="57">
        <v>137.07</v>
      </c>
      <c r="IX180" s="57">
        <v>210.68</v>
      </c>
      <c r="IY180" s="57">
        <v>479.04</v>
      </c>
      <c r="IZ180" s="57">
        <v>484.96</v>
      </c>
      <c r="JA180" s="57">
        <v>356.87</v>
      </c>
      <c r="JB180" s="57">
        <v>107.31</v>
      </c>
      <c r="JC180" s="57">
        <v>429.02</v>
      </c>
      <c r="JD180" s="57">
        <v>424.92</v>
      </c>
      <c r="JE180" s="57">
        <v>425.32</v>
      </c>
      <c r="JF180" s="57">
        <v>271.27999999999997</v>
      </c>
      <c r="JG180" s="57">
        <v>375.96</v>
      </c>
      <c r="JH180" s="57">
        <v>556.97</v>
      </c>
      <c r="JI180" s="57">
        <v>497.64</v>
      </c>
      <c r="JJ180" s="57">
        <v>499.7</v>
      </c>
      <c r="JK180" s="57">
        <v>745.75</v>
      </c>
      <c r="JL180" s="57">
        <v>532.53</v>
      </c>
      <c r="JM180" s="57">
        <v>462.5</v>
      </c>
      <c r="JN180" s="57">
        <v>296.86</v>
      </c>
      <c r="JO180" s="57">
        <v>279.97000000000003</v>
      </c>
      <c r="JP180" s="57">
        <v>679.55</v>
      </c>
      <c r="JQ180" s="57">
        <v>574.53</v>
      </c>
      <c r="JR180" s="57">
        <v>415.86</v>
      </c>
      <c r="JS180" s="57">
        <v>458.53</v>
      </c>
      <c r="JT180" s="57">
        <v>555.45000000000005</v>
      </c>
      <c r="JU180" s="57">
        <v>423.04</v>
      </c>
      <c r="JV180" s="57">
        <v>212.57</v>
      </c>
      <c r="JW180" s="57">
        <v>335.44</v>
      </c>
      <c r="JX180" s="57">
        <v>1401.1</v>
      </c>
      <c r="JY180" s="57">
        <v>486.72</v>
      </c>
      <c r="JZ180" s="57">
        <v>473.81</v>
      </c>
      <c r="KA180" s="57">
        <v>462.42</v>
      </c>
      <c r="KB180" s="57">
        <v>292.98</v>
      </c>
      <c r="KC180" s="57">
        <v>462.09</v>
      </c>
      <c r="KD180" s="57">
        <v>604.03</v>
      </c>
      <c r="KE180" s="57">
        <v>681.48</v>
      </c>
      <c r="KF180" s="57">
        <v>567.9</v>
      </c>
    </row>
    <row r="181" spans="1:292">
      <c r="A181" s="41">
        <v>2019</v>
      </c>
      <c r="B181" s="54" t="s">
        <v>991</v>
      </c>
      <c r="C181" s="50" t="s">
        <v>992</v>
      </c>
      <c r="D181" s="57">
        <v>422.84</v>
      </c>
      <c r="E181" s="57">
        <v>483.68</v>
      </c>
      <c r="F181" s="57">
        <v>851.35</v>
      </c>
      <c r="G181" s="57">
        <v>230.94</v>
      </c>
      <c r="H181" s="57">
        <v>458.1</v>
      </c>
      <c r="I181" s="57">
        <v>364.09</v>
      </c>
      <c r="J181" s="57">
        <v>255.07</v>
      </c>
      <c r="K181" s="57">
        <v>409.88</v>
      </c>
      <c r="L181" s="57">
        <v>149.35</v>
      </c>
      <c r="M181" s="57">
        <v>291.92</v>
      </c>
      <c r="N181" s="57">
        <v>404.05</v>
      </c>
      <c r="O181" s="57">
        <v>639.51</v>
      </c>
      <c r="P181" s="57">
        <v>563.17999999999995</v>
      </c>
      <c r="Q181" s="57">
        <v>489.45</v>
      </c>
      <c r="R181" s="57">
        <v>405.66</v>
      </c>
      <c r="S181" s="57">
        <v>1018.8</v>
      </c>
      <c r="T181" s="57">
        <v>839.04</v>
      </c>
      <c r="U181" s="57">
        <v>219.51</v>
      </c>
      <c r="V181" s="57">
        <v>267.13</v>
      </c>
      <c r="W181" s="57">
        <v>511.22</v>
      </c>
      <c r="X181" s="57">
        <v>456.02</v>
      </c>
      <c r="Y181" s="57">
        <v>347.02</v>
      </c>
      <c r="Z181" s="57">
        <v>463.8</v>
      </c>
      <c r="AA181" s="57">
        <v>413.56</v>
      </c>
      <c r="AB181" s="57">
        <v>360.64</v>
      </c>
      <c r="AC181" s="57">
        <v>293.89999999999998</v>
      </c>
      <c r="AD181" s="57">
        <v>410.82</v>
      </c>
      <c r="AE181" s="57">
        <v>420.84</v>
      </c>
      <c r="AF181" s="57">
        <v>342.46</v>
      </c>
      <c r="AG181" s="57">
        <v>198.46</v>
      </c>
      <c r="AH181" s="57">
        <v>283.44</v>
      </c>
      <c r="AI181" s="57">
        <v>419.82</v>
      </c>
      <c r="AJ181" s="57">
        <v>348.48</v>
      </c>
      <c r="AK181" s="57">
        <v>414.84</v>
      </c>
      <c r="AL181" s="57">
        <v>430.34</v>
      </c>
      <c r="AM181" s="57">
        <v>748.37</v>
      </c>
      <c r="AN181" s="57">
        <v>39.340000000000003</v>
      </c>
      <c r="AO181" s="57">
        <v>174.01</v>
      </c>
      <c r="AP181" s="57">
        <v>87.04</v>
      </c>
      <c r="AQ181" s="57">
        <v>489.99</v>
      </c>
      <c r="AR181" s="57">
        <v>461.69</v>
      </c>
      <c r="AS181" s="57">
        <v>360.42</v>
      </c>
      <c r="AT181" s="57">
        <v>521.85</v>
      </c>
      <c r="AU181" s="57">
        <v>744.83</v>
      </c>
      <c r="AV181" s="57">
        <v>539.03</v>
      </c>
      <c r="AW181" s="57">
        <v>470.43</v>
      </c>
      <c r="AX181" s="57">
        <v>332.12</v>
      </c>
      <c r="AY181" s="57">
        <v>282.32</v>
      </c>
      <c r="AZ181" s="57">
        <v>652.82000000000005</v>
      </c>
      <c r="BA181" s="57">
        <v>438.65</v>
      </c>
      <c r="BB181" s="57">
        <v>363.88</v>
      </c>
      <c r="BC181" s="57">
        <v>1156.6500000000001</v>
      </c>
      <c r="BD181" s="57">
        <v>468.96</v>
      </c>
      <c r="BE181" s="57">
        <v>573.21</v>
      </c>
      <c r="BF181" s="57">
        <v>714.95</v>
      </c>
      <c r="BG181" s="57">
        <v>568</v>
      </c>
      <c r="BH181" s="57">
        <v>495.95</v>
      </c>
      <c r="BI181" s="57">
        <v>506.6</v>
      </c>
      <c r="BJ181" s="57">
        <v>517.91999999999996</v>
      </c>
      <c r="BK181" s="57">
        <v>452.65</v>
      </c>
      <c r="BL181" s="57">
        <v>454.17</v>
      </c>
      <c r="BM181" s="57">
        <v>467.13</v>
      </c>
      <c r="BN181" s="57">
        <v>521.28</v>
      </c>
      <c r="BO181" s="57">
        <v>369.05</v>
      </c>
      <c r="BP181" s="57">
        <v>510.58</v>
      </c>
      <c r="BQ181" s="57">
        <v>465.3</v>
      </c>
      <c r="BR181" s="57">
        <v>355.65</v>
      </c>
      <c r="BS181" s="57">
        <v>1107.96</v>
      </c>
      <c r="BT181" s="57">
        <v>572.45000000000005</v>
      </c>
      <c r="BU181" s="57">
        <v>972.26</v>
      </c>
      <c r="BV181" s="57">
        <v>839.04</v>
      </c>
      <c r="BW181" s="57">
        <v>211.52</v>
      </c>
      <c r="BX181" s="57">
        <v>299.58999999999997</v>
      </c>
      <c r="BY181" s="57">
        <v>416.8</v>
      </c>
      <c r="BZ181" s="57">
        <v>266.05</v>
      </c>
      <c r="CA181" s="57">
        <v>496.47</v>
      </c>
      <c r="CB181" s="58">
        <v>511.22</v>
      </c>
      <c r="CC181" s="57">
        <v>456.02</v>
      </c>
      <c r="CD181" s="57">
        <v>345.69</v>
      </c>
      <c r="CE181" s="57">
        <v>402.66</v>
      </c>
      <c r="CF181" s="57">
        <v>465.71</v>
      </c>
      <c r="CG181" s="57">
        <v>508.79</v>
      </c>
      <c r="CH181" s="57">
        <v>422.35</v>
      </c>
      <c r="CI181" s="57">
        <v>393.89</v>
      </c>
      <c r="CJ181" s="57">
        <v>360.64</v>
      </c>
      <c r="CK181" s="57">
        <v>268.76</v>
      </c>
      <c r="CL181" s="57">
        <v>315</v>
      </c>
      <c r="CM181" s="57">
        <v>576.5</v>
      </c>
      <c r="CN181" s="57">
        <v>410.82</v>
      </c>
      <c r="CO181" s="57">
        <v>420.84</v>
      </c>
      <c r="CP181" s="57">
        <v>286.3</v>
      </c>
      <c r="CQ181" s="57">
        <v>566.79999999999995</v>
      </c>
      <c r="CR181" s="57">
        <v>204.32</v>
      </c>
      <c r="CS181" s="57">
        <v>305.69</v>
      </c>
      <c r="CT181" s="57">
        <v>189.83</v>
      </c>
      <c r="CU181" s="57">
        <v>258.77</v>
      </c>
      <c r="CV181" s="57">
        <v>361.18</v>
      </c>
      <c r="CW181" s="57">
        <v>177.73</v>
      </c>
      <c r="CX181" s="57">
        <v>419.82</v>
      </c>
      <c r="CY181" s="57">
        <v>349.36</v>
      </c>
      <c r="CZ181" s="57">
        <v>293</v>
      </c>
      <c r="DA181" s="57">
        <v>388.07</v>
      </c>
      <c r="DB181" s="57">
        <v>503.57</v>
      </c>
      <c r="DC181" s="57">
        <v>360.18</v>
      </c>
      <c r="DD181" s="57">
        <v>623.91999999999996</v>
      </c>
      <c r="DE181" s="57">
        <v>704.98</v>
      </c>
      <c r="DF181" s="57">
        <v>326.10000000000002</v>
      </c>
      <c r="DG181" s="57">
        <v>440.21</v>
      </c>
      <c r="DH181" s="57">
        <v>237.19</v>
      </c>
      <c r="DI181" s="57">
        <v>375.49</v>
      </c>
      <c r="DJ181" s="57">
        <v>548.64</v>
      </c>
      <c r="DK181" s="57">
        <v>748.37</v>
      </c>
      <c r="DL181" s="57">
        <v>39.340000000000003</v>
      </c>
      <c r="DM181" s="57">
        <v>174.01</v>
      </c>
      <c r="DN181" s="57">
        <v>50.77</v>
      </c>
      <c r="DO181" s="57">
        <v>135.86000000000001</v>
      </c>
      <c r="DP181" s="57">
        <v>212.24</v>
      </c>
      <c r="DQ181" s="57">
        <v>489.99</v>
      </c>
      <c r="DR181" s="57">
        <v>492.68</v>
      </c>
      <c r="DS181" s="57">
        <v>364.64</v>
      </c>
      <c r="DT181" s="57">
        <v>105.27</v>
      </c>
      <c r="DU181" s="57">
        <v>435.22</v>
      </c>
      <c r="DV181" s="57">
        <v>428.48</v>
      </c>
      <c r="DW181" s="57">
        <v>298.76</v>
      </c>
      <c r="DX181" s="57">
        <v>375.96</v>
      </c>
      <c r="DY181" s="57">
        <v>560.02</v>
      </c>
      <c r="DZ181" s="57">
        <v>497.64</v>
      </c>
      <c r="EA181" s="57">
        <v>506.69</v>
      </c>
      <c r="EB181" s="57">
        <v>744.83</v>
      </c>
      <c r="EC181" s="57">
        <v>539.03</v>
      </c>
      <c r="ED181" s="57">
        <v>470.43</v>
      </c>
      <c r="EE181" s="57">
        <v>332.12</v>
      </c>
      <c r="EF181" s="57">
        <v>282.32</v>
      </c>
      <c r="EG181" s="57">
        <v>652.82000000000005</v>
      </c>
      <c r="EH181" s="57">
        <v>438.65</v>
      </c>
      <c r="EI181" s="57">
        <v>492.08</v>
      </c>
      <c r="EJ181" s="57">
        <v>212.33</v>
      </c>
      <c r="EK181" s="57">
        <v>329.77</v>
      </c>
      <c r="EL181" s="57">
        <v>1463.8</v>
      </c>
      <c r="EM181" s="57">
        <v>486.05</v>
      </c>
      <c r="EN181" s="57">
        <v>468.96</v>
      </c>
      <c r="EO181" s="57">
        <v>293.45</v>
      </c>
      <c r="EP181" s="57">
        <v>463.52</v>
      </c>
      <c r="EQ181" s="57">
        <v>610.46</v>
      </c>
      <c r="ER181" s="57">
        <v>714.95</v>
      </c>
      <c r="ES181" s="57">
        <v>568</v>
      </c>
      <c r="ET181" s="57">
        <v>578.54999999999995</v>
      </c>
      <c r="EU181" s="57">
        <v>480.98</v>
      </c>
      <c r="EV181" s="57">
        <v>503.81</v>
      </c>
      <c r="EW181" s="57">
        <v>446.13</v>
      </c>
      <c r="EX181" s="57">
        <v>489.26</v>
      </c>
      <c r="EY181" s="57">
        <v>251.85</v>
      </c>
      <c r="EZ181" s="57">
        <v>510.41</v>
      </c>
      <c r="FA181" s="57">
        <v>570.34</v>
      </c>
      <c r="FB181" s="57">
        <v>433.35</v>
      </c>
      <c r="FC181" s="57">
        <v>597.44000000000005</v>
      </c>
      <c r="FD181" s="57">
        <v>428.88</v>
      </c>
      <c r="FE181" s="57">
        <v>524.57000000000005</v>
      </c>
      <c r="FF181" s="57">
        <v>99.82</v>
      </c>
      <c r="FG181" s="57">
        <v>378.63</v>
      </c>
      <c r="FH181" s="57">
        <v>374.58</v>
      </c>
      <c r="FI181" s="57">
        <v>523.61</v>
      </c>
      <c r="FJ181" s="57">
        <v>473.64</v>
      </c>
      <c r="FK181" s="57">
        <v>803.23</v>
      </c>
      <c r="FL181" s="57">
        <v>380.62</v>
      </c>
      <c r="FM181" s="57">
        <v>407.96</v>
      </c>
      <c r="FN181" s="57">
        <v>407.62</v>
      </c>
      <c r="FO181" s="57">
        <v>786.38</v>
      </c>
      <c r="FP181" s="57">
        <v>465.73</v>
      </c>
      <c r="FQ181" s="57">
        <v>460.88</v>
      </c>
      <c r="FR181" s="57">
        <v>715.42</v>
      </c>
      <c r="FS181" s="57">
        <v>565.30999999999995</v>
      </c>
      <c r="FT181" s="57">
        <v>308.16000000000003</v>
      </c>
      <c r="FU181" s="57">
        <v>509.41</v>
      </c>
      <c r="FV181" s="57">
        <v>387.89</v>
      </c>
      <c r="FW181" s="57">
        <v>303.12</v>
      </c>
      <c r="FX181" s="57">
        <v>510.58</v>
      </c>
      <c r="FY181" s="57">
        <v>468.04</v>
      </c>
      <c r="FZ181" s="57">
        <v>465.13</v>
      </c>
      <c r="GA181" s="57">
        <v>341.44</v>
      </c>
      <c r="GB181" s="57">
        <v>377.83</v>
      </c>
      <c r="GC181" s="57">
        <v>352.85</v>
      </c>
      <c r="GD181" s="57">
        <v>310.04000000000002</v>
      </c>
      <c r="GE181" s="57">
        <v>1107.96</v>
      </c>
      <c r="GF181" s="57">
        <v>572.45000000000005</v>
      </c>
      <c r="GG181" s="57">
        <v>972.26</v>
      </c>
      <c r="GH181" s="57">
        <v>837.62</v>
      </c>
      <c r="GI181" s="57">
        <v>230.5</v>
      </c>
      <c r="GJ181" s="57">
        <v>198.26</v>
      </c>
      <c r="GK181" s="57">
        <v>194.8</v>
      </c>
      <c r="GL181" s="57">
        <v>312.17</v>
      </c>
      <c r="GM181" s="57">
        <v>299.58999999999997</v>
      </c>
      <c r="GN181" s="57">
        <v>416.8</v>
      </c>
      <c r="GO181" s="57">
        <v>282.69</v>
      </c>
      <c r="GP181" s="57">
        <v>252.64</v>
      </c>
      <c r="GQ181" s="57">
        <v>256.74</v>
      </c>
      <c r="GR181" s="57">
        <v>496.47</v>
      </c>
      <c r="GS181" s="57">
        <v>511.22</v>
      </c>
      <c r="GT181" s="57">
        <v>456.02</v>
      </c>
      <c r="GU181" s="57">
        <v>345.69</v>
      </c>
      <c r="GV181" s="57">
        <v>402.66</v>
      </c>
      <c r="GW181" s="57">
        <v>434.6</v>
      </c>
      <c r="GX181" s="57">
        <v>470.95</v>
      </c>
      <c r="GY181" s="57">
        <v>508.79</v>
      </c>
      <c r="GZ181" s="57">
        <v>527.41999999999996</v>
      </c>
      <c r="HA181" s="57">
        <v>400.23</v>
      </c>
      <c r="HB181" s="57">
        <v>417.44</v>
      </c>
      <c r="HC181" s="57">
        <v>393.89</v>
      </c>
      <c r="HD181" s="57">
        <v>360.64</v>
      </c>
      <c r="HE181" s="57">
        <v>218.84</v>
      </c>
      <c r="HF181" s="57">
        <v>253.73</v>
      </c>
      <c r="HG181" s="57">
        <v>315.41000000000003</v>
      </c>
      <c r="HH181" s="57">
        <v>374.31</v>
      </c>
      <c r="HI181" s="57">
        <v>174.72</v>
      </c>
      <c r="HJ181" s="57">
        <v>315</v>
      </c>
      <c r="HK181" s="57">
        <v>576.5</v>
      </c>
      <c r="HL181" s="57">
        <v>363.95</v>
      </c>
      <c r="HM181" s="57">
        <v>441.05</v>
      </c>
      <c r="HN181" s="57">
        <v>446.58</v>
      </c>
      <c r="HO181" s="57">
        <v>345.69</v>
      </c>
      <c r="HP181" s="57">
        <v>502.88</v>
      </c>
      <c r="HQ181" s="57">
        <v>267.10000000000002</v>
      </c>
      <c r="HR181" s="57">
        <v>427.49</v>
      </c>
      <c r="HS181" s="57">
        <v>572.9</v>
      </c>
      <c r="HT181" s="57">
        <v>366.91</v>
      </c>
      <c r="HU181" s="57">
        <v>204.32</v>
      </c>
      <c r="HV181" s="57">
        <v>305.69</v>
      </c>
      <c r="HW181" s="57">
        <v>170.58</v>
      </c>
      <c r="HX181" s="57">
        <v>214.73</v>
      </c>
      <c r="HY181" s="57">
        <v>258.77</v>
      </c>
      <c r="HZ181" s="57">
        <v>361.18</v>
      </c>
      <c r="IA181" s="57">
        <v>162.35</v>
      </c>
      <c r="IB181" s="57">
        <v>419.82</v>
      </c>
      <c r="IC181" s="57">
        <v>315.20999999999998</v>
      </c>
      <c r="ID181" s="57">
        <v>359.17</v>
      </c>
      <c r="IE181" s="57">
        <v>293</v>
      </c>
      <c r="IF181" s="57">
        <v>388.07</v>
      </c>
      <c r="IG181" s="57">
        <v>503.57</v>
      </c>
      <c r="IH181" s="57">
        <v>360.18</v>
      </c>
      <c r="II181" s="57">
        <v>623.91999999999996</v>
      </c>
      <c r="IJ181" s="57">
        <v>704.98</v>
      </c>
      <c r="IK181" s="57">
        <v>404.68</v>
      </c>
      <c r="IL181" s="57">
        <v>249.67</v>
      </c>
      <c r="IM181" s="57">
        <v>439.68</v>
      </c>
      <c r="IN181" s="57">
        <v>393.86</v>
      </c>
      <c r="IO181" s="57">
        <v>438.08</v>
      </c>
      <c r="IP181" s="57">
        <v>237.19</v>
      </c>
      <c r="IQ181" s="57">
        <v>375.49</v>
      </c>
      <c r="IR181" s="57">
        <v>548.64</v>
      </c>
      <c r="IS181" s="57">
        <v>748.37</v>
      </c>
      <c r="IT181" s="57">
        <v>39.340000000000003</v>
      </c>
      <c r="IU181" s="57">
        <v>174.01</v>
      </c>
      <c r="IV181" s="57">
        <v>50.78</v>
      </c>
      <c r="IW181" s="57">
        <v>135.86000000000001</v>
      </c>
      <c r="IX181" s="57">
        <v>212.24</v>
      </c>
      <c r="IY181" s="57">
        <v>489.99</v>
      </c>
      <c r="IZ181" s="57">
        <v>492.68</v>
      </c>
      <c r="JA181" s="57">
        <v>364.64</v>
      </c>
      <c r="JB181" s="57">
        <v>105.27</v>
      </c>
      <c r="JC181" s="57">
        <v>435.22</v>
      </c>
      <c r="JD181" s="57">
        <v>428.48</v>
      </c>
      <c r="JE181" s="57">
        <v>430.42</v>
      </c>
      <c r="JF181" s="57">
        <v>278.23</v>
      </c>
      <c r="JG181" s="57">
        <v>375.96</v>
      </c>
      <c r="JH181" s="57">
        <v>560.02</v>
      </c>
      <c r="JI181" s="57">
        <v>497.64</v>
      </c>
      <c r="JJ181" s="57">
        <v>506.69</v>
      </c>
      <c r="JK181" s="57">
        <v>744.83</v>
      </c>
      <c r="JL181" s="57">
        <v>539.03</v>
      </c>
      <c r="JM181" s="57">
        <v>470.43</v>
      </c>
      <c r="JN181" s="57">
        <v>332.12</v>
      </c>
      <c r="JO181" s="57">
        <v>282.32</v>
      </c>
      <c r="JP181" s="57">
        <v>683.06</v>
      </c>
      <c r="JQ181" s="57">
        <v>582.22</v>
      </c>
      <c r="JR181" s="57">
        <v>421.48</v>
      </c>
      <c r="JS181" s="57">
        <v>463.89</v>
      </c>
      <c r="JT181" s="57">
        <v>561.70000000000005</v>
      </c>
      <c r="JU181" s="57">
        <v>427.61</v>
      </c>
      <c r="JV181" s="57">
        <v>212.33</v>
      </c>
      <c r="JW181" s="57">
        <v>329.77</v>
      </c>
      <c r="JX181" s="57">
        <v>1463.8</v>
      </c>
      <c r="JY181" s="57">
        <v>483.53</v>
      </c>
      <c r="JZ181" s="57">
        <v>474.44</v>
      </c>
      <c r="KA181" s="57">
        <v>468.96</v>
      </c>
      <c r="KB181" s="57">
        <v>293.45</v>
      </c>
      <c r="KC181" s="57">
        <v>463.52</v>
      </c>
      <c r="KD181" s="57">
        <v>610.46</v>
      </c>
      <c r="KE181" s="57">
        <v>714.95</v>
      </c>
      <c r="KF181" s="57">
        <v>568</v>
      </c>
    </row>
    <row r="182" spans="1:292">
      <c r="A182" s="41">
        <v>2019</v>
      </c>
      <c r="B182" s="54" t="s">
        <v>993</v>
      </c>
      <c r="C182" s="50" t="s">
        <v>994</v>
      </c>
      <c r="D182" s="57">
        <v>427.04</v>
      </c>
      <c r="E182" s="57">
        <v>480.79</v>
      </c>
      <c r="F182" s="57">
        <v>866.61</v>
      </c>
      <c r="G182" s="57">
        <v>235.87</v>
      </c>
      <c r="H182" s="57">
        <v>467.95</v>
      </c>
      <c r="I182" s="57">
        <v>366.9</v>
      </c>
      <c r="J182" s="57">
        <v>256.37</v>
      </c>
      <c r="K182" s="57">
        <v>416.46</v>
      </c>
      <c r="L182" s="57">
        <v>149.25</v>
      </c>
      <c r="M182" s="57">
        <v>290.38</v>
      </c>
      <c r="N182" s="57">
        <v>407.32</v>
      </c>
      <c r="O182" s="57">
        <v>649.38</v>
      </c>
      <c r="P182" s="57">
        <v>574.97</v>
      </c>
      <c r="Q182" s="57">
        <v>485.14</v>
      </c>
      <c r="R182" s="57">
        <v>418.58</v>
      </c>
      <c r="S182" s="57">
        <v>1019.54</v>
      </c>
      <c r="T182" s="57">
        <v>855.18</v>
      </c>
      <c r="U182" s="57">
        <v>224.25</v>
      </c>
      <c r="V182" s="57">
        <v>272.63</v>
      </c>
      <c r="W182" s="57">
        <v>515.79999999999995</v>
      </c>
      <c r="X182" s="57">
        <v>457.97</v>
      </c>
      <c r="Y182" s="57">
        <v>348.49</v>
      </c>
      <c r="Z182" s="57">
        <v>482.99</v>
      </c>
      <c r="AA182" s="57">
        <v>414.53</v>
      </c>
      <c r="AB182" s="57">
        <v>361.12</v>
      </c>
      <c r="AC182" s="57">
        <v>298.83</v>
      </c>
      <c r="AD182" s="57">
        <v>414.89</v>
      </c>
      <c r="AE182" s="57">
        <v>422.12</v>
      </c>
      <c r="AF182" s="57">
        <v>344.64</v>
      </c>
      <c r="AG182" s="57">
        <v>198.53</v>
      </c>
      <c r="AH182" s="57">
        <v>284.8</v>
      </c>
      <c r="AI182" s="57">
        <v>425.97</v>
      </c>
      <c r="AJ182" s="57">
        <v>345.8</v>
      </c>
      <c r="AK182" s="57">
        <v>422.36</v>
      </c>
      <c r="AL182" s="57">
        <v>458.61</v>
      </c>
      <c r="AM182" s="57">
        <v>748.37</v>
      </c>
      <c r="AN182" s="57">
        <v>39.340000000000003</v>
      </c>
      <c r="AO182" s="57">
        <v>173.86</v>
      </c>
      <c r="AP182" s="57">
        <v>86.47</v>
      </c>
      <c r="AQ182" s="57">
        <v>506.82</v>
      </c>
      <c r="AR182" s="57">
        <v>464.85</v>
      </c>
      <c r="AS182" s="57">
        <v>367.47</v>
      </c>
      <c r="AT182" s="57">
        <v>527.19000000000005</v>
      </c>
      <c r="AU182" s="57">
        <v>691.99</v>
      </c>
      <c r="AV182" s="57">
        <v>542.21</v>
      </c>
      <c r="AW182" s="57">
        <v>472.69</v>
      </c>
      <c r="AX182" s="57">
        <v>333.4</v>
      </c>
      <c r="AY182" s="57">
        <v>293.45</v>
      </c>
      <c r="AZ182" s="57">
        <v>659.45</v>
      </c>
      <c r="BA182" s="57">
        <v>459.62</v>
      </c>
      <c r="BB182" s="57">
        <v>372.34</v>
      </c>
      <c r="BC182" s="57">
        <v>1179.8699999999999</v>
      </c>
      <c r="BD182" s="57">
        <v>499.89</v>
      </c>
      <c r="BE182" s="57">
        <v>581.09</v>
      </c>
      <c r="BF182" s="57">
        <v>714.95</v>
      </c>
      <c r="BG182" s="57">
        <v>568.4</v>
      </c>
      <c r="BH182" s="57">
        <v>497.78</v>
      </c>
      <c r="BI182" s="57">
        <v>496.21</v>
      </c>
      <c r="BJ182" s="57">
        <v>447.25</v>
      </c>
      <c r="BK182" s="57">
        <v>454.74</v>
      </c>
      <c r="BL182" s="57">
        <v>458.05</v>
      </c>
      <c r="BM182" s="57">
        <v>450.9</v>
      </c>
      <c r="BN182" s="57">
        <v>519.37</v>
      </c>
      <c r="BO182" s="57">
        <v>371.09</v>
      </c>
      <c r="BP182" s="57">
        <v>522.08000000000004</v>
      </c>
      <c r="BQ182" s="57">
        <v>500.78</v>
      </c>
      <c r="BR182" s="57">
        <v>356.27</v>
      </c>
      <c r="BS182" s="57">
        <v>1106.67</v>
      </c>
      <c r="BT182" s="57">
        <v>581.22</v>
      </c>
      <c r="BU182" s="57">
        <v>972.08</v>
      </c>
      <c r="BV182" s="57">
        <v>855.18</v>
      </c>
      <c r="BW182" s="57">
        <v>216.21</v>
      </c>
      <c r="BX182" s="57">
        <v>304.06</v>
      </c>
      <c r="BY182" s="57">
        <v>425.03</v>
      </c>
      <c r="BZ182" s="57">
        <v>271.54000000000002</v>
      </c>
      <c r="CA182" s="57">
        <v>501.35</v>
      </c>
      <c r="CB182" s="58">
        <v>515.79999999999995</v>
      </c>
      <c r="CC182" s="57">
        <v>457.97</v>
      </c>
      <c r="CD182" s="57">
        <v>347.15</v>
      </c>
      <c r="CE182" s="57">
        <v>402.66</v>
      </c>
      <c r="CF182" s="57">
        <v>515.82000000000005</v>
      </c>
      <c r="CG182" s="57">
        <v>509.87</v>
      </c>
      <c r="CH182" s="57">
        <v>422.85</v>
      </c>
      <c r="CI182" s="57">
        <v>399.6</v>
      </c>
      <c r="CJ182" s="57">
        <v>361.12</v>
      </c>
      <c r="CK182" s="57">
        <v>274.14</v>
      </c>
      <c r="CL182" s="57">
        <v>310.3</v>
      </c>
      <c r="CM182" s="57">
        <v>585.67999999999995</v>
      </c>
      <c r="CN182" s="57">
        <v>414.89</v>
      </c>
      <c r="CO182" s="57">
        <v>422.12</v>
      </c>
      <c r="CP182" s="57">
        <v>287.63</v>
      </c>
      <c r="CQ182" s="57">
        <v>572.48</v>
      </c>
      <c r="CR182" s="57">
        <v>204.33</v>
      </c>
      <c r="CS182" s="57">
        <v>307.24</v>
      </c>
      <c r="CT182" s="57">
        <v>189.77</v>
      </c>
      <c r="CU182" s="57">
        <v>259.08999999999997</v>
      </c>
      <c r="CV182" s="57">
        <v>363.74</v>
      </c>
      <c r="CW182" s="57">
        <v>178.77</v>
      </c>
      <c r="CX182" s="57">
        <v>425.97</v>
      </c>
      <c r="CY182" s="57">
        <v>346.52</v>
      </c>
      <c r="CZ182" s="57">
        <v>294.13</v>
      </c>
      <c r="DA182" s="57">
        <v>387.86</v>
      </c>
      <c r="DB182" s="57">
        <v>504.42</v>
      </c>
      <c r="DC182" s="57">
        <v>370.26</v>
      </c>
      <c r="DD182" s="57">
        <v>622.64</v>
      </c>
      <c r="DE182" s="57">
        <v>685.16</v>
      </c>
      <c r="DF182" s="57">
        <v>334.98</v>
      </c>
      <c r="DG182" s="57">
        <v>474.45</v>
      </c>
      <c r="DH182" s="57">
        <v>239.57</v>
      </c>
      <c r="DI182" s="57">
        <v>375.8</v>
      </c>
      <c r="DJ182" s="57">
        <v>551.86</v>
      </c>
      <c r="DK182" s="57">
        <v>748.37</v>
      </c>
      <c r="DL182" s="57">
        <v>39.340000000000003</v>
      </c>
      <c r="DM182" s="57">
        <v>173.86</v>
      </c>
      <c r="DN182" s="57">
        <v>50.68</v>
      </c>
      <c r="DO182" s="57">
        <v>133.37</v>
      </c>
      <c r="DP182" s="57">
        <v>213.06</v>
      </c>
      <c r="DQ182" s="57">
        <v>506.82</v>
      </c>
      <c r="DR182" s="57">
        <v>492.92</v>
      </c>
      <c r="DS182" s="57">
        <v>366.35</v>
      </c>
      <c r="DT182" s="57">
        <v>108</v>
      </c>
      <c r="DU182" s="57">
        <v>435.9</v>
      </c>
      <c r="DV182" s="57">
        <v>440.18</v>
      </c>
      <c r="DW182" s="57">
        <v>301.51</v>
      </c>
      <c r="DX182" s="57">
        <v>375.96</v>
      </c>
      <c r="DY182" s="57">
        <v>559.12</v>
      </c>
      <c r="DZ182" s="57">
        <v>517.46</v>
      </c>
      <c r="EA182" s="57">
        <v>516</v>
      </c>
      <c r="EB182" s="57">
        <v>691.99</v>
      </c>
      <c r="EC182" s="57">
        <v>542.21</v>
      </c>
      <c r="ED182" s="57">
        <v>472.69</v>
      </c>
      <c r="EE182" s="57">
        <v>333.4</v>
      </c>
      <c r="EF182" s="57">
        <v>293.45</v>
      </c>
      <c r="EG182" s="57">
        <v>659.45</v>
      </c>
      <c r="EH182" s="57">
        <v>459.62</v>
      </c>
      <c r="EI182" s="57">
        <v>499.59</v>
      </c>
      <c r="EJ182" s="57">
        <v>214.43</v>
      </c>
      <c r="EK182" s="57">
        <v>338.59</v>
      </c>
      <c r="EL182" s="57">
        <v>1497.11</v>
      </c>
      <c r="EM182" s="57">
        <v>489.79</v>
      </c>
      <c r="EN182" s="57">
        <v>499.89</v>
      </c>
      <c r="EO182" s="57">
        <v>325.22000000000003</v>
      </c>
      <c r="EP182" s="57">
        <v>469.49</v>
      </c>
      <c r="EQ182" s="57">
        <v>615.23</v>
      </c>
      <c r="ER182" s="57">
        <v>714.95</v>
      </c>
      <c r="ES182" s="57">
        <v>568.4</v>
      </c>
      <c r="ET182" s="57">
        <v>580.41</v>
      </c>
      <c r="EU182" s="57">
        <v>481.11</v>
      </c>
      <c r="EV182" s="57">
        <v>505.88</v>
      </c>
      <c r="EW182" s="57">
        <v>447.9</v>
      </c>
      <c r="EX182" s="57">
        <v>494.45</v>
      </c>
      <c r="EY182" s="57">
        <v>250.83</v>
      </c>
      <c r="EZ182" s="57">
        <v>509.6</v>
      </c>
      <c r="FA182" s="57">
        <v>575.16999999999996</v>
      </c>
      <c r="FB182" s="57">
        <v>387.84</v>
      </c>
      <c r="FC182" s="57">
        <v>604.48</v>
      </c>
      <c r="FD182" s="57">
        <v>429.69</v>
      </c>
      <c r="FE182" s="57">
        <v>449.95</v>
      </c>
      <c r="FF182" s="57">
        <v>99.47</v>
      </c>
      <c r="FG182" s="57">
        <v>377.73</v>
      </c>
      <c r="FH182" s="57">
        <v>362.2</v>
      </c>
      <c r="FI182" s="57">
        <v>525.15</v>
      </c>
      <c r="FJ182" s="57">
        <v>505.81</v>
      </c>
      <c r="FK182" s="57">
        <v>805.71</v>
      </c>
      <c r="FL182" s="57">
        <v>379.08</v>
      </c>
      <c r="FM182" s="57">
        <v>412.86</v>
      </c>
      <c r="FN182" s="57">
        <v>386.11</v>
      </c>
      <c r="FO182" s="57">
        <v>793.46</v>
      </c>
      <c r="FP182" s="57">
        <v>474.04</v>
      </c>
      <c r="FQ182" s="57">
        <v>404.58</v>
      </c>
      <c r="FR182" s="57">
        <v>714.2</v>
      </c>
      <c r="FS182" s="57">
        <v>565.94000000000005</v>
      </c>
      <c r="FT182" s="57">
        <v>308.20999999999998</v>
      </c>
      <c r="FU182" s="57">
        <v>514.74</v>
      </c>
      <c r="FV182" s="57">
        <v>390.78</v>
      </c>
      <c r="FW182" s="57">
        <v>303.95</v>
      </c>
      <c r="FX182" s="57">
        <v>522.08000000000004</v>
      </c>
      <c r="FY182" s="57">
        <v>470.16</v>
      </c>
      <c r="FZ182" s="57">
        <v>509.22</v>
      </c>
      <c r="GA182" s="57">
        <v>354.88</v>
      </c>
      <c r="GB182" s="57">
        <v>380.14</v>
      </c>
      <c r="GC182" s="57">
        <v>353.52</v>
      </c>
      <c r="GD182" s="57">
        <v>306.14999999999998</v>
      </c>
      <c r="GE182" s="57">
        <v>1106.67</v>
      </c>
      <c r="GF182" s="57">
        <v>581.22</v>
      </c>
      <c r="GG182" s="57">
        <v>972.08</v>
      </c>
      <c r="GH182" s="57">
        <v>853.75</v>
      </c>
      <c r="GI182" s="57">
        <v>235.07</v>
      </c>
      <c r="GJ182" s="57">
        <v>202.42</v>
      </c>
      <c r="GK182" s="57">
        <v>200.76</v>
      </c>
      <c r="GL182" s="57">
        <v>318.12</v>
      </c>
      <c r="GM182" s="57">
        <v>304.06</v>
      </c>
      <c r="GN182" s="57">
        <v>425.03</v>
      </c>
      <c r="GO182" s="57">
        <v>285.42</v>
      </c>
      <c r="GP182" s="57">
        <v>260.95999999999998</v>
      </c>
      <c r="GQ182" s="57">
        <v>262.44</v>
      </c>
      <c r="GR182" s="57">
        <v>501.35</v>
      </c>
      <c r="GS182" s="57">
        <v>515.79999999999995</v>
      </c>
      <c r="GT182" s="57">
        <v>457.97</v>
      </c>
      <c r="GU182" s="57">
        <v>347.15</v>
      </c>
      <c r="GV182" s="57">
        <v>402.66</v>
      </c>
      <c r="GW182" s="57">
        <v>493.99</v>
      </c>
      <c r="GX182" s="57">
        <v>473.82</v>
      </c>
      <c r="GY182" s="57">
        <v>509.87</v>
      </c>
      <c r="GZ182" s="57">
        <v>530.36</v>
      </c>
      <c r="HA182" s="57">
        <v>402.71</v>
      </c>
      <c r="HB182" s="57">
        <v>415.68</v>
      </c>
      <c r="HC182" s="57">
        <v>399.6</v>
      </c>
      <c r="HD182" s="57">
        <v>361.12</v>
      </c>
      <c r="HE182" s="57">
        <v>223.9</v>
      </c>
      <c r="HF182" s="57">
        <v>260.77999999999997</v>
      </c>
      <c r="HG182" s="57">
        <v>325.39</v>
      </c>
      <c r="HH182" s="57">
        <v>376.45</v>
      </c>
      <c r="HI182" s="57">
        <v>174.72</v>
      </c>
      <c r="HJ182" s="57">
        <v>310.3</v>
      </c>
      <c r="HK182" s="57">
        <v>585.67999999999995</v>
      </c>
      <c r="HL182" s="57">
        <v>370.13</v>
      </c>
      <c r="HM182" s="57">
        <v>440.82</v>
      </c>
      <c r="HN182" s="57">
        <v>449.15</v>
      </c>
      <c r="HO182" s="57">
        <v>344.27</v>
      </c>
      <c r="HP182" s="57">
        <v>508.33</v>
      </c>
      <c r="HQ182" s="57">
        <v>267.70999999999998</v>
      </c>
      <c r="HR182" s="57">
        <v>433.17</v>
      </c>
      <c r="HS182" s="57">
        <v>578.32000000000005</v>
      </c>
      <c r="HT182" s="57">
        <v>371.95</v>
      </c>
      <c r="HU182" s="57">
        <v>204.33</v>
      </c>
      <c r="HV182" s="57">
        <v>307.24</v>
      </c>
      <c r="HW182" s="57">
        <v>169.49</v>
      </c>
      <c r="HX182" s="57">
        <v>216.62</v>
      </c>
      <c r="HY182" s="57">
        <v>259.08999999999997</v>
      </c>
      <c r="HZ182" s="57">
        <v>363.74</v>
      </c>
      <c r="IA182" s="57">
        <v>163.29</v>
      </c>
      <c r="IB182" s="57">
        <v>425.97</v>
      </c>
      <c r="IC182" s="57">
        <v>310.12</v>
      </c>
      <c r="ID182" s="57">
        <v>360.59</v>
      </c>
      <c r="IE182" s="57">
        <v>294.13</v>
      </c>
      <c r="IF182" s="57">
        <v>387.86</v>
      </c>
      <c r="IG182" s="57">
        <v>504.42</v>
      </c>
      <c r="IH182" s="57">
        <v>370.26</v>
      </c>
      <c r="II182" s="57">
        <v>622.64</v>
      </c>
      <c r="IJ182" s="57">
        <v>685.16</v>
      </c>
      <c r="IK182" s="57">
        <v>453.66</v>
      </c>
      <c r="IL182" s="57">
        <v>249.67</v>
      </c>
      <c r="IM182" s="57">
        <v>485.54</v>
      </c>
      <c r="IN182" s="57">
        <v>466.93</v>
      </c>
      <c r="IO182" s="57">
        <v>422.58</v>
      </c>
      <c r="IP182" s="57">
        <v>239.57</v>
      </c>
      <c r="IQ182" s="57">
        <v>375.8</v>
      </c>
      <c r="IR182" s="57">
        <v>551.86</v>
      </c>
      <c r="IS182" s="57">
        <v>748.37</v>
      </c>
      <c r="IT182" s="57">
        <v>39.340000000000003</v>
      </c>
      <c r="IU182" s="57">
        <v>173.86</v>
      </c>
      <c r="IV182" s="57">
        <v>50.69</v>
      </c>
      <c r="IW182" s="57">
        <v>133.37</v>
      </c>
      <c r="IX182" s="57">
        <v>213.06</v>
      </c>
      <c r="IY182" s="57">
        <v>506.82</v>
      </c>
      <c r="IZ182" s="57">
        <v>492.92</v>
      </c>
      <c r="JA182" s="57">
        <v>366.35</v>
      </c>
      <c r="JB182" s="57">
        <v>108</v>
      </c>
      <c r="JC182" s="57">
        <v>435.9</v>
      </c>
      <c r="JD182" s="57">
        <v>440.18</v>
      </c>
      <c r="JE182" s="57">
        <v>431.89</v>
      </c>
      <c r="JF182" s="57">
        <v>281.05</v>
      </c>
      <c r="JG182" s="57">
        <v>375.96</v>
      </c>
      <c r="JH182" s="57">
        <v>559.12</v>
      </c>
      <c r="JI182" s="57">
        <v>517.46</v>
      </c>
      <c r="JJ182" s="57">
        <v>516</v>
      </c>
      <c r="JK182" s="57">
        <v>691.99</v>
      </c>
      <c r="JL182" s="57">
        <v>542.21</v>
      </c>
      <c r="JM182" s="57">
        <v>472.69</v>
      </c>
      <c r="JN182" s="57">
        <v>333.4</v>
      </c>
      <c r="JO182" s="57">
        <v>293.45</v>
      </c>
      <c r="JP182" s="57">
        <v>689.86</v>
      </c>
      <c r="JQ182" s="57">
        <v>588.70000000000005</v>
      </c>
      <c r="JR182" s="57">
        <v>419.52</v>
      </c>
      <c r="JS182" s="57">
        <v>541.25</v>
      </c>
      <c r="JT182" s="57">
        <v>568.57000000000005</v>
      </c>
      <c r="JU182" s="57">
        <v>435.21</v>
      </c>
      <c r="JV182" s="57">
        <v>214.43</v>
      </c>
      <c r="JW182" s="57">
        <v>338.59</v>
      </c>
      <c r="JX182" s="57">
        <v>1497.11</v>
      </c>
      <c r="JY182" s="57">
        <v>488.82</v>
      </c>
      <c r="JZ182" s="57">
        <v>476.11</v>
      </c>
      <c r="KA182" s="57">
        <v>499.89</v>
      </c>
      <c r="KB182" s="57">
        <v>325.22000000000003</v>
      </c>
      <c r="KC182" s="57">
        <v>469.49</v>
      </c>
      <c r="KD182" s="57">
        <v>615.23</v>
      </c>
      <c r="KE182" s="57">
        <v>714.95</v>
      </c>
      <c r="KF182" s="57">
        <v>568.4</v>
      </c>
    </row>
    <row r="183" spans="1:292">
      <c r="A183" s="41">
        <v>2019</v>
      </c>
      <c r="B183" s="54" t="s">
        <v>995</v>
      </c>
      <c r="C183" s="50" t="s">
        <v>996</v>
      </c>
      <c r="D183" s="57">
        <v>435.59</v>
      </c>
      <c r="E183" s="57">
        <v>488.73</v>
      </c>
      <c r="F183" s="57">
        <v>866.63</v>
      </c>
      <c r="G183" s="57">
        <v>263.47000000000003</v>
      </c>
      <c r="H183" s="57">
        <v>484.55</v>
      </c>
      <c r="I183" s="57">
        <v>370.44</v>
      </c>
      <c r="J183" s="57">
        <v>257.5</v>
      </c>
      <c r="K183" s="57">
        <v>421.32</v>
      </c>
      <c r="L183" s="57">
        <v>151.38</v>
      </c>
      <c r="M183" s="57">
        <v>288.68</v>
      </c>
      <c r="N183" s="57">
        <v>408.07</v>
      </c>
      <c r="O183" s="57">
        <v>652.6</v>
      </c>
      <c r="P183" s="57">
        <v>576.33000000000004</v>
      </c>
      <c r="Q183" s="57">
        <v>493.61</v>
      </c>
      <c r="R183" s="57">
        <v>420.46</v>
      </c>
      <c r="S183" s="57">
        <v>1019.92</v>
      </c>
      <c r="T183" s="57">
        <v>855.18</v>
      </c>
      <c r="U183" s="57">
        <v>252.15</v>
      </c>
      <c r="V183" s="57">
        <v>298.31</v>
      </c>
      <c r="W183" s="57">
        <v>519.41</v>
      </c>
      <c r="X183" s="57">
        <v>460.74</v>
      </c>
      <c r="Y183" s="57">
        <v>351.11</v>
      </c>
      <c r="Z183" s="57">
        <v>518.35</v>
      </c>
      <c r="AA183" s="57">
        <v>424.96</v>
      </c>
      <c r="AB183" s="57">
        <v>357.13</v>
      </c>
      <c r="AC183" s="57">
        <v>299.82</v>
      </c>
      <c r="AD183" s="57">
        <v>417.55</v>
      </c>
      <c r="AE183" s="57">
        <v>426.95</v>
      </c>
      <c r="AF183" s="57">
        <v>345.69</v>
      </c>
      <c r="AG183" s="57">
        <v>198.99</v>
      </c>
      <c r="AH183" s="57">
        <v>286.04000000000002</v>
      </c>
      <c r="AI183" s="57">
        <v>429.49</v>
      </c>
      <c r="AJ183" s="57">
        <v>348.34</v>
      </c>
      <c r="AK183" s="57">
        <v>430.51</v>
      </c>
      <c r="AL183" s="57">
        <v>461.96</v>
      </c>
      <c r="AM183" s="57">
        <v>748.37</v>
      </c>
      <c r="AN183" s="57">
        <v>38.39</v>
      </c>
      <c r="AO183" s="57">
        <v>178.12</v>
      </c>
      <c r="AP183" s="57">
        <v>85.25</v>
      </c>
      <c r="AQ183" s="57">
        <v>514.12</v>
      </c>
      <c r="AR183" s="57">
        <v>459.85</v>
      </c>
      <c r="AS183" s="57">
        <v>371.91</v>
      </c>
      <c r="AT183" s="57">
        <v>536.84</v>
      </c>
      <c r="AU183" s="57">
        <v>658.67</v>
      </c>
      <c r="AV183" s="57">
        <v>541.94000000000005</v>
      </c>
      <c r="AW183" s="57">
        <v>472.72</v>
      </c>
      <c r="AX183" s="57">
        <v>333.4</v>
      </c>
      <c r="AY183" s="57">
        <v>299.38</v>
      </c>
      <c r="AZ183" s="57">
        <v>664.38</v>
      </c>
      <c r="BA183" s="57">
        <v>455.1</v>
      </c>
      <c r="BB183" s="57">
        <v>372.77</v>
      </c>
      <c r="BC183" s="57">
        <v>1184.83</v>
      </c>
      <c r="BD183" s="57">
        <v>502.47</v>
      </c>
      <c r="BE183" s="57">
        <v>582.21</v>
      </c>
      <c r="BF183" s="57">
        <v>734.13</v>
      </c>
      <c r="BG183" s="57">
        <v>568.57000000000005</v>
      </c>
      <c r="BH183" s="57">
        <v>503.28</v>
      </c>
      <c r="BI183" s="57">
        <v>490.31</v>
      </c>
      <c r="BJ183" s="57">
        <v>459.74</v>
      </c>
      <c r="BK183" s="57">
        <v>454.9</v>
      </c>
      <c r="BL183" s="57">
        <v>460.03</v>
      </c>
      <c r="BM183" s="57">
        <v>465.51</v>
      </c>
      <c r="BN183" s="57">
        <v>561.42999999999995</v>
      </c>
      <c r="BO183" s="57">
        <v>373.12</v>
      </c>
      <c r="BP183" s="57">
        <v>533.45000000000005</v>
      </c>
      <c r="BQ183" s="57">
        <v>506</v>
      </c>
      <c r="BR183" s="57">
        <v>356.32</v>
      </c>
      <c r="BS183" s="57">
        <v>1105.45</v>
      </c>
      <c r="BT183" s="57">
        <v>586.26</v>
      </c>
      <c r="BU183" s="57">
        <v>972.32</v>
      </c>
      <c r="BV183" s="57">
        <v>855.18</v>
      </c>
      <c r="BW183" s="57">
        <v>245.15</v>
      </c>
      <c r="BX183" s="57">
        <v>316.49</v>
      </c>
      <c r="BY183" s="57">
        <v>434.36</v>
      </c>
      <c r="BZ183" s="57">
        <v>297.20999999999998</v>
      </c>
      <c r="CA183" s="57">
        <v>509.25</v>
      </c>
      <c r="CB183" s="58">
        <v>519.41</v>
      </c>
      <c r="CC183" s="57">
        <v>460.74</v>
      </c>
      <c r="CD183" s="57">
        <v>349.76</v>
      </c>
      <c r="CE183" s="57">
        <v>462.65</v>
      </c>
      <c r="CF183" s="57">
        <v>521.65</v>
      </c>
      <c r="CG183" s="57">
        <v>515.54</v>
      </c>
      <c r="CH183" s="57">
        <v>433.89</v>
      </c>
      <c r="CI183" s="57">
        <v>405.76</v>
      </c>
      <c r="CJ183" s="57">
        <v>357.13</v>
      </c>
      <c r="CK183" s="57">
        <v>275.10000000000002</v>
      </c>
      <c r="CL183" s="57">
        <v>306.39999999999998</v>
      </c>
      <c r="CM183" s="57">
        <v>598.11</v>
      </c>
      <c r="CN183" s="57">
        <v>417.55</v>
      </c>
      <c r="CO183" s="57">
        <v>426.95</v>
      </c>
      <c r="CP183" s="57">
        <v>287.8</v>
      </c>
      <c r="CQ183" s="57">
        <v>577.19000000000005</v>
      </c>
      <c r="CR183" s="57">
        <v>204.33</v>
      </c>
      <c r="CS183" s="57">
        <v>311</v>
      </c>
      <c r="CT183" s="57">
        <v>190.78</v>
      </c>
      <c r="CU183" s="57">
        <v>259.39999999999998</v>
      </c>
      <c r="CV183" s="57">
        <v>366.1</v>
      </c>
      <c r="CW183" s="57">
        <v>179.66</v>
      </c>
      <c r="CX183" s="57">
        <v>429.49</v>
      </c>
      <c r="CY183" s="57">
        <v>349.15</v>
      </c>
      <c r="CZ183" s="57">
        <v>294.7</v>
      </c>
      <c r="DA183" s="57">
        <v>389.01</v>
      </c>
      <c r="DB183" s="57">
        <v>508.51</v>
      </c>
      <c r="DC183" s="57">
        <v>380.13</v>
      </c>
      <c r="DD183" s="57">
        <v>623.84</v>
      </c>
      <c r="DE183" s="57">
        <v>677.99</v>
      </c>
      <c r="DF183" s="57">
        <v>388.24</v>
      </c>
      <c r="DG183" s="57">
        <v>471.25</v>
      </c>
      <c r="DH183" s="57">
        <v>263.37</v>
      </c>
      <c r="DI183" s="57">
        <v>376.13</v>
      </c>
      <c r="DJ183" s="57">
        <v>559.09</v>
      </c>
      <c r="DK183" s="57">
        <v>748.37</v>
      </c>
      <c r="DL183" s="57">
        <v>38.39</v>
      </c>
      <c r="DM183" s="57">
        <v>178.12</v>
      </c>
      <c r="DN183" s="57">
        <v>49.5</v>
      </c>
      <c r="DO183" s="57">
        <v>133.38</v>
      </c>
      <c r="DP183" s="57">
        <v>215.17</v>
      </c>
      <c r="DQ183" s="57">
        <v>514.12</v>
      </c>
      <c r="DR183" s="57">
        <v>492.74</v>
      </c>
      <c r="DS183" s="57">
        <v>369.41</v>
      </c>
      <c r="DT183" s="57">
        <v>102.32</v>
      </c>
      <c r="DU183" s="57">
        <v>436.27</v>
      </c>
      <c r="DV183" s="57">
        <v>445.57</v>
      </c>
      <c r="DW183" s="57">
        <v>305.45</v>
      </c>
      <c r="DX183" s="57">
        <v>375.96</v>
      </c>
      <c r="DY183" s="57">
        <v>565.73</v>
      </c>
      <c r="DZ183" s="57">
        <v>567.72</v>
      </c>
      <c r="EA183" s="57">
        <v>518.6</v>
      </c>
      <c r="EB183" s="57">
        <v>658.67</v>
      </c>
      <c r="EC183" s="57">
        <v>541.94000000000005</v>
      </c>
      <c r="ED183" s="57">
        <v>472.72</v>
      </c>
      <c r="EE183" s="57">
        <v>333.4</v>
      </c>
      <c r="EF183" s="57">
        <v>299.38</v>
      </c>
      <c r="EG183" s="57">
        <v>664.38</v>
      </c>
      <c r="EH183" s="57">
        <v>455.1</v>
      </c>
      <c r="EI183" s="57">
        <v>503.35</v>
      </c>
      <c r="EJ183" s="57">
        <v>213.15</v>
      </c>
      <c r="EK183" s="57">
        <v>338.19</v>
      </c>
      <c r="EL183" s="57">
        <v>1502.44</v>
      </c>
      <c r="EM183" s="57">
        <v>493.33</v>
      </c>
      <c r="EN183" s="57">
        <v>502.47</v>
      </c>
      <c r="EO183" s="57">
        <v>325.92</v>
      </c>
      <c r="EP183" s="57">
        <v>471.04</v>
      </c>
      <c r="EQ183" s="57">
        <v>616.25</v>
      </c>
      <c r="ER183" s="57">
        <v>734.13</v>
      </c>
      <c r="ES183" s="57">
        <v>568.57000000000005</v>
      </c>
      <c r="ET183" s="57">
        <v>576.15</v>
      </c>
      <c r="EU183" s="57">
        <v>486.84</v>
      </c>
      <c r="EV183" s="57">
        <v>511.97</v>
      </c>
      <c r="EW183" s="57">
        <v>452.83</v>
      </c>
      <c r="EX183" s="57">
        <v>510.08</v>
      </c>
      <c r="EY183" s="57">
        <v>253.59</v>
      </c>
      <c r="EZ183" s="57">
        <v>501.03</v>
      </c>
      <c r="FA183" s="57">
        <v>576.48</v>
      </c>
      <c r="FB183" s="57">
        <v>378.2</v>
      </c>
      <c r="FC183" s="57">
        <v>611.57000000000005</v>
      </c>
      <c r="FD183" s="57">
        <v>429.31</v>
      </c>
      <c r="FE183" s="57">
        <v>463.27</v>
      </c>
      <c r="FF183" s="57">
        <v>98.97</v>
      </c>
      <c r="FG183" s="57">
        <v>381.52</v>
      </c>
      <c r="FH183" s="57">
        <v>361.67</v>
      </c>
      <c r="FI183" s="57">
        <v>526.49</v>
      </c>
      <c r="FJ183" s="57">
        <v>496.85</v>
      </c>
      <c r="FK183" s="57">
        <v>806.7</v>
      </c>
      <c r="FL183" s="57">
        <v>377.96</v>
      </c>
      <c r="FM183" s="57">
        <v>415.45</v>
      </c>
      <c r="FN183" s="57">
        <v>401.65</v>
      </c>
      <c r="FO183" s="57">
        <v>804.98</v>
      </c>
      <c r="FP183" s="57">
        <v>543.92999999999995</v>
      </c>
      <c r="FQ183" s="57">
        <v>402.4</v>
      </c>
      <c r="FR183" s="57">
        <v>696.93</v>
      </c>
      <c r="FS183" s="57">
        <v>564.29</v>
      </c>
      <c r="FT183" s="57">
        <v>308.08</v>
      </c>
      <c r="FU183" s="57">
        <v>521.82000000000005</v>
      </c>
      <c r="FV183" s="57">
        <v>393.73</v>
      </c>
      <c r="FW183" s="57">
        <v>303.02999999999997</v>
      </c>
      <c r="FX183" s="57">
        <v>533.45000000000005</v>
      </c>
      <c r="FY183" s="57">
        <v>468.79</v>
      </c>
      <c r="FZ183" s="57">
        <v>515.83000000000004</v>
      </c>
      <c r="GA183" s="57">
        <v>367.15</v>
      </c>
      <c r="GB183" s="57">
        <v>379.9</v>
      </c>
      <c r="GC183" s="57">
        <v>353.48</v>
      </c>
      <c r="GD183" s="57">
        <v>307.14</v>
      </c>
      <c r="GE183" s="57">
        <v>1105.45</v>
      </c>
      <c r="GF183" s="57">
        <v>586.26</v>
      </c>
      <c r="GG183" s="57">
        <v>972.32</v>
      </c>
      <c r="GH183" s="57">
        <v>853.75</v>
      </c>
      <c r="GI183" s="57">
        <v>264.06</v>
      </c>
      <c r="GJ183" s="57">
        <v>233.12</v>
      </c>
      <c r="GK183" s="57">
        <v>225.91</v>
      </c>
      <c r="GL183" s="57">
        <v>335.8</v>
      </c>
      <c r="GM183" s="57">
        <v>316.49</v>
      </c>
      <c r="GN183" s="57">
        <v>434.36</v>
      </c>
      <c r="GO183" s="57">
        <v>310.2</v>
      </c>
      <c r="GP183" s="57">
        <v>288.32</v>
      </c>
      <c r="GQ183" s="57">
        <v>286.51</v>
      </c>
      <c r="GR183" s="57">
        <v>509.25</v>
      </c>
      <c r="GS183" s="57">
        <v>519.41</v>
      </c>
      <c r="GT183" s="57">
        <v>460.74</v>
      </c>
      <c r="GU183" s="57">
        <v>349.76</v>
      </c>
      <c r="GV183" s="57">
        <v>462.65</v>
      </c>
      <c r="GW183" s="57">
        <v>494.52</v>
      </c>
      <c r="GX183" s="57">
        <v>498.27</v>
      </c>
      <c r="GY183" s="57">
        <v>515.54</v>
      </c>
      <c r="GZ183" s="57">
        <v>539.46</v>
      </c>
      <c r="HA183" s="57">
        <v>416.38</v>
      </c>
      <c r="HB183" s="57">
        <v>425.71</v>
      </c>
      <c r="HC183" s="57">
        <v>405.76</v>
      </c>
      <c r="HD183" s="57">
        <v>357.13</v>
      </c>
      <c r="HE183" s="57">
        <v>225.45</v>
      </c>
      <c r="HF183" s="57">
        <v>263.60000000000002</v>
      </c>
      <c r="HG183" s="57">
        <v>324.23</v>
      </c>
      <c r="HH183" s="57">
        <v>373.51</v>
      </c>
      <c r="HI183" s="57">
        <v>174.33</v>
      </c>
      <c r="HJ183" s="57">
        <v>306.39999999999998</v>
      </c>
      <c r="HK183" s="57">
        <v>598.11</v>
      </c>
      <c r="HL183" s="57">
        <v>373.16</v>
      </c>
      <c r="HM183" s="57">
        <v>441.54</v>
      </c>
      <c r="HN183" s="57">
        <v>451.7</v>
      </c>
      <c r="HO183" s="57">
        <v>345.73</v>
      </c>
      <c r="HP183" s="57">
        <v>518.1</v>
      </c>
      <c r="HQ183" s="57">
        <v>267.52</v>
      </c>
      <c r="HR183" s="57">
        <v>435.45</v>
      </c>
      <c r="HS183" s="57">
        <v>583.27</v>
      </c>
      <c r="HT183" s="57">
        <v>374.15</v>
      </c>
      <c r="HU183" s="57">
        <v>204.33</v>
      </c>
      <c r="HV183" s="57">
        <v>311</v>
      </c>
      <c r="HW183" s="57">
        <v>170.09</v>
      </c>
      <c r="HX183" s="57">
        <v>218.35</v>
      </c>
      <c r="HY183" s="57">
        <v>259.39999999999998</v>
      </c>
      <c r="HZ183" s="57">
        <v>366.1</v>
      </c>
      <c r="IA183" s="57">
        <v>164.11</v>
      </c>
      <c r="IB183" s="57">
        <v>429.49</v>
      </c>
      <c r="IC183" s="57">
        <v>313.43</v>
      </c>
      <c r="ID183" s="57">
        <v>361.65</v>
      </c>
      <c r="IE183" s="57">
        <v>294.7</v>
      </c>
      <c r="IF183" s="57">
        <v>389.01</v>
      </c>
      <c r="IG183" s="57">
        <v>508.51</v>
      </c>
      <c r="IH183" s="57">
        <v>380.13</v>
      </c>
      <c r="II183" s="57">
        <v>623.84</v>
      </c>
      <c r="IJ183" s="57">
        <v>677.99</v>
      </c>
      <c r="IK183" s="57">
        <v>455.49</v>
      </c>
      <c r="IL183" s="57">
        <v>301.95999999999998</v>
      </c>
      <c r="IM183" s="57">
        <v>488.23</v>
      </c>
      <c r="IN183" s="57">
        <v>468.41</v>
      </c>
      <c r="IO183" s="57">
        <v>401.31</v>
      </c>
      <c r="IP183" s="57">
        <v>263.37</v>
      </c>
      <c r="IQ183" s="57">
        <v>376.13</v>
      </c>
      <c r="IR183" s="57">
        <v>559.09</v>
      </c>
      <c r="IS183" s="57">
        <v>748.37</v>
      </c>
      <c r="IT183" s="57">
        <v>38.39</v>
      </c>
      <c r="IU183" s="57">
        <v>178.12</v>
      </c>
      <c r="IV183" s="57">
        <v>49.51</v>
      </c>
      <c r="IW183" s="57">
        <v>133.38</v>
      </c>
      <c r="IX183" s="57">
        <v>215.17</v>
      </c>
      <c r="IY183" s="57">
        <v>514.12</v>
      </c>
      <c r="IZ183" s="57">
        <v>492.74</v>
      </c>
      <c r="JA183" s="57">
        <v>369.41</v>
      </c>
      <c r="JB183" s="57">
        <v>102.32</v>
      </c>
      <c r="JC183" s="57">
        <v>436.27</v>
      </c>
      <c r="JD183" s="57">
        <v>445.57</v>
      </c>
      <c r="JE183" s="57">
        <v>433.79</v>
      </c>
      <c r="JF183" s="57">
        <v>285.11</v>
      </c>
      <c r="JG183" s="57">
        <v>375.96</v>
      </c>
      <c r="JH183" s="57">
        <v>565.73</v>
      </c>
      <c r="JI183" s="57">
        <v>567.72</v>
      </c>
      <c r="JJ183" s="57">
        <v>518.6</v>
      </c>
      <c r="JK183" s="57">
        <v>658.67</v>
      </c>
      <c r="JL183" s="57">
        <v>541.94000000000005</v>
      </c>
      <c r="JM183" s="57">
        <v>472.72</v>
      </c>
      <c r="JN183" s="57">
        <v>333.4</v>
      </c>
      <c r="JO183" s="57">
        <v>299.38</v>
      </c>
      <c r="JP183" s="57">
        <v>694.63</v>
      </c>
      <c r="JQ183" s="57">
        <v>594.57000000000005</v>
      </c>
      <c r="JR183" s="57">
        <v>413.1</v>
      </c>
      <c r="JS183" s="57">
        <v>541.62</v>
      </c>
      <c r="JT183" s="57">
        <v>572.52</v>
      </c>
      <c r="JU183" s="57">
        <v>438.69</v>
      </c>
      <c r="JV183" s="57">
        <v>213.15</v>
      </c>
      <c r="JW183" s="57">
        <v>338.19</v>
      </c>
      <c r="JX183" s="57">
        <v>1502.44</v>
      </c>
      <c r="JY183" s="57">
        <v>493.18</v>
      </c>
      <c r="JZ183" s="57">
        <v>478.51</v>
      </c>
      <c r="KA183" s="57">
        <v>502.47</v>
      </c>
      <c r="KB183" s="57">
        <v>325.92</v>
      </c>
      <c r="KC183" s="57">
        <v>471.04</v>
      </c>
      <c r="KD183" s="57">
        <v>616.25</v>
      </c>
      <c r="KE183" s="57">
        <v>734.13</v>
      </c>
      <c r="KF183" s="57">
        <v>568.57000000000005</v>
      </c>
    </row>
    <row r="184" spans="1:292">
      <c r="A184" s="41">
        <v>2019</v>
      </c>
      <c r="B184" s="54" t="s">
        <v>997</v>
      </c>
      <c r="C184" s="50" t="s">
        <v>998</v>
      </c>
      <c r="D184" s="57">
        <v>437.25</v>
      </c>
      <c r="E184" s="57">
        <v>489.8</v>
      </c>
      <c r="F184" s="57">
        <v>866.66</v>
      </c>
      <c r="G184" s="57">
        <v>270.55</v>
      </c>
      <c r="H184" s="57">
        <v>486.29</v>
      </c>
      <c r="I184" s="57">
        <v>372.62</v>
      </c>
      <c r="J184" s="57">
        <v>258.10000000000002</v>
      </c>
      <c r="K184" s="57">
        <v>422.69</v>
      </c>
      <c r="L184" s="57">
        <v>151.97</v>
      </c>
      <c r="M184" s="57">
        <v>288.92</v>
      </c>
      <c r="N184" s="57">
        <v>408.68</v>
      </c>
      <c r="O184" s="57">
        <v>651.59</v>
      </c>
      <c r="P184" s="57">
        <v>573.79999999999995</v>
      </c>
      <c r="Q184" s="57">
        <v>494.72</v>
      </c>
      <c r="R184" s="57">
        <v>421.06</v>
      </c>
      <c r="S184" s="57">
        <v>1020.34</v>
      </c>
      <c r="T184" s="57">
        <v>855.18</v>
      </c>
      <c r="U184" s="57">
        <v>258.45</v>
      </c>
      <c r="V184" s="57">
        <v>308.08999999999997</v>
      </c>
      <c r="W184" s="57">
        <v>522.62</v>
      </c>
      <c r="X184" s="57">
        <v>462.03</v>
      </c>
      <c r="Y184" s="57">
        <v>351.13</v>
      </c>
      <c r="Z184" s="57">
        <v>519.80999999999995</v>
      </c>
      <c r="AA184" s="57">
        <v>425.16</v>
      </c>
      <c r="AB184" s="57">
        <v>359.26</v>
      </c>
      <c r="AC184" s="57">
        <v>304.77999999999997</v>
      </c>
      <c r="AD184" s="57">
        <v>417.96</v>
      </c>
      <c r="AE184" s="57">
        <v>424.12</v>
      </c>
      <c r="AF184" s="57">
        <v>346.9</v>
      </c>
      <c r="AG184" s="57">
        <v>199.4</v>
      </c>
      <c r="AH184" s="57">
        <v>286.89</v>
      </c>
      <c r="AI184" s="57">
        <v>430.03</v>
      </c>
      <c r="AJ184" s="57">
        <v>348.83</v>
      </c>
      <c r="AK184" s="57">
        <v>434.9</v>
      </c>
      <c r="AL184" s="57">
        <v>459.6</v>
      </c>
      <c r="AM184" s="57">
        <v>748.37</v>
      </c>
      <c r="AN184" s="57">
        <v>37.75</v>
      </c>
      <c r="AO184" s="57">
        <v>179.74</v>
      </c>
      <c r="AP184" s="57">
        <v>83.83</v>
      </c>
      <c r="AQ184" s="57">
        <v>519.85</v>
      </c>
      <c r="AR184" s="57">
        <v>472.45</v>
      </c>
      <c r="AS184" s="57">
        <v>372.7</v>
      </c>
      <c r="AT184" s="57">
        <v>542.72</v>
      </c>
      <c r="AU184" s="57">
        <v>650.20000000000005</v>
      </c>
      <c r="AV184" s="57">
        <v>541.94000000000005</v>
      </c>
      <c r="AW184" s="57">
        <v>472.72</v>
      </c>
      <c r="AX184" s="57">
        <v>333.4</v>
      </c>
      <c r="AY184" s="57">
        <v>303.89999999999998</v>
      </c>
      <c r="AZ184" s="57">
        <v>666.31</v>
      </c>
      <c r="BA184" s="57">
        <v>442.13</v>
      </c>
      <c r="BB184" s="57">
        <v>374.3</v>
      </c>
      <c r="BC184" s="57">
        <v>1163.8800000000001</v>
      </c>
      <c r="BD184" s="57">
        <v>503.54</v>
      </c>
      <c r="BE184" s="57">
        <v>578.58000000000004</v>
      </c>
      <c r="BF184" s="57">
        <v>734.13</v>
      </c>
      <c r="BG184" s="57">
        <v>568.66</v>
      </c>
      <c r="BH184" s="57">
        <v>509.53</v>
      </c>
      <c r="BI184" s="57">
        <v>489.45</v>
      </c>
      <c r="BJ184" s="57">
        <v>469.66</v>
      </c>
      <c r="BK184" s="57">
        <v>468.61</v>
      </c>
      <c r="BL184" s="57">
        <v>462.34</v>
      </c>
      <c r="BM184" s="57">
        <v>434.5</v>
      </c>
      <c r="BN184" s="57">
        <v>567.85</v>
      </c>
      <c r="BO184" s="57">
        <v>376.16</v>
      </c>
      <c r="BP184" s="57">
        <v>541.88</v>
      </c>
      <c r="BQ184" s="57">
        <v>506.4</v>
      </c>
      <c r="BR184" s="57">
        <v>356.99</v>
      </c>
      <c r="BS184" s="57">
        <v>1104.8900000000001</v>
      </c>
      <c r="BT184" s="57">
        <v>588.69000000000005</v>
      </c>
      <c r="BU184" s="57">
        <v>972.92</v>
      </c>
      <c r="BV184" s="57">
        <v>855.18</v>
      </c>
      <c r="BW184" s="57">
        <v>251.52</v>
      </c>
      <c r="BX184" s="57">
        <v>322.35000000000002</v>
      </c>
      <c r="BY184" s="57">
        <v>437.73</v>
      </c>
      <c r="BZ184" s="57">
        <v>307</v>
      </c>
      <c r="CA184" s="57">
        <v>511.24</v>
      </c>
      <c r="CB184" s="58">
        <v>522.62</v>
      </c>
      <c r="CC184" s="57">
        <v>462.03</v>
      </c>
      <c r="CD184" s="57">
        <v>349.78</v>
      </c>
      <c r="CE184" s="57">
        <v>462.65</v>
      </c>
      <c r="CF184" s="57">
        <v>524.48</v>
      </c>
      <c r="CG184" s="57">
        <v>518.30999999999995</v>
      </c>
      <c r="CH184" s="57">
        <v>433.88</v>
      </c>
      <c r="CI184" s="57">
        <v>408.02</v>
      </c>
      <c r="CJ184" s="57">
        <v>359.26</v>
      </c>
      <c r="CK184" s="57">
        <v>278</v>
      </c>
      <c r="CL184" s="57">
        <v>331.3</v>
      </c>
      <c r="CM184" s="57">
        <v>606.78</v>
      </c>
      <c r="CN184" s="57">
        <v>417.96</v>
      </c>
      <c r="CO184" s="57">
        <v>424.12</v>
      </c>
      <c r="CP184" s="57">
        <v>288.55</v>
      </c>
      <c r="CQ184" s="57">
        <v>580.27</v>
      </c>
      <c r="CR184" s="57">
        <v>204.35</v>
      </c>
      <c r="CS184" s="57">
        <v>312.77999999999997</v>
      </c>
      <c r="CT184" s="57">
        <v>192.01</v>
      </c>
      <c r="CU184" s="57">
        <v>259.66000000000003</v>
      </c>
      <c r="CV184" s="57">
        <v>367.66</v>
      </c>
      <c r="CW184" s="57">
        <v>180.3</v>
      </c>
      <c r="CX184" s="57">
        <v>430.03</v>
      </c>
      <c r="CY184" s="57">
        <v>349.6</v>
      </c>
      <c r="CZ184" s="57">
        <v>296.14</v>
      </c>
      <c r="DA184" s="57">
        <v>389.71</v>
      </c>
      <c r="DB184" s="57">
        <v>511.67</v>
      </c>
      <c r="DC184" s="57">
        <v>384.54</v>
      </c>
      <c r="DD184" s="57">
        <v>629.78</v>
      </c>
      <c r="DE184" s="57">
        <v>674.22</v>
      </c>
      <c r="DF184" s="57">
        <v>390.44</v>
      </c>
      <c r="DG184" s="57">
        <v>469.52</v>
      </c>
      <c r="DH184" s="57">
        <v>258.52</v>
      </c>
      <c r="DI184" s="57">
        <v>376.37</v>
      </c>
      <c r="DJ184" s="57">
        <v>561.27</v>
      </c>
      <c r="DK184" s="57">
        <v>748.37</v>
      </c>
      <c r="DL184" s="57">
        <v>37.75</v>
      </c>
      <c r="DM184" s="57">
        <v>179.74</v>
      </c>
      <c r="DN184" s="57">
        <v>48.6</v>
      </c>
      <c r="DO184" s="57">
        <v>131</v>
      </c>
      <c r="DP184" s="57">
        <v>217.78</v>
      </c>
      <c r="DQ184" s="57">
        <v>519.85</v>
      </c>
      <c r="DR184" s="57">
        <v>500.45</v>
      </c>
      <c r="DS184" s="57">
        <v>372.68</v>
      </c>
      <c r="DT184" s="57">
        <v>110.33</v>
      </c>
      <c r="DU184" s="57">
        <v>437.7</v>
      </c>
      <c r="DV184" s="57">
        <v>446.05</v>
      </c>
      <c r="DW184" s="57">
        <v>306.68</v>
      </c>
      <c r="DX184" s="57">
        <v>375.96</v>
      </c>
      <c r="DY184" s="57">
        <v>576.51</v>
      </c>
      <c r="DZ184" s="57">
        <v>567.72</v>
      </c>
      <c r="EA184" s="57">
        <v>520.33000000000004</v>
      </c>
      <c r="EB184" s="57">
        <v>650.20000000000005</v>
      </c>
      <c r="EC184" s="57">
        <v>541.94000000000005</v>
      </c>
      <c r="ED184" s="57">
        <v>472.72</v>
      </c>
      <c r="EE184" s="57">
        <v>333.4</v>
      </c>
      <c r="EF184" s="57">
        <v>303.89999999999998</v>
      </c>
      <c r="EG184" s="57">
        <v>666.31</v>
      </c>
      <c r="EH184" s="57">
        <v>442.13</v>
      </c>
      <c r="EI184" s="57">
        <v>505.41</v>
      </c>
      <c r="EJ184" s="57">
        <v>213.33</v>
      </c>
      <c r="EK184" s="57">
        <v>339.61</v>
      </c>
      <c r="EL184" s="57">
        <v>1469.12</v>
      </c>
      <c r="EM184" s="57">
        <v>494.92</v>
      </c>
      <c r="EN184" s="57">
        <v>503.54</v>
      </c>
      <c r="EO184" s="57">
        <v>327.22000000000003</v>
      </c>
      <c r="EP184" s="57">
        <v>478.18</v>
      </c>
      <c r="EQ184" s="57">
        <v>609.5</v>
      </c>
      <c r="ER184" s="57">
        <v>734.13</v>
      </c>
      <c r="ES184" s="57">
        <v>568.66</v>
      </c>
      <c r="ET184" s="57">
        <v>575.62</v>
      </c>
      <c r="EU184" s="57">
        <v>493.36</v>
      </c>
      <c r="EV184" s="57">
        <v>517.28</v>
      </c>
      <c r="EW184" s="57">
        <v>460.93</v>
      </c>
      <c r="EX184" s="57">
        <v>522.47</v>
      </c>
      <c r="EY184" s="57">
        <v>251.35</v>
      </c>
      <c r="EZ184" s="57">
        <v>494.97</v>
      </c>
      <c r="FA184" s="57">
        <v>574.6</v>
      </c>
      <c r="FB184" s="57">
        <v>387.56</v>
      </c>
      <c r="FC184" s="57">
        <v>627.86</v>
      </c>
      <c r="FD184" s="57">
        <v>427.81</v>
      </c>
      <c r="FE184" s="57">
        <v>473.65</v>
      </c>
      <c r="FF184" s="57">
        <v>99.4</v>
      </c>
      <c r="FG184" s="57">
        <v>399.11</v>
      </c>
      <c r="FH184" s="57">
        <v>378.83</v>
      </c>
      <c r="FI184" s="57">
        <v>533.16999999999996</v>
      </c>
      <c r="FJ184" s="57">
        <v>516.65</v>
      </c>
      <c r="FK184" s="57">
        <v>811.82</v>
      </c>
      <c r="FL184" s="57">
        <v>375.98</v>
      </c>
      <c r="FM184" s="57">
        <v>417.71</v>
      </c>
      <c r="FN184" s="57">
        <v>360.9</v>
      </c>
      <c r="FO184" s="57">
        <v>816.95</v>
      </c>
      <c r="FP184" s="57">
        <v>556.73</v>
      </c>
      <c r="FQ184" s="57">
        <v>394.66</v>
      </c>
      <c r="FR184" s="57">
        <v>701.1</v>
      </c>
      <c r="FS184" s="57">
        <v>561.04</v>
      </c>
      <c r="FT184" s="57">
        <v>310.85000000000002</v>
      </c>
      <c r="FU184" s="57">
        <v>526.89</v>
      </c>
      <c r="FV184" s="57">
        <v>399.27</v>
      </c>
      <c r="FW184" s="57">
        <v>299.29000000000002</v>
      </c>
      <c r="FX184" s="57">
        <v>541.88</v>
      </c>
      <c r="FY184" s="57">
        <v>467.24</v>
      </c>
      <c r="FZ184" s="57">
        <v>516.63</v>
      </c>
      <c r="GA184" s="57">
        <v>370.65</v>
      </c>
      <c r="GB184" s="57">
        <v>380.62</v>
      </c>
      <c r="GC184" s="57">
        <v>354.15</v>
      </c>
      <c r="GD184" s="57">
        <v>307.7</v>
      </c>
      <c r="GE184" s="57">
        <v>1104.8900000000001</v>
      </c>
      <c r="GF184" s="57">
        <v>588.69000000000005</v>
      </c>
      <c r="GG184" s="57">
        <v>972.92</v>
      </c>
      <c r="GH184" s="57">
        <v>853.75</v>
      </c>
      <c r="GI184" s="57">
        <v>269.48</v>
      </c>
      <c r="GJ184" s="57">
        <v>239.59</v>
      </c>
      <c r="GK184" s="57">
        <v>233.18</v>
      </c>
      <c r="GL184" s="57">
        <v>345.68</v>
      </c>
      <c r="GM184" s="57">
        <v>322.35000000000002</v>
      </c>
      <c r="GN184" s="57">
        <v>437.73</v>
      </c>
      <c r="GO184" s="57">
        <v>319.02</v>
      </c>
      <c r="GP184" s="57">
        <v>297.49</v>
      </c>
      <c r="GQ184" s="57">
        <v>299.77999999999997</v>
      </c>
      <c r="GR184" s="57">
        <v>511.24</v>
      </c>
      <c r="GS184" s="57">
        <v>522.62</v>
      </c>
      <c r="GT184" s="57">
        <v>462.03</v>
      </c>
      <c r="GU184" s="57">
        <v>349.78</v>
      </c>
      <c r="GV184" s="57">
        <v>462.65</v>
      </c>
      <c r="GW184" s="57">
        <v>494.81</v>
      </c>
      <c r="GX184" s="57">
        <v>510.04</v>
      </c>
      <c r="GY184" s="57">
        <v>518.30999999999995</v>
      </c>
      <c r="GZ184" s="57">
        <v>542.61</v>
      </c>
      <c r="HA184" s="57">
        <v>415.92</v>
      </c>
      <c r="HB184" s="57">
        <v>425.02</v>
      </c>
      <c r="HC184" s="57">
        <v>408.02</v>
      </c>
      <c r="HD184" s="57">
        <v>359.26</v>
      </c>
      <c r="HE184" s="57">
        <v>226.6</v>
      </c>
      <c r="HF184" s="57">
        <v>268.04000000000002</v>
      </c>
      <c r="HG184" s="57">
        <v>327.88</v>
      </c>
      <c r="HH184" s="57">
        <v>368.82</v>
      </c>
      <c r="HI184" s="57">
        <v>184.15</v>
      </c>
      <c r="HJ184" s="57">
        <v>331.3</v>
      </c>
      <c r="HK184" s="57">
        <v>606.78</v>
      </c>
      <c r="HL184" s="57">
        <v>373.8</v>
      </c>
      <c r="HM184" s="57">
        <v>441.2</v>
      </c>
      <c r="HN184" s="57">
        <v>451.99</v>
      </c>
      <c r="HO184" s="57">
        <v>340.24</v>
      </c>
      <c r="HP184" s="57">
        <v>519.77</v>
      </c>
      <c r="HQ184" s="57">
        <v>268.27999999999997</v>
      </c>
      <c r="HR184" s="57">
        <v>436.31</v>
      </c>
      <c r="HS184" s="57">
        <v>586.39</v>
      </c>
      <c r="HT184" s="57">
        <v>376.14</v>
      </c>
      <c r="HU184" s="57">
        <v>204.35</v>
      </c>
      <c r="HV184" s="57">
        <v>312.77999999999997</v>
      </c>
      <c r="HW184" s="57">
        <v>171.14</v>
      </c>
      <c r="HX184" s="57">
        <v>219.86</v>
      </c>
      <c r="HY184" s="57">
        <v>259.66000000000003</v>
      </c>
      <c r="HZ184" s="57">
        <v>367.66</v>
      </c>
      <c r="IA184" s="57">
        <v>164.7</v>
      </c>
      <c r="IB184" s="57">
        <v>430.03</v>
      </c>
      <c r="IC184" s="57">
        <v>312.92</v>
      </c>
      <c r="ID184" s="57">
        <v>363.68</v>
      </c>
      <c r="IE184" s="57">
        <v>296.14</v>
      </c>
      <c r="IF184" s="57">
        <v>389.71</v>
      </c>
      <c r="IG184" s="57">
        <v>511.67</v>
      </c>
      <c r="IH184" s="57">
        <v>384.54</v>
      </c>
      <c r="II184" s="57">
        <v>629.78</v>
      </c>
      <c r="IJ184" s="57">
        <v>674.22</v>
      </c>
      <c r="IK184" s="57">
        <v>467.65</v>
      </c>
      <c r="IL184" s="57">
        <v>301.95999999999998</v>
      </c>
      <c r="IM184" s="57">
        <v>489.54</v>
      </c>
      <c r="IN184" s="57">
        <v>468.63</v>
      </c>
      <c r="IO184" s="57">
        <v>390.43</v>
      </c>
      <c r="IP184" s="57">
        <v>258.52</v>
      </c>
      <c r="IQ184" s="57">
        <v>376.37</v>
      </c>
      <c r="IR184" s="57">
        <v>561.27</v>
      </c>
      <c r="IS184" s="57">
        <v>748.37</v>
      </c>
      <c r="IT184" s="57">
        <v>37.75</v>
      </c>
      <c r="IU184" s="57">
        <v>179.74</v>
      </c>
      <c r="IV184" s="57">
        <v>48.61</v>
      </c>
      <c r="IW184" s="57">
        <v>131</v>
      </c>
      <c r="IX184" s="57">
        <v>217.78</v>
      </c>
      <c r="IY184" s="57">
        <v>519.85</v>
      </c>
      <c r="IZ184" s="57">
        <v>500.45</v>
      </c>
      <c r="JA184" s="57">
        <v>372.68</v>
      </c>
      <c r="JB184" s="57">
        <v>110.33</v>
      </c>
      <c r="JC184" s="57">
        <v>437.7</v>
      </c>
      <c r="JD184" s="57">
        <v>446.05</v>
      </c>
      <c r="JE184" s="57">
        <v>437.2</v>
      </c>
      <c r="JF184" s="57">
        <v>286.08</v>
      </c>
      <c r="JG184" s="57">
        <v>375.96</v>
      </c>
      <c r="JH184" s="57">
        <v>576.51</v>
      </c>
      <c r="JI184" s="57">
        <v>567.72</v>
      </c>
      <c r="JJ184" s="57">
        <v>520.33000000000004</v>
      </c>
      <c r="JK184" s="57">
        <v>650.20000000000005</v>
      </c>
      <c r="JL184" s="57">
        <v>541.94000000000005</v>
      </c>
      <c r="JM184" s="57">
        <v>472.72</v>
      </c>
      <c r="JN184" s="57">
        <v>333.4</v>
      </c>
      <c r="JO184" s="57">
        <v>303.89999999999998</v>
      </c>
      <c r="JP184" s="57">
        <v>696.65</v>
      </c>
      <c r="JQ184" s="57">
        <v>596.32000000000005</v>
      </c>
      <c r="JR184" s="57">
        <v>395.16</v>
      </c>
      <c r="JS184" s="57">
        <v>541.62</v>
      </c>
      <c r="JT184" s="57">
        <v>575.53</v>
      </c>
      <c r="JU184" s="57">
        <v>440.06</v>
      </c>
      <c r="JV184" s="57">
        <v>213.33</v>
      </c>
      <c r="JW184" s="57">
        <v>339.61</v>
      </c>
      <c r="JX184" s="57">
        <v>1469.12</v>
      </c>
      <c r="JY184" s="57">
        <v>496.67</v>
      </c>
      <c r="JZ184" s="57">
        <v>477.62</v>
      </c>
      <c r="KA184" s="57">
        <v>503.54</v>
      </c>
      <c r="KB184" s="57">
        <v>327.22000000000003</v>
      </c>
      <c r="KC184" s="57">
        <v>478.18</v>
      </c>
      <c r="KD184" s="57">
        <v>609.5</v>
      </c>
      <c r="KE184" s="57">
        <v>734.13</v>
      </c>
      <c r="KF184" s="57">
        <v>568.66</v>
      </c>
    </row>
    <row r="185" spans="1:292">
      <c r="A185" s="41">
        <v>2019</v>
      </c>
      <c r="B185" s="54" t="s">
        <v>999</v>
      </c>
      <c r="C185" s="50" t="s">
        <v>1000</v>
      </c>
      <c r="D185" s="57">
        <v>440.5</v>
      </c>
      <c r="E185" s="57">
        <v>504.14</v>
      </c>
      <c r="F185" s="57">
        <v>866.65</v>
      </c>
      <c r="G185" s="57">
        <v>265.38</v>
      </c>
      <c r="H185" s="57">
        <v>487.44</v>
      </c>
      <c r="I185" s="57">
        <v>373.05</v>
      </c>
      <c r="J185" s="57">
        <v>259.18</v>
      </c>
      <c r="K185" s="57">
        <v>425.08</v>
      </c>
      <c r="L185" s="57">
        <v>152.41</v>
      </c>
      <c r="M185" s="57">
        <v>288.58999999999997</v>
      </c>
      <c r="N185" s="57">
        <v>409.15</v>
      </c>
      <c r="O185" s="57">
        <v>654.17999999999995</v>
      </c>
      <c r="P185" s="57">
        <v>576.22</v>
      </c>
      <c r="Q185" s="57">
        <v>510.17</v>
      </c>
      <c r="R185" s="57">
        <v>422.61</v>
      </c>
      <c r="S185" s="57">
        <v>1020.27</v>
      </c>
      <c r="T185" s="57">
        <v>855.18</v>
      </c>
      <c r="U185" s="57">
        <v>253.09</v>
      </c>
      <c r="V185" s="57">
        <v>303.8</v>
      </c>
      <c r="W185" s="57">
        <v>525.49</v>
      </c>
      <c r="X185" s="57">
        <v>463.24</v>
      </c>
      <c r="Y185" s="57">
        <v>350.19</v>
      </c>
      <c r="Z185" s="57">
        <v>520.47</v>
      </c>
      <c r="AA185" s="57">
        <v>425.78</v>
      </c>
      <c r="AB185" s="57">
        <v>358.81</v>
      </c>
      <c r="AC185" s="57">
        <v>304.29000000000002</v>
      </c>
      <c r="AD185" s="57">
        <v>417.96</v>
      </c>
      <c r="AE185" s="57">
        <v>426.77</v>
      </c>
      <c r="AF185" s="57">
        <v>348.68</v>
      </c>
      <c r="AG185" s="57">
        <v>199.68</v>
      </c>
      <c r="AH185" s="57">
        <v>288.43</v>
      </c>
      <c r="AI185" s="57">
        <v>432.68</v>
      </c>
      <c r="AJ185" s="57">
        <v>352.18</v>
      </c>
      <c r="AK185" s="57">
        <v>436.45</v>
      </c>
      <c r="AL185" s="57">
        <v>460.07</v>
      </c>
      <c r="AM185" s="57">
        <v>748.37</v>
      </c>
      <c r="AN185" s="57">
        <v>37.630000000000003</v>
      </c>
      <c r="AO185" s="57">
        <v>180.54</v>
      </c>
      <c r="AP185" s="57">
        <v>83.86</v>
      </c>
      <c r="AQ185" s="57">
        <v>522.13</v>
      </c>
      <c r="AR185" s="57">
        <v>468.55</v>
      </c>
      <c r="AS185" s="57">
        <v>373.93</v>
      </c>
      <c r="AT185" s="57">
        <v>542.01</v>
      </c>
      <c r="AU185" s="57">
        <v>646.86</v>
      </c>
      <c r="AV185" s="57">
        <v>542.41</v>
      </c>
      <c r="AW185" s="57">
        <v>473.29</v>
      </c>
      <c r="AX185" s="57">
        <v>333.4</v>
      </c>
      <c r="AY185" s="57">
        <v>305.45</v>
      </c>
      <c r="AZ185" s="57">
        <v>669.67</v>
      </c>
      <c r="BA185" s="57">
        <v>441.01</v>
      </c>
      <c r="BB185" s="57">
        <v>373.72</v>
      </c>
      <c r="BC185" s="57">
        <v>1181.4100000000001</v>
      </c>
      <c r="BD185" s="57">
        <v>504.3</v>
      </c>
      <c r="BE185" s="57">
        <v>574</v>
      </c>
      <c r="BF185" s="57">
        <v>734.13</v>
      </c>
      <c r="BG185" s="57">
        <v>568.88</v>
      </c>
      <c r="BH185" s="57">
        <v>517.6</v>
      </c>
      <c r="BI185" s="57">
        <v>493.54</v>
      </c>
      <c r="BJ185" s="57">
        <v>490.98</v>
      </c>
      <c r="BK185" s="57">
        <v>505.11</v>
      </c>
      <c r="BL185" s="57">
        <v>468.94</v>
      </c>
      <c r="BM185" s="57">
        <v>428.83</v>
      </c>
      <c r="BN185" s="57">
        <v>614.51</v>
      </c>
      <c r="BO185" s="57">
        <v>380.34</v>
      </c>
      <c r="BP185" s="57">
        <v>545.22</v>
      </c>
      <c r="BQ185" s="57">
        <v>505.11</v>
      </c>
      <c r="BR185" s="57">
        <v>359.94</v>
      </c>
      <c r="BS185" s="57">
        <v>1104.8800000000001</v>
      </c>
      <c r="BT185" s="57">
        <v>588.79999999999995</v>
      </c>
      <c r="BU185" s="57">
        <v>972.74</v>
      </c>
      <c r="BV185" s="57">
        <v>855.18</v>
      </c>
      <c r="BW185" s="57">
        <v>245.79</v>
      </c>
      <c r="BX185" s="57">
        <v>321.14999999999998</v>
      </c>
      <c r="BY185" s="57">
        <v>442.05</v>
      </c>
      <c r="BZ185" s="57">
        <v>302.69</v>
      </c>
      <c r="CA185" s="57">
        <v>516.25</v>
      </c>
      <c r="CB185" s="58">
        <v>525.49</v>
      </c>
      <c r="CC185" s="57">
        <v>463.24</v>
      </c>
      <c r="CD185" s="57">
        <v>348.84</v>
      </c>
      <c r="CE185" s="57">
        <v>462.65</v>
      </c>
      <c r="CF185" s="57">
        <v>526.12</v>
      </c>
      <c r="CG185" s="57">
        <v>518.61</v>
      </c>
      <c r="CH185" s="57">
        <v>434.37</v>
      </c>
      <c r="CI185" s="57">
        <v>410.05</v>
      </c>
      <c r="CJ185" s="57">
        <v>358.81</v>
      </c>
      <c r="CK185" s="57">
        <v>277.58999999999997</v>
      </c>
      <c r="CL185" s="57">
        <v>327.27999999999997</v>
      </c>
      <c r="CM185" s="57">
        <v>613.09</v>
      </c>
      <c r="CN185" s="57">
        <v>417.96</v>
      </c>
      <c r="CO185" s="57">
        <v>426.77</v>
      </c>
      <c r="CP185" s="57">
        <v>288.54000000000002</v>
      </c>
      <c r="CQ185" s="57">
        <v>589.58000000000004</v>
      </c>
      <c r="CR185" s="57">
        <v>204.34</v>
      </c>
      <c r="CS185" s="57">
        <v>311.86</v>
      </c>
      <c r="CT185" s="57">
        <v>193.39</v>
      </c>
      <c r="CU185" s="57">
        <v>259.83</v>
      </c>
      <c r="CV185" s="57">
        <v>370.67</v>
      </c>
      <c r="CW185" s="57">
        <v>181.55</v>
      </c>
      <c r="CX185" s="57">
        <v>432.68</v>
      </c>
      <c r="CY185" s="57">
        <v>353.04</v>
      </c>
      <c r="CZ185" s="57">
        <v>297.01</v>
      </c>
      <c r="DA185" s="57">
        <v>391.14</v>
      </c>
      <c r="DB185" s="57">
        <v>515.41999999999996</v>
      </c>
      <c r="DC185" s="57">
        <v>385.98</v>
      </c>
      <c r="DD185" s="57">
        <v>631.20000000000005</v>
      </c>
      <c r="DE185" s="57">
        <v>674.47</v>
      </c>
      <c r="DF185" s="57">
        <v>390.44</v>
      </c>
      <c r="DG185" s="57">
        <v>469.84</v>
      </c>
      <c r="DH185" s="57">
        <v>259.48</v>
      </c>
      <c r="DI185" s="57">
        <v>376.37</v>
      </c>
      <c r="DJ185" s="57">
        <v>561.51</v>
      </c>
      <c r="DK185" s="57">
        <v>748.37</v>
      </c>
      <c r="DL185" s="57">
        <v>37.630000000000003</v>
      </c>
      <c r="DM185" s="57">
        <v>180.54</v>
      </c>
      <c r="DN185" s="57">
        <v>48.75</v>
      </c>
      <c r="DO185" s="57">
        <v>130.22</v>
      </c>
      <c r="DP185" s="57">
        <v>221.46</v>
      </c>
      <c r="DQ185" s="57">
        <v>522.13</v>
      </c>
      <c r="DR185" s="57">
        <v>492.61</v>
      </c>
      <c r="DS185" s="57">
        <v>371.7</v>
      </c>
      <c r="DT185" s="57">
        <v>110.71</v>
      </c>
      <c r="DU185" s="57">
        <v>438.86</v>
      </c>
      <c r="DV185" s="57">
        <v>447.01</v>
      </c>
      <c r="DW185" s="57">
        <v>308.35000000000002</v>
      </c>
      <c r="DX185" s="57">
        <v>375.96</v>
      </c>
      <c r="DY185" s="57">
        <v>574.04999999999995</v>
      </c>
      <c r="DZ185" s="57">
        <v>568.21</v>
      </c>
      <c r="EA185" s="57">
        <v>521.41</v>
      </c>
      <c r="EB185" s="57">
        <v>646.86</v>
      </c>
      <c r="EC185" s="57">
        <v>542.41</v>
      </c>
      <c r="ED185" s="57">
        <v>473.29</v>
      </c>
      <c r="EE185" s="57">
        <v>333.4</v>
      </c>
      <c r="EF185" s="57">
        <v>305.45</v>
      </c>
      <c r="EG185" s="57">
        <v>669.67</v>
      </c>
      <c r="EH185" s="57">
        <v>441.01</v>
      </c>
      <c r="EI185" s="57">
        <v>508.53</v>
      </c>
      <c r="EJ185" s="57">
        <v>213.56</v>
      </c>
      <c r="EK185" s="57">
        <v>338.02</v>
      </c>
      <c r="EL185" s="57">
        <v>1496.7</v>
      </c>
      <c r="EM185" s="57">
        <v>494.04</v>
      </c>
      <c r="EN185" s="57">
        <v>504.3</v>
      </c>
      <c r="EO185" s="57">
        <v>326.62</v>
      </c>
      <c r="EP185" s="57">
        <v>478.18</v>
      </c>
      <c r="EQ185" s="57">
        <v>603.47</v>
      </c>
      <c r="ER185" s="57">
        <v>734.13</v>
      </c>
      <c r="ES185" s="57">
        <v>568.88</v>
      </c>
      <c r="ET185" s="57">
        <v>583.88</v>
      </c>
      <c r="EU185" s="57">
        <v>511.67</v>
      </c>
      <c r="EV185" s="57">
        <v>522.1</v>
      </c>
      <c r="EW185" s="57">
        <v>469.02</v>
      </c>
      <c r="EX185" s="57">
        <v>526.51</v>
      </c>
      <c r="EY185" s="57">
        <v>258.87</v>
      </c>
      <c r="EZ185" s="57">
        <v>493.49</v>
      </c>
      <c r="FA185" s="57">
        <v>578.27</v>
      </c>
      <c r="FB185" s="57">
        <v>404.49</v>
      </c>
      <c r="FC185" s="57">
        <v>638.71</v>
      </c>
      <c r="FD185" s="57">
        <v>426.18</v>
      </c>
      <c r="FE185" s="57">
        <v>495.9</v>
      </c>
      <c r="FF185" s="57">
        <v>100.65</v>
      </c>
      <c r="FG185" s="57">
        <v>433.04</v>
      </c>
      <c r="FH185" s="57">
        <v>409.87</v>
      </c>
      <c r="FI185" s="57">
        <v>568.54999999999995</v>
      </c>
      <c r="FJ185" s="57">
        <v>566.61</v>
      </c>
      <c r="FK185" s="57">
        <v>854.75</v>
      </c>
      <c r="FL185" s="57">
        <v>375.65</v>
      </c>
      <c r="FM185" s="57">
        <v>417.67</v>
      </c>
      <c r="FN185" s="57">
        <v>351.7</v>
      </c>
      <c r="FO185" s="57">
        <v>827.31</v>
      </c>
      <c r="FP185" s="57">
        <v>626.36</v>
      </c>
      <c r="FQ185" s="57">
        <v>402.15</v>
      </c>
      <c r="FR185" s="57">
        <v>742.03</v>
      </c>
      <c r="FS185" s="57">
        <v>561.96</v>
      </c>
      <c r="FT185" s="57">
        <v>311.81</v>
      </c>
      <c r="FU185" s="57">
        <v>529.71</v>
      </c>
      <c r="FV185" s="57">
        <v>407.51</v>
      </c>
      <c r="FW185" s="57">
        <v>303.04000000000002</v>
      </c>
      <c r="FX185" s="57">
        <v>545.22</v>
      </c>
      <c r="FY185" s="57">
        <v>466.58</v>
      </c>
      <c r="FZ185" s="57">
        <v>515.04</v>
      </c>
      <c r="GA185" s="57">
        <v>374.63</v>
      </c>
      <c r="GB185" s="57">
        <v>379.76</v>
      </c>
      <c r="GC185" s="57">
        <v>357.88</v>
      </c>
      <c r="GD185" s="57">
        <v>318.98</v>
      </c>
      <c r="GE185" s="57">
        <v>1104.8800000000001</v>
      </c>
      <c r="GF185" s="57">
        <v>588.79999999999995</v>
      </c>
      <c r="GG185" s="57">
        <v>972.74</v>
      </c>
      <c r="GH185" s="57">
        <v>853.75</v>
      </c>
      <c r="GI185" s="57">
        <v>264.64</v>
      </c>
      <c r="GJ185" s="57">
        <v>232.27</v>
      </c>
      <c r="GK185" s="57">
        <v>229.32</v>
      </c>
      <c r="GL185" s="57">
        <v>344.6</v>
      </c>
      <c r="GM185" s="57">
        <v>321.14999999999998</v>
      </c>
      <c r="GN185" s="57">
        <v>442.05</v>
      </c>
      <c r="GO185" s="57">
        <v>314.88</v>
      </c>
      <c r="GP185" s="57">
        <v>291.44</v>
      </c>
      <c r="GQ185" s="57">
        <v>298.79000000000002</v>
      </c>
      <c r="GR185" s="57">
        <v>516.25</v>
      </c>
      <c r="GS185" s="57">
        <v>525.49</v>
      </c>
      <c r="GT185" s="57">
        <v>463.24</v>
      </c>
      <c r="GU185" s="57">
        <v>348.84</v>
      </c>
      <c r="GV185" s="57">
        <v>462.65</v>
      </c>
      <c r="GW185" s="57">
        <v>495.24</v>
      </c>
      <c r="GX185" s="57">
        <v>515.85</v>
      </c>
      <c r="GY185" s="57">
        <v>518.61</v>
      </c>
      <c r="GZ185" s="57">
        <v>542.99</v>
      </c>
      <c r="HA185" s="57">
        <v>414.87</v>
      </c>
      <c r="HB185" s="57">
        <v>426.7</v>
      </c>
      <c r="HC185" s="57">
        <v>410.05</v>
      </c>
      <c r="HD185" s="57">
        <v>358.81</v>
      </c>
      <c r="HE185" s="57">
        <v>225.74</v>
      </c>
      <c r="HF185" s="57">
        <v>265.91000000000003</v>
      </c>
      <c r="HG185" s="57">
        <v>329.44</v>
      </c>
      <c r="HH185" s="57">
        <v>371.71</v>
      </c>
      <c r="HI185" s="57">
        <v>184.81</v>
      </c>
      <c r="HJ185" s="57">
        <v>327.27999999999997</v>
      </c>
      <c r="HK185" s="57">
        <v>613.09</v>
      </c>
      <c r="HL185" s="57">
        <v>376.34</v>
      </c>
      <c r="HM185" s="57">
        <v>441.15</v>
      </c>
      <c r="HN185" s="57">
        <v>449.45</v>
      </c>
      <c r="HO185" s="57">
        <v>343.23</v>
      </c>
      <c r="HP185" s="57">
        <v>521.63</v>
      </c>
      <c r="HQ185" s="57">
        <v>268.66000000000003</v>
      </c>
      <c r="HR185" s="57">
        <v>433.94</v>
      </c>
      <c r="HS185" s="57">
        <v>597.09</v>
      </c>
      <c r="HT185" s="57">
        <v>376.64</v>
      </c>
      <c r="HU185" s="57">
        <v>204.34</v>
      </c>
      <c r="HV185" s="57">
        <v>311.86</v>
      </c>
      <c r="HW185" s="57">
        <v>172</v>
      </c>
      <c r="HX185" s="57">
        <v>222.12</v>
      </c>
      <c r="HY185" s="57">
        <v>259.83</v>
      </c>
      <c r="HZ185" s="57">
        <v>370.67</v>
      </c>
      <c r="IA185" s="57">
        <v>165.84</v>
      </c>
      <c r="IB185" s="57">
        <v>432.68</v>
      </c>
      <c r="IC185" s="57">
        <v>314.16000000000003</v>
      </c>
      <c r="ID185" s="57">
        <v>370.42</v>
      </c>
      <c r="IE185" s="57">
        <v>297.01</v>
      </c>
      <c r="IF185" s="57">
        <v>391.14</v>
      </c>
      <c r="IG185" s="57">
        <v>515.41999999999996</v>
      </c>
      <c r="IH185" s="57">
        <v>385.98</v>
      </c>
      <c r="II185" s="57">
        <v>631.20000000000005</v>
      </c>
      <c r="IJ185" s="57">
        <v>674.47</v>
      </c>
      <c r="IK185" s="57">
        <v>467.65</v>
      </c>
      <c r="IL185" s="57">
        <v>301.95999999999998</v>
      </c>
      <c r="IM185" s="57">
        <v>494.15</v>
      </c>
      <c r="IN185" s="57">
        <v>469.71</v>
      </c>
      <c r="IO185" s="57">
        <v>378.49</v>
      </c>
      <c r="IP185" s="57">
        <v>259.48</v>
      </c>
      <c r="IQ185" s="57">
        <v>376.37</v>
      </c>
      <c r="IR185" s="57">
        <v>561.51</v>
      </c>
      <c r="IS185" s="57">
        <v>748.37</v>
      </c>
      <c r="IT185" s="57">
        <v>37.630000000000003</v>
      </c>
      <c r="IU185" s="57">
        <v>180.54</v>
      </c>
      <c r="IV185" s="57">
        <v>48.76</v>
      </c>
      <c r="IW185" s="57">
        <v>130.22</v>
      </c>
      <c r="IX185" s="57">
        <v>221.46</v>
      </c>
      <c r="IY185" s="57">
        <v>522.13</v>
      </c>
      <c r="IZ185" s="57">
        <v>492.61</v>
      </c>
      <c r="JA185" s="57">
        <v>371.7</v>
      </c>
      <c r="JB185" s="57">
        <v>110.71</v>
      </c>
      <c r="JC185" s="57">
        <v>438.86</v>
      </c>
      <c r="JD185" s="57">
        <v>447.01</v>
      </c>
      <c r="JE185" s="57">
        <v>438.31</v>
      </c>
      <c r="JF185" s="57">
        <v>287.77999999999997</v>
      </c>
      <c r="JG185" s="57">
        <v>375.96</v>
      </c>
      <c r="JH185" s="57">
        <v>574.04999999999995</v>
      </c>
      <c r="JI185" s="57">
        <v>568.21</v>
      </c>
      <c r="JJ185" s="57">
        <v>521.41</v>
      </c>
      <c r="JK185" s="57">
        <v>646.86</v>
      </c>
      <c r="JL185" s="57">
        <v>542.41</v>
      </c>
      <c r="JM185" s="57">
        <v>473.29</v>
      </c>
      <c r="JN185" s="57">
        <v>333.4</v>
      </c>
      <c r="JO185" s="57">
        <v>305.45</v>
      </c>
      <c r="JP185" s="57">
        <v>699.33</v>
      </c>
      <c r="JQ185" s="57">
        <v>602.54</v>
      </c>
      <c r="JR185" s="57">
        <v>393.63</v>
      </c>
      <c r="JS185" s="57">
        <v>541.54</v>
      </c>
      <c r="JT185" s="57">
        <v>579.79999999999995</v>
      </c>
      <c r="JU185" s="57">
        <v>442.34</v>
      </c>
      <c r="JV185" s="57">
        <v>213.56</v>
      </c>
      <c r="JW185" s="57">
        <v>338.02</v>
      </c>
      <c r="JX185" s="57">
        <v>1496.7</v>
      </c>
      <c r="JY185" s="57">
        <v>494.1</v>
      </c>
      <c r="JZ185" s="57">
        <v>478.93</v>
      </c>
      <c r="KA185" s="57">
        <v>504.3</v>
      </c>
      <c r="KB185" s="57">
        <v>326.62</v>
      </c>
      <c r="KC185" s="57">
        <v>478.18</v>
      </c>
      <c r="KD185" s="57">
        <v>603.47</v>
      </c>
      <c r="KE185" s="57">
        <v>734.13</v>
      </c>
      <c r="KF185" s="57">
        <v>568.88</v>
      </c>
    </row>
    <row r="186" spans="1:292">
      <c r="A186" s="41">
        <v>2020</v>
      </c>
      <c r="B186" s="54" t="s">
        <v>977</v>
      </c>
      <c r="C186" s="50" t="s">
        <v>978</v>
      </c>
      <c r="D186" s="57">
        <v>446.45</v>
      </c>
      <c r="E186" s="57">
        <v>527.59</v>
      </c>
      <c r="F186" s="57">
        <v>866.45</v>
      </c>
      <c r="G186" s="57">
        <v>247.73</v>
      </c>
      <c r="H186" s="57">
        <v>493.27</v>
      </c>
      <c r="I186" s="57">
        <v>367.66</v>
      </c>
      <c r="J186" s="57">
        <v>269.45</v>
      </c>
      <c r="K186" s="57">
        <v>428.76</v>
      </c>
      <c r="L186" s="57">
        <v>152.03</v>
      </c>
      <c r="M186" s="57">
        <v>293.97000000000003</v>
      </c>
      <c r="N186" s="57">
        <v>411.75</v>
      </c>
      <c r="O186" s="57">
        <v>663.25</v>
      </c>
      <c r="P186" s="57">
        <v>604.36</v>
      </c>
      <c r="Q186" s="57">
        <v>535.37</v>
      </c>
      <c r="R186" s="57">
        <v>426.48</v>
      </c>
      <c r="S186" s="57">
        <v>1016.07</v>
      </c>
      <c r="T186" s="57">
        <v>855.18</v>
      </c>
      <c r="U186" s="57">
        <v>235.24</v>
      </c>
      <c r="V186" s="57">
        <v>287.23</v>
      </c>
      <c r="W186" s="57">
        <v>531.47</v>
      </c>
      <c r="X186" s="57">
        <v>464.17</v>
      </c>
      <c r="Y186" s="57">
        <v>371.08</v>
      </c>
      <c r="Z186" s="57">
        <v>521.29</v>
      </c>
      <c r="AA186" s="57">
        <v>398.99</v>
      </c>
      <c r="AB186" s="57">
        <v>360.59</v>
      </c>
      <c r="AC186" s="57">
        <v>307.95</v>
      </c>
      <c r="AD186" s="57">
        <v>421.71</v>
      </c>
      <c r="AE186" s="57">
        <v>425.93</v>
      </c>
      <c r="AF186" s="57">
        <v>351.01</v>
      </c>
      <c r="AG186" s="57">
        <v>199.96</v>
      </c>
      <c r="AH186" s="57">
        <v>304.99</v>
      </c>
      <c r="AI186" s="57">
        <v>459.85</v>
      </c>
      <c r="AJ186" s="57">
        <v>354.12</v>
      </c>
      <c r="AK186" s="57">
        <v>441.79</v>
      </c>
      <c r="AL186" s="57">
        <v>463.54</v>
      </c>
      <c r="AM186" s="57">
        <v>748.37</v>
      </c>
      <c r="AN186" s="57">
        <v>37.33</v>
      </c>
      <c r="AO186" s="57">
        <v>180.39</v>
      </c>
      <c r="AP186" s="57">
        <v>83.92</v>
      </c>
      <c r="AQ186" s="57">
        <v>522.53</v>
      </c>
      <c r="AR186" s="57">
        <v>472.37</v>
      </c>
      <c r="AS186" s="57">
        <v>384.08</v>
      </c>
      <c r="AT186" s="57">
        <v>543.02</v>
      </c>
      <c r="AU186" s="57">
        <v>686.07</v>
      </c>
      <c r="AV186" s="57">
        <v>548.13</v>
      </c>
      <c r="AW186" s="57">
        <v>478.22</v>
      </c>
      <c r="AX186" s="57">
        <v>333.4</v>
      </c>
      <c r="AY186" s="57">
        <v>306.02</v>
      </c>
      <c r="AZ186" s="57">
        <v>678.8</v>
      </c>
      <c r="BA186" s="57">
        <v>447.78</v>
      </c>
      <c r="BB186" s="57">
        <v>379.38</v>
      </c>
      <c r="BC186" s="57">
        <v>1238.21</v>
      </c>
      <c r="BD186" s="57">
        <v>509.43</v>
      </c>
      <c r="BE186" s="57">
        <v>593.34</v>
      </c>
      <c r="BF186" s="57">
        <v>756.55</v>
      </c>
      <c r="BG186" s="57">
        <v>682.86</v>
      </c>
      <c r="BH186" s="57">
        <v>527.42999999999995</v>
      </c>
      <c r="BI186" s="57">
        <v>503.17</v>
      </c>
      <c r="BJ186" s="57">
        <v>486.46</v>
      </c>
      <c r="BK186" s="57">
        <v>514.91999999999996</v>
      </c>
      <c r="BL186" s="57">
        <v>472.74</v>
      </c>
      <c r="BM186" s="57">
        <v>455.45</v>
      </c>
      <c r="BN186" s="57">
        <v>732.06</v>
      </c>
      <c r="BO186" s="57">
        <v>382.33</v>
      </c>
      <c r="BP186" s="57">
        <v>550.87</v>
      </c>
      <c r="BQ186" s="57">
        <v>504.5</v>
      </c>
      <c r="BR186" s="57">
        <v>366.29</v>
      </c>
      <c r="BS186" s="57">
        <v>1105.5</v>
      </c>
      <c r="BT186" s="57">
        <v>597.05999999999995</v>
      </c>
      <c r="BU186" s="57">
        <v>961.02</v>
      </c>
      <c r="BV186" s="57">
        <v>855.18</v>
      </c>
      <c r="BW186" s="57">
        <v>227.16</v>
      </c>
      <c r="BX186" s="57">
        <v>314.11</v>
      </c>
      <c r="BY186" s="57">
        <v>450.58</v>
      </c>
      <c r="BZ186" s="57">
        <v>286.08999999999997</v>
      </c>
      <c r="CA186" s="57">
        <v>523.04999999999995</v>
      </c>
      <c r="CB186" s="58">
        <v>531.47</v>
      </c>
      <c r="CC186" s="57">
        <v>464.17</v>
      </c>
      <c r="CD186" s="57">
        <v>369.65</v>
      </c>
      <c r="CE186" s="57">
        <v>462.65</v>
      </c>
      <c r="CF186" s="57">
        <v>526.98</v>
      </c>
      <c r="CG186" s="57">
        <v>522.28</v>
      </c>
      <c r="CH186" s="57">
        <v>404.63</v>
      </c>
      <c r="CI186" s="57">
        <v>407.78</v>
      </c>
      <c r="CJ186" s="57">
        <v>360.59</v>
      </c>
      <c r="CK186" s="57">
        <v>280.43</v>
      </c>
      <c r="CL186" s="57">
        <v>330.09</v>
      </c>
      <c r="CM186" s="57">
        <v>635.57000000000005</v>
      </c>
      <c r="CN186" s="57">
        <v>421.71</v>
      </c>
      <c r="CO186" s="57">
        <v>425.93</v>
      </c>
      <c r="CP186" s="57">
        <v>288.44</v>
      </c>
      <c r="CQ186" s="57">
        <v>601.17999999999995</v>
      </c>
      <c r="CR186" s="57">
        <v>204.13</v>
      </c>
      <c r="CS186" s="57">
        <v>311.74</v>
      </c>
      <c r="CT186" s="57">
        <v>195.09</v>
      </c>
      <c r="CU186" s="57">
        <v>262.08999999999997</v>
      </c>
      <c r="CV186" s="57">
        <v>404.3</v>
      </c>
      <c r="CW186" s="57">
        <v>192.72</v>
      </c>
      <c r="CX186" s="57">
        <v>459.85</v>
      </c>
      <c r="CY186" s="57">
        <v>354.9</v>
      </c>
      <c r="CZ186" s="57">
        <v>299.94</v>
      </c>
      <c r="DA186" s="57">
        <v>395.91</v>
      </c>
      <c r="DB186" s="57">
        <v>519.70000000000005</v>
      </c>
      <c r="DC186" s="57">
        <v>388.1</v>
      </c>
      <c r="DD186" s="57">
        <v>652.53</v>
      </c>
      <c r="DE186" s="57">
        <v>706.05</v>
      </c>
      <c r="DF186" s="57">
        <v>389.68</v>
      </c>
      <c r="DG186" s="57">
        <v>473.14</v>
      </c>
      <c r="DH186" s="57">
        <v>262.82</v>
      </c>
      <c r="DI186" s="57">
        <v>376.37</v>
      </c>
      <c r="DJ186" s="57">
        <v>563.80999999999995</v>
      </c>
      <c r="DK186" s="57">
        <v>748.37</v>
      </c>
      <c r="DL186" s="57">
        <v>37.33</v>
      </c>
      <c r="DM186" s="57">
        <v>180.39</v>
      </c>
      <c r="DN186" s="57">
        <v>49.03</v>
      </c>
      <c r="DO186" s="57">
        <v>128.03</v>
      </c>
      <c r="DP186" s="57">
        <v>227.27</v>
      </c>
      <c r="DQ186" s="57">
        <v>522.53</v>
      </c>
      <c r="DR186" s="57">
        <v>498.55</v>
      </c>
      <c r="DS186" s="57">
        <v>364.67</v>
      </c>
      <c r="DT186" s="57">
        <v>111.38</v>
      </c>
      <c r="DU186" s="57">
        <v>463.53</v>
      </c>
      <c r="DV186" s="57">
        <v>452.18</v>
      </c>
      <c r="DW186" s="57">
        <v>325.62</v>
      </c>
      <c r="DX186" s="57">
        <v>375.96</v>
      </c>
      <c r="DY186" s="57">
        <v>575.6</v>
      </c>
      <c r="DZ186" s="57">
        <v>568.21</v>
      </c>
      <c r="EA186" s="57">
        <v>521.96</v>
      </c>
      <c r="EB186" s="57">
        <v>686.07</v>
      </c>
      <c r="EC186" s="57">
        <v>548.13</v>
      </c>
      <c r="ED186" s="57">
        <v>478.22</v>
      </c>
      <c r="EE186" s="57">
        <v>333.4</v>
      </c>
      <c r="EF186" s="57">
        <v>306.02</v>
      </c>
      <c r="EG186" s="57">
        <v>678.8</v>
      </c>
      <c r="EH186" s="57">
        <v>447.78</v>
      </c>
      <c r="EI186" s="57">
        <v>517.74</v>
      </c>
      <c r="EJ186" s="57">
        <v>217.41</v>
      </c>
      <c r="EK186" s="57">
        <v>342.69</v>
      </c>
      <c r="EL186" s="57">
        <v>1591.2</v>
      </c>
      <c r="EM186" s="57">
        <v>483.2</v>
      </c>
      <c r="EN186" s="57">
        <v>509.43</v>
      </c>
      <c r="EO186" s="57">
        <v>345.27</v>
      </c>
      <c r="EP186" s="57">
        <v>504.17</v>
      </c>
      <c r="EQ186" s="57">
        <v>620.15</v>
      </c>
      <c r="ER186" s="57">
        <v>756.55</v>
      </c>
      <c r="ES186" s="57">
        <v>682.86</v>
      </c>
      <c r="ET186" s="57">
        <v>585.33000000000004</v>
      </c>
      <c r="EU186" s="57">
        <v>516.9</v>
      </c>
      <c r="EV186" s="57">
        <v>535.37</v>
      </c>
      <c r="EW186" s="57">
        <v>476.32</v>
      </c>
      <c r="EX186" s="57">
        <v>539.38</v>
      </c>
      <c r="EY186" s="57">
        <v>262.12</v>
      </c>
      <c r="EZ186" s="57">
        <v>500.99</v>
      </c>
      <c r="FA186" s="57">
        <v>590.27</v>
      </c>
      <c r="FB186" s="57">
        <v>416.45</v>
      </c>
      <c r="FC186" s="57">
        <v>653.69000000000005</v>
      </c>
      <c r="FD186" s="57">
        <v>434.07</v>
      </c>
      <c r="FE186" s="57">
        <v>491.01</v>
      </c>
      <c r="FF186" s="57">
        <v>100.89</v>
      </c>
      <c r="FG186" s="57">
        <v>434.61</v>
      </c>
      <c r="FH186" s="57">
        <v>409.69</v>
      </c>
      <c r="FI186" s="57">
        <v>583.72</v>
      </c>
      <c r="FJ186" s="57">
        <v>592.05999999999995</v>
      </c>
      <c r="FK186" s="57">
        <v>866.39</v>
      </c>
      <c r="FL186" s="57">
        <v>387.2</v>
      </c>
      <c r="FM186" s="57">
        <v>419.45</v>
      </c>
      <c r="FN186" s="57">
        <v>382.29</v>
      </c>
      <c r="FO186" s="57">
        <v>839.71</v>
      </c>
      <c r="FP186" s="57">
        <v>804.78</v>
      </c>
      <c r="FQ186" s="57">
        <v>445.08</v>
      </c>
      <c r="FR186" s="57">
        <v>758.1</v>
      </c>
      <c r="FS186" s="57">
        <v>570.16999999999996</v>
      </c>
      <c r="FT186" s="57">
        <v>312.3</v>
      </c>
      <c r="FU186" s="57">
        <v>530.95000000000005</v>
      </c>
      <c r="FV186" s="57">
        <v>412.06</v>
      </c>
      <c r="FW186" s="57">
        <v>303.47000000000003</v>
      </c>
      <c r="FX186" s="57">
        <v>550.87</v>
      </c>
      <c r="FY186" s="57">
        <v>465.93</v>
      </c>
      <c r="FZ186" s="57">
        <v>514.47</v>
      </c>
      <c r="GA186" s="57">
        <v>372.83</v>
      </c>
      <c r="GB186" s="57">
        <v>386.23</v>
      </c>
      <c r="GC186" s="57">
        <v>362.67</v>
      </c>
      <c r="GD186" s="57">
        <v>328.49</v>
      </c>
      <c r="GE186" s="57">
        <v>1105.5</v>
      </c>
      <c r="GF186" s="57">
        <v>597.05999999999995</v>
      </c>
      <c r="GG186" s="57">
        <v>961.02</v>
      </c>
      <c r="GH186" s="57">
        <v>853.75</v>
      </c>
      <c r="GI186" s="57">
        <v>249.6</v>
      </c>
      <c r="GJ186" s="57">
        <v>210.56</v>
      </c>
      <c r="GK186" s="57">
        <v>211.53</v>
      </c>
      <c r="GL186" s="57">
        <v>331.59</v>
      </c>
      <c r="GM186" s="57">
        <v>314.11</v>
      </c>
      <c r="GN186" s="57">
        <v>450.58</v>
      </c>
      <c r="GO186" s="57">
        <v>300.83999999999997</v>
      </c>
      <c r="GP186" s="57">
        <v>272.87</v>
      </c>
      <c r="GQ186" s="57">
        <v>280.94</v>
      </c>
      <c r="GR186" s="57">
        <v>523.04999999999995</v>
      </c>
      <c r="GS186" s="57">
        <v>531.47</v>
      </c>
      <c r="GT186" s="57">
        <v>464.17</v>
      </c>
      <c r="GU186" s="57">
        <v>369.65</v>
      </c>
      <c r="GV186" s="57">
        <v>462.65</v>
      </c>
      <c r="GW186" s="57">
        <v>496.27</v>
      </c>
      <c r="GX186" s="57">
        <v>515.85</v>
      </c>
      <c r="GY186" s="57">
        <v>522.28</v>
      </c>
      <c r="GZ186" s="57">
        <v>509.11</v>
      </c>
      <c r="HA186" s="57">
        <v>384.86</v>
      </c>
      <c r="HB186" s="57">
        <v>397.63</v>
      </c>
      <c r="HC186" s="57">
        <v>407.78</v>
      </c>
      <c r="HD186" s="57">
        <v>360.59</v>
      </c>
      <c r="HE186" s="57">
        <v>230.36</v>
      </c>
      <c r="HF186" s="57">
        <v>269.02</v>
      </c>
      <c r="HG186" s="57">
        <v>319.5</v>
      </c>
      <c r="HH186" s="57">
        <v>379.07</v>
      </c>
      <c r="HI186" s="57">
        <v>183.9</v>
      </c>
      <c r="HJ186" s="57">
        <v>330.09</v>
      </c>
      <c r="HK186" s="57">
        <v>635.57000000000005</v>
      </c>
      <c r="HL186" s="57">
        <v>381.33</v>
      </c>
      <c r="HM186" s="57">
        <v>440.59</v>
      </c>
      <c r="HN186" s="57">
        <v>452.48</v>
      </c>
      <c r="HO186" s="57">
        <v>340.56</v>
      </c>
      <c r="HP186" s="57">
        <v>524.12</v>
      </c>
      <c r="HQ186" s="57">
        <v>268.42</v>
      </c>
      <c r="HR186" s="57">
        <v>434.68</v>
      </c>
      <c r="HS186" s="57">
        <v>609.33000000000004</v>
      </c>
      <c r="HT186" s="57">
        <v>382.01</v>
      </c>
      <c r="HU186" s="57">
        <v>204.13</v>
      </c>
      <c r="HV186" s="57">
        <v>311.74</v>
      </c>
      <c r="HW186" s="57">
        <v>173.85</v>
      </c>
      <c r="HX186" s="57">
        <v>223.45</v>
      </c>
      <c r="HY186" s="57">
        <v>262.08999999999997</v>
      </c>
      <c r="HZ186" s="57">
        <v>404.3</v>
      </c>
      <c r="IA186" s="57">
        <v>176.04</v>
      </c>
      <c r="IB186" s="57">
        <v>459.85</v>
      </c>
      <c r="IC186" s="57">
        <v>316.23</v>
      </c>
      <c r="ID186" s="57">
        <v>371.73</v>
      </c>
      <c r="IE186" s="57">
        <v>299.94</v>
      </c>
      <c r="IF186" s="57">
        <v>395.91</v>
      </c>
      <c r="IG186" s="57">
        <v>519.70000000000005</v>
      </c>
      <c r="IH186" s="57">
        <v>388.1</v>
      </c>
      <c r="II186" s="57">
        <v>652.53</v>
      </c>
      <c r="IJ186" s="57">
        <v>706.05</v>
      </c>
      <c r="IK186" s="57">
        <v>472.47</v>
      </c>
      <c r="IL186" s="57">
        <v>300.37</v>
      </c>
      <c r="IM186" s="57">
        <v>495.83</v>
      </c>
      <c r="IN186" s="57">
        <v>470.46</v>
      </c>
      <c r="IO186" s="57">
        <v>387.37</v>
      </c>
      <c r="IP186" s="57">
        <v>262.82</v>
      </c>
      <c r="IQ186" s="57">
        <v>376.37</v>
      </c>
      <c r="IR186" s="57">
        <v>563.80999999999995</v>
      </c>
      <c r="IS186" s="57">
        <v>748.37</v>
      </c>
      <c r="IT186" s="57">
        <v>37.33</v>
      </c>
      <c r="IU186" s="57">
        <v>180.39</v>
      </c>
      <c r="IV186" s="57">
        <v>49.04</v>
      </c>
      <c r="IW186" s="57">
        <v>128.03</v>
      </c>
      <c r="IX186" s="57">
        <v>227.27</v>
      </c>
      <c r="IY186" s="57">
        <v>522.53</v>
      </c>
      <c r="IZ186" s="57">
        <v>498.55</v>
      </c>
      <c r="JA186" s="57">
        <v>364.67</v>
      </c>
      <c r="JB186" s="57">
        <v>111.38</v>
      </c>
      <c r="JC186" s="57">
        <v>463.53</v>
      </c>
      <c r="JD186" s="57">
        <v>452.18</v>
      </c>
      <c r="JE186" s="57">
        <v>449.05</v>
      </c>
      <c r="JF186" s="57">
        <v>305.55</v>
      </c>
      <c r="JG186" s="57">
        <v>375.96</v>
      </c>
      <c r="JH186" s="57">
        <v>575.6</v>
      </c>
      <c r="JI186" s="57">
        <v>568.21</v>
      </c>
      <c r="JJ186" s="57">
        <v>521.96</v>
      </c>
      <c r="JK186" s="57">
        <v>686.07</v>
      </c>
      <c r="JL186" s="57">
        <v>548.13</v>
      </c>
      <c r="JM186" s="57">
        <v>478.22</v>
      </c>
      <c r="JN186" s="57">
        <v>333.4</v>
      </c>
      <c r="JO186" s="57">
        <v>306.02</v>
      </c>
      <c r="JP186" s="57">
        <v>708.95</v>
      </c>
      <c r="JQ186" s="57">
        <v>610.44000000000005</v>
      </c>
      <c r="JR186" s="57">
        <v>403.75</v>
      </c>
      <c r="JS186" s="57">
        <v>541.54</v>
      </c>
      <c r="JT186" s="57">
        <v>588.86</v>
      </c>
      <c r="JU186" s="57">
        <v>451.24</v>
      </c>
      <c r="JV186" s="57">
        <v>217.41</v>
      </c>
      <c r="JW186" s="57">
        <v>342.69</v>
      </c>
      <c r="JX186" s="57">
        <v>1591.2</v>
      </c>
      <c r="JY186" s="57">
        <v>471.27</v>
      </c>
      <c r="JZ186" s="57">
        <v>482.37</v>
      </c>
      <c r="KA186" s="57">
        <v>509.43</v>
      </c>
      <c r="KB186" s="57">
        <v>345.27</v>
      </c>
      <c r="KC186" s="57">
        <v>504.17</v>
      </c>
      <c r="KD186" s="57">
        <v>620.15</v>
      </c>
      <c r="KE186" s="57">
        <v>756.55</v>
      </c>
      <c r="KF186" s="57">
        <v>682.86</v>
      </c>
    </row>
    <row r="187" spans="1:292">
      <c r="A187" s="41">
        <v>2020</v>
      </c>
      <c r="B187" s="54" t="s">
        <v>979</v>
      </c>
      <c r="C187" s="50" t="s">
        <v>980</v>
      </c>
      <c r="D187" s="57">
        <v>448.02</v>
      </c>
      <c r="E187" s="57">
        <v>539.88</v>
      </c>
      <c r="F187" s="57">
        <v>854.81</v>
      </c>
      <c r="G187" s="57">
        <v>235.76</v>
      </c>
      <c r="H187" s="57">
        <v>495.65</v>
      </c>
      <c r="I187" s="57">
        <v>367.37</v>
      </c>
      <c r="J187" s="57">
        <v>274.93</v>
      </c>
      <c r="K187" s="57">
        <v>427.15</v>
      </c>
      <c r="L187" s="57">
        <v>151.69999999999999</v>
      </c>
      <c r="M187" s="57">
        <v>293.85000000000002</v>
      </c>
      <c r="N187" s="57">
        <v>415.3</v>
      </c>
      <c r="O187" s="57">
        <v>668.69</v>
      </c>
      <c r="P187" s="57">
        <v>609.5</v>
      </c>
      <c r="Q187" s="57">
        <v>548.59</v>
      </c>
      <c r="R187" s="57">
        <v>428.25</v>
      </c>
      <c r="S187" s="57">
        <v>1013.75</v>
      </c>
      <c r="T187" s="57">
        <v>843.13</v>
      </c>
      <c r="U187" s="57">
        <v>223.33</v>
      </c>
      <c r="V187" s="57">
        <v>275.3</v>
      </c>
      <c r="W187" s="57">
        <v>535.78</v>
      </c>
      <c r="X187" s="57">
        <v>465.16</v>
      </c>
      <c r="Y187" s="57">
        <v>375.11</v>
      </c>
      <c r="Z187" s="57">
        <v>521.80999999999995</v>
      </c>
      <c r="AA187" s="57">
        <v>397.86</v>
      </c>
      <c r="AB187" s="57">
        <v>362.04</v>
      </c>
      <c r="AC187" s="57">
        <v>307.52999999999997</v>
      </c>
      <c r="AD187" s="57">
        <v>422.13</v>
      </c>
      <c r="AE187" s="57">
        <v>419.55</v>
      </c>
      <c r="AF187" s="57">
        <v>351.74</v>
      </c>
      <c r="AG187" s="57">
        <v>205.64</v>
      </c>
      <c r="AH187" s="57">
        <v>310.31</v>
      </c>
      <c r="AI187" s="57">
        <v>466.39</v>
      </c>
      <c r="AJ187" s="57">
        <v>353.58</v>
      </c>
      <c r="AK187" s="57">
        <v>436.32</v>
      </c>
      <c r="AL187" s="57">
        <v>467.19</v>
      </c>
      <c r="AM187" s="57">
        <v>648.11</v>
      </c>
      <c r="AN187" s="57">
        <v>36.729999999999997</v>
      </c>
      <c r="AO187" s="57">
        <v>180.72</v>
      </c>
      <c r="AP187" s="57">
        <v>83.4</v>
      </c>
      <c r="AQ187" s="57">
        <v>518.79</v>
      </c>
      <c r="AR187" s="57">
        <v>458.36</v>
      </c>
      <c r="AS187" s="57">
        <v>387.22</v>
      </c>
      <c r="AT187" s="57">
        <v>544.59</v>
      </c>
      <c r="AU187" s="57">
        <v>697.02</v>
      </c>
      <c r="AV187" s="57">
        <v>555.19000000000005</v>
      </c>
      <c r="AW187" s="57">
        <v>484.68</v>
      </c>
      <c r="AX187" s="57">
        <v>333.4</v>
      </c>
      <c r="AY187" s="57">
        <v>308.42</v>
      </c>
      <c r="AZ187" s="57">
        <v>685.05</v>
      </c>
      <c r="BA187" s="57">
        <v>448.59</v>
      </c>
      <c r="BB187" s="57">
        <v>376.81</v>
      </c>
      <c r="BC187" s="57">
        <v>1279.8599999999999</v>
      </c>
      <c r="BD187" s="57">
        <v>512.03</v>
      </c>
      <c r="BE187" s="57">
        <v>586.35</v>
      </c>
      <c r="BF187" s="57">
        <v>778.35</v>
      </c>
      <c r="BG187" s="57">
        <v>683.29</v>
      </c>
      <c r="BH187" s="57">
        <v>533.48</v>
      </c>
      <c r="BI187" s="57">
        <v>515.04</v>
      </c>
      <c r="BJ187" s="57">
        <v>498.62</v>
      </c>
      <c r="BK187" s="57">
        <v>517.69000000000005</v>
      </c>
      <c r="BL187" s="57">
        <v>478.51</v>
      </c>
      <c r="BM187" s="57">
        <v>487.32</v>
      </c>
      <c r="BN187" s="57">
        <v>761.77</v>
      </c>
      <c r="BO187" s="57">
        <v>383.93</v>
      </c>
      <c r="BP187" s="57">
        <v>556.5</v>
      </c>
      <c r="BQ187" s="57">
        <v>503.72</v>
      </c>
      <c r="BR187" s="57">
        <v>369.47</v>
      </c>
      <c r="BS187" s="57">
        <v>1104.29</v>
      </c>
      <c r="BT187" s="57">
        <v>629.84</v>
      </c>
      <c r="BU187" s="57">
        <v>946.84</v>
      </c>
      <c r="BV187" s="57">
        <v>843.13</v>
      </c>
      <c r="BW187" s="57">
        <v>214.75</v>
      </c>
      <c r="BX187" s="57">
        <v>309.29000000000002</v>
      </c>
      <c r="BY187" s="57">
        <v>454.78</v>
      </c>
      <c r="BZ187" s="57">
        <v>274.13</v>
      </c>
      <c r="CA187" s="57">
        <v>530.88</v>
      </c>
      <c r="CB187" s="58">
        <v>535.78</v>
      </c>
      <c r="CC187" s="57">
        <v>465.16</v>
      </c>
      <c r="CD187" s="57">
        <v>373.66</v>
      </c>
      <c r="CE187" s="57">
        <v>462.65</v>
      </c>
      <c r="CF187" s="57">
        <v>527.73</v>
      </c>
      <c r="CG187" s="57">
        <v>524.05999999999995</v>
      </c>
      <c r="CH187" s="57">
        <v>403.18</v>
      </c>
      <c r="CI187" s="57">
        <v>409.48</v>
      </c>
      <c r="CJ187" s="57">
        <v>362.04</v>
      </c>
      <c r="CK187" s="57">
        <v>279.82</v>
      </c>
      <c r="CL187" s="57">
        <v>329.06</v>
      </c>
      <c r="CM187" s="57">
        <v>641.66</v>
      </c>
      <c r="CN187" s="57">
        <v>422.13</v>
      </c>
      <c r="CO187" s="57">
        <v>419.55</v>
      </c>
      <c r="CP187" s="57">
        <v>287.33999999999997</v>
      </c>
      <c r="CQ187" s="57">
        <v>608.85</v>
      </c>
      <c r="CR187" s="57">
        <v>211.55</v>
      </c>
      <c r="CS187" s="57">
        <v>312.36</v>
      </c>
      <c r="CT187" s="57">
        <v>198.12</v>
      </c>
      <c r="CU187" s="57">
        <v>262.70999999999998</v>
      </c>
      <c r="CV187" s="57">
        <v>414.12</v>
      </c>
      <c r="CW187" s="57">
        <v>197.18</v>
      </c>
      <c r="CX187" s="57">
        <v>466.39</v>
      </c>
      <c r="CY187" s="57">
        <v>354.18</v>
      </c>
      <c r="CZ187" s="57">
        <v>302.87</v>
      </c>
      <c r="DA187" s="57">
        <v>397.5</v>
      </c>
      <c r="DB187" s="57">
        <v>523.91999999999996</v>
      </c>
      <c r="DC187" s="57">
        <v>379.18</v>
      </c>
      <c r="DD187" s="57">
        <v>664.91</v>
      </c>
      <c r="DE187" s="57">
        <v>709.24</v>
      </c>
      <c r="DF187" s="57">
        <v>392.86</v>
      </c>
      <c r="DG187" s="57">
        <v>476.07</v>
      </c>
      <c r="DH187" s="57">
        <v>264.07</v>
      </c>
      <c r="DI187" s="57">
        <v>465.05</v>
      </c>
      <c r="DJ187" s="57">
        <v>566.45000000000005</v>
      </c>
      <c r="DK187" s="57">
        <v>648.11</v>
      </c>
      <c r="DL187" s="57">
        <v>36.729999999999997</v>
      </c>
      <c r="DM187" s="57">
        <v>180.72</v>
      </c>
      <c r="DN187" s="57">
        <v>48.4</v>
      </c>
      <c r="DO187" s="57">
        <v>128.86000000000001</v>
      </c>
      <c r="DP187" s="57">
        <v>228.92</v>
      </c>
      <c r="DQ187" s="57">
        <v>518.79</v>
      </c>
      <c r="DR187" s="57">
        <v>494.75</v>
      </c>
      <c r="DS187" s="57">
        <v>365.52</v>
      </c>
      <c r="DT187" s="57">
        <v>99.26</v>
      </c>
      <c r="DU187" s="57">
        <v>477.05</v>
      </c>
      <c r="DV187" s="57">
        <v>458.04</v>
      </c>
      <c r="DW187" s="57">
        <v>325.8</v>
      </c>
      <c r="DX187" s="57">
        <v>379.15</v>
      </c>
      <c r="DY187" s="57">
        <v>576.65</v>
      </c>
      <c r="DZ187" s="57">
        <v>576.20000000000005</v>
      </c>
      <c r="EA187" s="57">
        <v>522.76</v>
      </c>
      <c r="EB187" s="57">
        <v>697.02</v>
      </c>
      <c r="EC187" s="57">
        <v>555.19000000000005</v>
      </c>
      <c r="ED187" s="57">
        <v>484.68</v>
      </c>
      <c r="EE187" s="57">
        <v>333.4</v>
      </c>
      <c r="EF187" s="57">
        <v>308.42</v>
      </c>
      <c r="EG187" s="57">
        <v>685.05</v>
      </c>
      <c r="EH187" s="57">
        <v>448.59</v>
      </c>
      <c r="EI187" s="57">
        <v>523.95000000000005</v>
      </c>
      <c r="EJ187" s="57">
        <v>214.8</v>
      </c>
      <c r="EK187" s="57">
        <v>337.63</v>
      </c>
      <c r="EL187" s="57">
        <v>1657.44</v>
      </c>
      <c r="EM187" s="57">
        <v>479.94</v>
      </c>
      <c r="EN187" s="57">
        <v>512.03</v>
      </c>
      <c r="EO187" s="57">
        <v>344.78</v>
      </c>
      <c r="EP187" s="57">
        <v>490.06</v>
      </c>
      <c r="EQ187" s="57">
        <v>614.02</v>
      </c>
      <c r="ER187" s="57">
        <v>778.35</v>
      </c>
      <c r="ES187" s="57">
        <v>683.29</v>
      </c>
      <c r="ET187" s="57">
        <v>587.42999999999995</v>
      </c>
      <c r="EU187" s="57">
        <v>531.5</v>
      </c>
      <c r="EV187" s="57">
        <v>538.52</v>
      </c>
      <c r="EW187" s="57">
        <v>483.65</v>
      </c>
      <c r="EX187" s="57">
        <v>543.84</v>
      </c>
      <c r="EY187" s="57">
        <v>264.45999999999998</v>
      </c>
      <c r="EZ187" s="57">
        <v>513.65</v>
      </c>
      <c r="FA187" s="57">
        <v>619.22</v>
      </c>
      <c r="FB187" s="57">
        <v>413.49</v>
      </c>
      <c r="FC187" s="57">
        <v>681.77</v>
      </c>
      <c r="FD187" s="57">
        <v>441.19</v>
      </c>
      <c r="FE187" s="57">
        <v>504.58</v>
      </c>
      <c r="FF187" s="57">
        <v>98.76</v>
      </c>
      <c r="FG187" s="57">
        <v>434.56</v>
      </c>
      <c r="FH187" s="57">
        <v>409.97</v>
      </c>
      <c r="FI187" s="57">
        <v>588.24</v>
      </c>
      <c r="FJ187" s="57">
        <v>598.98</v>
      </c>
      <c r="FK187" s="57">
        <v>873.96</v>
      </c>
      <c r="FL187" s="57">
        <v>420.73</v>
      </c>
      <c r="FM187" s="57">
        <v>422.68</v>
      </c>
      <c r="FN187" s="57">
        <v>419.78</v>
      </c>
      <c r="FO187" s="57">
        <v>850.69</v>
      </c>
      <c r="FP187" s="57">
        <v>845.37</v>
      </c>
      <c r="FQ187" s="57">
        <v>475.06</v>
      </c>
      <c r="FR187" s="57">
        <v>770.16</v>
      </c>
      <c r="FS187" s="57">
        <v>573.84</v>
      </c>
      <c r="FT187" s="57">
        <v>311.5</v>
      </c>
      <c r="FU187" s="57">
        <v>537.76</v>
      </c>
      <c r="FV187" s="57">
        <v>411.94</v>
      </c>
      <c r="FW187" s="57">
        <v>307.70999999999998</v>
      </c>
      <c r="FX187" s="57">
        <v>556.5</v>
      </c>
      <c r="FY187" s="57">
        <v>466.8</v>
      </c>
      <c r="FZ187" s="57">
        <v>513.01</v>
      </c>
      <c r="GA187" s="57">
        <v>382.44</v>
      </c>
      <c r="GB187" s="57">
        <v>387.1</v>
      </c>
      <c r="GC187" s="57">
        <v>366.67</v>
      </c>
      <c r="GD187" s="57">
        <v>336.52</v>
      </c>
      <c r="GE187" s="57">
        <v>1104.29</v>
      </c>
      <c r="GF187" s="57">
        <v>629.84</v>
      </c>
      <c r="GG187" s="57">
        <v>946.84</v>
      </c>
      <c r="GH187" s="57">
        <v>841.72</v>
      </c>
      <c r="GI187" s="57">
        <v>237.17</v>
      </c>
      <c r="GJ187" s="57">
        <v>197.72</v>
      </c>
      <c r="GK187" s="57">
        <v>199.65</v>
      </c>
      <c r="GL187" s="57">
        <v>325.72000000000003</v>
      </c>
      <c r="GM187" s="57">
        <v>309.29000000000002</v>
      </c>
      <c r="GN187" s="57">
        <v>454.78</v>
      </c>
      <c r="GO187" s="57">
        <v>288.27</v>
      </c>
      <c r="GP187" s="57">
        <v>260.5</v>
      </c>
      <c r="GQ187" s="57">
        <v>271.16000000000003</v>
      </c>
      <c r="GR187" s="57">
        <v>530.88</v>
      </c>
      <c r="GS187" s="57">
        <v>535.78</v>
      </c>
      <c r="GT187" s="57">
        <v>465.16</v>
      </c>
      <c r="GU187" s="57">
        <v>373.66</v>
      </c>
      <c r="GV187" s="57">
        <v>462.65</v>
      </c>
      <c r="GW187" s="57">
        <v>497.36</v>
      </c>
      <c r="GX187" s="57">
        <v>515.16</v>
      </c>
      <c r="GY187" s="57">
        <v>524.05999999999995</v>
      </c>
      <c r="GZ187" s="57">
        <v>506.1</v>
      </c>
      <c r="HA187" s="57">
        <v>384.22</v>
      </c>
      <c r="HB187" s="57">
        <v>396.04</v>
      </c>
      <c r="HC187" s="57">
        <v>409.48</v>
      </c>
      <c r="HD187" s="57">
        <v>362.04</v>
      </c>
      <c r="HE187" s="57">
        <v>230.3</v>
      </c>
      <c r="HF187" s="57">
        <v>267.61</v>
      </c>
      <c r="HG187" s="57">
        <v>317.51</v>
      </c>
      <c r="HH187" s="57">
        <v>381.63</v>
      </c>
      <c r="HI187" s="57">
        <v>181.7</v>
      </c>
      <c r="HJ187" s="57">
        <v>329.06</v>
      </c>
      <c r="HK187" s="57">
        <v>641.66</v>
      </c>
      <c r="HL187" s="57">
        <v>383.01</v>
      </c>
      <c r="HM187" s="57">
        <v>439.89</v>
      </c>
      <c r="HN187" s="57">
        <v>451.72</v>
      </c>
      <c r="HO187" s="57">
        <v>329.87</v>
      </c>
      <c r="HP187" s="57">
        <v>526.13</v>
      </c>
      <c r="HQ187" s="57">
        <v>267.86</v>
      </c>
      <c r="HR187" s="57">
        <v>430.24</v>
      </c>
      <c r="HS187" s="57">
        <v>617.71</v>
      </c>
      <c r="HT187" s="57">
        <v>384.31</v>
      </c>
      <c r="HU187" s="57">
        <v>211.55</v>
      </c>
      <c r="HV187" s="57">
        <v>312.36</v>
      </c>
      <c r="HW187" s="57">
        <v>175.97</v>
      </c>
      <c r="HX187" s="57">
        <v>227.99</v>
      </c>
      <c r="HY187" s="57">
        <v>262.70999999999998</v>
      </c>
      <c r="HZ187" s="57">
        <v>414.12</v>
      </c>
      <c r="IA187" s="57">
        <v>180.12</v>
      </c>
      <c r="IB187" s="57">
        <v>466.39</v>
      </c>
      <c r="IC187" s="57">
        <v>315.64</v>
      </c>
      <c r="ID187" s="57">
        <v>370.9</v>
      </c>
      <c r="IE187" s="57">
        <v>302.87</v>
      </c>
      <c r="IF187" s="57">
        <v>397.5</v>
      </c>
      <c r="IG187" s="57">
        <v>523.91999999999996</v>
      </c>
      <c r="IH187" s="57">
        <v>379.18</v>
      </c>
      <c r="II187" s="57">
        <v>664.91</v>
      </c>
      <c r="IJ187" s="57">
        <v>709.24</v>
      </c>
      <c r="IK187" s="57">
        <v>490.38</v>
      </c>
      <c r="IL187" s="57">
        <v>300.37</v>
      </c>
      <c r="IM187" s="57">
        <v>498</v>
      </c>
      <c r="IN187" s="57">
        <v>473.22</v>
      </c>
      <c r="IO187" s="57">
        <v>392.42</v>
      </c>
      <c r="IP187" s="57">
        <v>264.07</v>
      </c>
      <c r="IQ187" s="57">
        <v>465.05</v>
      </c>
      <c r="IR187" s="57">
        <v>566.45000000000005</v>
      </c>
      <c r="IS187" s="57">
        <v>648.11</v>
      </c>
      <c r="IT187" s="57">
        <v>36.729999999999997</v>
      </c>
      <c r="IU187" s="57">
        <v>180.72</v>
      </c>
      <c r="IV187" s="57">
        <v>48.41</v>
      </c>
      <c r="IW187" s="57">
        <v>128.86000000000001</v>
      </c>
      <c r="IX187" s="57">
        <v>228.92</v>
      </c>
      <c r="IY187" s="57">
        <v>518.79</v>
      </c>
      <c r="IZ187" s="57">
        <v>494.75</v>
      </c>
      <c r="JA187" s="57">
        <v>365.52</v>
      </c>
      <c r="JB187" s="57">
        <v>99.26</v>
      </c>
      <c r="JC187" s="57">
        <v>477.05</v>
      </c>
      <c r="JD187" s="57">
        <v>458.04</v>
      </c>
      <c r="JE187" s="57">
        <v>454.71</v>
      </c>
      <c r="JF187" s="57">
        <v>305.07</v>
      </c>
      <c r="JG187" s="57">
        <v>379.15</v>
      </c>
      <c r="JH187" s="57">
        <v>576.65</v>
      </c>
      <c r="JI187" s="57">
        <v>576.20000000000005</v>
      </c>
      <c r="JJ187" s="57">
        <v>522.76</v>
      </c>
      <c r="JK187" s="57">
        <v>697.02</v>
      </c>
      <c r="JL187" s="57">
        <v>555.19000000000005</v>
      </c>
      <c r="JM187" s="57">
        <v>484.68</v>
      </c>
      <c r="JN187" s="57">
        <v>333.4</v>
      </c>
      <c r="JO187" s="57">
        <v>308.42</v>
      </c>
      <c r="JP187" s="57">
        <v>715.64</v>
      </c>
      <c r="JQ187" s="57">
        <v>615.48</v>
      </c>
      <c r="JR187" s="57">
        <v>404.97</v>
      </c>
      <c r="JS187" s="57">
        <v>541.5</v>
      </c>
      <c r="JT187" s="57">
        <v>594.16999999999996</v>
      </c>
      <c r="JU187" s="57">
        <v>457.74</v>
      </c>
      <c r="JV187" s="57">
        <v>214.8</v>
      </c>
      <c r="JW187" s="57">
        <v>337.63</v>
      </c>
      <c r="JX187" s="57">
        <v>1657.44</v>
      </c>
      <c r="JY187" s="57">
        <v>464.44</v>
      </c>
      <c r="JZ187" s="57">
        <v>483.35</v>
      </c>
      <c r="KA187" s="57">
        <v>512.03</v>
      </c>
      <c r="KB187" s="57">
        <v>344.78</v>
      </c>
      <c r="KC187" s="57">
        <v>490.06</v>
      </c>
      <c r="KD187" s="57">
        <v>614.02</v>
      </c>
      <c r="KE187" s="57">
        <v>778.35</v>
      </c>
      <c r="KF187" s="57">
        <v>683.29</v>
      </c>
    </row>
    <row r="188" spans="1:292">
      <c r="A188" s="41">
        <v>2020</v>
      </c>
      <c r="B188" s="54" t="s">
        <v>981</v>
      </c>
      <c r="C188" s="50" t="s">
        <v>982</v>
      </c>
      <c r="D188" s="57">
        <v>450.58</v>
      </c>
      <c r="E188" s="57">
        <v>550.41999999999996</v>
      </c>
      <c r="F188" s="57">
        <v>855.12</v>
      </c>
      <c r="G188" s="57">
        <v>237.29</v>
      </c>
      <c r="H188" s="57">
        <v>496.96</v>
      </c>
      <c r="I188" s="57">
        <v>369.64</v>
      </c>
      <c r="J188" s="57">
        <v>282.56</v>
      </c>
      <c r="K188" s="57">
        <v>419</v>
      </c>
      <c r="L188" s="57">
        <v>151.63</v>
      </c>
      <c r="M188" s="57">
        <v>296.48</v>
      </c>
      <c r="N188" s="57">
        <v>418.17</v>
      </c>
      <c r="O188" s="57">
        <v>674.5</v>
      </c>
      <c r="P188" s="57">
        <v>617.08000000000004</v>
      </c>
      <c r="Q188" s="57">
        <v>559.4</v>
      </c>
      <c r="R188" s="57">
        <v>435.54</v>
      </c>
      <c r="S188" s="57">
        <v>1020.15</v>
      </c>
      <c r="T188" s="57">
        <v>843.13</v>
      </c>
      <c r="U188" s="57">
        <v>224.46</v>
      </c>
      <c r="V188" s="57">
        <v>278.25</v>
      </c>
      <c r="W188" s="57">
        <v>538.69000000000005</v>
      </c>
      <c r="X188" s="57">
        <v>467.08</v>
      </c>
      <c r="Y188" s="57">
        <v>374.64</v>
      </c>
      <c r="Z188" s="57">
        <v>522.36</v>
      </c>
      <c r="AA188" s="57">
        <v>401.76</v>
      </c>
      <c r="AB188" s="57">
        <v>362.86</v>
      </c>
      <c r="AC188" s="57">
        <v>308.38</v>
      </c>
      <c r="AD188" s="57">
        <v>427.62</v>
      </c>
      <c r="AE188" s="57">
        <v>424.28</v>
      </c>
      <c r="AF188" s="57">
        <v>353.02</v>
      </c>
      <c r="AG188" s="57">
        <v>216.81</v>
      </c>
      <c r="AH188" s="57">
        <v>313.94</v>
      </c>
      <c r="AI188" s="57">
        <v>476.94</v>
      </c>
      <c r="AJ188" s="57">
        <v>359.25</v>
      </c>
      <c r="AK188" s="57">
        <v>408.32</v>
      </c>
      <c r="AL188" s="57">
        <v>467.88</v>
      </c>
      <c r="AM188" s="57">
        <v>748.37</v>
      </c>
      <c r="AN188" s="57">
        <v>36.54</v>
      </c>
      <c r="AO188" s="57">
        <v>180.86</v>
      </c>
      <c r="AP188" s="57">
        <v>84.57</v>
      </c>
      <c r="AQ188" s="57">
        <v>518.33000000000004</v>
      </c>
      <c r="AR188" s="57">
        <v>475.89</v>
      </c>
      <c r="AS188" s="57">
        <v>386.29</v>
      </c>
      <c r="AT188" s="57">
        <v>547.54999999999995</v>
      </c>
      <c r="AU188" s="57">
        <v>698.82</v>
      </c>
      <c r="AV188" s="57">
        <v>562.11</v>
      </c>
      <c r="AW188" s="57">
        <v>489.83</v>
      </c>
      <c r="AX188" s="57">
        <v>333.4</v>
      </c>
      <c r="AY188" s="57">
        <v>308.81</v>
      </c>
      <c r="AZ188" s="57">
        <v>692.56</v>
      </c>
      <c r="BA188" s="57">
        <v>446.1</v>
      </c>
      <c r="BB188" s="57">
        <v>379.04</v>
      </c>
      <c r="BC188" s="57">
        <v>1314.77</v>
      </c>
      <c r="BD188" s="57">
        <v>512.48</v>
      </c>
      <c r="BE188" s="57">
        <v>585.26</v>
      </c>
      <c r="BF188" s="57">
        <v>52.91</v>
      </c>
      <c r="BG188" s="57">
        <v>688.64</v>
      </c>
      <c r="BH188" s="57">
        <v>537.33000000000004</v>
      </c>
      <c r="BI188" s="57">
        <v>540.11</v>
      </c>
      <c r="BJ188" s="57">
        <v>511.16</v>
      </c>
      <c r="BK188" s="57">
        <v>509.88</v>
      </c>
      <c r="BL188" s="57">
        <v>482.45</v>
      </c>
      <c r="BM188" s="57">
        <v>507.07</v>
      </c>
      <c r="BN188" s="57">
        <v>778.1</v>
      </c>
      <c r="BO188" s="57">
        <v>387.7</v>
      </c>
      <c r="BP188" s="57">
        <v>561.32000000000005</v>
      </c>
      <c r="BQ188" s="57">
        <v>502.76</v>
      </c>
      <c r="BR188" s="57">
        <v>381.3</v>
      </c>
      <c r="BS188" s="57">
        <v>1103.6199999999999</v>
      </c>
      <c r="BT188" s="57">
        <v>637.38</v>
      </c>
      <c r="BU188" s="57">
        <v>958.04</v>
      </c>
      <c r="BV188" s="57">
        <v>843.13</v>
      </c>
      <c r="BW188" s="57">
        <v>215.72</v>
      </c>
      <c r="BX188" s="57">
        <v>313.63</v>
      </c>
      <c r="BY188" s="57">
        <v>457.55</v>
      </c>
      <c r="BZ188" s="57">
        <v>277.08</v>
      </c>
      <c r="CA188" s="57">
        <v>534.14</v>
      </c>
      <c r="CB188" s="58">
        <v>538.69000000000005</v>
      </c>
      <c r="CC188" s="57">
        <v>467.08</v>
      </c>
      <c r="CD188" s="57">
        <v>373.2</v>
      </c>
      <c r="CE188" s="57">
        <v>462.65</v>
      </c>
      <c r="CF188" s="57">
        <v>528.64</v>
      </c>
      <c r="CG188" s="57">
        <v>525.52</v>
      </c>
      <c r="CH188" s="57">
        <v>407.43</v>
      </c>
      <c r="CI188" s="57">
        <v>410.63</v>
      </c>
      <c r="CJ188" s="57">
        <v>362.86</v>
      </c>
      <c r="CK188" s="57">
        <v>280.38</v>
      </c>
      <c r="CL188" s="57">
        <v>332.51</v>
      </c>
      <c r="CM188" s="57">
        <v>644.1</v>
      </c>
      <c r="CN188" s="57">
        <v>427.62</v>
      </c>
      <c r="CO188" s="57">
        <v>424.28</v>
      </c>
      <c r="CP188" s="57">
        <v>288.27999999999997</v>
      </c>
      <c r="CQ188" s="57">
        <v>611.46</v>
      </c>
      <c r="CR188" s="57">
        <v>226.53</v>
      </c>
      <c r="CS188" s="57">
        <v>324.14999999999998</v>
      </c>
      <c r="CT188" s="57">
        <v>200.73</v>
      </c>
      <c r="CU188" s="57">
        <v>263.08</v>
      </c>
      <c r="CV188" s="57">
        <v>421.14</v>
      </c>
      <c r="CW188" s="57">
        <v>200.03</v>
      </c>
      <c r="CX188" s="57">
        <v>476.94</v>
      </c>
      <c r="CY188" s="57">
        <v>359.99</v>
      </c>
      <c r="CZ188" s="57">
        <v>305.70999999999998</v>
      </c>
      <c r="DA188" s="57">
        <v>400.53</v>
      </c>
      <c r="DB188" s="57">
        <v>522.67999999999995</v>
      </c>
      <c r="DC188" s="57">
        <v>345.91</v>
      </c>
      <c r="DD188" s="57">
        <v>656.95</v>
      </c>
      <c r="DE188" s="57">
        <v>714.87</v>
      </c>
      <c r="DF188" s="57">
        <v>394.23</v>
      </c>
      <c r="DG188" s="57">
        <v>475.91</v>
      </c>
      <c r="DH188" s="57">
        <v>265.16000000000003</v>
      </c>
      <c r="DI188" s="57">
        <v>510.49</v>
      </c>
      <c r="DJ188" s="57">
        <v>569.32000000000005</v>
      </c>
      <c r="DK188" s="57">
        <v>748.37</v>
      </c>
      <c r="DL188" s="57">
        <v>36.54</v>
      </c>
      <c r="DM188" s="57">
        <v>180.86</v>
      </c>
      <c r="DN188" s="57">
        <v>48.74</v>
      </c>
      <c r="DO188" s="57">
        <v>133.16999999999999</v>
      </c>
      <c r="DP188" s="57">
        <v>229.38</v>
      </c>
      <c r="DQ188" s="57">
        <v>518.33000000000004</v>
      </c>
      <c r="DR188" s="57">
        <v>496.74</v>
      </c>
      <c r="DS188" s="57">
        <v>369.93</v>
      </c>
      <c r="DT188" s="57">
        <v>113.5</v>
      </c>
      <c r="DU188" s="57">
        <v>481.47</v>
      </c>
      <c r="DV188" s="57">
        <v>453.85</v>
      </c>
      <c r="DW188" s="57">
        <v>328.45</v>
      </c>
      <c r="DX188" s="57">
        <v>379.15</v>
      </c>
      <c r="DY188" s="57">
        <v>581.74</v>
      </c>
      <c r="DZ188" s="57">
        <v>576.20000000000005</v>
      </c>
      <c r="EA188" s="57">
        <v>523.54999999999995</v>
      </c>
      <c r="EB188" s="57">
        <v>698.82</v>
      </c>
      <c r="EC188" s="57">
        <v>562.11</v>
      </c>
      <c r="ED188" s="57">
        <v>489.83</v>
      </c>
      <c r="EE188" s="57">
        <v>333.4</v>
      </c>
      <c r="EF188" s="57">
        <v>308.81</v>
      </c>
      <c r="EG188" s="57">
        <v>692.56</v>
      </c>
      <c r="EH188" s="57">
        <v>446.1</v>
      </c>
      <c r="EI188" s="57">
        <v>530.54</v>
      </c>
      <c r="EJ188" s="57">
        <v>217.33</v>
      </c>
      <c r="EK188" s="57">
        <v>338.59</v>
      </c>
      <c r="EL188" s="57">
        <v>1706.82</v>
      </c>
      <c r="EM188" s="57">
        <v>486.65</v>
      </c>
      <c r="EN188" s="57">
        <v>512.48</v>
      </c>
      <c r="EO188" s="57">
        <v>345.3</v>
      </c>
      <c r="EP188" s="57">
        <v>501.36</v>
      </c>
      <c r="EQ188" s="57">
        <v>609.91</v>
      </c>
      <c r="ER188" s="57">
        <v>52.91</v>
      </c>
      <c r="ES188" s="57">
        <v>688.64</v>
      </c>
      <c r="ET188" s="57">
        <v>596.91999999999996</v>
      </c>
      <c r="EU188" s="57">
        <v>535.19000000000005</v>
      </c>
      <c r="EV188" s="57">
        <v>540.80999999999995</v>
      </c>
      <c r="EW188" s="57">
        <v>488.11</v>
      </c>
      <c r="EX188" s="57">
        <v>551.58000000000004</v>
      </c>
      <c r="EY188" s="57">
        <v>268.31</v>
      </c>
      <c r="EZ188" s="57">
        <v>538.91999999999996</v>
      </c>
      <c r="FA188" s="57">
        <v>652.37</v>
      </c>
      <c r="FB188" s="57">
        <v>441.23</v>
      </c>
      <c r="FC188" s="57">
        <v>706.79</v>
      </c>
      <c r="FD188" s="57">
        <v>443.56</v>
      </c>
      <c r="FE188" s="57">
        <v>518.12</v>
      </c>
      <c r="FF188" s="57">
        <v>98.2</v>
      </c>
      <c r="FG188" s="57">
        <v>433.54</v>
      </c>
      <c r="FH188" s="57">
        <v>410.42</v>
      </c>
      <c r="FI188" s="57">
        <v>589.61</v>
      </c>
      <c r="FJ188" s="57">
        <v>538.86</v>
      </c>
      <c r="FK188" s="57">
        <v>873.55</v>
      </c>
      <c r="FL188" s="57">
        <v>442.58</v>
      </c>
      <c r="FM188" s="57">
        <v>426.02</v>
      </c>
      <c r="FN188" s="57">
        <v>439.96</v>
      </c>
      <c r="FO188" s="57">
        <v>871.14</v>
      </c>
      <c r="FP188" s="57">
        <v>844.05</v>
      </c>
      <c r="FQ188" s="57">
        <v>619.45000000000005</v>
      </c>
      <c r="FR188" s="57">
        <v>787.72</v>
      </c>
      <c r="FS188" s="57">
        <v>580.91</v>
      </c>
      <c r="FT188" s="57">
        <v>312.56</v>
      </c>
      <c r="FU188" s="57">
        <v>543.73</v>
      </c>
      <c r="FV188" s="57">
        <v>417.73</v>
      </c>
      <c r="FW188" s="57">
        <v>310.24</v>
      </c>
      <c r="FX188" s="57">
        <v>561.32000000000005</v>
      </c>
      <c r="FY188" s="57">
        <v>474.12</v>
      </c>
      <c r="FZ188" s="57">
        <v>509.94</v>
      </c>
      <c r="GA188" s="57">
        <v>382.25</v>
      </c>
      <c r="GB188" s="57">
        <v>390.15</v>
      </c>
      <c r="GC188" s="57">
        <v>390.18</v>
      </c>
      <c r="GD188" s="57">
        <v>348.35</v>
      </c>
      <c r="GE188" s="57">
        <v>1103.6199999999999</v>
      </c>
      <c r="GF188" s="57">
        <v>637.38</v>
      </c>
      <c r="GG188" s="57">
        <v>958.04</v>
      </c>
      <c r="GH188" s="57">
        <v>841.72</v>
      </c>
      <c r="GI188" s="57">
        <v>238.05</v>
      </c>
      <c r="GJ188" s="57">
        <v>198.89</v>
      </c>
      <c r="GK188" s="57">
        <v>200.26</v>
      </c>
      <c r="GL188" s="57">
        <v>326.99</v>
      </c>
      <c r="GM188" s="57">
        <v>313.63</v>
      </c>
      <c r="GN188" s="57">
        <v>457.55</v>
      </c>
      <c r="GO188" s="57">
        <v>290.06</v>
      </c>
      <c r="GP188" s="57">
        <v>263.02999999999997</v>
      </c>
      <c r="GQ188" s="57">
        <v>277.41000000000003</v>
      </c>
      <c r="GR188" s="57">
        <v>534.14</v>
      </c>
      <c r="GS188" s="57">
        <v>538.69000000000005</v>
      </c>
      <c r="GT188" s="57">
        <v>467.08</v>
      </c>
      <c r="GU188" s="57">
        <v>373.2</v>
      </c>
      <c r="GV188" s="57">
        <v>462.65</v>
      </c>
      <c r="GW188" s="57">
        <v>498.69</v>
      </c>
      <c r="GX188" s="57">
        <v>514.29999999999995</v>
      </c>
      <c r="GY188" s="57">
        <v>525.52</v>
      </c>
      <c r="GZ188" s="57">
        <v>509.9</v>
      </c>
      <c r="HA188" s="57">
        <v>387.9</v>
      </c>
      <c r="HB188" s="57">
        <v>401</v>
      </c>
      <c r="HC188" s="57">
        <v>410.63</v>
      </c>
      <c r="HD188" s="57">
        <v>362.86</v>
      </c>
      <c r="HE188" s="57">
        <v>230.44</v>
      </c>
      <c r="HF188" s="57">
        <v>267.08</v>
      </c>
      <c r="HG188" s="57">
        <v>318.31</v>
      </c>
      <c r="HH188" s="57">
        <v>385.42</v>
      </c>
      <c r="HI188" s="57">
        <v>182.18</v>
      </c>
      <c r="HJ188" s="57">
        <v>332.51</v>
      </c>
      <c r="HK188" s="57">
        <v>644.1</v>
      </c>
      <c r="HL188" s="57">
        <v>389.26</v>
      </c>
      <c r="HM188" s="57">
        <v>444.13</v>
      </c>
      <c r="HN188" s="57">
        <v>456.46</v>
      </c>
      <c r="HO188" s="57">
        <v>336.7</v>
      </c>
      <c r="HP188" s="57">
        <v>526.58000000000004</v>
      </c>
      <c r="HQ188" s="57">
        <v>269.52</v>
      </c>
      <c r="HR188" s="57">
        <v>426.93</v>
      </c>
      <c r="HS188" s="57">
        <v>619.6</v>
      </c>
      <c r="HT188" s="57">
        <v>389.14</v>
      </c>
      <c r="HU188" s="57">
        <v>226.53</v>
      </c>
      <c r="HV188" s="57">
        <v>324.14999999999998</v>
      </c>
      <c r="HW188" s="57">
        <v>178.23</v>
      </c>
      <c r="HX188" s="57">
        <v>231.11</v>
      </c>
      <c r="HY188" s="57">
        <v>263.08</v>
      </c>
      <c r="HZ188" s="57">
        <v>421.14</v>
      </c>
      <c r="IA188" s="57">
        <v>182.72</v>
      </c>
      <c r="IB188" s="57">
        <v>476.94</v>
      </c>
      <c r="IC188" s="57">
        <v>316.25</v>
      </c>
      <c r="ID188" s="57">
        <v>383.99</v>
      </c>
      <c r="IE188" s="57">
        <v>305.70999999999998</v>
      </c>
      <c r="IF188" s="57">
        <v>400.53</v>
      </c>
      <c r="IG188" s="57">
        <v>522.67999999999995</v>
      </c>
      <c r="IH188" s="57">
        <v>345.91</v>
      </c>
      <c r="II188" s="57">
        <v>656.95</v>
      </c>
      <c r="IJ188" s="57">
        <v>714.87</v>
      </c>
      <c r="IK188" s="57">
        <v>498.08</v>
      </c>
      <c r="IL188" s="57">
        <v>300.37</v>
      </c>
      <c r="IM188" s="57">
        <v>498.91</v>
      </c>
      <c r="IN188" s="57">
        <v>473.62</v>
      </c>
      <c r="IO188" s="57">
        <v>388.94</v>
      </c>
      <c r="IP188" s="57">
        <v>265.16000000000003</v>
      </c>
      <c r="IQ188" s="57">
        <v>510.49</v>
      </c>
      <c r="IR188" s="57">
        <v>569.32000000000005</v>
      </c>
      <c r="IS188" s="57">
        <v>748.37</v>
      </c>
      <c r="IT188" s="57">
        <v>36.54</v>
      </c>
      <c r="IU188" s="57">
        <v>180.86</v>
      </c>
      <c r="IV188" s="57">
        <v>48.75</v>
      </c>
      <c r="IW188" s="57">
        <v>133.16999999999999</v>
      </c>
      <c r="IX188" s="57">
        <v>229.38</v>
      </c>
      <c r="IY188" s="57">
        <v>518.33000000000004</v>
      </c>
      <c r="IZ188" s="57">
        <v>496.74</v>
      </c>
      <c r="JA188" s="57">
        <v>369.93</v>
      </c>
      <c r="JB188" s="57">
        <v>113.5</v>
      </c>
      <c r="JC188" s="57">
        <v>481.47</v>
      </c>
      <c r="JD188" s="57">
        <v>453.85</v>
      </c>
      <c r="JE188" s="57">
        <v>458.62</v>
      </c>
      <c r="JF188" s="57">
        <v>307.52999999999997</v>
      </c>
      <c r="JG188" s="57">
        <v>379.15</v>
      </c>
      <c r="JH188" s="57">
        <v>581.74</v>
      </c>
      <c r="JI188" s="57">
        <v>576.20000000000005</v>
      </c>
      <c r="JJ188" s="57">
        <v>523.54999999999995</v>
      </c>
      <c r="JK188" s="57">
        <v>698.82</v>
      </c>
      <c r="JL188" s="57">
        <v>562.11</v>
      </c>
      <c r="JM188" s="57">
        <v>489.83</v>
      </c>
      <c r="JN188" s="57">
        <v>333.4</v>
      </c>
      <c r="JO188" s="57">
        <v>308.81</v>
      </c>
      <c r="JP188" s="57">
        <v>723.94</v>
      </c>
      <c r="JQ188" s="57">
        <v>620.51</v>
      </c>
      <c r="JR188" s="57">
        <v>401.25</v>
      </c>
      <c r="JS188" s="57">
        <v>541.51</v>
      </c>
      <c r="JT188" s="57">
        <v>603.86</v>
      </c>
      <c r="JU188" s="57">
        <v>462.13</v>
      </c>
      <c r="JV188" s="57">
        <v>217.33</v>
      </c>
      <c r="JW188" s="57">
        <v>338.59</v>
      </c>
      <c r="JX188" s="57">
        <v>1706.82</v>
      </c>
      <c r="JY188" s="57">
        <v>470.69</v>
      </c>
      <c r="JZ188" s="57">
        <v>490.39</v>
      </c>
      <c r="KA188" s="57">
        <v>512.48</v>
      </c>
      <c r="KB188" s="57">
        <v>345.3</v>
      </c>
      <c r="KC188" s="57">
        <v>501.36</v>
      </c>
      <c r="KD188" s="57">
        <v>609.91</v>
      </c>
      <c r="KE188" s="57">
        <v>52.91</v>
      </c>
      <c r="KF188" s="57">
        <v>688.64</v>
      </c>
    </row>
    <row r="189" spans="1:292">
      <c r="A189" s="41">
        <v>2020</v>
      </c>
      <c r="B189" s="54" t="s">
        <v>983</v>
      </c>
      <c r="C189" s="50" t="s">
        <v>984</v>
      </c>
      <c r="D189" s="57">
        <v>454.43</v>
      </c>
      <c r="E189" s="57">
        <v>564.32000000000005</v>
      </c>
      <c r="F189" s="57">
        <v>855.31</v>
      </c>
      <c r="G189" s="57">
        <v>246.98</v>
      </c>
      <c r="H189" s="57">
        <v>495.39</v>
      </c>
      <c r="I189" s="57">
        <v>373.66</v>
      </c>
      <c r="J189" s="57">
        <v>284.06</v>
      </c>
      <c r="K189" s="57">
        <v>411.33</v>
      </c>
      <c r="L189" s="57">
        <v>149.76</v>
      </c>
      <c r="M189" s="57">
        <v>294.49</v>
      </c>
      <c r="N189" s="57">
        <v>419.61</v>
      </c>
      <c r="O189" s="57">
        <v>675.32</v>
      </c>
      <c r="P189" s="57">
        <v>645.84</v>
      </c>
      <c r="Q189" s="57">
        <v>573.63</v>
      </c>
      <c r="R189" s="57">
        <v>445.49</v>
      </c>
      <c r="S189" s="57">
        <v>1024.1199999999999</v>
      </c>
      <c r="T189" s="57">
        <v>843.13</v>
      </c>
      <c r="U189" s="57">
        <v>237.15</v>
      </c>
      <c r="V189" s="57">
        <v>276.95999999999998</v>
      </c>
      <c r="W189" s="57">
        <v>540.94000000000005</v>
      </c>
      <c r="X189" s="57">
        <v>469.88</v>
      </c>
      <c r="Y189" s="57">
        <v>368.52</v>
      </c>
      <c r="Z189" s="57">
        <v>518.26</v>
      </c>
      <c r="AA189" s="57">
        <v>415.44</v>
      </c>
      <c r="AB189" s="57">
        <v>364.96</v>
      </c>
      <c r="AC189" s="57">
        <v>306.38</v>
      </c>
      <c r="AD189" s="57">
        <v>426.09</v>
      </c>
      <c r="AE189" s="57">
        <v>426.92</v>
      </c>
      <c r="AF189" s="57">
        <v>356.02</v>
      </c>
      <c r="AG189" s="57">
        <v>218.67</v>
      </c>
      <c r="AH189" s="57">
        <v>314.58999999999997</v>
      </c>
      <c r="AI189" s="57">
        <v>480.45</v>
      </c>
      <c r="AJ189" s="57">
        <v>371.05</v>
      </c>
      <c r="AK189" s="57">
        <v>374.66</v>
      </c>
      <c r="AL189" s="57">
        <v>468.11</v>
      </c>
      <c r="AM189" s="57">
        <v>748.37</v>
      </c>
      <c r="AN189" s="57">
        <v>35.32</v>
      </c>
      <c r="AO189" s="57">
        <v>179.71</v>
      </c>
      <c r="AP189" s="57">
        <v>84.88</v>
      </c>
      <c r="AQ189" s="57">
        <v>513.88</v>
      </c>
      <c r="AR189" s="57">
        <v>479.73</v>
      </c>
      <c r="AS189" s="57">
        <v>386.41</v>
      </c>
      <c r="AT189" s="57">
        <v>520.34</v>
      </c>
      <c r="AU189" s="57">
        <v>698.82</v>
      </c>
      <c r="AV189" s="57">
        <v>565.21</v>
      </c>
      <c r="AW189" s="57">
        <v>492.75</v>
      </c>
      <c r="AX189" s="57">
        <v>333.4</v>
      </c>
      <c r="AY189" s="57">
        <v>308.81</v>
      </c>
      <c r="AZ189" s="57">
        <v>693.71</v>
      </c>
      <c r="BA189" s="57">
        <v>445.34</v>
      </c>
      <c r="BB189" s="57">
        <v>384.89</v>
      </c>
      <c r="BC189" s="57">
        <v>1461.06</v>
      </c>
      <c r="BD189" s="57">
        <v>512.48</v>
      </c>
      <c r="BE189" s="57">
        <v>581.17999999999995</v>
      </c>
      <c r="BF189" s="57">
        <v>52.91</v>
      </c>
      <c r="BG189" s="57">
        <v>688.68</v>
      </c>
      <c r="BH189" s="57">
        <v>544.89</v>
      </c>
      <c r="BI189" s="57">
        <v>560.26</v>
      </c>
      <c r="BJ189" s="57">
        <v>543.61</v>
      </c>
      <c r="BK189" s="57">
        <v>521.63</v>
      </c>
      <c r="BL189" s="57">
        <v>497.43</v>
      </c>
      <c r="BM189" s="57">
        <v>559.76</v>
      </c>
      <c r="BN189" s="57">
        <v>759.4</v>
      </c>
      <c r="BO189" s="57">
        <v>392.8</v>
      </c>
      <c r="BP189" s="57">
        <v>568.61</v>
      </c>
      <c r="BQ189" s="57">
        <v>511.12</v>
      </c>
      <c r="BR189" s="57">
        <v>391.84</v>
      </c>
      <c r="BS189" s="57">
        <v>1103.46</v>
      </c>
      <c r="BT189" s="57">
        <v>634.62</v>
      </c>
      <c r="BU189" s="57">
        <v>967.13</v>
      </c>
      <c r="BV189" s="57">
        <v>843.13</v>
      </c>
      <c r="BW189" s="57">
        <v>228.82</v>
      </c>
      <c r="BX189" s="57">
        <v>320.02999999999997</v>
      </c>
      <c r="BY189" s="57">
        <v>458.05</v>
      </c>
      <c r="BZ189" s="57">
        <v>275.77999999999997</v>
      </c>
      <c r="CA189" s="57">
        <v>535.38</v>
      </c>
      <c r="CB189" s="58">
        <v>540.94000000000005</v>
      </c>
      <c r="CC189" s="57">
        <v>469.88</v>
      </c>
      <c r="CD189" s="57">
        <v>367.1</v>
      </c>
      <c r="CE189" s="57">
        <v>462.65</v>
      </c>
      <c r="CF189" s="57">
        <v>516.63</v>
      </c>
      <c r="CG189" s="57">
        <v>529.72</v>
      </c>
      <c r="CH189" s="57">
        <v>422.23</v>
      </c>
      <c r="CI189" s="57">
        <v>415.6</v>
      </c>
      <c r="CJ189" s="57">
        <v>364.96</v>
      </c>
      <c r="CK189" s="57">
        <v>279.02999999999997</v>
      </c>
      <c r="CL189" s="57">
        <v>321.52999999999997</v>
      </c>
      <c r="CM189" s="57">
        <v>645.08000000000004</v>
      </c>
      <c r="CN189" s="57">
        <v>426.09</v>
      </c>
      <c r="CO189" s="57">
        <v>426.92</v>
      </c>
      <c r="CP189" s="57">
        <v>290.73</v>
      </c>
      <c r="CQ189" s="57">
        <v>616.66</v>
      </c>
      <c r="CR189" s="57">
        <v>228.48</v>
      </c>
      <c r="CS189" s="57">
        <v>328.69</v>
      </c>
      <c r="CT189" s="57">
        <v>202.1</v>
      </c>
      <c r="CU189" s="57">
        <v>263.35000000000002</v>
      </c>
      <c r="CV189" s="57">
        <v>421.92</v>
      </c>
      <c r="CW189" s="57">
        <v>200.77</v>
      </c>
      <c r="CX189" s="57">
        <v>480.45</v>
      </c>
      <c r="CY189" s="57">
        <v>372.14</v>
      </c>
      <c r="CZ189" s="57">
        <v>310.26</v>
      </c>
      <c r="DA189" s="57">
        <v>405.28</v>
      </c>
      <c r="DB189" s="57">
        <v>527.17999999999995</v>
      </c>
      <c r="DC189" s="57">
        <v>301.55</v>
      </c>
      <c r="DD189" s="57">
        <v>678.66</v>
      </c>
      <c r="DE189" s="57">
        <v>702.32</v>
      </c>
      <c r="DF189" s="57">
        <v>394.23</v>
      </c>
      <c r="DG189" s="57">
        <v>476.24</v>
      </c>
      <c r="DH189" s="57">
        <v>265.16000000000003</v>
      </c>
      <c r="DI189" s="57">
        <v>510.49</v>
      </c>
      <c r="DJ189" s="57">
        <v>568.34</v>
      </c>
      <c r="DK189" s="57">
        <v>748.37</v>
      </c>
      <c r="DL189" s="57">
        <v>35.32</v>
      </c>
      <c r="DM189" s="57">
        <v>179.71</v>
      </c>
      <c r="DN189" s="57">
        <v>48.23</v>
      </c>
      <c r="DO189" s="57">
        <v>137.93</v>
      </c>
      <c r="DP189" s="57">
        <v>230.41</v>
      </c>
      <c r="DQ189" s="57">
        <v>513.88</v>
      </c>
      <c r="DR189" s="57">
        <v>503.95</v>
      </c>
      <c r="DS189" s="57">
        <v>365.77</v>
      </c>
      <c r="DT189" s="57">
        <v>114.26</v>
      </c>
      <c r="DU189" s="57">
        <v>484.86</v>
      </c>
      <c r="DV189" s="57">
        <v>453.88</v>
      </c>
      <c r="DW189" s="57">
        <v>328.69</v>
      </c>
      <c r="DX189" s="57">
        <v>379.15</v>
      </c>
      <c r="DY189" s="57">
        <v>530.33000000000004</v>
      </c>
      <c r="DZ189" s="57">
        <v>576.20000000000005</v>
      </c>
      <c r="EA189" s="57">
        <v>522.97</v>
      </c>
      <c r="EB189" s="57">
        <v>698.82</v>
      </c>
      <c r="EC189" s="57">
        <v>565.21</v>
      </c>
      <c r="ED189" s="57">
        <v>492.75</v>
      </c>
      <c r="EE189" s="57">
        <v>333.4</v>
      </c>
      <c r="EF189" s="57">
        <v>308.81</v>
      </c>
      <c r="EG189" s="57">
        <v>693.71</v>
      </c>
      <c r="EH189" s="57">
        <v>445.34</v>
      </c>
      <c r="EI189" s="57">
        <v>530.54999999999995</v>
      </c>
      <c r="EJ189" s="57">
        <v>207.41</v>
      </c>
      <c r="EK189" s="57">
        <v>346.63</v>
      </c>
      <c r="EL189" s="57">
        <v>1934.49</v>
      </c>
      <c r="EM189" s="57">
        <v>482.84</v>
      </c>
      <c r="EN189" s="57">
        <v>512.48</v>
      </c>
      <c r="EO189" s="57">
        <v>344.69</v>
      </c>
      <c r="EP189" s="57">
        <v>504.23</v>
      </c>
      <c r="EQ189" s="57">
        <v>603.89</v>
      </c>
      <c r="ER189" s="57">
        <v>52.91</v>
      </c>
      <c r="ES189" s="57">
        <v>688.68</v>
      </c>
      <c r="ET189" s="57">
        <v>618.70000000000005</v>
      </c>
      <c r="EU189" s="57">
        <v>548.35</v>
      </c>
      <c r="EV189" s="57">
        <v>548.44000000000005</v>
      </c>
      <c r="EW189" s="57">
        <v>489.86</v>
      </c>
      <c r="EX189" s="57">
        <v>558.4</v>
      </c>
      <c r="EY189" s="57">
        <v>270.16000000000003</v>
      </c>
      <c r="EZ189" s="57">
        <v>566.29</v>
      </c>
      <c r="FA189" s="57">
        <v>669.56</v>
      </c>
      <c r="FB189" s="57">
        <v>453.4</v>
      </c>
      <c r="FC189" s="57">
        <v>729.91</v>
      </c>
      <c r="FD189" s="57">
        <v>450.84</v>
      </c>
      <c r="FE189" s="57">
        <v>551.95000000000005</v>
      </c>
      <c r="FF189" s="57">
        <v>101.08</v>
      </c>
      <c r="FG189" s="57">
        <v>433.67</v>
      </c>
      <c r="FH189" s="57">
        <v>407.91</v>
      </c>
      <c r="FI189" s="57">
        <v>593.36</v>
      </c>
      <c r="FJ189" s="57">
        <v>618.16999999999996</v>
      </c>
      <c r="FK189" s="57">
        <v>872.8</v>
      </c>
      <c r="FL189" s="57">
        <v>453.17</v>
      </c>
      <c r="FM189" s="57">
        <v>444.75</v>
      </c>
      <c r="FN189" s="57">
        <v>503.73</v>
      </c>
      <c r="FO189" s="57">
        <v>881.32</v>
      </c>
      <c r="FP189" s="57">
        <v>776.08</v>
      </c>
      <c r="FQ189" s="57">
        <v>811.59</v>
      </c>
      <c r="FR189" s="57">
        <v>847.13</v>
      </c>
      <c r="FS189" s="57">
        <v>583.35</v>
      </c>
      <c r="FT189" s="57">
        <v>317.22000000000003</v>
      </c>
      <c r="FU189" s="57">
        <v>550.09</v>
      </c>
      <c r="FV189" s="57">
        <v>425.54</v>
      </c>
      <c r="FW189" s="57">
        <v>309.55</v>
      </c>
      <c r="FX189" s="57">
        <v>568.61</v>
      </c>
      <c r="FY189" s="57">
        <v>492.11</v>
      </c>
      <c r="FZ189" s="57">
        <v>515.98</v>
      </c>
      <c r="GA189" s="57">
        <v>384.05</v>
      </c>
      <c r="GB189" s="57">
        <v>401</v>
      </c>
      <c r="GC189" s="57">
        <v>404.23</v>
      </c>
      <c r="GD189" s="57">
        <v>350.74</v>
      </c>
      <c r="GE189" s="57">
        <v>1103.46</v>
      </c>
      <c r="GF189" s="57">
        <v>634.62</v>
      </c>
      <c r="GG189" s="57">
        <v>967.13</v>
      </c>
      <c r="GH189" s="57">
        <v>841.72</v>
      </c>
      <c r="GI189" s="57">
        <v>250.25</v>
      </c>
      <c r="GJ189" s="57">
        <v>212.48</v>
      </c>
      <c r="GK189" s="57">
        <v>214.38</v>
      </c>
      <c r="GL189" s="57">
        <v>332.3</v>
      </c>
      <c r="GM189" s="57">
        <v>320.02999999999997</v>
      </c>
      <c r="GN189" s="57">
        <v>458.05</v>
      </c>
      <c r="GO189" s="57">
        <v>287.19</v>
      </c>
      <c r="GP189" s="57">
        <v>261.85000000000002</v>
      </c>
      <c r="GQ189" s="57">
        <v>279.23</v>
      </c>
      <c r="GR189" s="57">
        <v>535.38</v>
      </c>
      <c r="GS189" s="57">
        <v>540.94000000000005</v>
      </c>
      <c r="GT189" s="57">
        <v>469.88</v>
      </c>
      <c r="GU189" s="57">
        <v>367.1</v>
      </c>
      <c r="GV189" s="57">
        <v>462.65</v>
      </c>
      <c r="GW189" s="57">
        <v>499.81</v>
      </c>
      <c r="GX189" s="57">
        <v>456.35</v>
      </c>
      <c r="GY189" s="57">
        <v>529.72</v>
      </c>
      <c r="GZ189" s="57">
        <v>529.04</v>
      </c>
      <c r="HA189" s="57">
        <v>402.48</v>
      </c>
      <c r="HB189" s="57">
        <v>414.98</v>
      </c>
      <c r="HC189" s="57">
        <v>415.6</v>
      </c>
      <c r="HD189" s="57">
        <v>364.96</v>
      </c>
      <c r="HE189" s="57">
        <v>231.57</v>
      </c>
      <c r="HF189" s="57">
        <v>264.89999999999998</v>
      </c>
      <c r="HG189" s="57">
        <v>317.91000000000003</v>
      </c>
      <c r="HH189" s="57">
        <v>382.96</v>
      </c>
      <c r="HI189" s="57">
        <v>177.57</v>
      </c>
      <c r="HJ189" s="57">
        <v>321.52999999999997</v>
      </c>
      <c r="HK189" s="57">
        <v>645.08000000000004</v>
      </c>
      <c r="HL189" s="57">
        <v>385.45</v>
      </c>
      <c r="HM189" s="57">
        <v>448.07</v>
      </c>
      <c r="HN189" s="57">
        <v>456.51</v>
      </c>
      <c r="HO189" s="57">
        <v>339.77</v>
      </c>
      <c r="HP189" s="57">
        <v>528.13</v>
      </c>
      <c r="HQ189" s="57">
        <v>271.41000000000003</v>
      </c>
      <c r="HR189" s="57">
        <v>432.99</v>
      </c>
      <c r="HS189" s="57">
        <v>625</v>
      </c>
      <c r="HT189" s="57">
        <v>391.88</v>
      </c>
      <c r="HU189" s="57">
        <v>228.48</v>
      </c>
      <c r="HV189" s="57">
        <v>328.69</v>
      </c>
      <c r="HW189" s="57">
        <v>178.22</v>
      </c>
      <c r="HX189" s="57">
        <v>234.96</v>
      </c>
      <c r="HY189" s="57">
        <v>263.35000000000002</v>
      </c>
      <c r="HZ189" s="57">
        <v>421.92</v>
      </c>
      <c r="IA189" s="57">
        <v>183.4</v>
      </c>
      <c r="IB189" s="57">
        <v>480.45</v>
      </c>
      <c r="IC189" s="57">
        <v>330.43</v>
      </c>
      <c r="ID189" s="57">
        <v>391.58</v>
      </c>
      <c r="IE189" s="57">
        <v>310.26</v>
      </c>
      <c r="IF189" s="57">
        <v>405.28</v>
      </c>
      <c r="IG189" s="57">
        <v>527.17999999999995</v>
      </c>
      <c r="IH189" s="57">
        <v>301.55</v>
      </c>
      <c r="II189" s="57">
        <v>678.66</v>
      </c>
      <c r="IJ189" s="57">
        <v>702.32</v>
      </c>
      <c r="IK189" s="57">
        <v>498.08</v>
      </c>
      <c r="IL189" s="57">
        <v>300.37</v>
      </c>
      <c r="IM189" s="57">
        <v>499.12</v>
      </c>
      <c r="IN189" s="57">
        <v>473.84</v>
      </c>
      <c r="IO189" s="57">
        <v>389.67</v>
      </c>
      <c r="IP189" s="57">
        <v>265.16000000000003</v>
      </c>
      <c r="IQ189" s="57">
        <v>510.49</v>
      </c>
      <c r="IR189" s="57">
        <v>568.34</v>
      </c>
      <c r="IS189" s="57">
        <v>748.37</v>
      </c>
      <c r="IT189" s="57">
        <v>35.32</v>
      </c>
      <c r="IU189" s="57">
        <v>179.71</v>
      </c>
      <c r="IV189" s="57">
        <v>48.24</v>
      </c>
      <c r="IW189" s="57">
        <v>137.93</v>
      </c>
      <c r="IX189" s="57">
        <v>230.41</v>
      </c>
      <c r="IY189" s="57">
        <v>513.88</v>
      </c>
      <c r="IZ189" s="57">
        <v>503.95</v>
      </c>
      <c r="JA189" s="57">
        <v>365.77</v>
      </c>
      <c r="JB189" s="57">
        <v>114.26</v>
      </c>
      <c r="JC189" s="57">
        <v>484.86</v>
      </c>
      <c r="JD189" s="57">
        <v>453.88</v>
      </c>
      <c r="JE189" s="57">
        <v>460.88</v>
      </c>
      <c r="JF189" s="57">
        <v>307.52999999999997</v>
      </c>
      <c r="JG189" s="57">
        <v>379.15</v>
      </c>
      <c r="JH189" s="57">
        <v>530.33000000000004</v>
      </c>
      <c r="JI189" s="57">
        <v>576.20000000000005</v>
      </c>
      <c r="JJ189" s="57">
        <v>522.97</v>
      </c>
      <c r="JK189" s="57">
        <v>698.82</v>
      </c>
      <c r="JL189" s="57">
        <v>565.21</v>
      </c>
      <c r="JM189" s="57">
        <v>492.75</v>
      </c>
      <c r="JN189" s="57">
        <v>333.4</v>
      </c>
      <c r="JO189" s="57">
        <v>308.81</v>
      </c>
      <c r="JP189" s="57">
        <v>726.43</v>
      </c>
      <c r="JQ189" s="57">
        <v>616.78</v>
      </c>
      <c r="JR189" s="57">
        <v>400.11</v>
      </c>
      <c r="JS189" s="57">
        <v>541.51</v>
      </c>
      <c r="JT189" s="57">
        <v>603.86</v>
      </c>
      <c r="JU189" s="57">
        <v>462.14</v>
      </c>
      <c r="JV189" s="57">
        <v>207.41</v>
      </c>
      <c r="JW189" s="57">
        <v>346.63</v>
      </c>
      <c r="JX189" s="57">
        <v>1934.49</v>
      </c>
      <c r="JY189" s="57">
        <v>467.13</v>
      </c>
      <c r="JZ189" s="57">
        <v>486.43</v>
      </c>
      <c r="KA189" s="57">
        <v>512.48</v>
      </c>
      <c r="KB189" s="57">
        <v>344.69</v>
      </c>
      <c r="KC189" s="57">
        <v>504.23</v>
      </c>
      <c r="KD189" s="57">
        <v>603.89</v>
      </c>
      <c r="KE189" s="57">
        <v>52.91</v>
      </c>
      <c r="KF189" s="57">
        <v>688.68</v>
      </c>
    </row>
    <row r="190" spans="1:292">
      <c r="A190" s="41">
        <v>2020</v>
      </c>
      <c r="B190" s="54" t="s">
        <v>985</v>
      </c>
      <c r="C190" s="50" t="s">
        <v>986</v>
      </c>
      <c r="D190" s="57">
        <v>460.62</v>
      </c>
      <c r="E190" s="57">
        <v>565.67999999999995</v>
      </c>
      <c r="F190" s="57">
        <v>860.99</v>
      </c>
      <c r="G190" s="57">
        <v>263.89999999999998</v>
      </c>
      <c r="H190" s="57">
        <v>497.06</v>
      </c>
      <c r="I190" s="57">
        <v>377.94</v>
      </c>
      <c r="J190" s="57">
        <v>284.68</v>
      </c>
      <c r="K190" s="57">
        <v>424.9</v>
      </c>
      <c r="L190" s="57">
        <v>151.96</v>
      </c>
      <c r="M190" s="57">
        <v>296.62</v>
      </c>
      <c r="N190" s="57">
        <v>420.78</v>
      </c>
      <c r="O190" s="57">
        <v>676.43</v>
      </c>
      <c r="P190" s="57">
        <v>658.26</v>
      </c>
      <c r="Q190" s="57">
        <v>574.55999999999995</v>
      </c>
      <c r="R190" s="57">
        <v>451.48</v>
      </c>
      <c r="S190" s="57">
        <v>1025.29</v>
      </c>
      <c r="T190" s="57">
        <v>849.01</v>
      </c>
      <c r="U190" s="57">
        <v>255.43</v>
      </c>
      <c r="V190" s="57">
        <v>288.63</v>
      </c>
      <c r="W190" s="57">
        <v>543.35</v>
      </c>
      <c r="X190" s="57">
        <v>471.91</v>
      </c>
      <c r="Y190" s="57">
        <v>366.55</v>
      </c>
      <c r="Z190" s="57">
        <v>520.74</v>
      </c>
      <c r="AA190" s="57">
        <v>418.25</v>
      </c>
      <c r="AB190" s="57">
        <v>368.78</v>
      </c>
      <c r="AC190" s="57">
        <v>313.73</v>
      </c>
      <c r="AD190" s="57">
        <v>427.33</v>
      </c>
      <c r="AE190" s="57">
        <v>429.41</v>
      </c>
      <c r="AF190" s="57">
        <v>358.51</v>
      </c>
      <c r="AG190" s="57">
        <v>218.68</v>
      </c>
      <c r="AH190" s="57">
        <v>315.85000000000002</v>
      </c>
      <c r="AI190" s="57">
        <v>481.22</v>
      </c>
      <c r="AJ190" s="57">
        <v>380.98</v>
      </c>
      <c r="AK190" s="57">
        <v>393.39</v>
      </c>
      <c r="AL190" s="57">
        <v>476.73</v>
      </c>
      <c r="AM190" s="57">
        <v>561.28</v>
      </c>
      <c r="AN190" s="57">
        <v>37.119999999999997</v>
      </c>
      <c r="AO190" s="57">
        <v>180.58</v>
      </c>
      <c r="AP190" s="57">
        <v>86.09</v>
      </c>
      <c r="AQ190" s="57">
        <v>514.52</v>
      </c>
      <c r="AR190" s="57">
        <v>487.46</v>
      </c>
      <c r="AS190" s="57">
        <v>386.5</v>
      </c>
      <c r="AT190" s="57">
        <v>525.77</v>
      </c>
      <c r="AU190" s="57">
        <v>698.82</v>
      </c>
      <c r="AV190" s="57">
        <v>568.46</v>
      </c>
      <c r="AW190" s="57">
        <v>494.64</v>
      </c>
      <c r="AX190" s="57">
        <v>333.4</v>
      </c>
      <c r="AY190" s="57">
        <v>308.81</v>
      </c>
      <c r="AZ190" s="57">
        <v>695.16</v>
      </c>
      <c r="BA190" s="57">
        <v>444.82</v>
      </c>
      <c r="BB190" s="57">
        <v>390.16</v>
      </c>
      <c r="BC190" s="57">
        <v>1512.95</v>
      </c>
      <c r="BD190" s="57">
        <v>512.48</v>
      </c>
      <c r="BE190" s="57">
        <v>579.32000000000005</v>
      </c>
      <c r="BF190" s="57">
        <v>52.91</v>
      </c>
      <c r="BG190" s="57">
        <v>688.77</v>
      </c>
      <c r="BH190" s="57">
        <v>548.57000000000005</v>
      </c>
      <c r="BI190" s="57">
        <v>571.82000000000005</v>
      </c>
      <c r="BJ190" s="57">
        <v>565.03</v>
      </c>
      <c r="BK190" s="57">
        <v>531.29</v>
      </c>
      <c r="BL190" s="57">
        <v>505.73</v>
      </c>
      <c r="BM190" s="57">
        <v>610.27</v>
      </c>
      <c r="BN190" s="57">
        <v>672.08</v>
      </c>
      <c r="BO190" s="57">
        <v>395.49</v>
      </c>
      <c r="BP190" s="57">
        <v>574.87</v>
      </c>
      <c r="BQ190" s="57">
        <v>514.5</v>
      </c>
      <c r="BR190" s="57">
        <v>399.14</v>
      </c>
      <c r="BS190" s="57">
        <v>1101.5899999999999</v>
      </c>
      <c r="BT190" s="57">
        <v>631.84</v>
      </c>
      <c r="BU190" s="57">
        <v>971.95</v>
      </c>
      <c r="BV190" s="57">
        <v>849.01</v>
      </c>
      <c r="BW190" s="57">
        <v>247.68</v>
      </c>
      <c r="BX190" s="57">
        <v>328.6</v>
      </c>
      <c r="BY190" s="57">
        <v>459.14</v>
      </c>
      <c r="BZ190" s="57">
        <v>287.45999999999998</v>
      </c>
      <c r="CA190" s="57">
        <v>536.07000000000005</v>
      </c>
      <c r="CB190" s="58">
        <v>543.35</v>
      </c>
      <c r="CC190" s="57">
        <v>471.91</v>
      </c>
      <c r="CD190" s="57">
        <v>365.13</v>
      </c>
      <c r="CE190" s="57">
        <v>462.65</v>
      </c>
      <c r="CF190" s="57">
        <v>522.49</v>
      </c>
      <c r="CG190" s="57">
        <v>531.33000000000004</v>
      </c>
      <c r="CH190" s="57">
        <v>425.03</v>
      </c>
      <c r="CI190" s="57">
        <v>419.02</v>
      </c>
      <c r="CJ190" s="57">
        <v>368.78</v>
      </c>
      <c r="CK190" s="57">
        <v>285.89</v>
      </c>
      <c r="CL190" s="57">
        <v>333.51</v>
      </c>
      <c r="CM190" s="57">
        <v>648.02</v>
      </c>
      <c r="CN190" s="57">
        <v>427.33</v>
      </c>
      <c r="CO190" s="57">
        <v>429.41</v>
      </c>
      <c r="CP190" s="57">
        <v>293.42</v>
      </c>
      <c r="CQ190" s="57">
        <v>618.49</v>
      </c>
      <c r="CR190" s="57">
        <v>228.48</v>
      </c>
      <c r="CS190" s="57">
        <v>325.2</v>
      </c>
      <c r="CT190" s="57">
        <v>202.87</v>
      </c>
      <c r="CU190" s="57">
        <v>263.58</v>
      </c>
      <c r="CV190" s="57">
        <v>424.55</v>
      </c>
      <c r="CW190" s="57">
        <v>201.5</v>
      </c>
      <c r="CX190" s="57">
        <v>481.22</v>
      </c>
      <c r="CY190" s="57">
        <v>381.94</v>
      </c>
      <c r="CZ190" s="57">
        <v>322.91000000000003</v>
      </c>
      <c r="DA190" s="57">
        <v>411.43</v>
      </c>
      <c r="DB190" s="57">
        <v>533.34</v>
      </c>
      <c r="DC190" s="57">
        <v>320.62</v>
      </c>
      <c r="DD190" s="57">
        <v>701.89</v>
      </c>
      <c r="DE190" s="57">
        <v>704.74</v>
      </c>
      <c r="DF190" s="57">
        <v>394.23</v>
      </c>
      <c r="DG190" s="57">
        <v>486.99</v>
      </c>
      <c r="DH190" s="57">
        <v>265.16000000000003</v>
      </c>
      <c r="DI190" s="57">
        <v>510.49</v>
      </c>
      <c r="DJ190" s="57">
        <v>569.69000000000005</v>
      </c>
      <c r="DK190" s="57">
        <v>561.28</v>
      </c>
      <c r="DL190" s="57">
        <v>37.119999999999997</v>
      </c>
      <c r="DM190" s="57">
        <v>180.58</v>
      </c>
      <c r="DN190" s="57">
        <v>48.82</v>
      </c>
      <c r="DO190" s="57">
        <v>139.94999999999999</v>
      </c>
      <c r="DP190" s="57">
        <v>238.12</v>
      </c>
      <c r="DQ190" s="57">
        <v>514.52</v>
      </c>
      <c r="DR190" s="57">
        <v>530.79</v>
      </c>
      <c r="DS190" s="57">
        <v>371.02</v>
      </c>
      <c r="DT190" s="57">
        <v>107.96</v>
      </c>
      <c r="DU190" s="57">
        <v>484.95</v>
      </c>
      <c r="DV190" s="57">
        <v>453.88</v>
      </c>
      <c r="DW190" s="57">
        <v>328.9</v>
      </c>
      <c r="DX190" s="57">
        <v>379.15</v>
      </c>
      <c r="DY190" s="57">
        <v>538.34</v>
      </c>
      <c r="DZ190" s="57">
        <v>576.20000000000005</v>
      </c>
      <c r="EA190" s="57">
        <v>526.34</v>
      </c>
      <c r="EB190" s="57">
        <v>698.82</v>
      </c>
      <c r="EC190" s="57">
        <v>568.46</v>
      </c>
      <c r="ED190" s="57">
        <v>494.64</v>
      </c>
      <c r="EE190" s="57">
        <v>333.4</v>
      </c>
      <c r="EF190" s="57">
        <v>308.81</v>
      </c>
      <c r="EG190" s="57">
        <v>695.16</v>
      </c>
      <c r="EH190" s="57">
        <v>444.82</v>
      </c>
      <c r="EI190" s="57">
        <v>567.5</v>
      </c>
      <c r="EJ190" s="57">
        <v>218.29</v>
      </c>
      <c r="EK190" s="57">
        <v>342.61</v>
      </c>
      <c r="EL190" s="57">
        <v>2012.87</v>
      </c>
      <c r="EM190" s="57">
        <v>485.13</v>
      </c>
      <c r="EN190" s="57">
        <v>512.48</v>
      </c>
      <c r="EO190" s="57">
        <v>343.68</v>
      </c>
      <c r="EP190" s="57">
        <v>508.16</v>
      </c>
      <c r="EQ190" s="57">
        <v>600.69000000000005</v>
      </c>
      <c r="ER190" s="57">
        <v>52.91</v>
      </c>
      <c r="ES190" s="57">
        <v>688.77</v>
      </c>
      <c r="ET190" s="57">
        <v>637</v>
      </c>
      <c r="EU190" s="57">
        <v>556.16999999999996</v>
      </c>
      <c r="EV190" s="57">
        <v>549.99</v>
      </c>
      <c r="EW190" s="57">
        <v>490.99</v>
      </c>
      <c r="EX190" s="57">
        <v>568.87</v>
      </c>
      <c r="EY190" s="57">
        <v>270.42</v>
      </c>
      <c r="EZ190" s="57">
        <v>574.24</v>
      </c>
      <c r="FA190" s="57">
        <v>674.17</v>
      </c>
      <c r="FB190" s="57">
        <v>482.65</v>
      </c>
      <c r="FC190" s="57">
        <v>731.14</v>
      </c>
      <c r="FD190" s="57">
        <v>452.75</v>
      </c>
      <c r="FE190" s="57">
        <v>574.32000000000005</v>
      </c>
      <c r="FF190" s="57">
        <v>102.85</v>
      </c>
      <c r="FG190" s="57">
        <v>433.39</v>
      </c>
      <c r="FH190" s="57">
        <v>408.37</v>
      </c>
      <c r="FI190" s="57">
        <v>595.08000000000004</v>
      </c>
      <c r="FJ190" s="57">
        <v>684.06</v>
      </c>
      <c r="FK190" s="57">
        <v>873.59</v>
      </c>
      <c r="FL190" s="57">
        <v>456.75</v>
      </c>
      <c r="FM190" s="57">
        <v>455.1</v>
      </c>
      <c r="FN190" s="57">
        <v>562.67999999999995</v>
      </c>
      <c r="FO190" s="57">
        <v>900.8</v>
      </c>
      <c r="FP190" s="57">
        <v>655.11</v>
      </c>
      <c r="FQ190" s="57">
        <v>628.66</v>
      </c>
      <c r="FR190" s="57">
        <v>912.57</v>
      </c>
      <c r="FS190" s="57">
        <v>588.99</v>
      </c>
      <c r="FT190" s="57">
        <v>318.47000000000003</v>
      </c>
      <c r="FU190" s="57">
        <v>554.42999999999995</v>
      </c>
      <c r="FV190" s="57">
        <v>430.13</v>
      </c>
      <c r="FW190" s="57">
        <v>309.5</v>
      </c>
      <c r="FX190" s="57">
        <v>574.87</v>
      </c>
      <c r="FY190" s="57">
        <v>496.28</v>
      </c>
      <c r="FZ190" s="57">
        <v>518.95000000000005</v>
      </c>
      <c r="GA190" s="57">
        <v>394.73</v>
      </c>
      <c r="GB190" s="57">
        <v>402.8</v>
      </c>
      <c r="GC190" s="57">
        <v>421.86</v>
      </c>
      <c r="GD190" s="57">
        <v>351.56</v>
      </c>
      <c r="GE190" s="57">
        <v>1101.5899999999999</v>
      </c>
      <c r="GF190" s="57">
        <v>631.84</v>
      </c>
      <c r="GG190" s="57">
        <v>971.95</v>
      </c>
      <c r="GH190" s="57">
        <v>847.59</v>
      </c>
      <c r="GI190" s="57">
        <v>268.89999999999998</v>
      </c>
      <c r="GJ190" s="57">
        <v>230.8</v>
      </c>
      <c r="GK190" s="57">
        <v>235.4</v>
      </c>
      <c r="GL190" s="57">
        <v>343.44</v>
      </c>
      <c r="GM190" s="57">
        <v>328.6</v>
      </c>
      <c r="GN190" s="57">
        <v>459.14</v>
      </c>
      <c r="GO190" s="57">
        <v>298.51</v>
      </c>
      <c r="GP190" s="57">
        <v>275.24</v>
      </c>
      <c r="GQ190" s="57">
        <v>288.07</v>
      </c>
      <c r="GR190" s="57">
        <v>536.07000000000005</v>
      </c>
      <c r="GS190" s="57">
        <v>543.35</v>
      </c>
      <c r="GT190" s="57">
        <v>471.91</v>
      </c>
      <c r="GU190" s="57">
        <v>365.13</v>
      </c>
      <c r="GV190" s="57">
        <v>462.65</v>
      </c>
      <c r="GW190" s="57">
        <v>502.22</v>
      </c>
      <c r="GX190" s="57">
        <v>473.64</v>
      </c>
      <c r="GY190" s="57">
        <v>531.33000000000004</v>
      </c>
      <c r="GZ190" s="57">
        <v>536.72</v>
      </c>
      <c r="HA190" s="57">
        <v>403.83</v>
      </c>
      <c r="HB190" s="57">
        <v>417.36</v>
      </c>
      <c r="HC190" s="57">
        <v>419.02</v>
      </c>
      <c r="HD190" s="57">
        <v>368.78</v>
      </c>
      <c r="HE190" s="57">
        <v>235.71</v>
      </c>
      <c r="HF190" s="57">
        <v>270.94</v>
      </c>
      <c r="HG190" s="57">
        <v>333.14</v>
      </c>
      <c r="HH190" s="57">
        <v>392.7</v>
      </c>
      <c r="HI190" s="57">
        <v>182.58</v>
      </c>
      <c r="HJ190" s="57">
        <v>333.51</v>
      </c>
      <c r="HK190" s="57">
        <v>648.02</v>
      </c>
      <c r="HL190" s="57">
        <v>383.85</v>
      </c>
      <c r="HM190" s="57">
        <v>455.19</v>
      </c>
      <c r="HN190" s="57">
        <v>459.85</v>
      </c>
      <c r="HO190" s="57">
        <v>342.52</v>
      </c>
      <c r="HP190" s="57">
        <v>529.85</v>
      </c>
      <c r="HQ190" s="57">
        <v>272.56</v>
      </c>
      <c r="HR190" s="57">
        <v>445.18</v>
      </c>
      <c r="HS190" s="57">
        <v>626.39</v>
      </c>
      <c r="HT190" s="57">
        <v>395.03</v>
      </c>
      <c r="HU190" s="57">
        <v>228.48</v>
      </c>
      <c r="HV190" s="57">
        <v>325.2</v>
      </c>
      <c r="HW190" s="57">
        <v>178.32</v>
      </c>
      <c r="HX190" s="57">
        <v>236.9</v>
      </c>
      <c r="HY190" s="57">
        <v>263.58</v>
      </c>
      <c r="HZ190" s="57">
        <v>424.55</v>
      </c>
      <c r="IA190" s="57">
        <v>184.07</v>
      </c>
      <c r="IB190" s="57">
        <v>481.22</v>
      </c>
      <c r="IC190" s="57">
        <v>337.19</v>
      </c>
      <c r="ID190" s="57">
        <v>404.86</v>
      </c>
      <c r="IE190" s="57">
        <v>322.91000000000003</v>
      </c>
      <c r="IF190" s="57">
        <v>411.43</v>
      </c>
      <c r="IG190" s="57">
        <v>533.34</v>
      </c>
      <c r="IH190" s="57">
        <v>320.62</v>
      </c>
      <c r="II190" s="57">
        <v>701.89</v>
      </c>
      <c r="IJ190" s="57">
        <v>704.74</v>
      </c>
      <c r="IK190" s="57">
        <v>498.08</v>
      </c>
      <c r="IL190" s="57">
        <v>300.37</v>
      </c>
      <c r="IM190" s="57">
        <v>499.36</v>
      </c>
      <c r="IN190" s="57">
        <v>473.84</v>
      </c>
      <c r="IO190" s="57">
        <v>434.54</v>
      </c>
      <c r="IP190" s="57">
        <v>265.16000000000003</v>
      </c>
      <c r="IQ190" s="57">
        <v>510.49</v>
      </c>
      <c r="IR190" s="57">
        <v>569.69000000000005</v>
      </c>
      <c r="IS190" s="57">
        <v>561.28</v>
      </c>
      <c r="IT190" s="57">
        <v>37.119999999999997</v>
      </c>
      <c r="IU190" s="57">
        <v>180.58</v>
      </c>
      <c r="IV190" s="57">
        <v>48.83</v>
      </c>
      <c r="IW190" s="57">
        <v>139.94999999999999</v>
      </c>
      <c r="IX190" s="57">
        <v>238.12</v>
      </c>
      <c r="IY190" s="57">
        <v>514.52</v>
      </c>
      <c r="IZ190" s="57">
        <v>530.79</v>
      </c>
      <c r="JA190" s="57">
        <v>371.02</v>
      </c>
      <c r="JB190" s="57">
        <v>107.96</v>
      </c>
      <c r="JC190" s="57">
        <v>484.95</v>
      </c>
      <c r="JD190" s="57">
        <v>453.88</v>
      </c>
      <c r="JE190" s="57">
        <v>462.95</v>
      </c>
      <c r="JF190" s="57">
        <v>307.51</v>
      </c>
      <c r="JG190" s="57">
        <v>379.15</v>
      </c>
      <c r="JH190" s="57">
        <v>538.34</v>
      </c>
      <c r="JI190" s="57">
        <v>576.20000000000005</v>
      </c>
      <c r="JJ190" s="57">
        <v>526.34</v>
      </c>
      <c r="JK190" s="57">
        <v>698.82</v>
      </c>
      <c r="JL190" s="57">
        <v>568.46</v>
      </c>
      <c r="JM190" s="57">
        <v>494.64</v>
      </c>
      <c r="JN190" s="57">
        <v>333.4</v>
      </c>
      <c r="JO190" s="57">
        <v>308.81</v>
      </c>
      <c r="JP190" s="57">
        <v>728.54</v>
      </c>
      <c r="JQ190" s="57">
        <v>615.87</v>
      </c>
      <c r="JR190" s="57">
        <v>399.34</v>
      </c>
      <c r="JS190" s="57">
        <v>541.51</v>
      </c>
      <c r="JT190" s="57">
        <v>662.91</v>
      </c>
      <c r="JU190" s="57">
        <v>483.85</v>
      </c>
      <c r="JV190" s="57">
        <v>218.29</v>
      </c>
      <c r="JW190" s="57">
        <v>342.61</v>
      </c>
      <c r="JX190" s="57">
        <v>2012.87</v>
      </c>
      <c r="JY190" s="57">
        <v>478.01</v>
      </c>
      <c r="JZ190" s="57">
        <v>478.66</v>
      </c>
      <c r="KA190" s="57">
        <v>512.48</v>
      </c>
      <c r="KB190" s="57">
        <v>343.68</v>
      </c>
      <c r="KC190" s="57">
        <v>508.16</v>
      </c>
      <c r="KD190" s="57">
        <v>600.69000000000005</v>
      </c>
      <c r="KE190" s="57">
        <v>52.91</v>
      </c>
      <c r="KF190" s="57">
        <v>688.77</v>
      </c>
    </row>
    <row r="191" spans="1:292">
      <c r="A191" s="41">
        <v>2020</v>
      </c>
      <c r="B191" s="54" t="s">
        <v>987</v>
      </c>
      <c r="C191" s="50" t="s">
        <v>988</v>
      </c>
      <c r="D191" s="57">
        <v>465.84</v>
      </c>
      <c r="E191" s="57">
        <v>556.61</v>
      </c>
      <c r="F191" s="57">
        <v>868.44</v>
      </c>
      <c r="G191" s="57">
        <v>266.95</v>
      </c>
      <c r="H191" s="57">
        <v>500.54</v>
      </c>
      <c r="I191" s="57">
        <v>382.69</v>
      </c>
      <c r="J191" s="57">
        <v>287.51</v>
      </c>
      <c r="K191" s="57">
        <v>443.98</v>
      </c>
      <c r="L191" s="57">
        <v>155.29</v>
      </c>
      <c r="M191" s="57">
        <v>303.89</v>
      </c>
      <c r="N191" s="57">
        <v>428.92</v>
      </c>
      <c r="O191" s="57">
        <v>695.55</v>
      </c>
      <c r="P191" s="57">
        <v>664.62</v>
      </c>
      <c r="Q191" s="57">
        <v>564.55999999999995</v>
      </c>
      <c r="R191" s="57">
        <v>452.62</v>
      </c>
      <c r="S191" s="57">
        <v>1025.51</v>
      </c>
      <c r="T191" s="57">
        <v>856.79</v>
      </c>
      <c r="U191" s="57">
        <v>256.58</v>
      </c>
      <c r="V191" s="57">
        <v>298.47000000000003</v>
      </c>
      <c r="W191" s="57">
        <v>546.49</v>
      </c>
      <c r="X191" s="57">
        <v>476.69</v>
      </c>
      <c r="Y191" s="57">
        <v>372.95</v>
      </c>
      <c r="Z191" s="57">
        <v>522.88</v>
      </c>
      <c r="AA191" s="57">
        <v>418.36</v>
      </c>
      <c r="AB191" s="57">
        <v>376.75</v>
      </c>
      <c r="AC191" s="57">
        <v>321.54000000000002</v>
      </c>
      <c r="AD191" s="57">
        <v>437.11</v>
      </c>
      <c r="AE191" s="57">
        <v>433.85</v>
      </c>
      <c r="AF191" s="57">
        <v>361.33</v>
      </c>
      <c r="AG191" s="57">
        <v>219.15</v>
      </c>
      <c r="AH191" s="57">
        <v>321.11</v>
      </c>
      <c r="AI191" s="57">
        <v>484.68</v>
      </c>
      <c r="AJ191" s="57">
        <v>395.43</v>
      </c>
      <c r="AK191" s="57">
        <v>411.18</v>
      </c>
      <c r="AL191" s="57">
        <v>503.64</v>
      </c>
      <c r="AM191" s="57">
        <v>648.11</v>
      </c>
      <c r="AN191" s="57">
        <v>39.57</v>
      </c>
      <c r="AO191" s="57">
        <v>182.26</v>
      </c>
      <c r="AP191" s="57">
        <v>87.74</v>
      </c>
      <c r="AQ191" s="57">
        <v>516.22</v>
      </c>
      <c r="AR191" s="57">
        <v>504.75</v>
      </c>
      <c r="AS191" s="57">
        <v>387.82</v>
      </c>
      <c r="AT191" s="57">
        <v>555.55999999999995</v>
      </c>
      <c r="AU191" s="57">
        <v>720.2</v>
      </c>
      <c r="AV191" s="57">
        <v>586.99</v>
      </c>
      <c r="AW191" s="57">
        <v>510.06</v>
      </c>
      <c r="AX191" s="57">
        <v>333.4</v>
      </c>
      <c r="AY191" s="57">
        <v>309.64</v>
      </c>
      <c r="AZ191" s="57">
        <v>716.86</v>
      </c>
      <c r="BA191" s="57">
        <v>448.96</v>
      </c>
      <c r="BB191" s="57">
        <v>400.01</v>
      </c>
      <c r="BC191" s="57">
        <v>1507.56</v>
      </c>
      <c r="BD191" s="57">
        <v>522.66</v>
      </c>
      <c r="BE191" s="57">
        <v>578.26</v>
      </c>
      <c r="BF191" s="57">
        <v>52.91</v>
      </c>
      <c r="BG191" s="57">
        <v>688.89</v>
      </c>
      <c r="BH191" s="57">
        <v>554.24</v>
      </c>
      <c r="BI191" s="57">
        <v>567.13</v>
      </c>
      <c r="BJ191" s="57">
        <v>589.39</v>
      </c>
      <c r="BK191" s="57">
        <v>517.4</v>
      </c>
      <c r="BL191" s="57">
        <v>506.16</v>
      </c>
      <c r="BM191" s="57">
        <v>583.47</v>
      </c>
      <c r="BN191" s="57">
        <v>630.75</v>
      </c>
      <c r="BO191" s="57">
        <v>399.3</v>
      </c>
      <c r="BP191" s="57">
        <v>578.84</v>
      </c>
      <c r="BQ191" s="57">
        <v>516.64</v>
      </c>
      <c r="BR191" s="57">
        <v>399.66</v>
      </c>
      <c r="BS191" s="57">
        <v>1102.58</v>
      </c>
      <c r="BT191" s="57">
        <v>629.16</v>
      </c>
      <c r="BU191" s="57">
        <v>972.45</v>
      </c>
      <c r="BV191" s="57">
        <v>856.79</v>
      </c>
      <c r="BW191" s="57">
        <v>248.74</v>
      </c>
      <c r="BX191" s="57">
        <v>327.97</v>
      </c>
      <c r="BY191" s="57">
        <v>467.14</v>
      </c>
      <c r="BZ191" s="57">
        <v>297.29000000000002</v>
      </c>
      <c r="CA191" s="57">
        <v>541.11</v>
      </c>
      <c r="CB191" s="58">
        <v>546.49</v>
      </c>
      <c r="CC191" s="57">
        <v>476.69</v>
      </c>
      <c r="CD191" s="57">
        <v>371.52</v>
      </c>
      <c r="CE191" s="57">
        <v>462.65</v>
      </c>
      <c r="CF191" s="57">
        <v>528.11</v>
      </c>
      <c r="CG191" s="57">
        <v>531.01</v>
      </c>
      <c r="CH191" s="57">
        <v>424.87</v>
      </c>
      <c r="CI191" s="57">
        <v>421.69</v>
      </c>
      <c r="CJ191" s="57">
        <v>376.75</v>
      </c>
      <c r="CK191" s="57">
        <v>293.25</v>
      </c>
      <c r="CL191" s="57">
        <v>350.07</v>
      </c>
      <c r="CM191" s="57">
        <v>641.63</v>
      </c>
      <c r="CN191" s="57">
        <v>437.11</v>
      </c>
      <c r="CO191" s="57">
        <v>433.85</v>
      </c>
      <c r="CP191" s="57">
        <v>295.79000000000002</v>
      </c>
      <c r="CQ191" s="57">
        <v>623.13</v>
      </c>
      <c r="CR191" s="57">
        <v>228.5</v>
      </c>
      <c r="CS191" s="57">
        <v>328.34</v>
      </c>
      <c r="CT191" s="57">
        <v>204.05</v>
      </c>
      <c r="CU191" s="57">
        <v>263.8</v>
      </c>
      <c r="CV191" s="57">
        <v>439.04</v>
      </c>
      <c r="CW191" s="57">
        <v>202.36</v>
      </c>
      <c r="CX191" s="57">
        <v>484.68</v>
      </c>
      <c r="CY191" s="57">
        <v>396.43</v>
      </c>
      <c r="CZ191" s="57">
        <v>335.2</v>
      </c>
      <c r="DA191" s="57">
        <v>426.18</v>
      </c>
      <c r="DB191" s="57">
        <v>541.32000000000005</v>
      </c>
      <c r="DC191" s="57">
        <v>341.75</v>
      </c>
      <c r="DD191" s="57">
        <v>697.24</v>
      </c>
      <c r="DE191" s="57">
        <v>730.5</v>
      </c>
      <c r="DF191" s="57">
        <v>394.23</v>
      </c>
      <c r="DG191" s="57">
        <v>512.15</v>
      </c>
      <c r="DH191" s="57">
        <v>292.61</v>
      </c>
      <c r="DI191" s="57">
        <v>520.64</v>
      </c>
      <c r="DJ191" s="57">
        <v>581.82000000000005</v>
      </c>
      <c r="DK191" s="57">
        <v>648.11</v>
      </c>
      <c r="DL191" s="57">
        <v>39.57</v>
      </c>
      <c r="DM191" s="57">
        <v>182.26</v>
      </c>
      <c r="DN191" s="57">
        <v>50.12</v>
      </c>
      <c r="DO191" s="57">
        <v>140.38999999999999</v>
      </c>
      <c r="DP191" s="57">
        <v>242.32</v>
      </c>
      <c r="DQ191" s="57">
        <v>516.22</v>
      </c>
      <c r="DR191" s="57">
        <v>543.54</v>
      </c>
      <c r="DS191" s="57">
        <v>388.42</v>
      </c>
      <c r="DT191" s="57">
        <v>114.68</v>
      </c>
      <c r="DU191" s="57">
        <v>487.13</v>
      </c>
      <c r="DV191" s="57">
        <v>456.84</v>
      </c>
      <c r="DW191" s="57">
        <v>328.52</v>
      </c>
      <c r="DX191" s="57">
        <v>379.15</v>
      </c>
      <c r="DY191" s="57">
        <v>591.70000000000005</v>
      </c>
      <c r="DZ191" s="57">
        <v>576.20000000000005</v>
      </c>
      <c r="EA191" s="57">
        <v>531.20000000000005</v>
      </c>
      <c r="EB191" s="57">
        <v>720.2</v>
      </c>
      <c r="EC191" s="57">
        <v>586.99</v>
      </c>
      <c r="ED191" s="57">
        <v>510.06</v>
      </c>
      <c r="EE191" s="57">
        <v>333.4</v>
      </c>
      <c r="EF191" s="57">
        <v>309.64</v>
      </c>
      <c r="EG191" s="57">
        <v>716.86</v>
      </c>
      <c r="EH191" s="57">
        <v>448.96</v>
      </c>
      <c r="EI191" s="57">
        <v>587.92999999999995</v>
      </c>
      <c r="EJ191" s="57">
        <v>231.09</v>
      </c>
      <c r="EK191" s="57">
        <v>349.25</v>
      </c>
      <c r="EL191" s="57">
        <v>1990.7</v>
      </c>
      <c r="EM191" s="57">
        <v>506.42</v>
      </c>
      <c r="EN191" s="57">
        <v>522.66</v>
      </c>
      <c r="EO191" s="57">
        <v>343.43</v>
      </c>
      <c r="EP191" s="57">
        <v>503.13</v>
      </c>
      <c r="EQ191" s="57">
        <v>600.44000000000005</v>
      </c>
      <c r="ER191" s="57">
        <v>52.91</v>
      </c>
      <c r="ES191" s="57">
        <v>688.89</v>
      </c>
      <c r="ET191" s="57">
        <v>652.78</v>
      </c>
      <c r="EU191" s="57">
        <v>560.03</v>
      </c>
      <c r="EV191" s="57">
        <v>552.08000000000004</v>
      </c>
      <c r="EW191" s="57">
        <v>500.17</v>
      </c>
      <c r="EX191" s="57">
        <v>579.4</v>
      </c>
      <c r="EY191" s="57">
        <v>273.36</v>
      </c>
      <c r="EZ191" s="57">
        <v>569.17999999999995</v>
      </c>
      <c r="FA191" s="57">
        <v>670.9</v>
      </c>
      <c r="FB191" s="57">
        <v>474.08</v>
      </c>
      <c r="FC191" s="57">
        <v>724.38</v>
      </c>
      <c r="FD191" s="57">
        <v>455.42</v>
      </c>
      <c r="FE191" s="57">
        <v>599.99</v>
      </c>
      <c r="FF191" s="57">
        <v>104.03</v>
      </c>
      <c r="FG191" s="57">
        <v>431.33</v>
      </c>
      <c r="FH191" s="57">
        <v>408.94</v>
      </c>
      <c r="FI191" s="57">
        <v>596.76</v>
      </c>
      <c r="FJ191" s="57">
        <v>580.09</v>
      </c>
      <c r="FK191" s="57">
        <v>869.38</v>
      </c>
      <c r="FL191" s="57">
        <v>456.89</v>
      </c>
      <c r="FM191" s="57">
        <v>456.45</v>
      </c>
      <c r="FN191" s="57">
        <v>523.04</v>
      </c>
      <c r="FO191" s="57">
        <v>927.68</v>
      </c>
      <c r="FP191" s="57">
        <v>602.78</v>
      </c>
      <c r="FQ191" s="57">
        <v>501.79</v>
      </c>
      <c r="FR191" s="57">
        <v>960.62</v>
      </c>
      <c r="FS191" s="57">
        <v>591.17999999999995</v>
      </c>
      <c r="FT191" s="57">
        <v>318.83999999999997</v>
      </c>
      <c r="FU191" s="57">
        <v>555.21</v>
      </c>
      <c r="FV191" s="57">
        <v>437.09</v>
      </c>
      <c r="FW191" s="57">
        <v>316.39</v>
      </c>
      <c r="FX191" s="57">
        <v>578.84</v>
      </c>
      <c r="FY191" s="57">
        <v>506.85</v>
      </c>
      <c r="FZ191" s="57">
        <v>518.95000000000005</v>
      </c>
      <c r="GA191" s="57">
        <v>396.57</v>
      </c>
      <c r="GB191" s="57">
        <v>403.13</v>
      </c>
      <c r="GC191" s="57">
        <v>423.22</v>
      </c>
      <c r="GD191" s="57">
        <v>350.8</v>
      </c>
      <c r="GE191" s="57">
        <v>1102.58</v>
      </c>
      <c r="GF191" s="57">
        <v>629.16</v>
      </c>
      <c r="GG191" s="57">
        <v>972.45</v>
      </c>
      <c r="GH191" s="57">
        <v>855.36</v>
      </c>
      <c r="GI191" s="57">
        <v>273.52</v>
      </c>
      <c r="GJ191" s="57">
        <v>230.35</v>
      </c>
      <c r="GK191" s="57">
        <v>233.8</v>
      </c>
      <c r="GL191" s="57">
        <v>345.42</v>
      </c>
      <c r="GM191" s="57">
        <v>327.97</v>
      </c>
      <c r="GN191" s="57">
        <v>467.14</v>
      </c>
      <c r="GO191" s="57">
        <v>307.77</v>
      </c>
      <c r="GP191" s="57">
        <v>283.67</v>
      </c>
      <c r="GQ191" s="57">
        <v>301.95999999999998</v>
      </c>
      <c r="GR191" s="57">
        <v>541.11</v>
      </c>
      <c r="GS191" s="57">
        <v>546.49</v>
      </c>
      <c r="GT191" s="57">
        <v>476.69</v>
      </c>
      <c r="GU191" s="57">
        <v>371.52</v>
      </c>
      <c r="GV191" s="57">
        <v>462.65</v>
      </c>
      <c r="GW191" s="57">
        <v>504.43</v>
      </c>
      <c r="GX191" s="57">
        <v>490.58</v>
      </c>
      <c r="GY191" s="57">
        <v>531.01</v>
      </c>
      <c r="GZ191" s="57">
        <v>535.63</v>
      </c>
      <c r="HA191" s="57">
        <v>404.3</v>
      </c>
      <c r="HB191" s="57">
        <v>417.04</v>
      </c>
      <c r="HC191" s="57">
        <v>421.69</v>
      </c>
      <c r="HD191" s="57">
        <v>376.75</v>
      </c>
      <c r="HE191" s="57">
        <v>238.63</v>
      </c>
      <c r="HF191" s="57">
        <v>282.67</v>
      </c>
      <c r="HG191" s="57">
        <v>337.08</v>
      </c>
      <c r="HH191" s="57">
        <v>398.87</v>
      </c>
      <c r="HI191" s="57">
        <v>191.19</v>
      </c>
      <c r="HJ191" s="57">
        <v>350.07</v>
      </c>
      <c r="HK191" s="57">
        <v>641.63</v>
      </c>
      <c r="HL191" s="57">
        <v>396.97</v>
      </c>
      <c r="HM191" s="57">
        <v>465.2</v>
      </c>
      <c r="HN191" s="57">
        <v>465.72</v>
      </c>
      <c r="HO191" s="57">
        <v>345.49</v>
      </c>
      <c r="HP191" s="57">
        <v>536.33000000000004</v>
      </c>
      <c r="HQ191" s="57">
        <v>274.97000000000003</v>
      </c>
      <c r="HR191" s="57">
        <v>447.45</v>
      </c>
      <c r="HS191" s="57">
        <v>630.84</v>
      </c>
      <c r="HT191" s="57">
        <v>398.99</v>
      </c>
      <c r="HU191" s="57">
        <v>228.5</v>
      </c>
      <c r="HV191" s="57">
        <v>328.34</v>
      </c>
      <c r="HW191" s="57">
        <v>178.29</v>
      </c>
      <c r="HX191" s="57">
        <v>240.27</v>
      </c>
      <c r="HY191" s="57">
        <v>263.8</v>
      </c>
      <c r="HZ191" s="57">
        <v>439.04</v>
      </c>
      <c r="IA191" s="57">
        <v>184.85</v>
      </c>
      <c r="IB191" s="57">
        <v>484.68</v>
      </c>
      <c r="IC191" s="57">
        <v>350.9</v>
      </c>
      <c r="ID191" s="57">
        <v>418.83</v>
      </c>
      <c r="IE191" s="57">
        <v>335.2</v>
      </c>
      <c r="IF191" s="57">
        <v>426.18</v>
      </c>
      <c r="IG191" s="57">
        <v>541.32000000000005</v>
      </c>
      <c r="IH191" s="57">
        <v>341.75</v>
      </c>
      <c r="II191" s="57">
        <v>697.24</v>
      </c>
      <c r="IJ191" s="57">
        <v>730.5</v>
      </c>
      <c r="IK191" s="57">
        <v>498.08</v>
      </c>
      <c r="IL191" s="57">
        <v>300.37</v>
      </c>
      <c r="IM191" s="57">
        <v>500.95</v>
      </c>
      <c r="IN191" s="57">
        <v>473.94</v>
      </c>
      <c r="IO191" s="57">
        <v>536.58000000000004</v>
      </c>
      <c r="IP191" s="57">
        <v>292.61</v>
      </c>
      <c r="IQ191" s="57">
        <v>520.64</v>
      </c>
      <c r="IR191" s="57">
        <v>581.82000000000005</v>
      </c>
      <c r="IS191" s="57">
        <v>648.11</v>
      </c>
      <c r="IT191" s="57">
        <v>39.57</v>
      </c>
      <c r="IU191" s="57">
        <v>182.26</v>
      </c>
      <c r="IV191" s="57">
        <v>50.13</v>
      </c>
      <c r="IW191" s="57">
        <v>140.38999999999999</v>
      </c>
      <c r="IX191" s="57">
        <v>242.32</v>
      </c>
      <c r="IY191" s="57">
        <v>516.22</v>
      </c>
      <c r="IZ191" s="57">
        <v>543.54</v>
      </c>
      <c r="JA191" s="57">
        <v>388.42</v>
      </c>
      <c r="JB191" s="57">
        <v>114.68</v>
      </c>
      <c r="JC191" s="57">
        <v>487.13</v>
      </c>
      <c r="JD191" s="57">
        <v>456.84</v>
      </c>
      <c r="JE191" s="57">
        <v>469.58</v>
      </c>
      <c r="JF191" s="57">
        <v>306.29000000000002</v>
      </c>
      <c r="JG191" s="57">
        <v>379.15</v>
      </c>
      <c r="JH191" s="57">
        <v>591.70000000000005</v>
      </c>
      <c r="JI191" s="57">
        <v>576.20000000000005</v>
      </c>
      <c r="JJ191" s="57">
        <v>531.20000000000005</v>
      </c>
      <c r="JK191" s="57">
        <v>720.2</v>
      </c>
      <c r="JL191" s="57">
        <v>586.99</v>
      </c>
      <c r="JM191" s="57">
        <v>510.06</v>
      </c>
      <c r="JN191" s="57">
        <v>333.4</v>
      </c>
      <c r="JO191" s="57">
        <v>309.64</v>
      </c>
      <c r="JP191" s="57">
        <v>750.33</v>
      </c>
      <c r="JQ191" s="57">
        <v>638.6</v>
      </c>
      <c r="JR191" s="57">
        <v>405.5</v>
      </c>
      <c r="JS191" s="57">
        <v>541.54999999999995</v>
      </c>
      <c r="JT191" s="57">
        <v>688.91</v>
      </c>
      <c r="JU191" s="57">
        <v>499.94</v>
      </c>
      <c r="JV191" s="57">
        <v>231.09</v>
      </c>
      <c r="JW191" s="57">
        <v>349.25</v>
      </c>
      <c r="JX191" s="57">
        <v>1990.7</v>
      </c>
      <c r="JY191" s="57">
        <v>501.77</v>
      </c>
      <c r="JZ191" s="57">
        <v>496.41</v>
      </c>
      <c r="KA191" s="57">
        <v>522.66</v>
      </c>
      <c r="KB191" s="57">
        <v>343.43</v>
      </c>
      <c r="KC191" s="57">
        <v>503.13</v>
      </c>
      <c r="KD191" s="57">
        <v>600.44000000000005</v>
      </c>
      <c r="KE191" s="57">
        <v>52.91</v>
      </c>
      <c r="KF191" s="57">
        <v>688.89</v>
      </c>
    </row>
    <row r="192" spans="1:292">
      <c r="A192" s="41">
        <v>2020</v>
      </c>
      <c r="B192" s="54" t="s">
        <v>989</v>
      </c>
      <c r="C192" s="50" t="s">
        <v>990</v>
      </c>
      <c r="D192" s="57">
        <v>468.56</v>
      </c>
      <c r="E192" s="57">
        <v>549.48</v>
      </c>
      <c r="F192" s="57">
        <v>870.4</v>
      </c>
      <c r="G192" s="57">
        <v>257.67</v>
      </c>
      <c r="H192" s="57">
        <v>505.21</v>
      </c>
      <c r="I192" s="57">
        <v>391.78</v>
      </c>
      <c r="J192" s="57">
        <v>289.81</v>
      </c>
      <c r="K192" s="57">
        <v>454.8</v>
      </c>
      <c r="L192" s="57">
        <v>158.03</v>
      </c>
      <c r="M192" s="57">
        <v>307.94</v>
      </c>
      <c r="N192" s="57">
        <v>436.37</v>
      </c>
      <c r="O192" s="57">
        <v>704.05</v>
      </c>
      <c r="P192" s="57">
        <v>680.51</v>
      </c>
      <c r="Q192" s="57">
        <v>556.86</v>
      </c>
      <c r="R192" s="57">
        <v>451.85</v>
      </c>
      <c r="S192" s="57">
        <v>1062.57</v>
      </c>
      <c r="T192" s="57">
        <v>856.98</v>
      </c>
      <c r="U192" s="57">
        <v>245.69</v>
      </c>
      <c r="V192" s="57">
        <v>295.13</v>
      </c>
      <c r="W192" s="57">
        <v>551.94000000000005</v>
      </c>
      <c r="X192" s="57">
        <v>481.76</v>
      </c>
      <c r="Y192" s="57">
        <v>382.14</v>
      </c>
      <c r="Z192" s="57">
        <v>524.87</v>
      </c>
      <c r="AA192" s="57">
        <v>437.78</v>
      </c>
      <c r="AB192" s="57">
        <v>377.73</v>
      </c>
      <c r="AC192" s="57">
        <v>329.79</v>
      </c>
      <c r="AD192" s="57">
        <v>440.94</v>
      </c>
      <c r="AE192" s="57">
        <v>439.08</v>
      </c>
      <c r="AF192" s="57">
        <v>363.04</v>
      </c>
      <c r="AG192" s="57">
        <v>220.07</v>
      </c>
      <c r="AH192" s="57">
        <v>324.06</v>
      </c>
      <c r="AI192" s="57">
        <v>490.27</v>
      </c>
      <c r="AJ192" s="57">
        <v>404.73</v>
      </c>
      <c r="AK192" s="57">
        <v>430.67</v>
      </c>
      <c r="AL192" s="57">
        <v>499.08</v>
      </c>
      <c r="AM192" s="57">
        <v>648.11</v>
      </c>
      <c r="AN192" s="57">
        <v>40.96</v>
      </c>
      <c r="AO192" s="57">
        <v>184.52</v>
      </c>
      <c r="AP192" s="57">
        <v>88.19</v>
      </c>
      <c r="AQ192" s="57">
        <v>523.54999999999995</v>
      </c>
      <c r="AR192" s="57">
        <v>509.62</v>
      </c>
      <c r="AS192" s="57">
        <v>389.27</v>
      </c>
      <c r="AT192" s="57">
        <v>558.09</v>
      </c>
      <c r="AU192" s="57">
        <v>761.83</v>
      </c>
      <c r="AV192" s="57">
        <v>602.61</v>
      </c>
      <c r="AW192" s="57">
        <v>523.49</v>
      </c>
      <c r="AX192" s="57">
        <v>333.4</v>
      </c>
      <c r="AY192" s="57">
        <v>313.91000000000003</v>
      </c>
      <c r="AZ192" s="57">
        <v>724.76</v>
      </c>
      <c r="BA192" s="57">
        <v>457.98</v>
      </c>
      <c r="BB192" s="57">
        <v>402.79</v>
      </c>
      <c r="BC192" s="57">
        <v>1589.18</v>
      </c>
      <c r="BD192" s="57">
        <v>532.71</v>
      </c>
      <c r="BE192" s="57">
        <v>569.73</v>
      </c>
      <c r="BF192" s="57">
        <v>52.91</v>
      </c>
      <c r="BG192" s="57">
        <v>689.03</v>
      </c>
      <c r="BH192" s="57">
        <v>556.20000000000005</v>
      </c>
      <c r="BI192" s="57">
        <v>563.45000000000005</v>
      </c>
      <c r="BJ192" s="57">
        <v>625.6</v>
      </c>
      <c r="BK192" s="57">
        <v>523.94000000000005</v>
      </c>
      <c r="BL192" s="57">
        <v>506.3</v>
      </c>
      <c r="BM192" s="57">
        <v>569.79</v>
      </c>
      <c r="BN192" s="57">
        <v>574.09</v>
      </c>
      <c r="BO192" s="57">
        <v>403.9</v>
      </c>
      <c r="BP192" s="57">
        <v>577.57000000000005</v>
      </c>
      <c r="BQ192" s="57">
        <v>515.01</v>
      </c>
      <c r="BR192" s="57">
        <v>399.42</v>
      </c>
      <c r="BS192" s="57">
        <v>1161.1099999999999</v>
      </c>
      <c r="BT192" s="57">
        <v>628.83000000000004</v>
      </c>
      <c r="BU192" s="57">
        <v>999.41</v>
      </c>
      <c r="BV192" s="57">
        <v>856.98</v>
      </c>
      <c r="BW192" s="57">
        <v>237.42</v>
      </c>
      <c r="BX192" s="57">
        <v>321.83</v>
      </c>
      <c r="BY192" s="57">
        <v>472.38</v>
      </c>
      <c r="BZ192" s="57">
        <v>293.93</v>
      </c>
      <c r="CA192" s="57">
        <v>547.65</v>
      </c>
      <c r="CB192" s="58">
        <v>551.94000000000005</v>
      </c>
      <c r="CC192" s="57">
        <v>481.76</v>
      </c>
      <c r="CD192" s="57">
        <v>380.66</v>
      </c>
      <c r="CE192" s="57">
        <v>462.65</v>
      </c>
      <c r="CF192" s="57">
        <v>533.75</v>
      </c>
      <c r="CG192" s="57">
        <v>529.55999999999995</v>
      </c>
      <c r="CH192" s="57">
        <v>445.58</v>
      </c>
      <c r="CI192" s="57">
        <v>431.74</v>
      </c>
      <c r="CJ192" s="57">
        <v>377.73</v>
      </c>
      <c r="CK192" s="57">
        <v>300.76</v>
      </c>
      <c r="CL192" s="57">
        <v>365.97</v>
      </c>
      <c r="CM192" s="57">
        <v>644.70000000000005</v>
      </c>
      <c r="CN192" s="57">
        <v>440.94</v>
      </c>
      <c r="CO192" s="57">
        <v>439.08</v>
      </c>
      <c r="CP192" s="57">
        <v>295.85000000000002</v>
      </c>
      <c r="CQ192" s="57">
        <v>631.16</v>
      </c>
      <c r="CR192" s="57">
        <v>228.51</v>
      </c>
      <c r="CS192" s="57">
        <v>330.4</v>
      </c>
      <c r="CT192" s="57">
        <v>207.27</v>
      </c>
      <c r="CU192" s="57">
        <v>264.08999999999997</v>
      </c>
      <c r="CV192" s="57">
        <v>447.19</v>
      </c>
      <c r="CW192" s="57">
        <v>202.66</v>
      </c>
      <c r="CX192" s="57">
        <v>490.27</v>
      </c>
      <c r="CY192" s="57">
        <v>405.92</v>
      </c>
      <c r="CZ192" s="57">
        <v>340.19</v>
      </c>
      <c r="DA192" s="57">
        <v>433.43</v>
      </c>
      <c r="DB192" s="57">
        <v>546.76</v>
      </c>
      <c r="DC192" s="57">
        <v>361.34</v>
      </c>
      <c r="DD192" s="57">
        <v>718.93</v>
      </c>
      <c r="DE192" s="57">
        <v>754.26</v>
      </c>
      <c r="DF192" s="57">
        <v>394.23</v>
      </c>
      <c r="DG192" s="57">
        <v>504.97</v>
      </c>
      <c r="DH192" s="57">
        <v>294.81</v>
      </c>
      <c r="DI192" s="57">
        <v>515.57000000000005</v>
      </c>
      <c r="DJ192" s="57">
        <v>604.57000000000005</v>
      </c>
      <c r="DK192" s="57">
        <v>648.11</v>
      </c>
      <c r="DL192" s="57">
        <v>40.96</v>
      </c>
      <c r="DM192" s="57">
        <v>184.52</v>
      </c>
      <c r="DN192" s="57">
        <v>50.7</v>
      </c>
      <c r="DO192" s="57">
        <v>139.13</v>
      </c>
      <c r="DP192" s="57">
        <v>243.24</v>
      </c>
      <c r="DQ192" s="57">
        <v>523.54999999999995</v>
      </c>
      <c r="DR192" s="57">
        <v>544.57000000000005</v>
      </c>
      <c r="DS192" s="57">
        <v>388.64</v>
      </c>
      <c r="DT192" s="57">
        <v>118.4</v>
      </c>
      <c r="DU192" s="57">
        <v>491.81</v>
      </c>
      <c r="DV192" s="57">
        <v>458.03</v>
      </c>
      <c r="DW192" s="57">
        <v>330.48</v>
      </c>
      <c r="DX192" s="57">
        <v>379.15</v>
      </c>
      <c r="DY192" s="57">
        <v>594.78</v>
      </c>
      <c r="DZ192" s="57">
        <v>576.20000000000005</v>
      </c>
      <c r="EA192" s="57">
        <v>533.72</v>
      </c>
      <c r="EB192" s="57">
        <v>761.83</v>
      </c>
      <c r="EC192" s="57">
        <v>602.61</v>
      </c>
      <c r="ED192" s="57">
        <v>523.49</v>
      </c>
      <c r="EE192" s="57">
        <v>333.4</v>
      </c>
      <c r="EF192" s="57">
        <v>313.91000000000003</v>
      </c>
      <c r="EG192" s="57">
        <v>724.76</v>
      </c>
      <c r="EH192" s="57">
        <v>457.98</v>
      </c>
      <c r="EI192" s="57">
        <v>599.61</v>
      </c>
      <c r="EJ192" s="57">
        <v>238.47</v>
      </c>
      <c r="EK192" s="57">
        <v>349.3</v>
      </c>
      <c r="EL192" s="57">
        <v>2117.4</v>
      </c>
      <c r="EM192" s="57">
        <v>504.81</v>
      </c>
      <c r="EN192" s="57">
        <v>532.71</v>
      </c>
      <c r="EO192" s="57">
        <v>343.56</v>
      </c>
      <c r="EP192" s="57">
        <v>501.43</v>
      </c>
      <c r="EQ192" s="57">
        <v>589.33000000000004</v>
      </c>
      <c r="ER192" s="57">
        <v>52.91</v>
      </c>
      <c r="ES192" s="57">
        <v>689.03</v>
      </c>
      <c r="ET192" s="57">
        <v>652.54999999999995</v>
      </c>
      <c r="EU192" s="57">
        <v>552.69000000000005</v>
      </c>
      <c r="EV192" s="57">
        <v>553.69000000000005</v>
      </c>
      <c r="EW192" s="57">
        <v>506.81</v>
      </c>
      <c r="EX192" s="57">
        <v>584.51</v>
      </c>
      <c r="EY192" s="57">
        <v>277.27</v>
      </c>
      <c r="EZ192" s="57">
        <v>569.30999999999995</v>
      </c>
      <c r="FA192" s="57">
        <v>668.38</v>
      </c>
      <c r="FB192" s="57">
        <v>457.8</v>
      </c>
      <c r="FC192" s="57">
        <v>739.12</v>
      </c>
      <c r="FD192" s="57">
        <v>458.09</v>
      </c>
      <c r="FE192" s="57">
        <v>638.05999999999995</v>
      </c>
      <c r="FF192" s="57">
        <v>106.08</v>
      </c>
      <c r="FG192" s="57">
        <v>429.98</v>
      </c>
      <c r="FH192" s="57">
        <v>406.74</v>
      </c>
      <c r="FI192" s="57">
        <v>593.89</v>
      </c>
      <c r="FJ192" s="57">
        <v>642.69000000000005</v>
      </c>
      <c r="FK192" s="57">
        <v>872.81</v>
      </c>
      <c r="FL192" s="57">
        <v>458.69</v>
      </c>
      <c r="FM192" s="57">
        <v>455.82</v>
      </c>
      <c r="FN192" s="57">
        <v>505.67</v>
      </c>
      <c r="FO192" s="57">
        <v>928.64</v>
      </c>
      <c r="FP192" s="57">
        <v>522.61</v>
      </c>
      <c r="FQ192" s="57">
        <v>453.4</v>
      </c>
      <c r="FR192" s="57">
        <v>940.01</v>
      </c>
      <c r="FS192" s="57">
        <v>586.95000000000005</v>
      </c>
      <c r="FT192" s="57">
        <v>318.8</v>
      </c>
      <c r="FU192" s="57">
        <v>564.80999999999995</v>
      </c>
      <c r="FV192" s="57">
        <v>445.61</v>
      </c>
      <c r="FW192" s="57">
        <v>316.77999999999997</v>
      </c>
      <c r="FX192" s="57">
        <v>577.57000000000005</v>
      </c>
      <c r="FY192" s="57">
        <v>515.92999999999995</v>
      </c>
      <c r="FZ192" s="57">
        <v>514.35</v>
      </c>
      <c r="GA192" s="57">
        <v>405.42</v>
      </c>
      <c r="GB192" s="57">
        <v>402.37</v>
      </c>
      <c r="GC192" s="57">
        <v>423.33</v>
      </c>
      <c r="GD192" s="57">
        <v>351.27</v>
      </c>
      <c r="GE192" s="57">
        <v>1161.1099999999999</v>
      </c>
      <c r="GF192" s="57">
        <v>628.83000000000004</v>
      </c>
      <c r="GG192" s="57">
        <v>999.41</v>
      </c>
      <c r="GH192" s="57">
        <v>855.54</v>
      </c>
      <c r="GI192" s="57">
        <v>262.74</v>
      </c>
      <c r="GJ192" s="57">
        <v>218.69</v>
      </c>
      <c r="GK192" s="57">
        <v>221.65</v>
      </c>
      <c r="GL192" s="57">
        <v>342.37</v>
      </c>
      <c r="GM192" s="57">
        <v>321.83</v>
      </c>
      <c r="GN192" s="57">
        <v>472.38</v>
      </c>
      <c r="GO192" s="57">
        <v>304.38</v>
      </c>
      <c r="GP192" s="57">
        <v>280.72000000000003</v>
      </c>
      <c r="GQ192" s="57">
        <v>297.83999999999997</v>
      </c>
      <c r="GR192" s="57">
        <v>547.65</v>
      </c>
      <c r="GS192" s="57">
        <v>551.94000000000005</v>
      </c>
      <c r="GT192" s="57">
        <v>481.76</v>
      </c>
      <c r="GU192" s="57">
        <v>380.66</v>
      </c>
      <c r="GV192" s="57">
        <v>462.65</v>
      </c>
      <c r="GW192" s="57">
        <v>504.64</v>
      </c>
      <c r="GX192" s="57">
        <v>515.07000000000005</v>
      </c>
      <c r="GY192" s="57">
        <v>529.55999999999995</v>
      </c>
      <c r="GZ192" s="57">
        <v>555.46</v>
      </c>
      <c r="HA192" s="57">
        <v>426.98</v>
      </c>
      <c r="HB192" s="57">
        <v>437.13</v>
      </c>
      <c r="HC192" s="57">
        <v>431.74</v>
      </c>
      <c r="HD192" s="57">
        <v>377.73</v>
      </c>
      <c r="HE192" s="57">
        <v>242.78</v>
      </c>
      <c r="HF192" s="57">
        <v>291.72000000000003</v>
      </c>
      <c r="HG192" s="57">
        <v>347.06</v>
      </c>
      <c r="HH192" s="57">
        <v>406.74</v>
      </c>
      <c r="HI192" s="57">
        <v>198.67</v>
      </c>
      <c r="HJ192" s="57">
        <v>365.97</v>
      </c>
      <c r="HK192" s="57">
        <v>644.70000000000005</v>
      </c>
      <c r="HL192" s="57">
        <v>400.08</v>
      </c>
      <c r="HM192" s="57">
        <v>477.25</v>
      </c>
      <c r="HN192" s="57">
        <v>468.87</v>
      </c>
      <c r="HO192" s="57">
        <v>350.65</v>
      </c>
      <c r="HP192" s="57">
        <v>541.04999999999995</v>
      </c>
      <c r="HQ192" s="57">
        <v>274.58999999999997</v>
      </c>
      <c r="HR192" s="57">
        <v>450.2</v>
      </c>
      <c r="HS192" s="57">
        <v>639.27</v>
      </c>
      <c r="HT192" s="57">
        <v>402.91</v>
      </c>
      <c r="HU192" s="57">
        <v>228.51</v>
      </c>
      <c r="HV192" s="57">
        <v>330.4</v>
      </c>
      <c r="HW192" s="57">
        <v>180.4</v>
      </c>
      <c r="HX192" s="57">
        <v>245.34</v>
      </c>
      <c r="HY192" s="57">
        <v>264.08999999999997</v>
      </c>
      <c r="HZ192" s="57">
        <v>447.19</v>
      </c>
      <c r="IA192" s="57">
        <v>185.12</v>
      </c>
      <c r="IB192" s="57">
        <v>490.27</v>
      </c>
      <c r="IC192" s="57">
        <v>360.85</v>
      </c>
      <c r="ID192" s="57">
        <v>426.45</v>
      </c>
      <c r="IE192" s="57">
        <v>340.19</v>
      </c>
      <c r="IF192" s="57">
        <v>433.43</v>
      </c>
      <c r="IG192" s="57">
        <v>546.76</v>
      </c>
      <c r="IH192" s="57">
        <v>361.34</v>
      </c>
      <c r="II192" s="57">
        <v>718.93</v>
      </c>
      <c r="IJ192" s="57">
        <v>754.26</v>
      </c>
      <c r="IK192" s="57">
        <v>498.08</v>
      </c>
      <c r="IL192" s="57">
        <v>300.37</v>
      </c>
      <c r="IM192" s="57">
        <v>501.95</v>
      </c>
      <c r="IN192" s="57">
        <v>475.2</v>
      </c>
      <c r="IO192" s="57">
        <v>502.73</v>
      </c>
      <c r="IP192" s="57">
        <v>294.81</v>
      </c>
      <c r="IQ192" s="57">
        <v>515.57000000000005</v>
      </c>
      <c r="IR192" s="57">
        <v>604.57000000000005</v>
      </c>
      <c r="IS192" s="57">
        <v>648.11</v>
      </c>
      <c r="IT192" s="57">
        <v>40.96</v>
      </c>
      <c r="IU192" s="57">
        <v>184.52</v>
      </c>
      <c r="IV192" s="57">
        <v>50.71</v>
      </c>
      <c r="IW192" s="57">
        <v>139.13</v>
      </c>
      <c r="IX192" s="57">
        <v>243.24</v>
      </c>
      <c r="IY192" s="57">
        <v>523.54999999999995</v>
      </c>
      <c r="IZ192" s="57">
        <v>544.57000000000005</v>
      </c>
      <c r="JA192" s="57">
        <v>388.64</v>
      </c>
      <c r="JB192" s="57">
        <v>118.4</v>
      </c>
      <c r="JC192" s="57">
        <v>491.81</v>
      </c>
      <c r="JD192" s="57">
        <v>458.03</v>
      </c>
      <c r="JE192" s="57">
        <v>477.24</v>
      </c>
      <c r="JF192" s="57">
        <v>307.54000000000002</v>
      </c>
      <c r="JG192" s="57">
        <v>379.15</v>
      </c>
      <c r="JH192" s="57">
        <v>594.78</v>
      </c>
      <c r="JI192" s="57">
        <v>576.20000000000005</v>
      </c>
      <c r="JJ192" s="57">
        <v>533.72</v>
      </c>
      <c r="JK192" s="57">
        <v>761.83</v>
      </c>
      <c r="JL192" s="57">
        <v>602.61</v>
      </c>
      <c r="JM192" s="57">
        <v>523.49</v>
      </c>
      <c r="JN192" s="57">
        <v>333.4</v>
      </c>
      <c r="JO192" s="57">
        <v>313.91000000000003</v>
      </c>
      <c r="JP192" s="57">
        <v>759.16</v>
      </c>
      <c r="JQ192" s="57">
        <v>643.55999999999995</v>
      </c>
      <c r="JR192" s="57">
        <v>418.95</v>
      </c>
      <c r="JS192" s="57">
        <v>541.6</v>
      </c>
      <c r="JT192" s="57">
        <v>703.63</v>
      </c>
      <c r="JU192" s="57">
        <v>509.23</v>
      </c>
      <c r="JV192" s="57">
        <v>238.47</v>
      </c>
      <c r="JW192" s="57">
        <v>349.3</v>
      </c>
      <c r="JX192" s="57">
        <v>2117.4</v>
      </c>
      <c r="JY192" s="57">
        <v>494.82</v>
      </c>
      <c r="JZ192" s="57">
        <v>501.06</v>
      </c>
      <c r="KA192" s="57">
        <v>532.71</v>
      </c>
      <c r="KB192" s="57">
        <v>343.56</v>
      </c>
      <c r="KC192" s="57">
        <v>501.43</v>
      </c>
      <c r="KD192" s="57">
        <v>589.33000000000004</v>
      </c>
      <c r="KE192" s="57">
        <v>52.91</v>
      </c>
      <c r="KF192" s="57">
        <v>689.03</v>
      </c>
    </row>
    <row r="193" spans="1:292">
      <c r="A193" s="41">
        <v>2020</v>
      </c>
      <c r="B193" s="54" t="s">
        <v>991</v>
      </c>
      <c r="C193" s="50" t="s">
        <v>992</v>
      </c>
      <c r="D193" s="57">
        <v>472.61</v>
      </c>
      <c r="E193" s="57">
        <v>549.04</v>
      </c>
      <c r="F193" s="57">
        <v>872.12</v>
      </c>
      <c r="G193" s="57">
        <v>252.23</v>
      </c>
      <c r="H193" s="57">
        <v>510.03</v>
      </c>
      <c r="I193" s="57">
        <v>396.51</v>
      </c>
      <c r="J193" s="57">
        <v>292.52</v>
      </c>
      <c r="K193" s="57">
        <v>461.9</v>
      </c>
      <c r="L193" s="57">
        <v>158.87</v>
      </c>
      <c r="M193" s="57">
        <v>311.23</v>
      </c>
      <c r="N193" s="57">
        <v>438.38</v>
      </c>
      <c r="O193" s="57">
        <v>715</v>
      </c>
      <c r="P193" s="57">
        <v>715.18</v>
      </c>
      <c r="Q193" s="57">
        <v>556.13</v>
      </c>
      <c r="R193" s="57">
        <v>454.64</v>
      </c>
      <c r="S193" s="57">
        <v>1090.03</v>
      </c>
      <c r="T193" s="57">
        <v>857.4</v>
      </c>
      <c r="U193" s="57">
        <v>239.94</v>
      </c>
      <c r="V193" s="57">
        <v>290.93</v>
      </c>
      <c r="W193" s="57">
        <v>556.85</v>
      </c>
      <c r="X193" s="57">
        <v>490.32</v>
      </c>
      <c r="Y193" s="57">
        <v>392.4</v>
      </c>
      <c r="Z193" s="57">
        <v>526.17999999999995</v>
      </c>
      <c r="AA193" s="57">
        <v>444.38</v>
      </c>
      <c r="AB193" s="57">
        <v>380.36</v>
      </c>
      <c r="AC193" s="57">
        <v>334.24</v>
      </c>
      <c r="AD193" s="57">
        <v>445.5</v>
      </c>
      <c r="AE193" s="57">
        <v>442.44</v>
      </c>
      <c r="AF193" s="57">
        <v>366.27</v>
      </c>
      <c r="AG193" s="57">
        <v>220.76</v>
      </c>
      <c r="AH193" s="57">
        <v>327.04000000000002</v>
      </c>
      <c r="AI193" s="57">
        <v>500.29</v>
      </c>
      <c r="AJ193" s="57">
        <v>410.3</v>
      </c>
      <c r="AK193" s="57">
        <v>441.41</v>
      </c>
      <c r="AL193" s="57">
        <v>501.09</v>
      </c>
      <c r="AM193" s="57">
        <v>648.11</v>
      </c>
      <c r="AN193" s="57">
        <v>41.3</v>
      </c>
      <c r="AO193" s="57">
        <v>185.33</v>
      </c>
      <c r="AP193" s="57">
        <v>88.8</v>
      </c>
      <c r="AQ193" s="57">
        <v>526.87</v>
      </c>
      <c r="AR193" s="57">
        <v>506.05</v>
      </c>
      <c r="AS193" s="57">
        <v>394.44</v>
      </c>
      <c r="AT193" s="57">
        <v>564.66</v>
      </c>
      <c r="AU193" s="57">
        <v>782.44</v>
      </c>
      <c r="AV193" s="57">
        <v>607.30999999999995</v>
      </c>
      <c r="AW193" s="57">
        <v>526.67999999999995</v>
      </c>
      <c r="AX193" s="57">
        <v>333.4</v>
      </c>
      <c r="AY193" s="57">
        <v>315.39999999999998</v>
      </c>
      <c r="AZ193" s="57">
        <v>735.34</v>
      </c>
      <c r="BA193" s="57">
        <v>467.96</v>
      </c>
      <c r="BB193" s="57">
        <v>405.94</v>
      </c>
      <c r="BC193" s="57">
        <v>1777.28</v>
      </c>
      <c r="BD193" s="57">
        <v>543.4</v>
      </c>
      <c r="BE193" s="57">
        <v>570.36</v>
      </c>
      <c r="BF193" s="57">
        <v>52.91</v>
      </c>
      <c r="BG193" s="57">
        <v>689.22</v>
      </c>
      <c r="BH193" s="57">
        <v>563.01</v>
      </c>
      <c r="BI193" s="57">
        <v>556.64</v>
      </c>
      <c r="BJ193" s="57">
        <v>644.21</v>
      </c>
      <c r="BK193" s="57">
        <v>527.08000000000004</v>
      </c>
      <c r="BL193" s="57">
        <v>510.79</v>
      </c>
      <c r="BM193" s="57">
        <v>563.27</v>
      </c>
      <c r="BN193" s="57">
        <v>566.38</v>
      </c>
      <c r="BO193" s="57">
        <v>405.22</v>
      </c>
      <c r="BP193" s="57">
        <v>576.89</v>
      </c>
      <c r="BQ193" s="57">
        <v>519.77</v>
      </c>
      <c r="BR193" s="57">
        <v>400.96</v>
      </c>
      <c r="BS193" s="57">
        <v>1162.3</v>
      </c>
      <c r="BT193" s="57">
        <v>631.98</v>
      </c>
      <c r="BU193" s="57">
        <v>1053.3800000000001</v>
      </c>
      <c r="BV193" s="57">
        <v>857.4</v>
      </c>
      <c r="BW193" s="57">
        <v>231.27</v>
      </c>
      <c r="BX193" s="57">
        <v>321.07</v>
      </c>
      <c r="BY193" s="57">
        <v>480</v>
      </c>
      <c r="BZ193" s="57">
        <v>289.70999999999998</v>
      </c>
      <c r="CA193" s="57">
        <v>556.42999999999995</v>
      </c>
      <c r="CB193" s="58">
        <v>556.85</v>
      </c>
      <c r="CC193" s="57">
        <v>490.32</v>
      </c>
      <c r="CD193" s="57">
        <v>390.89</v>
      </c>
      <c r="CE193" s="57">
        <v>462.65</v>
      </c>
      <c r="CF193" s="57">
        <v>535.07000000000005</v>
      </c>
      <c r="CG193" s="57">
        <v>535.57000000000005</v>
      </c>
      <c r="CH193" s="57">
        <v>452.66</v>
      </c>
      <c r="CI193" s="57">
        <v>434.65</v>
      </c>
      <c r="CJ193" s="57">
        <v>380.36</v>
      </c>
      <c r="CK193" s="57">
        <v>305.42</v>
      </c>
      <c r="CL193" s="57">
        <v>368.84</v>
      </c>
      <c r="CM193" s="57">
        <v>642.05999999999995</v>
      </c>
      <c r="CN193" s="57">
        <v>445.5</v>
      </c>
      <c r="CO193" s="57">
        <v>442.44</v>
      </c>
      <c r="CP193" s="57">
        <v>297.52</v>
      </c>
      <c r="CQ193" s="57">
        <v>640.38</v>
      </c>
      <c r="CR193" s="57">
        <v>228.53</v>
      </c>
      <c r="CS193" s="57">
        <v>332.21</v>
      </c>
      <c r="CT193" s="57">
        <v>209.59</v>
      </c>
      <c r="CU193" s="57">
        <v>264.35000000000002</v>
      </c>
      <c r="CV193" s="57">
        <v>452.34</v>
      </c>
      <c r="CW193" s="57">
        <v>205.56</v>
      </c>
      <c r="CX193" s="57">
        <v>500.29</v>
      </c>
      <c r="CY193" s="57">
        <v>411.38</v>
      </c>
      <c r="CZ193" s="57">
        <v>347.69</v>
      </c>
      <c r="DA193" s="57">
        <v>438.21</v>
      </c>
      <c r="DB193" s="57">
        <v>552.82000000000005</v>
      </c>
      <c r="DC193" s="57">
        <v>369.18</v>
      </c>
      <c r="DD193" s="57">
        <v>748.16</v>
      </c>
      <c r="DE193" s="57">
        <v>773.91</v>
      </c>
      <c r="DF193" s="57">
        <v>394.23</v>
      </c>
      <c r="DG193" s="57">
        <v>505.51</v>
      </c>
      <c r="DH193" s="57">
        <v>299.32</v>
      </c>
      <c r="DI193" s="57">
        <v>515.57000000000005</v>
      </c>
      <c r="DJ193" s="57">
        <v>621.70000000000005</v>
      </c>
      <c r="DK193" s="57">
        <v>648.11</v>
      </c>
      <c r="DL193" s="57">
        <v>41.3</v>
      </c>
      <c r="DM193" s="57">
        <v>185.33</v>
      </c>
      <c r="DN193" s="57">
        <v>50.78</v>
      </c>
      <c r="DO193" s="57">
        <v>141.88999999999999</v>
      </c>
      <c r="DP193" s="57">
        <v>244.66</v>
      </c>
      <c r="DQ193" s="57">
        <v>526.87</v>
      </c>
      <c r="DR193" s="57">
        <v>544.77</v>
      </c>
      <c r="DS193" s="57">
        <v>393.99</v>
      </c>
      <c r="DT193" s="57">
        <v>113.81</v>
      </c>
      <c r="DU193" s="57">
        <v>495.39</v>
      </c>
      <c r="DV193" s="57">
        <v>464.85</v>
      </c>
      <c r="DW193" s="57">
        <v>330.82</v>
      </c>
      <c r="DX193" s="57">
        <v>419.45</v>
      </c>
      <c r="DY193" s="57">
        <v>604.92999999999995</v>
      </c>
      <c r="DZ193" s="57">
        <v>576.20000000000005</v>
      </c>
      <c r="EA193" s="57">
        <v>537.14</v>
      </c>
      <c r="EB193" s="57">
        <v>782.44</v>
      </c>
      <c r="EC193" s="57">
        <v>607.30999999999995</v>
      </c>
      <c r="ED193" s="57">
        <v>526.67999999999995</v>
      </c>
      <c r="EE193" s="57">
        <v>333.4</v>
      </c>
      <c r="EF193" s="57">
        <v>315.39999999999998</v>
      </c>
      <c r="EG193" s="57">
        <v>735.34</v>
      </c>
      <c r="EH193" s="57">
        <v>467.96</v>
      </c>
      <c r="EI193" s="57">
        <v>606.29</v>
      </c>
      <c r="EJ193" s="57">
        <v>239.87</v>
      </c>
      <c r="EK193" s="57">
        <v>351.47</v>
      </c>
      <c r="EL193" s="57">
        <v>2407.9499999999998</v>
      </c>
      <c r="EM193" s="57">
        <v>503.32</v>
      </c>
      <c r="EN193" s="57">
        <v>543.4</v>
      </c>
      <c r="EO193" s="57">
        <v>344.04</v>
      </c>
      <c r="EP193" s="57">
        <v>506.13</v>
      </c>
      <c r="EQ193" s="57">
        <v>589.03</v>
      </c>
      <c r="ER193" s="57">
        <v>52.91</v>
      </c>
      <c r="ES193" s="57">
        <v>689.22</v>
      </c>
      <c r="ET193" s="57">
        <v>650.45000000000005</v>
      </c>
      <c r="EU193" s="57">
        <v>556.30999999999995</v>
      </c>
      <c r="EV193" s="57">
        <v>562.63</v>
      </c>
      <c r="EW193" s="57">
        <v>512.61</v>
      </c>
      <c r="EX193" s="57">
        <v>594.91999999999996</v>
      </c>
      <c r="EY193" s="57">
        <v>282.49</v>
      </c>
      <c r="EZ193" s="57">
        <v>565.58000000000004</v>
      </c>
      <c r="FA193" s="57">
        <v>669.33</v>
      </c>
      <c r="FB193" s="57">
        <v>434.67</v>
      </c>
      <c r="FC193" s="57">
        <v>740.85</v>
      </c>
      <c r="FD193" s="57">
        <v>458.4</v>
      </c>
      <c r="FE193" s="57">
        <v>658.21</v>
      </c>
      <c r="FF193" s="57">
        <v>105.08</v>
      </c>
      <c r="FG193" s="57">
        <v>431.73</v>
      </c>
      <c r="FH193" s="57">
        <v>407.63</v>
      </c>
      <c r="FI193" s="57">
        <v>598.51</v>
      </c>
      <c r="FJ193" s="57">
        <v>647.59</v>
      </c>
      <c r="FK193" s="57">
        <v>886.81</v>
      </c>
      <c r="FL193" s="57">
        <v>477.48</v>
      </c>
      <c r="FM193" s="57">
        <v>457.43</v>
      </c>
      <c r="FN193" s="57">
        <v>496.94</v>
      </c>
      <c r="FO193" s="57">
        <v>931.07</v>
      </c>
      <c r="FP193" s="57">
        <v>522.23</v>
      </c>
      <c r="FQ193" s="57">
        <v>374.58</v>
      </c>
      <c r="FR193" s="57">
        <v>933.9</v>
      </c>
      <c r="FS193" s="57">
        <v>589.72</v>
      </c>
      <c r="FT193" s="57">
        <v>317.95</v>
      </c>
      <c r="FU193" s="57">
        <v>568.67999999999995</v>
      </c>
      <c r="FV193" s="57">
        <v>449.55</v>
      </c>
      <c r="FW193" s="57">
        <v>314.33</v>
      </c>
      <c r="FX193" s="57">
        <v>576.89</v>
      </c>
      <c r="FY193" s="57">
        <v>535.9</v>
      </c>
      <c r="FZ193" s="57">
        <v>515.08000000000004</v>
      </c>
      <c r="GA193" s="57">
        <v>415.9</v>
      </c>
      <c r="GB193" s="57">
        <v>405.24</v>
      </c>
      <c r="GC193" s="57">
        <v>423.1</v>
      </c>
      <c r="GD193" s="57">
        <v>352.92</v>
      </c>
      <c r="GE193" s="57">
        <v>1162.3</v>
      </c>
      <c r="GF193" s="57">
        <v>631.98</v>
      </c>
      <c r="GG193" s="57">
        <v>1053.3800000000001</v>
      </c>
      <c r="GH193" s="57">
        <v>855.97</v>
      </c>
      <c r="GI193" s="57">
        <v>257.43</v>
      </c>
      <c r="GJ193" s="57">
        <v>211.52</v>
      </c>
      <c r="GK193" s="57">
        <v>216.6</v>
      </c>
      <c r="GL193" s="57">
        <v>335.97</v>
      </c>
      <c r="GM193" s="57">
        <v>321.07</v>
      </c>
      <c r="GN193" s="57">
        <v>480</v>
      </c>
      <c r="GO193" s="57">
        <v>302.54000000000002</v>
      </c>
      <c r="GP193" s="57">
        <v>272.24</v>
      </c>
      <c r="GQ193" s="57">
        <v>297.41000000000003</v>
      </c>
      <c r="GR193" s="57">
        <v>556.42999999999995</v>
      </c>
      <c r="GS193" s="57">
        <v>556.85</v>
      </c>
      <c r="GT193" s="57">
        <v>490.32</v>
      </c>
      <c r="GU193" s="57">
        <v>390.89</v>
      </c>
      <c r="GV193" s="57">
        <v>462.65</v>
      </c>
      <c r="GW193" s="57">
        <v>505.68</v>
      </c>
      <c r="GX193" s="57">
        <v>517.13</v>
      </c>
      <c r="GY193" s="57">
        <v>535.57000000000005</v>
      </c>
      <c r="GZ193" s="57">
        <v>562.08000000000004</v>
      </c>
      <c r="HA193" s="57">
        <v>434.64</v>
      </c>
      <c r="HB193" s="57">
        <v>444.13</v>
      </c>
      <c r="HC193" s="57">
        <v>434.65</v>
      </c>
      <c r="HD193" s="57">
        <v>380.36</v>
      </c>
      <c r="HE193" s="57">
        <v>244.61</v>
      </c>
      <c r="HF193" s="57">
        <v>298.60000000000002</v>
      </c>
      <c r="HG193" s="57">
        <v>352.71</v>
      </c>
      <c r="HH193" s="57">
        <v>412.15</v>
      </c>
      <c r="HI193" s="57">
        <v>202.22</v>
      </c>
      <c r="HJ193" s="57">
        <v>368.84</v>
      </c>
      <c r="HK193" s="57">
        <v>642.05999999999995</v>
      </c>
      <c r="HL193" s="57">
        <v>403.9</v>
      </c>
      <c r="HM193" s="57">
        <v>482.64</v>
      </c>
      <c r="HN193" s="57">
        <v>473.98</v>
      </c>
      <c r="HO193" s="57">
        <v>353.39</v>
      </c>
      <c r="HP193" s="57">
        <v>545.1</v>
      </c>
      <c r="HQ193" s="57">
        <v>276.36</v>
      </c>
      <c r="HR193" s="57">
        <v>451.45</v>
      </c>
      <c r="HS193" s="57">
        <v>649.70000000000005</v>
      </c>
      <c r="HT193" s="57">
        <v>404.22</v>
      </c>
      <c r="HU193" s="57">
        <v>228.53</v>
      </c>
      <c r="HV193" s="57">
        <v>332.21</v>
      </c>
      <c r="HW193" s="57">
        <v>182.01</v>
      </c>
      <c r="HX193" s="57">
        <v>248.83</v>
      </c>
      <c r="HY193" s="57">
        <v>264.35000000000002</v>
      </c>
      <c r="HZ193" s="57">
        <v>452.34</v>
      </c>
      <c r="IA193" s="57">
        <v>187.77</v>
      </c>
      <c r="IB193" s="57">
        <v>500.29</v>
      </c>
      <c r="IC193" s="57">
        <v>367.14</v>
      </c>
      <c r="ID193" s="57">
        <v>429.99</v>
      </c>
      <c r="IE193" s="57">
        <v>347.69</v>
      </c>
      <c r="IF193" s="57">
        <v>438.21</v>
      </c>
      <c r="IG193" s="57">
        <v>552.82000000000005</v>
      </c>
      <c r="IH193" s="57">
        <v>369.18</v>
      </c>
      <c r="II193" s="57">
        <v>748.16</v>
      </c>
      <c r="IJ193" s="57">
        <v>773.91</v>
      </c>
      <c r="IK193" s="57">
        <v>498.08</v>
      </c>
      <c r="IL193" s="57">
        <v>300.37</v>
      </c>
      <c r="IM193" s="57">
        <v>504.47</v>
      </c>
      <c r="IN193" s="57">
        <v>478.74</v>
      </c>
      <c r="IO193" s="57">
        <v>496.34</v>
      </c>
      <c r="IP193" s="57">
        <v>299.32</v>
      </c>
      <c r="IQ193" s="57">
        <v>515.57000000000005</v>
      </c>
      <c r="IR193" s="57">
        <v>621.70000000000005</v>
      </c>
      <c r="IS193" s="57">
        <v>648.11</v>
      </c>
      <c r="IT193" s="57">
        <v>41.3</v>
      </c>
      <c r="IU193" s="57">
        <v>185.33</v>
      </c>
      <c r="IV193" s="57">
        <v>50.79</v>
      </c>
      <c r="IW193" s="57">
        <v>141.88999999999999</v>
      </c>
      <c r="IX193" s="57">
        <v>244.66</v>
      </c>
      <c r="IY193" s="57">
        <v>526.87</v>
      </c>
      <c r="IZ193" s="57">
        <v>544.77</v>
      </c>
      <c r="JA193" s="57">
        <v>393.99</v>
      </c>
      <c r="JB193" s="57">
        <v>113.81</v>
      </c>
      <c r="JC193" s="57">
        <v>495.39</v>
      </c>
      <c r="JD193" s="57">
        <v>464.85</v>
      </c>
      <c r="JE193" s="57">
        <v>483.82</v>
      </c>
      <c r="JF193" s="57">
        <v>307.13</v>
      </c>
      <c r="JG193" s="57">
        <v>419.45</v>
      </c>
      <c r="JH193" s="57">
        <v>604.92999999999995</v>
      </c>
      <c r="JI193" s="57">
        <v>576.20000000000005</v>
      </c>
      <c r="JJ193" s="57">
        <v>537.14</v>
      </c>
      <c r="JK193" s="57">
        <v>782.44</v>
      </c>
      <c r="JL193" s="57">
        <v>607.30999999999995</v>
      </c>
      <c r="JM193" s="57">
        <v>526.67999999999995</v>
      </c>
      <c r="JN193" s="57">
        <v>333.4</v>
      </c>
      <c r="JO193" s="57">
        <v>315.39999999999998</v>
      </c>
      <c r="JP193" s="57">
        <v>770.17</v>
      </c>
      <c r="JQ193" s="57">
        <v>653.26</v>
      </c>
      <c r="JR193" s="57">
        <v>433.86</v>
      </c>
      <c r="JS193" s="57">
        <v>541.6</v>
      </c>
      <c r="JT193" s="57">
        <v>710.95</v>
      </c>
      <c r="JU193" s="57">
        <v>515.24</v>
      </c>
      <c r="JV193" s="57">
        <v>239.87</v>
      </c>
      <c r="JW193" s="57">
        <v>351.47</v>
      </c>
      <c r="JX193" s="57">
        <v>2407.9499999999998</v>
      </c>
      <c r="JY193" s="57">
        <v>493.01</v>
      </c>
      <c r="JZ193" s="57">
        <v>499.99</v>
      </c>
      <c r="KA193" s="57">
        <v>543.4</v>
      </c>
      <c r="KB193" s="57">
        <v>344.04</v>
      </c>
      <c r="KC193" s="57">
        <v>506.13</v>
      </c>
      <c r="KD193" s="57">
        <v>589.03</v>
      </c>
      <c r="KE193" s="57">
        <v>52.91</v>
      </c>
      <c r="KF193" s="57">
        <v>689.22</v>
      </c>
    </row>
    <row r="194" spans="1:292">
      <c r="A194" s="41">
        <v>2020</v>
      </c>
      <c r="B194" s="54" t="s">
        <v>993</v>
      </c>
      <c r="C194" s="50" t="s">
        <v>994</v>
      </c>
      <c r="D194" s="57">
        <v>477.21</v>
      </c>
      <c r="E194" s="57">
        <v>552.66</v>
      </c>
      <c r="F194" s="57">
        <v>872.47</v>
      </c>
      <c r="G194" s="57">
        <v>252.16</v>
      </c>
      <c r="H194" s="57">
        <v>514.76</v>
      </c>
      <c r="I194" s="57">
        <v>408.5</v>
      </c>
      <c r="J194" s="57">
        <v>295.06</v>
      </c>
      <c r="K194" s="57">
        <v>470.38</v>
      </c>
      <c r="L194" s="57">
        <v>159.31</v>
      </c>
      <c r="M194" s="57">
        <v>313.97000000000003</v>
      </c>
      <c r="N194" s="57">
        <v>438.08</v>
      </c>
      <c r="O194" s="57">
        <v>720.26</v>
      </c>
      <c r="P194" s="57">
        <v>719.71</v>
      </c>
      <c r="Q194" s="57">
        <v>559.42999999999995</v>
      </c>
      <c r="R194" s="57">
        <v>461.51</v>
      </c>
      <c r="S194" s="57">
        <v>1092.51</v>
      </c>
      <c r="T194" s="57">
        <v>857.65</v>
      </c>
      <c r="U194" s="57">
        <v>240.7</v>
      </c>
      <c r="V194" s="57">
        <v>287.89</v>
      </c>
      <c r="W194" s="57">
        <v>560.79</v>
      </c>
      <c r="X194" s="57">
        <v>506.63</v>
      </c>
      <c r="Y194" s="57">
        <v>396.72</v>
      </c>
      <c r="Z194" s="57">
        <v>528.24</v>
      </c>
      <c r="AA194" s="57">
        <v>458.22</v>
      </c>
      <c r="AB194" s="57">
        <v>384.85</v>
      </c>
      <c r="AC194" s="57">
        <v>353.49</v>
      </c>
      <c r="AD194" s="57">
        <v>452.75</v>
      </c>
      <c r="AE194" s="57">
        <v>450.18</v>
      </c>
      <c r="AF194" s="57">
        <v>368.96</v>
      </c>
      <c r="AG194" s="57">
        <v>221.61</v>
      </c>
      <c r="AH194" s="57">
        <v>330.86</v>
      </c>
      <c r="AI194" s="57">
        <v>505.04</v>
      </c>
      <c r="AJ194" s="57">
        <v>426.84</v>
      </c>
      <c r="AK194" s="57">
        <v>445.56</v>
      </c>
      <c r="AL194" s="57">
        <v>498.14</v>
      </c>
      <c r="AM194" s="57">
        <v>748.37</v>
      </c>
      <c r="AN194" s="57">
        <v>41.01</v>
      </c>
      <c r="AO194" s="57">
        <v>186.4</v>
      </c>
      <c r="AP194" s="57">
        <v>90.93</v>
      </c>
      <c r="AQ194" s="57">
        <v>532.66</v>
      </c>
      <c r="AR194" s="57">
        <v>508.26</v>
      </c>
      <c r="AS194" s="57">
        <v>402.77</v>
      </c>
      <c r="AT194" s="57">
        <v>572.05999999999995</v>
      </c>
      <c r="AU194" s="57">
        <v>755.22</v>
      </c>
      <c r="AV194" s="57">
        <v>586.6</v>
      </c>
      <c r="AW194" s="57">
        <v>507.93</v>
      </c>
      <c r="AX194" s="57">
        <v>354.87</v>
      </c>
      <c r="AY194" s="57">
        <v>322.29000000000002</v>
      </c>
      <c r="AZ194" s="57">
        <v>741.44</v>
      </c>
      <c r="BA194" s="57">
        <v>468.51</v>
      </c>
      <c r="BB194" s="57">
        <v>408.83</v>
      </c>
      <c r="BC194" s="57">
        <v>1781.83</v>
      </c>
      <c r="BD194" s="57">
        <v>570</v>
      </c>
      <c r="BE194" s="57">
        <v>583.17999999999995</v>
      </c>
      <c r="BF194" s="57">
        <v>52.91</v>
      </c>
      <c r="BG194" s="57">
        <v>689.42</v>
      </c>
      <c r="BH194" s="57">
        <v>573.53</v>
      </c>
      <c r="BI194" s="57">
        <v>548.30999999999995</v>
      </c>
      <c r="BJ194" s="57">
        <v>569.21</v>
      </c>
      <c r="BK194" s="57">
        <v>530.61</v>
      </c>
      <c r="BL194" s="57">
        <v>529.51</v>
      </c>
      <c r="BM194" s="57">
        <v>555.38</v>
      </c>
      <c r="BN194" s="57">
        <v>589.26</v>
      </c>
      <c r="BO194" s="57">
        <v>409.8</v>
      </c>
      <c r="BP194" s="57">
        <v>588.41</v>
      </c>
      <c r="BQ194" s="57">
        <v>529.25</v>
      </c>
      <c r="BR194" s="57">
        <v>406.07</v>
      </c>
      <c r="BS194" s="57">
        <v>1161.33</v>
      </c>
      <c r="BT194" s="57">
        <v>639.04999999999995</v>
      </c>
      <c r="BU194" s="57">
        <v>1056.98</v>
      </c>
      <c r="BV194" s="57">
        <v>857.65</v>
      </c>
      <c r="BW194" s="57">
        <v>231.81</v>
      </c>
      <c r="BX194" s="57">
        <v>325.11</v>
      </c>
      <c r="BY194" s="57">
        <v>484.44</v>
      </c>
      <c r="BZ194" s="57">
        <v>286.64999999999998</v>
      </c>
      <c r="CA194" s="57">
        <v>563.17999999999995</v>
      </c>
      <c r="CB194" s="58">
        <v>560.79</v>
      </c>
      <c r="CC194" s="57">
        <v>506.63</v>
      </c>
      <c r="CD194" s="57">
        <v>395.19</v>
      </c>
      <c r="CE194" s="57">
        <v>462.65</v>
      </c>
      <c r="CF194" s="57">
        <v>538.67999999999995</v>
      </c>
      <c r="CG194" s="57">
        <v>540.64</v>
      </c>
      <c r="CH194" s="57">
        <v>467.58</v>
      </c>
      <c r="CI194" s="57">
        <v>440.17</v>
      </c>
      <c r="CJ194" s="57">
        <v>384.85</v>
      </c>
      <c r="CK194" s="57">
        <v>324.27999999999997</v>
      </c>
      <c r="CL194" s="57">
        <v>385.99</v>
      </c>
      <c r="CM194" s="57">
        <v>653.84</v>
      </c>
      <c r="CN194" s="57">
        <v>452.75</v>
      </c>
      <c r="CO194" s="57">
        <v>450.18</v>
      </c>
      <c r="CP194" s="57">
        <v>300.13</v>
      </c>
      <c r="CQ194" s="57">
        <v>643.47</v>
      </c>
      <c r="CR194" s="57">
        <v>228.54</v>
      </c>
      <c r="CS194" s="57">
        <v>334.43</v>
      </c>
      <c r="CT194" s="57">
        <v>212.48</v>
      </c>
      <c r="CU194" s="57">
        <v>264.81</v>
      </c>
      <c r="CV194" s="57">
        <v>462.17</v>
      </c>
      <c r="CW194" s="57">
        <v>206.47</v>
      </c>
      <c r="CX194" s="57">
        <v>505.04</v>
      </c>
      <c r="CY194" s="57">
        <v>428.29</v>
      </c>
      <c r="CZ194" s="57">
        <v>356.73</v>
      </c>
      <c r="DA194" s="57">
        <v>444.98</v>
      </c>
      <c r="DB194" s="57">
        <v>569.63</v>
      </c>
      <c r="DC194" s="57">
        <v>370.64</v>
      </c>
      <c r="DD194" s="57">
        <v>767.16</v>
      </c>
      <c r="DE194" s="57">
        <v>764.91</v>
      </c>
      <c r="DF194" s="57">
        <v>394.79</v>
      </c>
      <c r="DG194" s="57">
        <v>500.75</v>
      </c>
      <c r="DH194" s="57">
        <v>300.63</v>
      </c>
      <c r="DI194" s="57">
        <v>532.38</v>
      </c>
      <c r="DJ194" s="57">
        <v>633.21</v>
      </c>
      <c r="DK194" s="57">
        <v>748.37</v>
      </c>
      <c r="DL194" s="57">
        <v>41.01</v>
      </c>
      <c r="DM194" s="57">
        <v>186.4</v>
      </c>
      <c r="DN194" s="57">
        <v>52.13</v>
      </c>
      <c r="DO194" s="57">
        <v>144.96</v>
      </c>
      <c r="DP194" s="57">
        <v>246.52</v>
      </c>
      <c r="DQ194" s="57">
        <v>532.66</v>
      </c>
      <c r="DR194" s="57">
        <v>542.73</v>
      </c>
      <c r="DS194" s="57">
        <v>393.81</v>
      </c>
      <c r="DT194" s="57">
        <v>116.82</v>
      </c>
      <c r="DU194" s="57">
        <v>495.69</v>
      </c>
      <c r="DV194" s="57">
        <v>472.91</v>
      </c>
      <c r="DW194" s="57">
        <v>340.63</v>
      </c>
      <c r="DX194" s="57">
        <v>419.45</v>
      </c>
      <c r="DY194" s="57">
        <v>616.03</v>
      </c>
      <c r="DZ194" s="57">
        <v>590.65</v>
      </c>
      <c r="EA194" s="57">
        <v>537.87</v>
      </c>
      <c r="EB194" s="57">
        <v>755.22</v>
      </c>
      <c r="EC194" s="57">
        <v>586.6</v>
      </c>
      <c r="ED194" s="57">
        <v>507.93</v>
      </c>
      <c r="EE194" s="57">
        <v>354.87</v>
      </c>
      <c r="EF194" s="57">
        <v>322.29000000000002</v>
      </c>
      <c r="EG194" s="57">
        <v>741.44</v>
      </c>
      <c r="EH194" s="57">
        <v>468.51</v>
      </c>
      <c r="EI194" s="57">
        <v>613.4</v>
      </c>
      <c r="EJ194" s="57">
        <v>251.71</v>
      </c>
      <c r="EK194" s="57">
        <v>352.81</v>
      </c>
      <c r="EL194" s="57">
        <v>2406.88</v>
      </c>
      <c r="EM194" s="57">
        <v>515.69000000000005</v>
      </c>
      <c r="EN194" s="57">
        <v>570</v>
      </c>
      <c r="EO194" s="57">
        <v>344.03</v>
      </c>
      <c r="EP194" s="57">
        <v>517.52</v>
      </c>
      <c r="EQ194" s="57">
        <v>603.72</v>
      </c>
      <c r="ER194" s="57">
        <v>52.91</v>
      </c>
      <c r="ES194" s="57">
        <v>689.42</v>
      </c>
      <c r="ET194" s="57">
        <v>654.45000000000005</v>
      </c>
      <c r="EU194" s="57">
        <v>566.05999999999995</v>
      </c>
      <c r="EV194" s="57">
        <v>578.86</v>
      </c>
      <c r="EW194" s="57">
        <v>516.63</v>
      </c>
      <c r="EX194" s="57">
        <v>593.71</v>
      </c>
      <c r="EY194" s="57">
        <v>289.24</v>
      </c>
      <c r="EZ194" s="57">
        <v>558.12</v>
      </c>
      <c r="FA194" s="57">
        <v>669.48</v>
      </c>
      <c r="FB194" s="57">
        <v>412.84</v>
      </c>
      <c r="FC194" s="57">
        <v>730.94</v>
      </c>
      <c r="FD194" s="57">
        <v>460.41</v>
      </c>
      <c r="FE194" s="57">
        <v>577.48</v>
      </c>
      <c r="FF194" s="57">
        <v>107.47</v>
      </c>
      <c r="FG194" s="57">
        <v>434.05</v>
      </c>
      <c r="FH194" s="57">
        <v>407.66</v>
      </c>
      <c r="FI194" s="57">
        <v>598.9</v>
      </c>
      <c r="FJ194" s="57">
        <v>667.86</v>
      </c>
      <c r="FK194" s="57">
        <v>891.28</v>
      </c>
      <c r="FL194" s="57">
        <v>497.98</v>
      </c>
      <c r="FM194" s="57">
        <v>479.21</v>
      </c>
      <c r="FN194" s="57">
        <v>486.32</v>
      </c>
      <c r="FO194" s="57">
        <v>934.31</v>
      </c>
      <c r="FP194" s="57">
        <v>558.45000000000005</v>
      </c>
      <c r="FQ194" s="57">
        <v>377.85</v>
      </c>
      <c r="FR194" s="57">
        <v>939.47</v>
      </c>
      <c r="FS194" s="57">
        <v>589.05999999999995</v>
      </c>
      <c r="FT194" s="57">
        <v>318.97000000000003</v>
      </c>
      <c r="FU194" s="57">
        <v>593.66</v>
      </c>
      <c r="FV194" s="57">
        <v>452.28</v>
      </c>
      <c r="FW194" s="57">
        <v>308.89</v>
      </c>
      <c r="FX194" s="57">
        <v>588.41</v>
      </c>
      <c r="FY194" s="57">
        <v>551.27</v>
      </c>
      <c r="FZ194" s="57">
        <v>522.61</v>
      </c>
      <c r="GA194" s="57">
        <v>440.16</v>
      </c>
      <c r="GB194" s="57">
        <v>413.42</v>
      </c>
      <c r="GC194" s="57">
        <v>425.38</v>
      </c>
      <c r="GD194" s="57">
        <v>355.61</v>
      </c>
      <c r="GE194" s="57">
        <v>1161.33</v>
      </c>
      <c r="GF194" s="57">
        <v>639.04999999999995</v>
      </c>
      <c r="GG194" s="57">
        <v>1056.98</v>
      </c>
      <c r="GH194" s="57">
        <v>856.21</v>
      </c>
      <c r="GI194" s="57">
        <v>257.62</v>
      </c>
      <c r="GJ194" s="57">
        <v>212.33</v>
      </c>
      <c r="GK194" s="57">
        <v>216.82</v>
      </c>
      <c r="GL194" s="57">
        <v>339.05</v>
      </c>
      <c r="GM194" s="57">
        <v>325.11</v>
      </c>
      <c r="GN194" s="57">
        <v>484.44</v>
      </c>
      <c r="GO194" s="57">
        <v>300.02</v>
      </c>
      <c r="GP194" s="57">
        <v>268.02999999999997</v>
      </c>
      <c r="GQ194" s="57">
        <v>295.58</v>
      </c>
      <c r="GR194" s="57">
        <v>563.17999999999995</v>
      </c>
      <c r="GS194" s="57">
        <v>560.79</v>
      </c>
      <c r="GT194" s="57">
        <v>506.63</v>
      </c>
      <c r="GU194" s="57">
        <v>395.19</v>
      </c>
      <c r="GV194" s="57">
        <v>462.65</v>
      </c>
      <c r="GW194" s="57">
        <v>506.9</v>
      </c>
      <c r="GX194" s="57">
        <v>528.75</v>
      </c>
      <c r="GY194" s="57">
        <v>540.64</v>
      </c>
      <c r="GZ194" s="57">
        <v>580.97</v>
      </c>
      <c r="HA194" s="57">
        <v>449.68</v>
      </c>
      <c r="HB194" s="57">
        <v>458.12</v>
      </c>
      <c r="HC194" s="57">
        <v>440.17</v>
      </c>
      <c r="HD194" s="57">
        <v>384.85</v>
      </c>
      <c r="HE194" s="57">
        <v>262.68</v>
      </c>
      <c r="HF194" s="57">
        <v>320.26</v>
      </c>
      <c r="HG194" s="57">
        <v>373.77</v>
      </c>
      <c r="HH194" s="57">
        <v>426.14</v>
      </c>
      <c r="HI194" s="57">
        <v>211.61</v>
      </c>
      <c r="HJ194" s="57">
        <v>385.99</v>
      </c>
      <c r="HK194" s="57">
        <v>653.84</v>
      </c>
      <c r="HL194" s="57">
        <v>410.23</v>
      </c>
      <c r="HM194" s="57">
        <v>490.8</v>
      </c>
      <c r="HN194" s="57">
        <v>481.92</v>
      </c>
      <c r="HO194" s="57">
        <v>360.68</v>
      </c>
      <c r="HP194" s="57">
        <v>552.66999999999996</v>
      </c>
      <c r="HQ194" s="57">
        <v>278.95999999999998</v>
      </c>
      <c r="HR194" s="57">
        <v>454.39</v>
      </c>
      <c r="HS194" s="57">
        <v>653.03</v>
      </c>
      <c r="HT194" s="57">
        <v>405.34</v>
      </c>
      <c r="HU194" s="57">
        <v>228.54</v>
      </c>
      <c r="HV194" s="57">
        <v>334.43</v>
      </c>
      <c r="HW194" s="57">
        <v>183.32</v>
      </c>
      <c r="HX194" s="57">
        <v>254.48</v>
      </c>
      <c r="HY194" s="57">
        <v>264.81</v>
      </c>
      <c r="HZ194" s="57">
        <v>462.17</v>
      </c>
      <c r="IA194" s="57">
        <v>188.61</v>
      </c>
      <c r="IB194" s="57">
        <v>505.04</v>
      </c>
      <c r="IC194" s="57">
        <v>385.36</v>
      </c>
      <c r="ID194" s="57">
        <v>442.88</v>
      </c>
      <c r="IE194" s="57">
        <v>356.73</v>
      </c>
      <c r="IF194" s="57">
        <v>444.98</v>
      </c>
      <c r="IG194" s="57">
        <v>569.63</v>
      </c>
      <c r="IH194" s="57">
        <v>370.64</v>
      </c>
      <c r="II194" s="57">
        <v>767.16</v>
      </c>
      <c r="IJ194" s="57">
        <v>764.91</v>
      </c>
      <c r="IK194" s="57">
        <v>501.24</v>
      </c>
      <c r="IL194" s="57">
        <v>300.37</v>
      </c>
      <c r="IM194" s="57">
        <v>508.11</v>
      </c>
      <c r="IN194" s="57">
        <v>479.91</v>
      </c>
      <c r="IO194" s="57">
        <v>465.27</v>
      </c>
      <c r="IP194" s="57">
        <v>300.63</v>
      </c>
      <c r="IQ194" s="57">
        <v>532.38</v>
      </c>
      <c r="IR194" s="57">
        <v>633.21</v>
      </c>
      <c r="IS194" s="57">
        <v>748.37</v>
      </c>
      <c r="IT194" s="57">
        <v>41.01</v>
      </c>
      <c r="IU194" s="57">
        <v>186.4</v>
      </c>
      <c r="IV194" s="57">
        <v>52.14</v>
      </c>
      <c r="IW194" s="57">
        <v>144.96</v>
      </c>
      <c r="IX194" s="57">
        <v>246.52</v>
      </c>
      <c r="IY194" s="57">
        <v>532.66</v>
      </c>
      <c r="IZ194" s="57">
        <v>542.73</v>
      </c>
      <c r="JA194" s="57">
        <v>393.81</v>
      </c>
      <c r="JB194" s="57">
        <v>116.82</v>
      </c>
      <c r="JC194" s="57">
        <v>495.69</v>
      </c>
      <c r="JD194" s="57">
        <v>472.91</v>
      </c>
      <c r="JE194" s="57">
        <v>492.53</v>
      </c>
      <c r="JF194" s="57">
        <v>316.91000000000003</v>
      </c>
      <c r="JG194" s="57">
        <v>419.45</v>
      </c>
      <c r="JH194" s="57">
        <v>616.03</v>
      </c>
      <c r="JI194" s="57">
        <v>590.65</v>
      </c>
      <c r="JJ194" s="57">
        <v>537.87</v>
      </c>
      <c r="JK194" s="57">
        <v>755.22</v>
      </c>
      <c r="JL194" s="57">
        <v>586.6</v>
      </c>
      <c r="JM194" s="57">
        <v>507.93</v>
      </c>
      <c r="JN194" s="57">
        <v>354.87</v>
      </c>
      <c r="JO194" s="57">
        <v>322.29000000000002</v>
      </c>
      <c r="JP194" s="57">
        <v>777.07</v>
      </c>
      <c r="JQ194" s="57">
        <v>656.78</v>
      </c>
      <c r="JR194" s="57">
        <v>434.56</v>
      </c>
      <c r="JS194" s="57">
        <v>541.87</v>
      </c>
      <c r="JT194" s="57">
        <v>719.16</v>
      </c>
      <c r="JU194" s="57">
        <v>521.36</v>
      </c>
      <c r="JV194" s="57">
        <v>251.71</v>
      </c>
      <c r="JW194" s="57">
        <v>352.81</v>
      </c>
      <c r="JX194" s="57">
        <v>2406.88</v>
      </c>
      <c r="JY194" s="57">
        <v>508.78</v>
      </c>
      <c r="JZ194" s="57">
        <v>508.03</v>
      </c>
      <c r="KA194" s="57">
        <v>570</v>
      </c>
      <c r="KB194" s="57">
        <v>344.03</v>
      </c>
      <c r="KC194" s="57">
        <v>517.52</v>
      </c>
      <c r="KD194" s="57">
        <v>603.72</v>
      </c>
      <c r="KE194" s="57">
        <v>52.91</v>
      </c>
      <c r="KF194" s="57">
        <v>689.42</v>
      </c>
    </row>
    <row r="195" spans="1:292">
      <c r="A195" s="41">
        <v>2020</v>
      </c>
      <c r="B195" s="54" t="s">
        <v>995</v>
      </c>
      <c r="C195" s="50" t="s">
        <v>996</v>
      </c>
      <c r="D195" s="57">
        <v>487.38</v>
      </c>
      <c r="E195" s="57">
        <v>569.4</v>
      </c>
      <c r="F195" s="57">
        <v>872.4</v>
      </c>
      <c r="G195" s="57">
        <v>269.32</v>
      </c>
      <c r="H195" s="57">
        <v>525.13</v>
      </c>
      <c r="I195" s="57">
        <v>418.52</v>
      </c>
      <c r="J195" s="57">
        <v>297.67</v>
      </c>
      <c r="K195" s="57">
        <v>479.98</v>
      </c>
      <c r="L195" s="57">
        <v>159.66999999999999</v>
      </c>
      <c r="M195" s="57">
        <v>313.69</v>
      </c>
      <c r="N195" s="57">
        <v>438.1</v>
      </c>
      <c r="O195" s="57">
        <v>725.37</v>
      </c>
      <c r="P195" s="57">
        <v>734.26</v>
      </c>
      <c r="Q195" s="57">
        <v>576.87</v>
      </c>
      <c r="R195" s="57">
        <v>470.17</v>
      </c>
      <c r="S195" s="57">
        <v>1091.01</v>
      </c>
      <c r="T195" s="57">
        <v>857.65</v>
      </c>
      <c r="U195" s="57">
        <v>259.44</v>
      </c>
      <c r="V195" s="57">
        <v>298.99</v>
      </c>
      <c r="W195" s="57">
        <v>565.45000000000005</v>
      </c>
      <c r="X195" s="57">
        <v>523.54</v>
      </c>
      <c r="Y195" s="57">
        <v>397.63</v>
      </c>
      <c r="Z195" s="57">
        <v>545.30999999999995</v>
      </c>
      <c r="AA195" s="57">
        <v>478.05</v>
      </c>
      <c r="AB195" s="57">
        <v>391.6</v>
      </c>
      <c r="AC195" s="57">
        <v>359.42</v>
      </c>
      <c r="AD195" s="57">
        <v>460.28</v>
      </c>
      <c r="AE195" s="57">
        <v>458.71</v>
      </c>
      <c r="AF195" s="57">
        <v>373.88</v>
      </c>
      <c r="AG195" s="57">
        <v>222.61</v>
      </c>
      <c r="AH195" s="57">
        <v>334.1</v>
      </c>
      <c r="AI195" s="57">
        <v>511.98</v>
      </c>
      <c r="AJ195" s="57">
        <v>439.53</v>
      </c>
      <c r="AK195" s="57">
        <v>455.34</v>
      </c>
      <c r="AL195" s="57">
        <v>498.43</v>
      </c>
      <c r="AM195" s="57">
        <v>748.37</v>
      </c>
      <c r="AN195" s="57">
        <v>40.94</v>
      </c>
      <c r="AO195" s="57">
        <v>187.03</v>
      </c>
      <c r="AP195" s="57">
        <v>93.21</v>
      </c>
      <c r="AQ195" s="57">
        <v>535.70000000000005</v>
      </c>
      <c r="AR195" s="57">
        <v>499.92</v>
      </c>
      <c r="AS195" s="57">
        <v>404.71</v>
      </c>
      <c r="AT195" s="57">
        <v>573.61</v>
      </c>
      <c r="AU195" s="57">
        <v>726.6</v>
      </c>
      <c r="AV195" s="57">
        <v>584.99</v>
      </c>
      <c r="AW195" s="57">
        <v>505.79</v>
      </c>
      <c r="AX195" s="57">
        <v>354.31</v>
      </c>
      <c r="AY195" s="57">
        <v>331.38</v>
      </c>
      <c r="AZ195" s="57">
        <v>747.19</v>
      </c>
      <c r="BA195" s="57">
        <v>469.87</v>
      </c>
      <c r="BB195" s="57">
        <v>412.07</v>
      </c>
      <c r="BC195" s="57">
        <v>1846.83</v>
      </c>
      <c r="BD195" s="57">
        <v>591.82000000000005</v>
      </c>
      <c r="BE195" s="57">
        <v>589.71</v>
      </c>
      <c r="BF195" s="57">
        <v>52.91</v>
      </c>
      <c r="BG195" s="57">
        <v>689.5</v>
      </c>
      <c r="BH195" s="57">
        <v>589.6</v>
      </c>
      <c r="BI195" s="57">
        <v>551.65</v>
      </c>
      <c r="BJ195" s="57">
        <v>584.30999999999995</v>
      </c>
      <c r="BK195" s="57">
        <v>546.88</v>
      </c>
      <c r="BL195" s="57">
        <v>560.62</v>
      </c>
      <c r="BM195" s="57">
        <v>544.92999999999995</v>
      </c>
      <c r="BN195" s="57">
        <v>661.1</v>
      </c>
      <c r="BO195" s="57">
        <v>414.75</v>
      </c>
      <c r="BP195" s="57">
        <v>591.99</v>
      </c>
      <c r="BQ195" s="57">
        <v>541.02</v>
      </c>
      <c r="BR195" s="57">
        <v>412.62</v>
      </c>
      <c r="BS195" s="57">
        <v>1157.81</v>
      </c>
      <c r="BT195" s="57">
        <v>640.92999999999995</v>
      </c>
      <c r="BU195" s="57">
        <v>1056.24</v>
      </c>
      <c r="BV195" s="57">
        <v>857.65</v>
      </c>
      <c r="BW195" s="57">
        <v>251.15</v>
      </c>
      <c r="BX195" s="57">
        <v>331.12</v>
      </c>
      <c r="BY195" s="57">
        <v>491.19</v>
      </c>
      <c r="BZ195" s="57">
        <v>297.75</v>
      </c>
      <c r="CA195" s="57">
        <v>568.83000000000004</v>
      </c>
      <c r="CB195" s="58">
        <v>565.45000000000005</v>
      </c>
      <c r="CC195" s="57">
        <v>523.54</v>
      </c>
      <c r="CD195" s="57">
        <v>396.09</v>
      </c>
      <c r="CE195" s="57">
        <v>489.29</v>
      </c>
      <c r="CF195" s="57">
        <v>541.14</v>
      </c>
      <c r="CG195" s="57">
        <v>554.48</v>
      </c>
      <c r="CH195" s="57">
        <v>487.45</v>
      </c>
      <c r="CI195" s="57">
        <v>462.8</v>
      </c>
      <c r="CJ195" s="57">
        <v>391.6</v>
      </c>
      <c r="CK195" s="57">
        <v>330.81</v>
      </c>
      <c r="CL195" s="57">
        <v>380.39</v>
      </c>
      <c r="CM195" s="57">
        <v>660.45</v>
      </c>
      <c r="CN195" s="57">
        <v>460.28</v>
      </c>
      <c r="CO195" s="57">
        <v>458.71</v>
      </c>
      <c r="CP195" s="57">
        <v>303.95</v>
      </c>
      <c r="CQ195" s="57">
        <v>652.77</v>
      </c>
      <c r="CR195" s="57">
        <v>228.55</v>
      </c>
      <c r="CS195" s="57">
        <v>340.22</v>
      </c>
      <c r="CT195" s="57">
        <v>215.24</v>
      </c>
      <c r="CU195" s="57">
        <v>265.45</v>
      </c>
      <c r="CV195" s="57">
        <v>469.75</v>
      </c>
      <c r="CW195" s="57">
        <v>207.66</v>
      </c>
      <c r="CX195" s="57">
        <v>511.98</v>
      </c>
      <c r="CY195" s="57">
        <v>440.64</v>
      </c>
      <c r="CZ195" s="57">
        <v>377.36</v>
      </c>
      <c r="DA195" s="57">
        <v>448.63</v>
      </c>
      <c r="DB195" s="57">
        <v>588.73</v>
      </c>
      <c r="DC195" s="57">
        <v>375.44</v>
      </c>
      <c r="DD195" s="57">
        <v>808.11</v>
      </c>
      <c r="DE195" s="57">
        <v>762.03</v>
      </c>
      <c r="DF195" s="57">
        <v>394.79</v>
      </c>
      <c r="DG195" s="57">
        <v>500.15</v>
      </c>
      <c r="DH195" s="57">
        <v>304.52</v>
      </c>
      <c r="DI195" s="57">
        <v>507.7</v>
      </c>
      <c r="DJ195" s="57">
        <v>637.08000000000004</v>
      </c>
      <c r="DK195" s="57">
        <v>748.37</v>
      </c>
      <c r="DL195" s="57">
        <v>40.94</v>
      </c>
      <c r="DM195" s="57">
        <v>187.03</v>
      </c>
      <c r="DN195" s="57">
        <v>53.23</v>
      </c>
      <c r="DO195" s="57">
        <v>149.68</v>
      </c>
      <c r="DP195" s="57">
        <v>254.35</v>
      </c>
      <c r="DQ195" s="57">
        <v>535.70000000000005</v>
      </c>
      <c r="DR195" s="57">
        <v>551.28</v>
      </c>
      <c r="DS195" s="57">
        <v>394.1</v>
      </c>
      <c r="DT195" s="57">
        <v>105.04</v>
      </c>
      <c r="DU195" s="57">
        <v>496.4</v>
      </c>
      <c r="DV195" s="57">
        <v>474.58</v>
      </c>
      <c r="DW195" s="57">
        <v>343.14</v>
      </c>
      <c r="DX195" s="57">
        <v>419.45</v>
      </c>
      <c r="DY195" s="57">
        <v>614.83000000000004</v>
      </c>
      <c r="DZ195" s="57">
        <v>601.80999999999995</v>
      </c>
      <c r="EA195" s="57">
        <v>541.11</v>
      </c>
      <c r="EB195" s="57">
        <v>726.6</v>
      </c>
      <c r="EC195" s="57">
        <v>584.99</v>
      </c>
      <c r="ED195" s="57">
        <v>505.79</v>
      </c>
      <c r="EE195" s="57">
        <v>354.31</v>
      </c>
      <c r="EF195" s="57">
        <v>331.38</v>
      </c>
      <c r="EG195" s="57">
        <v>747.19</v>
      </c>
      <c r="EH195" s="57">
        <v>469.87</v>
      </c>
      <c r="EI195" s="57">
        <v>617.67999999999995</v>
      </c>
      <c r="EJ195" s="57">
        <v>260.2</v>
      </c>
      <c r="EK195" s="57">
        <v>355.54</v>
      </c>
      <c r="EL195" s="57">
        <v>2498.94</v>
      </c>
      <c r="EM195" s="57">
        <v>527.98</v>
      </c>
      <c r="EN195" s="57">
        <v>591.82000000000005</v>
      </c>
      <c r="EO195" s="57">
        <v>345.36</v>
      </c>
      <c r="EP195" s="57">
        <v>532.80999999999995</v>
      </c>
      <c r="EQ195" s="57">
        <v>608.80999999999995</v>
      </c>
      <c r="ER195" s="57">
        <v>52.91</v>
      </c>
      <c r="ES195" s="57">
        <v>689.5</v>
      </c>
      <c r="ET195" s="57">
        <v>685.97</v>
      </c>
      <c r="EU195" s="57">
        <v>582.41</v>
      </c>
      <c r="EV195" s="57">
        <v>598.51</v>
      </c>
      <c r="EW195" s="57">
        <v>524.16999999999996</v>
      </c>
      <c r="EX195" s="57">
        <v>600.20000000000005</v>
      </c>
      <c r="EY195" s="57">
        <v>297</v>
      </c>
      <c r="EZ195" s="57">
        <v>552.54</v>
      </c>
      <c r="FA195" s="57">
        <v>681.84</v>
      </c>
      <c r="FB195" s="57">
        <v>420.25</v>
      </c>
      <c r="FC195" s="57">
        <v>757.64</v>
      </c>
      <c r="FD195" s="57">
        <v>475.35</v>
      </c>
      <c r="FE195" s="57">
        <v>593.04999999999995</v>
      </c>
      <c r="FF195" s="57">
        <v>109.45</v>
      </c>
      <c r="FG195" s="57">
        <v>436.21</v>
      </c>
      <c r="FH195" s="57">
        <v>407.84</v>
      </c>
      <c r="FI195" s="57">
        <v>600.04</v>
      </c>
      <c r="FJ195" s="57">
        <v>779.68</v>
      </c>
      <c r="FK195" s="57">
        <v>889.45</v>
      </c>
      <c r="FL195" s="57">
        <v>512.30999999999995</v>
      </c>
      <c r="FM195" s="57">
        <v>518.80999999999995</v>
      </c>
      <c r="FN195" s="57">
        <v>471.45</v>
      </c>
      <c r="FO195" s="57">
        <v>942.19</v>
      </c>
      <c r="FP195" s="57">
        <v>665.86</v>
      </c>
      <c r="FQ195" s="57">
        <v>402.36</v>
      </c>
      <c r="FR195" s="57">
        <v>974.44</v>
      </c>
      <c r="FS195" s="57">
        <v>592.57000000000005</v>
      </c>
      <c r="FT195" s="57">
        <v>318.87</v>
      </c>
      <c r="FU195" s="57">
        <v>608.99</v>
      </c>
      <c r="FV195" s="57">
        <v>458.01</v>
      </c>
      <c r="FW195" s="57">
        <v>311.3</v>
      </c>
      <c r="FX195" s="57">
        <v>591.99</v>
      </c>
      <c r="FY195" s="57">
        <v>566.38</v>
      </c>
      <c r="FZ195" s="57">
        <v>533.46</v>
      </c>
      <c r="GA195" s="57">
        <v>452.14</v>
      </c>
      <c r="GB195" s="57">
        <v>418.56</v>
      </c>
      <c r="GC195" s="57">
        <v>435.95</v>
      </c>
      <c r="GD195" s="57">
        <v>357.7</v>
      </c>
      <c r="GE195" s="57">
        <v>1157.81</v>
      </c>
      <c r="GF195" s="57">
        <v>640.92999999999995</v>
      </c>
      <c r="GG195" s="57">
        <v>1056.24</v>
      </c>
      <c r="GH195" s="57">
        <v>856.21</v>
      </c>
      <c r="GI195" s="57">
        <v>276.37</v>
      </c>
      <c r="GJ195" s="57">
        <v>233.65</v>
      </c>
      <c r="GK195" s="57">
        <v>232.98</v>
      </c>
      <c r="GL195" s="57">
        <v>350.81</v>
      </c>
      <c r="GM195" s="57">
        <v>331.12</v>
      </c>
      <c r="GN195" s="57">
        <v>491.19</v>
      </c>
      <c r="GO195" s="57">
        <v>309.77999999999997</v>
      </c>
      <c r="GP195" s="57">
        <v>280.2</v>
      </c>
      <c r="GQ195" s="57">
        <v>307.27999999999997</v>
      </c>
      <c r="GR195" s="57">
        <v>568.83000000000004</v>
      </c>
      <c r="GS195" s="57">
        <v>565.45000000000005</v>
      </c>
      <c r="GT195" s="57">
        <v>523.54</v>
      </c>
      <c r="GU195" s="57">
        <v>396.09</v>
      </c>
      <c r="GV195" s="57">
        <v>489.29</v>
      </c>
      <c r="GW195" s="57">
        <v>509.56</v>
      </c>
      <c r="GX195" s="57">
        <v>529.91999999999996</v>
      </c>
      <c r="GY195" s="57">
        <v>554.48</v>
      </c>
      <c r="GZ195" s="57">
        <v>597.09</v>
      </c>
      <c r="HA195" s="57">
        <v>470.72</v>
      </c>
      <c r="HB195" s="57">
        <v>478.92</v>
      </c>
      <c r="HC195" s="57">
        <v>462.8</v>
      </c>
      <c r="HD195" s="57">
        <v>391.6</v>
      </c>
      <c r="HE195" s="57">
        <v>266.99</v>
      </c>
      <c r="HF195" s="57">
        <v>327.23</v>
      </c>
      <c r="HG195" s="57">
        <v>379.87</v>
      </c>
      <c r="HH195" s="57">
        <v>439.13</v>
      </c>
      <c r="HI195" s="57">
        <v>213.92</v>
      </c>
      <c r="HJ195" s="57">
        <v>380.39</v>
      </c>
      <c r="HK195" s="57">
        <v>660.45</v>
      </c>
      <c r="HL195" s="57">
        <v>415.41</v>
      </c>
      <c r="HM195" s="57">
        <v>498.8</v>
      </c>
      <c r="HN195" s="57">
        <v>491.73</v>
      </c>
      <c r="HO195" s="57">
        <v>364.29</v>
      </c>
      <c r="HP195" s="57">
        <v>568.82000000000005</v>
      </c>
      <c r="HQ195" s="57">
        <v>282.05</v>
      </c>
      <c r="HR195" s="57">
        <v>462.87</v>
      </c>
      <c r="HS195" s="57">
        <v>662.35</v>
      </c>
      <c r="HT195" s="57">
        <v>411.71</v>
      </c>
      <c r="HU195" s="57">
        <v>228.55</v>
      </c>
      <c r="HV195" s="57">
        <v>340.22</v>
      </c>
      <c r="HW195" s="57">
        <v>185.29</v>
      </c>
      <c r="HX195" s="57">
        <v>258.55</v>
      </c>
      <c r="HY195" s="57">
        <v>265.45</v>
      </c>
      <c r="HZ195" s="57">
        <v>469.75</v>
      </c>
      <c r="IA195" s="57">
        <v>189.69</v>
      </c>
      <c r="IB195" s="57">
        <v>511.98</v>
      </c>
      <c r="IC195" s="57">
        <v>398.3</v>
      </c>
      <c r="ID195" s="57">
        <v>452.82</v>
      </c>
      <c r="IE195" s="57">
        <v>377.36</v>
      </c>
      <c r="IF195" s="57">
        <v>448.63</v>
      </c>
      <c r="IG195" s="57">
        <v>588.73</v>
      </c>
      <c r="IH195" s="57">
        <v>375.44</v>
      </c>
      <c r="II195" s="57">
        <v>808.11</v>
      </c>
      <c r="IJ195" s="57">
        <v>762.03</v>
      </c>
      <c r="IK195" s="57">
        <v>501.24</v>
      </c>
      <c r="IL195" s="57">
        <v>300.37</v>
      </c>
      <c r="IM195" s="57">
        <v>509.89</v>
      </c>
      <c r="IN195" s="57">
        <v>480.92</v>
      </c>
      <c r="IO195" s="57">
        <v>457.19</v>
      </c>
      <c r="IP195" s="57">
        <v>304.52</v>
      </c>
      <c r="IQ195" s="57">
        <v>507.7</v>
      </c>
      <c r="IR195" s="57">
        <v>637.08000000000004</v>
      </c>
      <c r="IS195" s="57">
        <v>748.37</v>
      </c>
      <c r="IT195" s="57">
        <v>40.94</v>
      </c>
      <c r="IU195" s="57">
        <v>187.03</v>
      </c>
      <c r="IV195" s="57">
        <v>53.24</v>
      </c>
      <c r="IW195" s="57">
        <v>149.68</v>
      </c>
      <c r="IX195" s="57">
        <v>254.35</v>
      </c>
      <c r="IY195" s="57">
        <v>535.70000000000005</v>
      </c>
      <c r="IZ195" s="57">
        <v>551.28</v>
      </c>
      <c r="JA195" s="57">
        <v>394.1</v>
      </c>
      <c r="JB195" s="57">
        <v>105.04</v>
      </c>
      <c r="JC195" s="57">
        <v>496.4</v>
      </c>
      <c r="JD195" s="57">
        <v>474.58</v>
      </c>
      <c r="JE195" s="57">
        <v>501.83</v>
      </c>
      <c r="JF195" s="57">
        <v>318.56</v>
      </c>
      <c r="JG195" s="57">
        <v>419.45</v>
      </c>
      <c r="JH195" s="57">
        <v>614.83000000000004</v>
      </c>
      <c r="JI195" s="57">
        <v>601.80999999999995</v>
      </c>
      <c r="JJ195" s="57">
        <v>541.11</v>
      </c>
      <c r="JK195" s="57">
        <v>726.6</v>
      </c>
      <c r="JL195" s="57">
        <v>584.99</v>
      </c>
      <c r="JM195" s="57">
        <v>505.79</v>
      </c>
      <c r="JN195" s="57">
        <v>354.31</v>
      </c>
      <c r="JO195" s="57">
        <v>331.38</v>
      </c>
      <c r="JP195" s="57">
        <v>783.67</v>
      </c>
      <c r="JQ195" s="57">
        <v>659.72</v>
      </c>
      <c r="JR195" s="57">
        <v>436.44</v>
      </c>
      <c r="JS195" s="57">
        <v>542.16</v>
      </c>
      <c r="JT195" s="57">
        <v>725.79</v>
      </c>
      <c r="JU195" s="57">
        <v>523.99</v>
      </c>
      <c r="JV195" s="57">
        <v>260.2</v>
      </c>
      <c r="JW195" s="57">
        <v>355.54</v>
      </c>
      <c r="JX195" s="57">
        <v>2498.94</v>
      </c>
      <c r="JY195" s="57">
        <v>520.22</v>
      </c>
      <c r="JZ195" s="57">
        <v>520.94000000000005</v>
      </c>
      <c r="KA195" s="57">
        <v>591.82000000000005</v>
      </c>
      <c r="KB195" s="57">
        <v>345.36</v>
      </c>
      <c r="KC195" s="57">
        <v>532.80999999999995</v>
      </c>
      <c r="KD195" s="57">
        <v>608.80999999999995</v>
      </c>
      <c r="KE195" s="57">
        <v>52.91</v>
      </c>
      <c r="KF195" s="57">
        <v>689.5</v>
      </c>
    </row>
    <row r="196" spans="1:292">
      <c r="A196" s="41">
        <v>2020</v>
      </c>
      <c r="B196" s="54" t="s">
        <v>997</v>
      </c>
      <c r="C196" s="50" t="s">
        <v>998</v>
      </c>
      <c r="D196" s="57">
        <v>498.58</v>
      </c>
      <c r="E196" s="57">
        <v>593.07000000000005</v>
      </c>
      <c r="F196" s="57">
        <v>872.43</v>
      </c>
      <c r="G196" s="57">
        <v>273.24</v>
      </c>
      <c r="H196" s="57">
        <v>530.64</v>
      </c>
      <c r="I196" s="57">
        <v>425.61</v>
      </c>
      <c r="J196" s="57">
        <v>300.04000000000002</v>
      </c>
      <c r="K196" s="57">
        <v>501.61</v>
      </c>
      <c r="L196" s="57">
        <v>159.86000000000001</v>
      </c>
      <c r="M196" s="57">
        <v>318.5</v>
      </c>
      <c r="N196" s="57">
        <v>437.27</v>
      </c>
      <c r="O196" s="57">
        <v>733.6</v>
      </c>
      <c r="P196" s="57">
        <v>742.61</v>
      </c>
      <c r="Q196" s="57">
        <v>602.24</v>
      </c>
      <c r="R196" s="57">
        <v>474.72</v>
      </c>
      <c r="S196" s="57">
        <v>1091.6199999999999</v>
      </c>
      <c r="T196" s="57">
        <v>857.65</v>
      </c>
      <c r="U196" s="57">
        <v>262.83</v>
      </c>
      <c r="V196" s="57">
        <v>304.77999999999997</v>
      </c>
      <c r="W196" s="57">
        <v>569.47</v>
      </c>
      <c r="X196" s="57">
        <v>545.85</v>
      </c>
      <c r="Y196" s="57">
        <v>398.9</v>
      </c>
      <c r="Z196" s="57">
        <v>548.76</v>
      </c>
      <c r="AA196" s="57">
        <v>487.37</v>
      </c>
      <c r="AB196" s="57">
        <v>403.02</v>
      </c>
      <c r="AC196" s="57">
        <v>362.47</v>
      </c>
      <c r="AD196" s="57">
        <v>468.01</v>
      </c>
      <c r="AE196" s="57">
        <v>469.23</v>
      </c>
      <c r="AF196" s="57">
        <v>381.12</v>
      </c>
      <c r="AG196" s="57">
        <v>224.57</v>
      </c>
      <c r="AH196" s="57">
        <v>336.08</v>
      </c>
      <c r="AI196" s="57">
        <v>517.83000000000004</v>
      </c>
      <c r="AJ196" s="57">
        <v>481.33</v>
      </c>
      <c r="AK196" s="57">
        <v>462.47</v>
      </c>
      <c r="AL196" s="57">
        <v>498.11</v>
      </c>
      <c r="AM196" s="57">
        <v>748.37</v>
      </c>
      <c r="AN196" s="57">
        <v>40.99</v>
      </c>
      <c r="AO196" s="57">
        <v>187.26</v>
      </c>
      <c r="AP196" s="57">
        <v>96.87</v>
      </c>
      <c r="AQ196" s="57">
        <v>544.98</v>
      </c>
      <c r="AR196" s="57">
        <v>518.42999999999995</v>
      </c>
      <c r="AS196" s="57">
        <v>407.17</v>
      </c>
      <c r="AT196" s="57">
        <v>577.9</v>
      </c>
      <c r="AU196" s="57">
        <v>716.89</v>
      </c>
      <c r="AV196" s="57">
        <v>583.1</v>
      </c>
      <c r="AW196" s="57">
        <v>503.84</v>
      </c>
      <c r="AX196" s="57">
        <v>353.56</v>
      </c>
      <c r="AY196" s="57">
        <v>334.46</v>
      </c>
      <c r="AZ196" s="57">
        <v>757.37</v>
      </c>
      <c r="BA196" s="57">
        <v>468.14</v>
      </c>
      <c r="BB196" s="57">
        <v>420.7</v>
      </c>
      <c r="BC196" s="57">
        <v>1858.25</v>
      </c>
      <c r="BD196" s="57">
        <v>595.34</v>
      </c>
      <c r="BE196" s="57">
        <v>594.11</v>
      </c>
      <c r="BF196" s="57">
        <v>52.91</v>
      </c>
      <c r="BG196" s="57">
        <v>689.91</v>
      </c>
      <c r="BH196" s="57">
        <v>609.97</v>
      </c>
      <c r="BI196" s="57">
        <v>573.47</v>
      </c>
      <c r="BJ196" s="57">
        <v>635.70000000000005</v>
      </c>
      <c r="BK196" s="57">
        <v>566.54999999999995</v>
      </c>
      <c r="BL196" s="57">
        <v>589.26</v>
      </c>
      <c r="BM196" s="57">
        <v>549.69000000000005</v>
      </c>
      <c r="BN196" s="57">
        <v>730.73</v>
      </c>
      <c r="BO196" s="57">
        <v>420.8</v>
      </c>
      <c r="BP196" s="57">
        <v>607.41999999999996</v>
      </c>
      <c r="BQ196" s="57">
        <v>546.37</v>
      </c>
      <c r="BR196" s="57">
        <v>416.56</v>
      </c>
      <c r="BS196" s="57">
        <v>1158.8</v>
      </c>
      <c r="BT196" s="57">
        <v>643.89</v>
      </c>
      <c r="BU196" s="57">
        <v>1055.73</v>
      </c>
      <c r="BV196" s="57">
        <v>857.65</v>
      </c>
      <c r="BW196" s="57">
        <v>254.12</v>
      </c>
      <c r="BX196" s="57">
        <v>341.38</v>
      </c>
      <c r="BY196" s="57">
        <v>497.02</v>
      </c>
      <c r="BZ196" s="57">
        <v>303.51</v>
      </c>
      <c r="CA196" s="57">
        <v>579.41</v>
      </c>
      <c r="CB196" s="58">
        <v>569.47</v>
      </c>
      <c r="CC196" s="57">
        <v>545.85</v>
      </c>
      <c r="CD196" s="57">
        <v>397.36</v>
      </c>
      <c r="CE196" s="57">
        <v>489.29</v>
      </c>
      <c r="CF196" s="57">
        <v>543.54999999999995</v>
      </c>
      <c r="CG196" s="57">
        <v>573.54999999999995</v>
      </c>
      <c r="CH196" s="57">
        <v>496.61</v>
      </c>
      <c r="CI196" s="57">
        <v>475.19</v>
      </c>
      <c r="CJ196" s="57">
        <v>403.02</v>
      </c>
      <c r="CK196" s="57">
        <v>333.89</v>
      </c>
      <c r="CL196" s="57">
        <v>377.11</v>
      </c>
      <c r="CM196" s="57">
        <v>671.68</v>
      </c>
      <c r="CN196" s="57">
        <v>468.01</v>
      </c>
      <c r="CO196" s="57">
        <v>469.23</v>
      </c>
      <c r="CP196" s="57">
        <v>312.45</v>
      </c>
      <c r="CQ196" s="57">
        <v>655.55</v>
      </c>
      <c r="CR196" s="57">
        <v>228.55</v>
      </c>
      <c r="CS196" s="57">
        <v>351.61</v>
      </c>
      <c r="CT196" s="57">
        <v>220.65</v>
      </c>
      <c r="CU196" s="57">
        <v>265.91000000000003</v>
      </c>
      <c r="CV196" s="57">
        <v>473.9</v>
      </c>
      <c r="CW196" s="57">
        <v>208.74</v>
      </c>
      <c r="CX196" s="57">
        <v>517.83000000000004</v>
      </c>
      <c r="CY196" s="57">
        <v>483.37</v>
      </c>
      <c r="CZ196" s="57">
        <v>402.4</v>
      </c>
      <c r="DA196" s="57">
        <v>455.01</v>
      </c>
      <c r="DB196" s="57">
        <v>611</v>
      </c>
      <c r="DC196" s="57">
        <v>380.58</v>
      </c>
      <c r="DD196" s="57">
        <v>824.72</v>
      </c>
      <c r="DE196" s="57">
        <v>751.73</v>
      </c>
      <c r="DF196" s="57">
        <v>394.79</v>
      </c>
      <c r="DG196" s="57">
        <v>499.06</v>
      </c>
      <c r="DH196" s="57">
        <v>305.39999999999998</v>
      </c>
      <c r="DI196" s="57">
        <v>507.7</v>
      </c>
      <c r="DJ196" s="57">
        <v>648.15</v>
      </c>
      <c r="DK196" s="57">
        <v>748.37</v>
      </c>
      <c r="DL196" s="57">
        <v>40.99</v>
      </c>
      <c r="DM196" s="57">
        <v>187.26</v>
      </c>
      <c r="DN196" s="57">
        <v>55.64</v>
      </c>
      <c r="DO196" s="57">
        <v>153.43</v>
      </c>
      <c r="DP196" s="57">
        <v>265.14</v>
      </c>
      <c r="DQ196" s="57">
        <v>544.98</v>
      </c>
      <c r="DR196" s="57">
        <v>560.70000000000005</v>
      </c>
      <c r="DS196" s="57">
        <v>396.07</v>
      </c>
      <c r="DT196" s="57">
        <v>117.18</v>
      </c>
      <c r="DU196" s="57">
        <v>500.61</v>
      </c>
      <c r="DV196" s="57">
        <v>477.05</v>
      </c>
      <c r="DW196" s="57">
        <v>345.94</v>
      </c>
      <c r="DX196" s="57">
        <v>419.45</v>
      </c>
      <c r="DY196" s="57">
        <v>620.52</v>
      </c>
      <c r="DZ196" s="57">
        <v>601.80999999999995</v>
      </c>
      <c r="EA196" s="57">
        <v>544.70000000000005</v>
      </c>
      <c r="EB196" s="57">
        <v>716.89</v>
      </c>
      <c r="EC196" s="57">
        <v>583.1</v>
      </c>
      <c r="ED196" s="57">
        <v>503.84</v>
      </c>
      <c r="EE196" s="57">
        <v>353.56</v>
      </c>
      <c r="EF196" s="57">
        <v>334.46</v>
      </c>
      <c r="EG196" s="57">
        <v>757.37</v>
      </c>
      <c r="EH196" s="57">
        <v>468.14</v>
      </c>
      <c r="EI196" s="57">
        <v>623.66</v>
      </c>
      <c r="EJ196" s="57">
        <v>277.61</v>
      </c>
      <c r="EK196" s="57">
        <v>364.53</v>
      </c>
      <c r="EL196" s="57">
        <v>2518.9299999999998</v>
      </c>
      <c r="EM196" s="57">
        <v>524.27</v>
      </c>
      <c r="EN196" s="57">
        <v>595.34</v>
      </c>
      <c r="EO196" s="57">
        <v>345.36</v>
      </c>
      <c r="EP196" s="57">
        <v>506.33</v>
      </c>
      <c r="EQ196" s="57">
        <v>620.69000000000005</v>
      </c>
      <c r="ER196" s="57">
        <v>52.91</v>
      </c>
      <c r="ES196" s="57">
        <v>689.91</v>
      </c>
      <c r="ET196" s="57">
        <v>721.98</v>
      </c>
      <c r="EU196" s="57">
        <v>605.55999999999995</v>
      </c>
      <c r="EV196" s="57">
        <v>620.85</v>
      </c>
      <c r="EW196" s="57">
        <v>538.42999999999995</v>
      </c>
      <c r="EX196" s="57">
        <v>603.12</v>
      </c>
      <c r="EY196" s="57">
        <v>298.23</v>
      </c>
      <c r="EZ196" s="57">
        <v>549.22</v>
      </c>
      <c r="FA196" s="57">
        <v>698.6</v>
      </c>
      <c r="FB196" s="57">
        <v>502.52</v>
      </c>
      <c r="FC196" s="57">
        <v>807.91</v>
      </c>
      <c r="FD196" s="57">
        <v>485.57</v>
      </c>
      <c r="FE196" s="57">
        <v>646.33000000000004</v>
      </c>
      <c r="FF196" s="57">
        <v>115.07</v>
      </c>
      <c r="FG196" s="57">
        <v>441.41</v>
      </c>
      <c r="FH196" s="57">
        <v>410.93</v>
      </c>
      <c r="FI196" s="57">
        <v>598.41999999999996</v>
      </c>
      <c r="FJ196" s="57">
        <v>913.97</v>
      </c>
      <c r="FK196" s="57">
        <v>895.97</v>
      </c>
      <c r="FL196" s="57">
        <v>530.59</v>
      </c>
      <c r="FM196" s="57">
        <v>553.29999999999995</v>
      </c>
      <c r="FN196" s="57">
        <v>474.38</v>
      </c>
      <c r="FO196" s="57">
        <v>955.69</v>
      </c>
      <c r="FP196" s="57">
        <v>770.49</v>
      </c>
      <c r="FQ196" s="57">
        <v>416.36</v>
      </c>
      <c r="FR196" s="57">
        <v>1021.38</v>
      </c>
      <c r="FS196" s="57">
        <v>595.28</v>
      </c>
      <c r="FT196" s="57">
        <v>319.27</v>
      </c>
      <c r="FU196" s="57">
        <v>631.84</v>
      </c>
      <c r="FV196" s="57">
        <v>463.83</v>
      </c>
      <c r="FW196" s="57">
        <v>311.51</v>
      </c>
      <c r="FX196" s="57">
        <v>607.41999999999996</v>
      </c>
      <c r="FY196" s="57">
        <v>570.76</v>
      </c>
      <c r="FZ196" s="57">
        <v>539.1</v>
      </c>
      <c r="GA196" s="57">
        <v>454.12</v>
      </c>
      <c r="GB196" s="57">
        <v>422.28</v>
      </c>
      <c r="GC196" s="57">
        <v>437.74</v>
      </c>
      <c r="GD196" s="57">
        <v>366.96</v>
      </c>
      <c r="GE196" s="57">
        <v>1158.8</v>
      </c>
      <c r="GF196" s="57">
        <v>643.89</v>
      </c>
      <c r="GG196" s="57">
        <v>1055.73</v>
      </c>
      <c r="GH196" s="57">
        <v>856.21</v>
      </c>
      <c r="GI196" s="57">
        <v>279.29000000000002</v>
      </c>
      <c r="GJ196" s="57">
        <v>236.26</v>
      </c>
      <c r="GK196" s="57">
        <v>236.16</v>
      </c>
      <c r="GL196" s="57">
        <v>359.46</v>
      </c>
      <c r="GM196" s="57">
        <v>341.38</v>
      </c>
      <c r="GN196" s="57">
        <v>497.02</v>
      </c>
      <c r="GO196" s="57">
        <v>316.02</v>
      </c>
      <c r="GP196" s="57">
        <v>284.43</v>
      </c>
      <c r="GQ196" s="57">
        <v>315.17</v>
      </c>
      <c r="GR196" s="57">
        <v>579.41</v>
      </c>
      <c r="GS196" s="57">
        <v>569.47</v>
      </c>
      <c r="GT196" s="57">
        <v>545.85</v>
      </c>
      <c r="GU196" s="57">
        <v>397.36</v>
      </c>
      <c r="GV196" s="57">
        <v>489.29</v>
      </c>
      <c r="GW196" s="57">
        <v>512.55999999999995</v>
      </c>
      <c r="GX196" s="57">
        <v>529.53</v>
      </c>
      <c r="GY196" s="57">
        <v>573.54999999999995</v>
      </c>
      <c r="GZ196" s="57">
        <v>604.54999999999995</v>
      </c>
      <c r="HA196" s="57">
        <v>479.09</v>
      </c>
      <c r="HB196" s="57">
        <v>489.51</v>
      </c>
      <c r="HC196" s="57">
        <v>475.19</v>
      </c>
      <c r="HD196" s="57">
        <v>403.02</v>
      </c>
      <c r="HE196" s="57">
        <v>269.24</v>
      </c>
      <c r="HF196" s="57">
        <v>329.97</v>
      </c>
      <c r="HG196" s="57">
        <v>387.22</v>
      </c>
      <c r="HH196" s="57">
        <v>448.47</v>
      </c>
      <c r="HI196" s="57">
        <v>210.28</v>
      </c>
      <c r="HJ196" s="57">
        <v>377.11</v>
      </c>
      <c r="HK196" s="57">
        <v>671.68</v>
      </c>
      <c r="HL196" s="57">
        <v>420.06</v>
      </c>
      <c r="HM196" s="57">
        <v>506.94</v>
      </c>
      <c r="HN196" s="57">
        <v>502.56</v>
      </c>
      <c r="HO196" s="57">
        <v>367.36</v>
      </c>
      <c r="HP196" s="57">
        <v>591.20000000000005</v>
      </c>
      <c r="HQ196" s="57">
        <v>290.44</v>
      </c>
      <c r="HR196" s="57">
        <v>472.81</v>
      </c>
      <c r="HS196" s="57">
        <v>664.78</v>
      </c>
      <c r="HT196" s="57">
        <v>415.1</v>
      </c>
      <c r="HU196" s="57">
        <v>228.55</v>
      </c>
      <c r="HV196" s="57">
        <v>351.61</v>
      </c>
      <c r="HW196" s="57">
        <v>190.05</v>
      </c>
      <c r="HX196" s="57">
        <v>264.88</v>
      </c>
      <c r="HY196" s="57">
        <v>265.91000000000003</v>
      </c>
      <c r="HZ196" s="57">
        <v>473.9</v>
      </c>
      <c r="IA196" s="57">
        <v>190.68</v>
      </c>
      <c r="IB196" s="57">
        <v>517.83000000000004</v>
      </c>
      <c r="IC196" s="57">
        <v>442.66</v>
      </c>
      <c r="ID196" s="57">
        <v>487.95</v>
      </c>
      <c r="IE196" s="57">
        <v>402.4</v>
      </c>
      <c r="IF196" s="57">
        <v>455.01</v>
      </c>
      <c r="IG196" s="57">
        <v>611</v>
      </c>
      <c r="IH196" s="57">
        <v>380.58</v>
      </c>
      <c r="II196" s="57">
        <v>824.72</v>
      </c>
      <c r="IJ196" s="57">
        <v>751.73</v>
      </c>
      <c r="IK196" s="57">
        <v>501.24</v>
      </c>
      <c r="IL196" s="57">
        <v>300.37</v>
      </c>
      <c r="IM196" s="57">
        <v>511.91</v>
      </c>
      <c r="IN196" s="57">
        <v>481.04</v>
      </c>
      <c r="IO196" s="57">
        <v>446.76</v>
      </c>
      <c r="IP196" s="57">
        <v>305.39999999999998</v>
      </c>
      <c r="IQ196" s="57">
        <v>507.7</v>
      </c>
      <c r="IR196" s="57">
        <v>648.15</v>
      </c>
      <c r="IS196" s="57">
        <v>748.37</v>
      </c>
      <c r="IT196" s="57">
        <v>40.99</v>
      </c>
      <c r="IU196" s="57">
        <v>187.26</v>
      </c>
      <c r="IV196" s="57">
        <v>55.65</v>
      </c>
      <c r="IW196" s="57">
        <v>153.43</v>
      </c>
      <c r="IX196" s="57">
        <v>265.14</v>
      </c>
      <c r="IY196" s="57">
        <v>544.98</v>
      </c>
      <c r="IZ196" s="57">
        <v>560.70000000000005</v>
      </c>
      <c r="JA196" s="57">
        <v>396.07</v>
      </c>
      <c r="JB196" s="57">
        <v>117.18</v>
      </c>
      <c r="JC196" s="57">
        <v>500.61</v>
      </c>
      <c r="JD196" s="57">
        <v>477.05</v>
      </c>
      <c r="JE196" s="57">
        <v>514.29</v>
      </c>
      <c r="JF196" s="57">
        <v>320.16000000000003</v>
      </c>
      <c r="JG196" s="57">
        <v>419.45</v>
      </c>
      <c r="JH196" s="57">
        <v>620.52</v>
      </c>
      <c r="JI196" s="57">
        <v>601.80999999999995</v>
      </c>
      <c r="JJ196" s="57">
        <v>544.70000000000005</v>
      </c>
      <c r="JK196" s="57">
        <v>716.89</v>
      </c>
      <c r="JL196" s="57">
        <v>583.1</v>
      </c>
      <c r="JM196" s="57">
        <v>503.84</v>
      </c>
      <c r="JN196" s="57">
        <v>353.56</v>
      </c>
      <c r="JO196" s="57">
        <v>334.46</v>
      </c>
      <c r="JP196" s="57">
        <v>795.12</v>
      </c>
      <c r="JQ196" s="57">
        <v>665.87</v>
      </c>
      <c r="JR196" s="57">
        <v>433.77</v>
      </c>
      <c r="JS196" s="57">
        <v>542.35</v>
      </c>
      <c r="JT196" s="57">
        <v>730.95</v>
      </c>
      <c r="JU196" s="57">
        <v>530.22</v>
      </c>
      <c r="JV196" s="57">
        <v>277.61</v>
      </c>
      <c r="JW196" s="57">
        <v>364.53</v>
      </c>
      <c r="JX196" s="57">
        <v>2518.9299999999998</v>
      </c>
      <c r="JY196" s="57">
        <v>511.7</v>
      </c>
      <c r="JZ196" s="57">
        <v>522.92999999999995</v>
      </c>
      <c r="KA196" s="57">
        <v>595.34</v>
      </c>
      <c r="KB196" s="57">
        <v>345.36</v>
      </c>
      <c r="KC196" s="57">
        <v>506.33</v>
      </c>
      <c r="KD196" s="57">
        <v>620.69000000000005</v>
      </c>
      <c r="KE196" s="57">
        <v>52.91</v>
      </c>
      <c r="KF196" s="57">
        <v>689.91</v>
      </c>
    </row>
    <row r="197" spans="1:292">
      <c r="A197" s="41">
        <v>2020</v>
      </c>
      <c r="B197" s="54" t="s">
        <v>999</v>
      </c>
      <c r="C197" s="50" t="s">
        <v>1000</v>
      </c>
      <c r="D197" s="57">
        <v>504.81</v>
      </c>
      <c r="E197" s="57">
        <v>608.05999999999995</v>
      </c>
      <c r="F197" s="57">
        <v>872.31</v>
      </c>
      <c r="G197" s="57">
        <v>264.54000000000002</v>
      </c>
      <c r="H197" s="57">
        <v>534.17999999999995</v>
      </c>
      <c r="I197" s="57">
        <v>440.35</v>
      </c>
      <c r="J197" s="57">
        <v>302.38</v>
      </c>
      <c r="K197" s="57">
        <v>514.86</v>
      </c>
      <c r="L197" s="57">
        <v>161.13999999999999</v>
      </c>
      <c r="M197" s="57">
        <v>318.72000000000003</v>
      </c>
      <c r="N197" s="57">
        <v>437.14</v>
      </c>
      <c r="O197" s="57">
        <v>737.25</v>
      </c>
      <c r="P197" s="57">
        <v>738.27</v>
      </c>
      <c r="Q197" s="57">
        <v>618.29</v>
      </c>
      <c r="R197" s="57">
        <v>477.87</v>
      </c>
      <c r="S197" s="57">
        <v>1089.1400000000001</v>
      </c>
      <c r="T197" s="57">
        <v>857.65</v>
      </c>
      <c r="U197" s="57">
        <v>253.91</v>
      </c>
      <c r="V197" s="57">
        <v>297</v>
      </c>
      <c r="W197" s="57">
        <v>573.13</v>
      </c>
      <c r="X197" s="57">
        <v>556.66</v>
      </c>
      <c r="Y197" s="57">
        <v>401.69</v>
      </c>
      <c r="Z197" s="57">
        <v>550.33000000000004</v>
      </c>
      <c r="AA197" s="57">
        <v>502.88</v>
      </c>
      <c r="AB197" s="57">
        <v>409.07</v>
      </c>
      <c r="AC197" s="57">
        <v>384.09</v>
      </c>
      <c r="AD197" s="57">
        <v>472.34</v>
      </c>
      <c r="AE197" s="57">
        <v>474.01</v>
      </c>
      <c r="AF197" s="57">
        <v>390.75</v>
      </c>
      <c r="AG197" s="57">
        <v>226.78</v>
      </c>
      <c r="AH197" s="57">
        <v>337.81</v>
      </c>
      <c r="AI197" s="57">
        <v>523.49</v>
      </c>
      <c r="AJ197" s="57">
        <v>499.86</v>
      </c>
      <c r="AK197" s="57">
        <v>474.05</v>
      </c>
      <c r="AL197" s="57">
        <v>499.89</v>
      </c>
      <c r="AM197" s="57">
        <v>700.04</v>
      </c>
      <c r="AN197" s="57">
        <v>40.909999999999997</v>
      </c>
      <c r="AO197" s="57">
        <v>189.34</v>
      </c>
      <c r="AP197" s="57">
        <v>97.73</v>
      </c>
      <c r="AQ197" s="57">
        <v>555.38</v>
      </c>
      <c r="AR197" s="57">
        <v>510.99</v>
      </c>
      <c r="AS197" s="57">
        <v>407.63</v>
      </c>
      <c r="AT197" s="57">
        <v>580.94000000000005</v>
      </c>
      <c r="AU197" s="57">
        <v>713.87</v>
      </c>
      <c r="AV197" s="57">
        <v>583.1</v>
      </c>
      <c r="AW197" s="57">
        <v>503.84</v>
      </c>
      <c r="AX197" s="57">
        <v>353.56</v>
      </c>
      <c r="AY197" s="57">
        <v>333.44</v>
      </c>
      <c r="AZ197" s="57">
        <v>762.51</v>
      </c>
      <c r="BA197" s="57">
        <v>464.81</v>
      </c>
      <c r="BB197" s="57">
        <v>422.96</v>
      </c>
      <c r="BC197" s="57">
        <v>1800.26</v>
      </c>
      <c r="BD197" s="57">
        <v>595.48</v>
      </c>
      <c r="BE197" s="57">
        <v>599.32000000000005</v>
      </c>
      <c r="BF197" s="57">
        <v>52.91</v>
      </c>
      <c r="BG197" s="57">
        <v>721.36</v>
      </c>
      <c r="BH197" s="57">
        <v>621.57000000000005</v>
      </c>
      <c r="BI197" s="57">
        <v>580.04</v>
      </c>
      <c r="BJ197" s="57">
        <v>644.94000000000005</v>
      </c>
      <c r="BK197" s="57">
        <v>585.04</v>
      </c>
      <c r="BL197" s="57">
        <v>619.25</v>
      </c>
      <c r="BM197" s="57">
        <v>550.41</v>
      </c>
      <c r="BN197" s="57">
        <v>778.79</v>
      </c>
      <c r="BO197" s="57">
        <v>428.65</v>
      </c>
      <c r="BP197" s="57">
        <v>621.25</v>
      </c>
      <c r="BQ197" s="57">
        <v>550.77</v>
      </c>
      <c r="BR197" s="57">
        <v>418.87</v>
      </c>
      <c r="BS197" s="57">
        <v>1157.67</v>
      </c>
      <c r="BT197" s="57">
        <v>648.47</v>
      </c>
      <c r="BU197" s="57">
        <v>1050.1400000000001</v>
      </c>
      <c r="BV197" s="57">
        <v>857.65</v>
      </c>
      <c r="BW197" s="57">
        <v>244.65</v>
      </c>
      <c r="BX197" s="57">
        <v>341.95</v>
      </c>
      <c r="BY197" s="57">
        <v>500.14</v>
      </c>
      <c r="BZ197" s="57">
        <v>295.70999999999998</v>
      </c>
      <c r="CA197" s="57">
        <v>585.9</v>
      </c>
      <c r="CB197" s="58">
        <v>573.13</v>
      </c>
      <c r="CC197" s="57">
        <v>556.66</v>
      </c>
      <c r="CD197" s="57">
        <v>400.14</v>
      </c>
      <c r="CE197" s="57">
        <v>489.29</v>
      </c>
      <c r="CF197" s="57">
        <v>546.13</v>
      </c>
      <c r="CG197" s="57">
        <v>577.85</v>
      </c>
      <c r="CH197" s="57">
        <v>512.91999999999996</v>
      </c>
      <c r="CI197" s="57">
        <v>485.31</v>
      </c>
      <c r="CJ197" s="57">
        <v>409.07</v>
      </c>
      <c r="CK197" s="57">
        <v>354.2</v>
      </c>
      <c r="CL197" s="57">
        <v>410.57</v>
      </c>
      <c r="CM197" s="57">
        <v>680.12</v>
      </c>
      <c r="CN197" s="57">
        <v>472.34</v>
      </c>
      <c r="CO197" s="57">
        <v>474.01</v>
      </c>
      <c r="CP197" s="57">
        <v>324.12</v>
      </c>
      <c r="CQ197" s="57">
        <v>657.82</v>
      </c>
      <c r="CR197" s="57">
        <v>229.53</v>
      </c>
      <c r="CS197" s="57">
        <v>354.97</v>
      </c>
      <c r="CT197" s="57">
        <v>226.21</v>
      </c>
      <c r="CU197" s="57">
        <v>266.08999999999997</v>
      </c>
      <c r="CV197" s="57">
        <v>477.3</v>
      </c>
      <c r="CW197" s="57">
        <v>210.03</v>
      </c>
      <c r="CX197" s="57">
        <v>523.49</v>
      </c>
      <c r="CY197" s="57">
        <v>502.45</v>
      </c>
      <c r="CZ197" s="57">
        <v>410.29</v>
      </c>
      <c r="DA197" s="57">
        <v>459.36</v>
      </c>
      <c r="DB197" s="57">
        <v>622.36</v>
      </c>
      <c r="DC197" s="57">
        <v>393.89</v>
      </c>
      <c r="DD197" s="57">
        <v>827.58</v>
      </c>
      <c r="DE197" s="57">
        <v>742.71</v>
      </c>
      <c r="DF197" s="57">
        <v>395.07</v>
      </c>
      <c r="DG197" s="57">
        <v>501.47</v>
      </c>
      <c r="DH197" s="57">
        <v>304.01</v>
      </c>
      <c r="DI197" s="57">
        <v>507.35</v>
      </c>
      <c r="DJ197" s="57">
        <v>653.94000000000005</v>
      </c>
      <c r="DK197" s="57">
        <v>700.04</v>
      </c>
      <c r="DL197" s="57">
        <v>40.909999999999997</v>
      </c>
      <c r="DM197" s="57">
        <v>189.34</v>
      </c>
      <c r="DN197" s="57">
        <v>56.52</v>
      </c>
      <c r="DO197" s="57">
        <v>152.52000000000001</v>
      </c>
      <c r="DP197" s="57">
        <v>266.33999999999997</v>
      </c>
      <c r="DQ197" s="57">
        <v>555.38</v>
      </c>
      <c r="DR197" s="57">
        <v>543.91999999999996</v>
      </c>
      <c r="DS197" s="57">
        <v>389.71</v>
      </c>
      <c r="DT197" s="57">
        <v>119.02</v>
      </c>
      <c r="DU197" s="57">
        <v>505.04</v>
      </c>
      <c r="DV197" s="57">
        <v>477.05</v>
      </c>
      <c r="DW197" s="57">
        <v>346.98</v>
      </c>
      <c r="DX197" s="57">
        <v>419.45</v>
      </c>
      <c r="DY197" s="57">
        <v>623.49</v>
      </c>
      <c r="DZ197" s="57">
        <v>606.22</v>
      </c>
      <c r="EA197" s="57">
        <v>547.66999999999996</v>
      </c>
      <c r="EB197" s="57">
        <v>713.87</v>
      </c>
      <c r="EC197" s="57">
        <v>583.1</v>
      </c>
      <c r="ED197" s="57">
        <v>503.84</v>
      </c>
      <c r="EE197" s="57">
        <v>353.56</v>
      </c>
      <c r="EF197" s="57">
        <v>333.44</v>
      </c>
      <c r="EG197" s="57">
        <v>762.51</v>
      </c>
      <c r="EH197" s="57">
        <v>464.81</v>
      </c>
      <c r="EI197" s="57">
        <v>629.48</v>
      </c>
      <c r="EJ197" s="57">
        <v>284.62</v>
      </c>
      <c r="EK197" s="57">
        <v>365.57</v>
      </c>
      <c r="EL197" s="57">
        <v>2428.64</v>
      </c>
      <c r="EM197" s="57">
        <v>525.85</v>
      </c>
      <c r="EN197" s="57">
        <v>595.48</v>
      </c>
      <c r="EO197" s="57">
        <v>345.38</v>
      </c>
      <c r="EP197" s="57">
        <v>502.51</v>
      </c>
      <c r="EQ197" s="57">
        <v>628.54</v>
      </c>
      <c r="ER197" s="57">
        <v>52.91</v>
      </c>
      <c r="ES197" s="57">
        <v>721.36</v>
      </c>
      <c r="ET197" s="57">
        <v>763.48</v>
      </c>
      <c r="EU197" s="57">
        <v>636.82000000000005</v>
      </c>
      <c r="EV197" s="57">
        <v>621.87</v>
      </c>
      <c r="EW197" s="57">
        <v>546.38</v>
      </c>
      <c r="EX197" s="57">
        <v>649.91</v>
      </c>
      <c r="EY197" s="57">
        <v>302.98</v>
      </c>
      <c r="EZ197" s="57">
        <v>547.37</v>
      </c>
      <c r="FA197" s="57">
        <v>700.83</v>
      </c>
      <c r="FB197" s="57">
        <v>530.11</v>
      </c>
      <c r="FC197" s="57">
        <v>834.37</v>
      </c>
      <c r="FD197" s="57">
        <v>490.46</v>
      </c>
      <c r="FE197" s="57">
        <v>653.61</v>
      </c>
      <c r="FF197" s="57">
        <v>124.32</v>
      </c>
      <c r="FG197" s="57">
        <v>446.89</v>
      </c>
      <c r="FH197" s="57">
        <v>412.69</v>
      </c>
      <c r="FI197" s="57">
        <v>599.98</v>
      </c>
      <c r="FJ197" s="57">
        <v>1031.95</v>
      </c>
      <c r="FK197" s="57">
        <v>900.06</v>
      </c>
      <c r="FL197" s="57">
        <v>562.59</v>
      </c>
      <c r="FM197" s="57">
        <v>588.83000000000004</v>
      </c>
      <c r="FN197" s="57">
        <v>473.07</v>
      </c>
      <c r="FO197" s="57">
        <v>965.53</v>
      </c>
      <c r="FP197" s="57">
        <v>836.19</v>
      </c>
      <c r="FQ197" s="57">
        <v>455.73</v>
      </c>
      <c r="FR197" s="57">
        <v>1048.1300000000001</v>
      </c>
      <c r="FS197" s="57">
        <v>602.86</v>
      </c>
      <c r="FT197" s="57">
        <v>319.19</v>
      </c>
      <c r="FU197" s="57">
        <v>643.16999999999996</v>
      </c>
      <c r="FV197" s="57">
        <v>477.07</v>
      </c>
      <c r="FW197" s="57">
        <v>319.85000000000002</v>
      </c>
      <c r="FX197" s="57">
        <v>621.25</v>
      </c>
      <c r="FY197" s="57">
        <v>580.98</v>
      </c>
      <c r="FZ197" s="57">
        <v>541.66999999999996</v>
      </c>
      <c r="GA197" s="57">
        <v>471.41</v>
      </c>
      <c r="GB197" s="57">
        <v>425.68</v>
      </c>
      <c r="GC197" s="57">
        <v>438.53</v>
      </c>
      <c r="GD197" s="57">
        <v>369.58</v>
      </c>
      <c r="GE197" s="57">
        <v>1157.67</v>
      </c>
      <c r="GF197" s="57">
        <v>648.47</v>
      </c>
      <c r="GG197" s="57">
        <v>1050.1400000000001</v>
      </c>
      <c r="GH197" s="57">
        <v>856.21</v>
      </c>
      <c r="GI197" s="57">
        <v>269.76</v>
      </c>
      <c r="GJ197" s="57">
        <v>225.76</v>
      </c>
      <c r="GK197" s="57">
        <v>228.2</v>
      </c>
      <c r="GL197" s="57">
        <v>360.42</v>
      </c>
      <c r="GM197" s="57">
        <v>341.95</v>
      </c>
      <c r="GN197" s="57">
        <v>500.14</v>
      </c>
      <c r="GO197" s="57">
        <v>308.08</v>
      </c>
      <c r="GP197" s="57">
        <v>274.91000000000003</v>
      </c>
      <c r="GQ197" s="57">
        <v>311.29000000000002</v>
      </c>
      <c r="GR197" s="57">
        <v>585.9</v>
      </c>
      <c r="GS197" s="57">
        <v>573.13</v>
      </c>
      <c r="GT197" s="57">
        <v>556.66</v>
      </c>
      <c r="GU197" s="57">
        <v>400.14</v>
      </c>
      <c r="GV197" s="57">
        <v>489.29</v>
      </c>
      <c r="GW197" s="57">
        <v>516.07000000000005</v>
      </c>
      <c r="GX197" s="57">
        <v>528.04</v>
      </c>
      <c r="GY197" s="57">
        <v>577.85</v>
      </c>
      <c r="GZ197" s="57">
        <v>621.41999999999996</v>
      </c>
      <c r="HA197" s="57">
        <v>494.27</v>
      </c>
      <c r="HB197" s="57">
        <v>507.01</v>
      </c>
      <c r="HC197" s="57">
        <v>485.31</v>
      </c>
      <c r="HD197" s="57">
        <v>409.07</v>
      </c>
      <c r="HE197" s="57">
        <v>283.82</v>
      </c>
      <c r="HF197" s="57">
        <v>350.93</v>
      </c>
      <c r="HG197" s="57">
        <v>412.31</v>
      </c>
      <c r="HH197" s="57">
        <v>467.46</v>
      </c>
      <c r="HI197" s="57">
        <v>232.45</v>
      </c>
      <c r="HJ197" s="57">
        <v>410.57</v>
      </c>
      <c r="HK197" s="57">
        <v>680.12</v>
      </c>
      <c r="HL197" s="57">
        <v>418.96</v>
      </c>
      <c r="HM197" s="57">
        <v>514.6</v>
      </c>
      <c r="HN197" s="57">
        <v>512.12</v>
      </c>
      <c r="HO197" s="57">
        <v>365.02</v>
      </c>
      <c r="HP197" s="57">
        <v>607.95000000000005</v>
      </c>
      <c r="HQ197" s="57">
        <v>302.97000000000003</v>
      </c>
      <c r="HR197" s="57">
        <v>480.3</v>
      </c>
      <c r="HS197" s="57">
        <v>667.02</v>
      </c>
      <c r="HT197" s="57">
        <v>416.81</v>
      </c>
      <c r="HU197" s="57">
        <v>229.53</v>
      </c>
      <c r="HV197" s="57">
        <v>354.97</v>
      </c>
      <c r="HW197" s="57">
        <v>194.26</v>
      </c>
      <c r="HX197" s="57">
        <v>272.62</v>
      </c>
      <c r="HY197" s="57">
        <v>266.08999999999997</v>
      </c>
      <c r="HZ197" s="57">
        <v>477.3</v>
      </c>
      <c r="IA197" s="57">
        <v>191.85</v>
      </c>
      <c r="IB197" s="57">
        <v>523.49</v>
      </c>
      <c r="IC197" s="57">
        <v>454.57</v>
      </c>
      <c r="ID197" s="57">
        <v>515.74</v>
      </c>
      <c r="IE197" s="57">
        <v>410.29</v>
      </c>
      <c r="IF197" s="57">
        <v>459.36</v>
      </c>
      <c r="IG197" s="57">
        <v>622.36</v>
      </c>
      <c r="IH197" s="57">
        <v>393.89</v>
      </c>
      <c r="II197" s="57">
        <v>827.58</v>
      </c>
      <c r="IJ197" s="57">
        <v>742.71</v>
      </c>
      <c r="IK197" s="57">
        <v>502.79</v>
      </c>
      <c r="IL197" s="57">
        <v>300.37</v>
      </c>
      <c r="IM197" s="57">
        <v>513.63</v>
      </c>
      <c r="IN197" s="57">
        <v>486.12</v>
      </c>
      <c r="IO197" s="57">
        <v>449.86</v>
      </c>
      <c r="IP197" s="57">
        <v>304.01</v>
      </c>
      <c r="IQ197" s="57">
        <v>507.35</v>
      </c>
      <c r="IR197" s="57">
        <v>653.94000000000005</v>
      </c>
      <c r="IS197" s="57">
        <v>700.04</v>
      </c>
      <c r="IT197" s="57">
        <v>40.909999999999997</v>
      </c>
      <c r="IU197" s="57">
        <v>189.34</v>
      </c>
      <c r="IV197" s="57">
        <v>56.53</v>
      </c>
      <c r="IW197" s="57">
        <v>152.52000000000001</v>
      </c>
      <c r="IX197" s="57">
        <v>266.33999999999997</v>
      </c>
      <c r="IY197" s="57">
        <v>555.38</v>
      </c>
      <c r="IZ197" s="57">
        <v>543.91999999999996</v>
      </c>
      <c r="JA197" s="57">
        <v>389.71</v>
      </c>
      <c r="JB197" s="57">
        <v>119.02</v>
      </c>
      <c r="JC197" s="57">
        <v>505.04</v>
      </c>
      <c r="JD197" s="57">
        <v>477.05</v>
      </c>
      <c r="JE197" s="57">
        <v>523.65</v>
      </c>
      <c r="JF197" s="57">
        <v>320.18</v>
      </c>
      <c r="JG197" s="57">
        <v>419.45</v>
      </c>
      <c r="JH197" s="57">
        <v>623.49</v>
      </c>
      <c r="JI197" s="57">
        <v>606.22</v>
      </c>
      <c r="JJ197" s="57">
        <v>547.66999999999996</v>
      </c>
      <c r="JK197" s="57">
        <v>713.87</v>
      </c>
      <c r="JL197" s="57">
        <v>583.1</v>
      </c>
      <c r="JM197" s="57">
        <v>503.84</v>
      </c>
      <c r="JN197" s="57">
        <v>353.56</v>
      </c>
      <c r="JO197" s="57">
        <v>333.44</v>
      </c>
      <c r="JP197" s="57">
        <v>801.74</v>
      </c>
      <c r="JQ197" s="57">
        <v>665.83</v>
      </c>
      <c r="JR197" s="57">
        <v>428.79</v>
      </c>
      <c r="JS197" s="57">
        <v>542.33000000000004</v>
      </c>
      <c r="JT197" s="57">
        <v>737.98</v>
      </c>
      <c r="JU197" s="57">
        <v>535.04</v>
      </c>
      <c r="JV197" s="57">
        <v>284.62</v>
      </c>
      <c r="JW197" s="57">
        <v>365.57</v>
      </c>
      <c r="JX197" s="57">
        <v>2428.64</v>
      </c>
      <c r="JY197" s="57">
        <v>509.22</v>
      </c>
      <c r="JZ197" s="57">
        <v>529.17999999999995</v>
      </c>
      <c r="KA197" s="57">
        <v>595.48</v>
      </c>
      <c r="KB197" s="57">
        <v>345.38</v>
      </c>
      <c r="KC197" s="57">
        <v>502.51</v>
      </c>
      <c r="KD197" s="57">
        <v>628.54</v>
      </c>
      <c r="KE197" s="57">
        <v>52.91</v>
      </c>
      <c r="KF197" s="57">
        <v>721.36</v>
      </c>
    </row>
    <row r="198" spans="1:292">
      <c r="A198" s="41">
        <v>2021</v>
      </c>
      <c r="B198" s="54" t="s">
        <v>977</v>
      </c>
      <c r="C198" s="50" t="s">
        <v>978</v>
      </c>
      <c r="D198" s="57">
        <v>513.29999999999995</v>
      </c>
      <c r="E198" s="57">
        <v>623.16</v>
      </c>
      <c r="F198" s="57">
        <v>878.17</v>
      </c>
      <c r="G198" s="57">
        <v>252.97</v>
      </c>
      <c r="H198" s="57">
        <v>550.29</v>
      </c>
      <c r="I198" s="57">
        <v>453.13</v>
      </c>
      <c r="J198" s="57">
        <v>315.24</v>
      </c>
      <c r="K198" s="57">
        <v>520.65</v>
      </c>
      <c r="L198" s="57">
        <v>161.63999999999999</v>
      </c>
      <c r="M198" s="57">
        <v>322.63</v>
      </c>
      <c r="N198" s="57">
        <v>437</v>
      </c>
      <c r="O198" s="57">
        <v>748.72</v>
      </c>
      <c r="P198" s="57">
        <v>752.59</v>
      </c>
      <c r="Q198" s="57">
        <v>634.05999999999995</v>
      </c>
      <c r="R198" s="57">
        <v>485.16</v>
      </c>
      <c r="S198" s="57">
        <v>1203.82</v>
      </c>
      <c r="T198" s="57">
        <v>857.65</v>
      </c>
      <c r="U198" s="57">
        <v>242.31</v>
      </c>
      <c r="V198" s="57">
        <v>286.20999999999998</v>
      </c>
      <c r="W198" s="57">
        <v>580.19000000000005</v>
      </c>
      <c r="X198" s="57">
        <v>566.53</v>
      </c>
      <c r="Y198" s="57">
        <v>430.42</v>
      </c>
      <c r="Z198" s="57">
        <v>568.38</v>
      </c>
      <c r="AA198" s="57">
        <v>533.14</v>
      </c>
      <c r="AB198" s="57">
        <v>416.86</v>
      </c>
      <c r="AC198" s="57">
        <v>390.48</v>
      </c>
      <c r="AD198" s="57">
        <v>477.94</v>
      </c>
      <c r="AE198" s="57">
        <v>482.11</v>
      </c>
      <c r="AF198" s="57">
        <v>397.92</v>
      </c>
      <c r="AG198" s="57">
        <v>228.49</v>
      </c>
      <c r="AH198" s="57">
        <v>356.27</v>
      </c>
      <c r="AI198" s="57">
        <v>561.78</v>
      </c>
      <c r="AJ198" s="57">
        <v>500.92</v>
      </c>
      <c r="AK198" s="57">
        <v>482.72</v>
      </c>
      <c r="AL198" s="57">
        <v>511.64</v>
      </c>
      <c r="AM198" s="57">
        <v>748.37</v>
      </c>
      <c r="AN198" s="57">
        <v>41.27</v>
      </c>
      <c r="AO198" s="57">
        <v>189.57</v>
      </c>
      <c r="AP198" s="57">
        <v>98.29</v>
      </c>
      <c r="AQ198" s="57">
        <v>558.80999999999995</v>
      </c>
      <c r="AR198" s="57">
        <v>532.73</v>
      </c>
      <c r="AS198" s="57">
        <v>411.24</v>
      </c>
      <c r="AT198" s="57">
        <v>584.61</v>
      </c>
      <c r="AU198" s="57">
        <v>714.12</v>
      </c>
      <c r="AV198" s="57">
        <v>582.65</v>
      </c>
      <c r="AW198" s="57">
        <v>503.21</v>
      </c>
      <c r="AX198" s="57">
        <v>353.56</v>
      </c>
      <c r="AY198" s="57">
        <v>334.78</v>
      </c>
      <c r="AZ198" s="57">
        <v>774.67</v>
      </c>
      <c r="BA198" s="57">
        <v>469.72</v>
      </c>
      <c r="BB198" s="57">
        <v>436.57</v>
      </c>
      <c r="BC198" s="57">
        <v>1760.74</v>
      </c>
      <c r="BD198" s="57">
        <v>601.55999999999995</v>
      </c>
      <c r="BE198" s="57">
        <v>614.25</v>
      </c>
      <c r="BF198" s="57">
        <v>59.17</v>
      </c>
      <c r="BG198" s="57">
        <v>763.31</v>
      </c>
      <c r="BH198" s="57">
        <v>631.99</v>
      </c>
      <c r="BI198" s="57">
        <v>596.05999999999995</v>
      </c>
      <c r="BJ198" s="57">
        <v>665.76</v>
      </c>
      <c r="BK198" s="57">
        <v>628.39</v>
      </c>
      <c r="BL198" s="57">
        <v>652.85</v>
      </c>
      <c r="BM198" s="57">
        <v>563.83000000000004</v>
      </c>
      <c r="BN198" s="57">
        <v>763.63</v>
      </c>
      <c r="BO198" s="57">
        <v>438.17</v>
      </c>
      <c r="BP198" s="57">
        <v>638.32000000000005</v>
      </c>
      <c r="BQ198" s="57">
        <v>555.91999999999996</v>
      </c>
      <c r="BR198" s="57">
        <v>427.74</v>
      </c>
      <c r="BS198" s="57">
        <v>1272.43</v>
      </c>
      <c r="BT198" s="57">
        <v>689.57</v>
      </c>
      <c r="BU198" s="57">
        <v>1173.3599999999999</v>
      </c>
      <c r="BV198" s="57">
        <v>857.65</v>
      </c>
      <c r="BW198" s="57">
        <v>232.65</v>
      </c>
      <c r="BX198" s="57">
        <v>338.26</v>
      </c>
      <c r="BY198" s="57">
        <v>509.83</v>
      </c>
      <c r="BZ198" s="57">
        <v>284.82</v>
      </c>
      <c r="CA198" s="57">
        <v>601.83000000000004</v>
      </c>
      <c r="CB198" s="58">
        <v>580.19000000000005</v>
      </c>
      <c r="CC198" s="57">
        <v>566.53</v>
      </c>
      <c r="CD198" s="57">
        <v>428.76</v>
      </c>
      <c r="CE198" s="57">
        <v>519.52</v>
      </c>
      <c r="CF198" s="57">
        <v>552.34</v>
      </c>
      <c r="CG198" s="57">
        <v>577.41999999999996</v>
      </c>
      <c r="CH198" s="57">
        <v>545.29999999999995</v>
      </c>
      <c r="CI198" s="57">
        <v>498.4</v>
      </c>
      <c r="CJ198" s="57">
        <v>416.86</v>
      </c>
      <c r="CK198" s="57">
        <v>358.93</v>
      </c>
      <c r="CL198" s="57">
        <v>424.42</v>
      </c>
      <c r="CM198" s="57">
        <v>705.84</v>
      </c>
      <c r="CN198" s="57">
        <v>477.94</v>
      </c>
      <c r="CO198" s="57">
        <v>482.11</v>
      </c>
      <c r="CP198" s="57">
        <v>328.69</v>
      </c>
      <c r="CQ198" s="57">
        <v>677.24</v>
      </c>
      <c r="CR198" s="57">
        <v>230.68</v>
      </c>
      <c r="CS198" s="57">
        <v>355.85</v>
      </c>
      <c r="CT198" s="57">
        <v>229.94</v>
      </c>
      <c r="CU198" s="57">
        <v>268.49</v>
      </c>
      <c r="CV198" s="57">
        <v>510.53</v>
      </c>
      <c r="CW198" s="57">
        <v>227.59</v>
      </c>
      <c r="CX198" s="57">
        <v>561.78</v>
      </c>
      <c r="CY198" s="57">
        <v>503.39</v>
      </c>
      <c r="CZ198" s="57">
        <v>412.38</v>
      </c>
      <c r="DA198" s="57">
        <v>469.68</v>
      </c>
      <c r="DB198" s="57">
        <v>638.14</v>
      </c>
      <c r="DC198" s="57">
        <v>396.45</v>
      </c>
      <c r="DD198" s="57">
        <v>863.96</v>
      </c>
      <c r="DE198" s="57">
        <v>790.34</v>
      </c>
      <c r="DF198" s="57">
        <v>395.32</v>
      </c>
      <c r="DG198" s="57">
        <v>515.59</v>
      </c>
      <c r="DH198" s="57">
        <v>299.39</v>
      </c>
      <c r="DI198" s="57">
        <v>507.97</v>
      </c>
      <c r="DJ198" s="57">
        <v>664.57</v>
      </c>
      <c r="DK198" s="57">
        <v>748.37</v>
      </c>
      <c r="DL198" s="57">
        <v>41.27</v>
      </c>
      <c r="DM198" s="57">
        <v>189.57</v>
      </c>
      <c r="DN198" s="57">
        <v>57.62</v>
      </c>
      <c r="DO198" s="57">
        <v>148.52000000000001</v>
      </c>
      <c r="DP198" s="57">
        <v>270.17</v>
      </c>
      <c r="DQ198" s="57">
        <v>558.80999999999995</v>
      </c>
      <c r="DR198" s="57">
        <v>558.44000000000005</v>
      </c>
      <c r="DS198" s="57">
        <v>406.04</v>
      </c>
      <c r="DT198" s="57">
        <v>124.07</v>
      </c>
      <c r="DU198" s="57">
        <v>580.69000000000005</v>
      </c>
      <c r="DV198" s="57">
        <v>477.05</v>
      </c>
      <c r="DW198" s="57">
        <v>354.34</v>
      </c>
      <c r="DX198" s="57">
        <v>424.65</v>
      </c>
      <c r="DY198" s="57">
        <v>627.57000000000005</v>
      </c>
      <c r="DZ198" s="57">
        <v>607.85</v>
      </c>
      <c r="EA198" s="57">
        <v>551.41999999999996</v>
      </c>
      <c r="EB198" s="57">
        <v>714.12</v>
      </c>
      <c r="EC198" s="57">
        <v>582.65</v>
      </c>
      <c r="ED198" s="57">
        <v>503.21</v>
      </c>
      <c r="EE198" s="57">
        <v>353.56</v>
      </c>
      <c r="EF198" s="57">
        <v>334.78</v>
      </c>
      <c r="EG198" s="57">
        <v>774.67</v>
      </c>
      <c r="EH198" s="57">
        <v>469.72</v>
      </c>
      <c r="EI198" s="57">
        <v>633.91999999999996</v>
      </c>
      <c r="EJ198" s="57">
        <v>289.70999999999998</v>
      </c>
      <c r="EK198" s="57">
        <v>380.09</v>
      </c>
      <c r="EL198" s="57">
        <v>2355.2600000000002</v>
      </c>
      <c r="EM198" s="57">
        <v>525.42999999999995</v>
      </c>
      <c r="EN198" s="57">
        <v>601.55999999999995</v>
      </c>
      <c r="EO198" s="57">
        <v>346.38</v>
      </c>
      <c r="EP198" s="57">
        <v>539.51</v>
      </c>
      <c r="EQ198" s="57">
        <v>641.46</v>
      </c>
      <c r="ER198" s="57">
        <v>59.17</v>
      </c>
      <c r="ES198" s="57">
        <v>763.31</v>
      </c>
      <c r="ET198" s="57">
        <v>764.16</v>
      </c>
      <c r="EU198" s="57">
        <v>652.35</v>
      </c>
      <c r="EV198" s="57">
        <v>629.89</v>
      </c>
      <c r="EW198" s="57">
        <v>559.91999999999996</v>
      </c>
      <c r="EX198" s="57">
        <v>660.34</v>
      </c>
      <c r="EY198" s="57">
        <v>302.49</v>
      </c>
      <c r="EZ198" s="57">
        <v>564.53</v>
      </c>
      <c r="FA198" s="57">
        <v>705.39</v>
      </c>
      <c r="FB198" s="57">
        <v>547.72</v>
      </c>
      <c r="FC198" s="57">
        <v>855.61</v>
      </c>
      <c r="FD198" s="57">
        <v>509.57</v>
      </c>
      <c r="FE198" s="57">
        <v>675.37</v>
      </c>
      <c r="FF198" s="57">
        <v>126.89</v>
      </c>
      <c r="FG198" s="57">
        <v>511.8</v>
      </c>
      <c r="FH198" s="57">
        <v>471.51</v>
      </c>
      <c r="FI198" s="57">
        <v>654.30999999999995</v>
      </c>
      <c r="FJ198" s="57">
        <v>992.59</v>
      </c>
      <c r="FK198" s="57">
        <v>977.48</v>
      </c>
      <c r="FL198" s="57">
        <v>582.52</v>
      </c>
      <c r="FM198" s="57">
        <v>616.17999999999995</v>
      </c>
      <c r="FN198" s="57">
        <v>489.4</v>
      </c>
      <c r="FO198" s="57">
        <v>969.05</v>
      </c>
      <c r="FP198" s="57">
        <v>799.86</v>
      </c>
      <c r="FQ198" s="57">
        <v>454.8</v>
      </c>
      <c r="FR198" s="57">
        <v>1065.6199999999999</v>
      </c>
      <c r="FS198" s="57">
        <v>626.41</v>
      </c>
      <c r="FT198" s="57">
        <v>319.29000000000002</v>
      </c>
      <c r="FU198" s="57">
        <v>663.77</v>
      </c>
      <c r="FV198" s="57">
        <v>490.75</v>
      </c>
      <c r="FW198" s="57">
        <v>330.01</v>
      </c>
      <c r="FX198" s="57">
        <v>638.32000000000005</v>
      </c>
      <c r="FY198" s="57">
        <v>598.04</v>
      </c>
      <c r="FZ198" s="57">
        <v>543.6</v>
      </c>
      <c r="GA198" s="57">
        <v>497.72</v>
      </c>
      <c r="GB198" s="57">
        <v>432.7</v>
      </c>
      <c r="GC198" s="57">
        <v>446.6</v>
      </c>
      <c r="GD198" s="57">
        <v>386.57</v>
      </c>
      <c r="GE198" s="57">
        <v>1272.43</v>
      </c>
      <c r="GF198" s="57">
        <v>689.57</v>
      </c>
      <c r="GG198" s="57">
        <v>1173.3599999999999</v>
      </c>
      <c r="GH198" s="57">
        <v>856.21</v>
      </c>
      <c r="GI198" s="57">
        <v>256.95</v>
      </c>
      <c r="GJ198" s="57">
        <v>213.38</v>
      </c>
      <c r="GK198" s="57">
        <v>218.62</v>
      </c>
      <c r="GL198" s="57">
        <v>359.01</v>
      </c>
      <c r="GM198" s="57">
        <v>338.26</v>
      </c>
      <c r="GN198" s="57">
        <v>509.83</v>
      </c>
      <c r="GO198" s="57">
        <v>297.97000000000003</v>
      </c>
      <c r="GP198" s="57">
        <v>265.29000000000002</v>
      </c>
      <c r="GQ198" s="57">
        <v>295.99</v>
      </c>
      <c r="GR198" s="57">
        <v>601.83000000000004</v>
      </c>
      <c r="GS198" s="57">
        <v>580.19000000000005</v>
      </c>
      <c r="GT198" s="57">
        <v>566.53</v>
      </c>
      <c r="GU198" s="57">
        <v>428.76</v>
      </c>
      <c r="GV198" s="57">
        <v>519.52</v>
      </c>
      <c r="GW198" s="57">
        <v>523.29</v>
      </c>
      <c r="GX198" s="57">
        <v>529.17999999999995</v>
      </c>
      <c r="GY198" s="57">
        <v>577.41999999999996</v>
      </c>
      <c r="GZ198" s="57">
        <v>648.91999999999996</v>
      </c>
      <c r="HA198" s="57">
        <v>528.54999999999995</v>
      </c>
      <c r="HB198" s="57">
        <v>540.48</v>
      </c>
      <c r="HC198" s="57">
        <v>498.4</v>
      </c>
      <c r="HD198" s="57">
        <v>416.86</v>
      </c>
      <c r="HE198" s="57">
        <v>285.49</v>
      </c>
      <c r="HF198" s="57">
        <v>352.3</v>
      </c>
      <c r="HG198" s="57">
        <v>421.62</v>
      </c>
      <c r="HH198" s="57">
        <v>471.42</v>
      </c>
      <c r="HI198" s="57">
        <v>246.91</v>
      </c>
      <c r="HJ198" s="57">
        <v>424.42</v>
      </c>
      <c r="HK198" s="57">
        <v>705.84</v>
      </c>
      <c r="HL198" s="57">
        <v>423.42</v>
      </c>
      <c r="HM198" s="57">
        <v>517.08000000000004</v>
      </c>
      <c r="HN198" s="57">
        <v>519.05999999999995</v>
      </c>
      <c r="HO198" s="57">
        <v>370.38</v>
      </c>
      <c r="HP198" s="57">
        <v>620.23</v>
      </c>
      <c r="HQ198" s="57">
        <v>308.22000000000003</v>
      </c>
      <c r="HR198" s="57">
        <v>479.77</v>
      </c>
      <c r="HS198" s="57">
        <v>687.25</v>
      </c>
      <c r="HT198" s="57">
        <v>427.24</v>
      </c>
      <c r="HU198" s="57">
        <v>230.68</v>
      </c>
      <c r="HV198" s="57">
        <v>355.85</v>
      </c>
      <c r="HW198" s="57">
        <v>197</v>
      </c>
      <c r="HX198" s="57">
        <v>278.26</v>
      </c>
      <c r="HY198" s="57">
        <v>268.49</v>
      </c>
      <c r="HZ198" s="57">
        <v>510.53</v>
      </c>
      <c r="IA198" s="57">
        <v>207.89</v>
      </c>
      <c r="IB198" s="57">
        <v>561.78</v>
      </c>
      <c r="IC198" s="57">
        <v>456.88</v>
      </c>
      <c r="ID198" s="57">
        <v>515.48</v>
      </c>
      <c r="IE198" s="57">
        <v>412.38</v>
      </c>
      <c r="IF198" s="57">
        <v>469.68</v>
      </c>
      <c r="IG198" s="57">
        <v>638.14</v>
      </c>
      <c r="IH198" s="57">
        <v>396.45</v>
      </c>
      <c r="II198" s="57">
        <v>863.96</v>
      </c>
      <c r="IJ198" s="57">
        <v>790.34</v>
      </c>
      <c r="IK198" s="57">
        <v>505.02</v>
      </c>
      <c r="IL198" s="57">
        <v>300.37</v>
      </c>
      <c r="IM198" s="57">
        <v>524.95000000000005</v>
      </c>
      <c r="IN198" s="57">
        <v>523.80999999999995</v>
      </c>
      <c r="IO198" s="57">
        <v>459.34</v>
      </c>
      <c r="IP198" s="57">
        <v>299.39</v>
      </c>
      <c r="IQ198" s="57">
        <v>507.97</v>
      </c>
      <c r="IR198" s="57">
        <v>664.57</v>
      </c>
      <c r="IS198" s="57">
        <v>748.37</v>
      </c>
      <c r="IT198" s="57">
        <v>41.27</v>
      </c>
      <c r="IU198" s="57">
        <v>189.57</v>
      </c>
      <c r="IV198" s="57">
        <v>57.63</v>
      </c>
      <c r="IW198" s="57">
        <v>148.52000000000001</v>
      </c>
      <c r="IX198" s="57">
        <v>270.17</v>
      </c>
      <c r="IY198" s="57">
        <v>558.80999999999995</v>
      </c>
      <c r="IZ198" s="57">
        <v>558.44000000000005</v>
      </c>
      <c r="JA198" s="57">
        <v>406.04</v>
      </c>
      <c r="JB198" s="57">
        <v>124.07</v>
      </c>
      <c r="JC198" s="57">
        <v>580.69000000000005</v>
      </c>
      <c r="JD198" s="57">
        <v>477.05</v>
      </c>
      <c r="JE198" s="57">
        <v>535.65</v>
      </c>
      <c r="JF198" s="57">
        <v>326.89</v>
      </c>
      <c r="JG198" s="57">
        <v>424.65</v>
      </c>
      <c r="JH198" s="57">
        <v>627.57000000000005</v>
      </c>
      <c r="JI198" s="57">
        <v>607.85</v>
      </c>
      <c r="JJ198" s="57">
        <v>551.41999999999996</v>
      </c>
      <c r="JK198" s="57">
        <v>714.12</v>
      </c>
      <c r="JL198" s="57">
        <v>582.65</v>
      </c>
      <c r="JM198" s="57">
        <v>503.21</v>
      </c>
      <c r="JN198" s="57">
        <v>353.56</v>
      </c>
      <c r="JO198" s="57">
        <v>334.78</v>
      </c>
      <c r="JP198" s="57">
        <v>815.79</v>
      </c>
      <c r="JQ198" s="57">
        <v>671.95</v>
      </c>
      <c r="JR198" s="57">
        <v>435.47</v>
      </c>
      <c r="JS198" s="57">
        <v>542.30999999999995</v>
      </c>
      <c r="JT198" s="57">
        <v>742.77</v>
      </c>
      <c r="JU198" s="57">
        <v>539.12</v>
      </c>
      <c r="JV198" s="57">
        <v>289.70999999999998</v>
      </c>
      <c r="JW198" s="57">
        <v>380.09</v>
      </c>
      <c r="JX198" s="57">
        <v>2355.2600000000002</v>
      </c>
      <c r="JY198" s="57">
        <v>498.71</v>
      </c>
      <c r="JZ198" s="57">
        <v>542.5</v>
      </c>
      <c r="KA198" s="57">
        <v>601.55999999999995</v>
      </c>
      <c r="KB198" s="57">
        <v>346.38</v>
      </c>
      <c r="KC198" s="57">
        <v>539.51</v>
      </c>
      <c r="KD198" s="57">
        <v>641.46</v>
      </c>
      <c r="KE198" s="57">
        <v>59.17</v>
      </c>
      <c r="KF198" s="57">
        <v>763.31</v>
      </c>
    </row>
    <row r="199" spans="1:292">
      <c r="A199" s="41">
        <v>2021</v>
      </c>
      <c r="B199" s="54" t="s">
        <v>979</v>
      </c>
      <c r="C199" s="50" t="s">
        <v>980</v>
      </c>
      <c r="D199" s="57">
        <v>517.96</v>
      </c>
      <c r="E199" s="57">
        <v>639.20000000000005</v>
      </c>
      <c r="F199" s="57">
        <v>879.35</v>
      </c>
      <c r="G199" s="57">
        <v>250.63</v>
      </c>
      <c r="H199" s="57">
        <v>553.6</v>
      </c>
      <c r="I199" s="57">
        <v>454.58</v>
      </c>
      <c r="J199" s="57">
        <v>324.70999999999998</v>
      </c>
      <c r="K199" s="57">
        <v>523.15</v>
      </c>
      <c r="L199" s="57">
        <v>162.55000000000001</v>
      </c>
      <c r="M199" s="57">
        <v>319.48</v>
      </c>
      <c r="N199" s="57">
        <v>440.77</v>
      </c>
      <c r="O199" s="57">
        <v>758.58</v>
      </c>
      <c r="P199" s="57">
        <v>735.14</v>
      </c>
      <c r="Q199" s="57">
        <v>651.20000000000005</v>
      </c>
      <c r="R199" s="57">
        <v>488.65</v>
      </c>
      <c r="S199" s="57">
        <v>1224.5</v>
      </c>
      <c r="T199" s="57">
        <v>857.78</v>
      </c>
      <c r="U199" s="57">
        <v>239.48</v>
      </c>
      <c r="V199" s="57">
        <v>286.22000000000003</v>
      </c>
      <c r="W199" s="57">
        <v>585.08000000000004</v>
      </c>
      <c r="X199" s="57">
        <v>574.65</v>
      </c>
      <c r="Y199" s="57">
        <v>432.95</v>
      </c>
      <c r="Z199" s="57">
        <v>569.33000000000004</v>
      </c>
      <c r="AA199" s="57">
        <v>535.66</v>
      </c>
      <c r="AB199" s="57">
        <v>418.69</v>
      </c>
      <c r="AC199" s="57">
        <v>390.97</v>
      </c>
      <c r="AD199" s="57">
        <v>485.43</v>
      </c>
      <c r="AE199" s="57">
        <v>477.12</v>
      </c>
      <c r="AF199" s="57">
        <v>398.23</v>
      </c>
      <c r="AG199" s="57">
        <v>240.17</v>
      </c>
      <c r="AH199" s="57">
        <v>363.42</v>
      </c>
      <c r="AI199" s="57">
        <v>572.91</v>
      </c>
      <c r="AJ199" s="57">
        <v>503.36</v>
      </c>
      <c r="AK199" s="57">
        <v>485.39</v>
      </c>
      <c r="AL199" s="57">
        <v>513.11</v>
      </c>
      <c r="AM199" s="57">
        <v>648.11</v>
      </c>
      <c r="AN199" s="57">
        <v>40.85</v>
      </c>
      <c r="AO199" s="57">
        <v>191.64</v>
      </c>
      <c r="AP199" s="57">
        <v>97.5</v>
      </c>
      <c r="AQ199" s="57">
        <v>563.91</v>
      </c>
      <c r="AR199" s="57">
        <v>494.78</v>
      </c>
      <c r="AS199" s="57">
        <v>415.21</v>
      </c>
      <c r="AT199" s="57">
        <v>587.94000000000005</v>
      </c>
      <c r="AU199" s="57">
        <v>714.52</v>
      </c>
      <c r="AV199" s="57">
        <v>589.53</v>
      </c>
      <c r="AW199" s="57">
        <v>510.25</v>
      </c>
      <c r="AX199" s="57">
        <v>353.56</v>
      </c>
      <c r="AY199" s="57">
        <v>335.27</v>
      </c>
      <c r="AZ199" s="57">
        <v>785.62</v>
      </c>
      <c r="BA199" s="57">
        <v>469.88</v>
      </c>
      <c r="BB199" s="57">
        <v>426.7</v>
      </c>
      <c r="BC199" s="57">
        <v>1689.42</v>
      </c>
      <c r="BD199" s="57">
        <v>603.82000000000005</v>
      </c>
      <c r="BE199" s="57">
        <v>597.84</v>
      </c>
      <c r="BF199" s="57">
        <v>60.49</v>
      </c>
      <c r="BG199" s="57">
        <v>763.8</v>
      </c>
      <c r="BH199" s="57">
        <v>638.99</v>
      </c>
      <c r="BI199" s="57">
        <v>620.01</v>
      </c>
      <c r="BJ199" s="57">
        <v>682.93</v>
      </c>
      <c r="BK199" s="57">
        <v>641.65</v>
      </c>
      <c r="BL199" s="57">
        <v>674.77</v>
      </c>
      <c r="BM199" s="57">
        <v>581.21</v>
      </c>
      <c r="BN199" s="57">
        <v>791.5</v>
      </c>
      <c r="BO199" s="57">
        <v>446.96</v>
      </c>
      <c r="BP199" s="57">
        <v>640.39</v>
      </c>
      <c r="BQ199" s="57">
        <v>558.12</v>
      </c>
      <c r="BR199" s="57">
        <v>432.19</v>
      </c>
      <c r="BS199" s="57">
        <v>1290.3399999999999</v>
      </c>
      <c r="BT199" s="57">
        <v>721.5</v>
      </c>
      <c r="BU199" s="57">
        <v>1190.95</v>
      </c>
      <c r="BV199" s="57">
        <v>857.78</v>
      </c>
      <c r="BW199" s="57">
        <v>229.62</v>
      </c>
      <c r="BX199" s="57">
        <v>338.81</v>
      </c>
      <c r="BY199" s="57">
        <v>517.66999999999996</v>
      </c>
      <c r="BZ199" s="57">
        <v>284.8</v>
      </c>
      <c r="CA199" s="57">
        <v>609.04999999999995</v>
      </c>
      <c r="CB199" s="58">
        <v>585.08000000000004</v>
      </c>
      <c r="CC199" s="57">
        <v>574.65</v>
      </c>
      <c r="CD199" s="57">
        <v>431.28</v>
      </c>
      <c r="CE199" s="57">
        <v>519.52</v>
      </c>
      <c r="CF199" s="57">
        <v>555.79</v>
      </c>
      <c r="CG199" s="57">
        <v>574.95000000000005</v>
      </c>
      <c r="CH199" s="57">
        <v>547.54999999999995</v>
      </c>
      <c r="CI199" s="57">
        <v>504.26</v>
      </c>
      <c r="CJ199" s="57">
        <v>418.69</v>
      </c>
      <c r="CK199" s="57">
        <v>358.44</v>
      </c>
      <c r="CL199" s="57">
        <v>422.61</v>
      </c>
      <c r="CM199" s="57">
        <v>733.2</v>
      </c>
      <c r="CN199" s="57">
        <v>485.43</v>
      </c>
      <c r="CO199" s="57">
        <v>477.12</v>
      </c>
      <c r="CP199" s="57">
        <v>327.64</v>
      </c>
      <c r="CQ199" s="57">
        <v>684.69</v>
      </c>
      <c r="CR199" s="57">
        <v>245.31</v>
      </c>
      <c r="CS199" s="57">
        <v>357.69</v>
      </c>
      <c r="CT199" s="57">
        <v>238.49</v>
      </c>
      <c r="CU199" s="57">
        <v>269.45</v>
      </c>
      <c r="CV199" s="57">
        <v>525.22</v>
      </c>
      <c r="CW199" s="57">
        <v>233.15</v>
      </c>
      <c r="CX199" s="57">
        <v>572.91</v>
      </c>
      <c r="CY199" s="57">
        <v>505.73</v>
      </c>
      <c r="CZ199" s="57">
        <v>414.97</v>
      </c>
      <c r="DA199" s="57">
        <v>485.24</v>
      </c>
      <c r="DB199" s="57">
        <v>643.95000000000005</v>
      </c>
      <c r="DC199" s="57">
        <v>397.09</v>
      </c>
      <c r="DD199" s="57">
        <v>877.25</v>
      </c>
      <c r="DE199" s="57">
        <v>797.55</v>
      </c>
      <c r="DF199" s="57">
        <v>395.32</v>
      </c>
      <c r="DG199" s="57">
        <v>517.73</v>
      </c>
      <c r="DH199" s="57">
        <v>295.63</v>
      </c>
      <c r="DI199" s="57">
        <v>508.41</v>
      </c>
      <c r="DJ199" s="57">
        <v>668.11</v>
      </c>
      <c r="DK199" s="57">
        <v>648.11</v>
      </c>
      <c r="DL199" s="57">
        <v>40.85</v>
      </c>
      <c r="DM199" s="57">
        <v>191.64</v>
      </c>
      <c r="DN199" s="57">
        <v>57.35</v>
      </c>
      <c r="DO199" s="57">
        <v>145.43</v>
      </c>
      <c r="DP199" s="57">
        <v>273.18</v>
      </c>
      <c r="DQ199" s="57">
        <v>563.91</v>
      </c>
      <c r="DR199" s="57">
        <v>565.30999999999995</v>
      </c>
      <c r="DS199" s="57">
        <v>410.81</v>
      </c>
      <c r="DT199" s="57">
        <v>100.25</v>
      </c>
      <c r="DU199" s="57">
        <v>597.33000000000004</v>
      </c>
      <c r="DV199" s="57">
        <v>477.05</v>
      </c>
      <c r="DW199" s="57">
        <v>363.22</v>
      </c>
      <c r="DX199" s="57">
        <v>422.37</v>
      </c>
      <c r="DY199" s="57">
        <v>629.98</v>
      </c>
      <c r="DZ199" s="57">
        <v>613.67999999999995</v>
      </c>
      <c r="EA199" s="57">
        <v>555.85</v>
      </c>
      <c r="EB199" s="57">
        <v>714.52</v>
      </c>
      <c r="EC199" s="57">
        <v>589.53</v>
      </c>
      <c r="ED199" s="57">
        <v>510.25</v>
      </c>
      <c r="EE199" s="57">
        <v>353.56</v>
      </c>
      <c r="EF199" s="57">
        <v>335.27</v>
      </c>
      <c r="EG199" s="57">
        <v>785.62</v>
      </c>
      <c r="EH199" s="57">
        <v>469.88</v>
      </c>
      <c r="EI199" s="57">
        <v>637.79</v>
      </c>
      <c r="EJ199" s="57">
        <v>277.55</v>
      </c>
      <c r="EK199" s="57">
        <v>368.73</v>
      </c>
      <c r="EL199" s="57">
        <v>2226.59</v>
      </c>
      <c r="EM199" s="57">
        <v>522.59</v>
      </c>
      <c r="EN199" s="57">
        <v>603.82000000000005</v>
      </c>
      <c r="EO199" s="57">
        <v>347.38</v>
      </c>
      <c r="EP199" s="57">
        <v>544.69000000000005</v>
      </c>
      <c r="EQ199" s="57">
        <v>619.4</v>
      </c>
      <c r="ER199" s="57">
        <v>60.49</v>
      </c>
      <c r="ES199" s="57">
        <v>763.8</v>
      </c>
      <c r="ET199" s="57">
        <v>765.21</v>
      </c>
      <c r="EU199" s="57">
        <v>649.04</v>
      </c>
      <c r="EV199" s="57">
        <v>643.11</v>
      </c>
      <c r="EW199" s="57">
        <v>563.1</v>
      </c>
      <c r="EX199" s="57">
        <v>660.31</v>
      </c>
      <c r="EY199" s="57">
        <v>300.27999999999997</v>
      </c>
      <c r="EZ199" s="57">
        <v>586.41</v>
      </c>
      <c r="FA199" s="57">
        <v>717.37</v>
      </c>
      <c r="FB199" s="57">
        <v>584.29</v>
      </c>
      <c r="FC199" s="57">
        <v>874.88</v>
      </c>
      <c r="FD199" s="57">
        <v>526.4</v>
      </c>
      <c r="FE199" s="57">
        <v>694.51</v>
      </c>
      <c r="FF199" s="57">
        <v>126.39</v>
      </c>
      <c r="FG199" s="57">
        <v>537.91</v>
      </c>
      <c r="FH199" s="57">
        <v>493.72</v>
      </c>
      <c r="FI199" s="57">
        <v>694.92</v>
      </c>
      <c r="FJ199" s="57">
        <v>904.16</v>
      </c>
      <c r="FK199" s="57">
        <v>1042.94</v>
      </c>
      <c r="FL199" s="57">
        <v>584.28</v>
      </c>
      <c r="FM199" s="57">
        <v>632.13</v>
      </c>
      <c r="FN199" s="57">
        <v>509.86</v>
      </c>
      <c r="FO199" s="57">
        <v>976.53</v>
      </c>
      <c r="FP199" s="57">
        <v>848.14</v>
      </c>
      <c r="FQ199" s="57">
        <v>425.55</v>
      </c>
      <c r="FR199" s="57">
        <v>1049.0999999999999</v>
      </c>
      <c r="FS199" s="57">
        <v>634.09</v>
      </c>
      <c r="FT199" s="57">
        <v>333.03</v>
      </c>
      <c r="FU199" s="57">
        <v>674.28</v>
      </c>
      <c r="FV199" s="57">
        <v>494.63</v>
      </c>
      <c r="FW199" s="57">
        <v>334.55</v>
      </c>
      <c r="FX199" s="57">
        <v>640.39</v>
      </c>
      <c r="FY199" s="57">
        <v>597.29999999999995</v>
      </c>
      <c r="FZ199" s="57">
        <v>546.51</v>
      </c>
      <c r="GA199" s="57">
        <v>498.64</v>
      </c>
      <c r="GB199" s="57">
        <v>434.69</v>
      </c>
      <c r="GC199" s="57">
        <v>454.17</v>
      </c>
      <c r="GD199" s="57">
        <v>391.2</v>
      </c>
      <c r="GE199" s="57">
        <v>1290.3399999999999</v>
      </c>
      <c r="GF199" s="57">
        <v>721.5</v>
      </c>
      <c r="GG199" s="57">
        <v>1190.95</v>
      </c>
      <c r="GH199" s="57">
        <v>856.34</v>
      </c>
      <c r="GI199" s="57">
        <v>254.62</v>
      </c>
      <c r="GJ199" s="57">
        <v>209.9</v>
      </c>
      <c r="GK199" s="57">
        <v>215.75</v>
      </c>
      <c r="GL199" s="57">
        <v>355.96</v>
      </c>
      <c r="GM199" s="57">
        <v>338.81</v>
      </c>
      <c r="GN199" s="57">
        <v>517.66999999999996</v>
      </c>
      <c r="GO199" s="57">
        <v>297.99</v>
      </c>
      <c r="GP199" s="57">
        <v>265.64999999999998</v>
      </c>
      <c r="GQ199" s="57">
        <v>295.05</v>
      </c>
      <c r="GR199" s="57">
        <v>609.04999999999995</v>
      </c>
      <c r="GS199" s="57">
        <v>585.08000000000004</v>
      </c>
      <c r="GT199" s="57">
        <v>574.65</v>
      </c>
      <c r="GU199" s="57">
        <v>431.28</v>
      </c>
      <c r="GV199" s="57">
        <v>519.52</v>
      </c>
      <c r="GW199" s="57">
        <v>527.34</v>
      </c>
      <c r="GX199" s="57">
        <v>529.63</v>
      </c>
      <c r="GY199" s="57">
        <v>574.95000000000005</v>
      </c>
      <c r="GZ199" s="57">
        <v>657.83</v>
      </c>
      <c r="HA199" s="57">
        <v>531.54999999999995</v>
      </c>
      <c r="HB199" s="57">
        <v>540.07000000000005</v>
      </c>
      <c r="HC199" s="57">
        <v>504.26</v>
      </c>
      <c r="HD199" s="57">
        <v>418.69</v>
      </c>
      <c r="HE199" s="57">
        <v>287.89999999999998</v>
      </c>
      <c r="HF199" s="57">
        <v>349.42</v>
      </c>
      <c r="HG199" s="57">
        <v>419.94</v>
      </c>
      <c r="HH199" s="57">
        <v>475.46</v>
      </c>
      <c r="HI199" s="57">
        <v>241.57</v>
      </c>
      <c r="HJ199" s="57">
        <v>422.61</v>
      </c>
      <c r="HK199" s="57">
        <v>733.2</v>
      </c>
      <c r="HL199" s="57">
        <v>423.83</v>
      </c>
      <c r="HM199" s="57">
        <v>520.48</v>
      </c>
      <c r="HN199" s="57">
        <v>532.63</v>
      </c>
      <c r="HO199" s="57">
        <v>358.22</v>
      </c>
      <c r="HP199" s="57">
        <v>631.66</v>
      </c>
      <c r="HQ199" s="57">
        <v>306.85000000000002</v>
      </c>
      <c r="HR199" s="57">
        <v>481.13</v>
      </c>
      <c r="HS199" s="57">
        <v>693.42</v>
      </c>
      <c r="HT199" s="57">
        <v>436.78</v>
      </c>
      <c r="HU199" s="57">
        <v>245.31</v>
      </c>
      <c r="HV199" s="57">
        <v>357.69</v>
      </c>
      <c r="HW199" s="57">
        <v>206.02</v>
      </c>
      <c r="HX199" s="57">
        <v>284.42</v>
      </c>
      <c r="HY199" s="57">
        <v>269.45</v>
      </c>
      <c r="HZ199" s="57">
        <v>525.22</v>
      </c>
      <c r="IA199" s="57">
        <v>212.97</v>
      </c>
      <c r="IB199" s="57">
        <v>572.91</v>
      </c>
      <c r="IC199" s="57">
        <v>459.62</v>
      </c>
      <c r="ID199" s="57">
        <v>517.35</v>
      </c>
      <c r="IE199" s="57">
        <v>414.97</v>
      </c>
      <c r="IF199" s="57">
        <v>485.24</v>
      </c>
      <c r="IG199" s="57">
        <v>643.95000000000005</v>
      </c>
      <c r="IH199" s="57">
        <v>397.09</v>
      </c>
      <c r="II199" s="57">
        <v>877.25</v>
      </c>
      <c r="IJ199" s="57">
        <v>797.55</v>
      </c>
      <c r="IK199" s="57">
        <v>505.02</v>
      </c>
      <c r="IL199" s="57">
        <v>300.37</v>
      </c>
      <c r="IM199" s="57">
        <v>526.27</v>
      </c>
      <c r="IN199" s="57">
        <v>525.97</v>
      </c>
      <c r="IO199" s="57">
        <v>463.96</v>
      </c>
      <c r="IP199" s="57">
        <v>295.63</v>
      </c>
      <c r="IQ199" s="57">
        <v>508.41</v>
      </c>
      <c r="IR199" s="57">
        <v>668.11</v>
      </c>
      <c r="IS199" s="57">
        <v>648.11</v>
      </c>
      <c r="IT199" s="57">
        <v>40.85</v>
      </c>
      <c r="IU199" s="57">
        <v>191.64</v>
      </c>
      <c r="IV199" s="57">
        <v>57.36</v>
      </c>
      <c r="IW199" s="57">
        <v>145.43</v>
      </c>
      <c r="IX199" s="57">
        <v>273.18</v>
      </c>
      <c r="IY199" s="57">
        <v>563.91</v>
      </c>
      <c r="IZ199" s="57">
        <v>565.30999999999995</v>
      </c>
      <c r="JA199" s="57">
        <v>410.81</v>
      </c>
      <c r="JB199" s="57">
        <v>100.25</v>
      </c>
      <c r="JC199" s="57">
        <v>597.33000000000004</v>
      </c>
      <c r="JD199" s="57">
        <v>477.05</v>
      </c>
      <c r="JE199" s="57">
        <v>542.05999999999995</v>
      </c>
      <c r="JF199" s="57">
        <v>335.75</v>
      </c>
      <c r="JG199" s="57">
        <v>422.37</v>
      </c>
      <c r="JH199" s="57">
        <v>629.98</v>
      </c>
      <c r="JI199" s="57">
        <v>613.67999999999995</v>
      </c>
      <c r="JJ199" s="57">
        <v>555.85</v>
      </c>
      <c r="JK199" s="57">
        <v>714.52</v>
      </c>
      <c r="JL199" s="57">
        <v>589.53</v>
      </c>
      <c r="JM199" s="57">
        <v>510.25</v>
      </c>
      <c r="JN199" s="57">
        <v>353.56</v>
      </c>
      <c r="JO199" s="57">
        <v>335.27</v>
      </c>
      <c r="JP199" s="57">
        <v>829.18</v>
      </c>
      <c r="JQ199" s="57">
        <v>674.84</v>
      </c>
      <c r="JR199" s="57">
        <v>435.68</v>
      </c>
      <c r="JS199" s="57">
        <v>542.30999999999995</v>
      </c>
      <c r="JT199" s="57">
        <v>746.96</v>
      </c>
      <c r="JU199" s="57">
        <v>542.66</v>
      </c>
      <c r="JV199" s="57">
        <v>277.55</v>
      </c>
      <c r="JW199" s="57">
        <v>368.73</v>
      </c>
      <c r="JX199" s="57">
        <v>2226.59</v>
      </c>
      <c r="JY199" s="57">
        <v>492.12</v>
      </c>
      <c r="JZ199" s="57">
        <v>544.87</v>
      </c>
      <c r="KA199" s="57">
        <v>603.82000000000005</v>
      </c>
      <c r="KB199" s="57">
        <v>347.38</v>
      </c>
      <c r="KC199" s="57">
        <v>544.69000000000005</v>
      </c>
      <c r="KD199" s="57">
        <v>619.4</v>
      </c>
      <c r="KE199" s="57">
        <v>60.49</v>
      </c>
      <c r="KF199" s="57">
        <v>763.8</v>
      </c>
    </row>
    <row r="200" spans="1:292">
      <c r="A200" s="41">
        <v>2021</v>
      </c>
      <c r="B200" s="54" t="s">
        <v>981</v>
      </c>
      <c r="C200" s="50" t="s">
        <v>982</v>
      </c>
      <c r="D200" s="57">
        <v>523.53</v>
      </c>
      <c r="E200" s="57">
        <v>646.41</v>
      </c>
      <c r="F200" s="57">
        <v>879.67</v>
      </c>
      <c r="G200" s="57">
        <v>254.93</v>
      </c>
      <c r="H200" s="57">
        <v>557.45000000000005</v>
      </c>
      <c r="I200" s="57">
        <v>457.03</v>
      </c>
      <c r="J200" s="57">
        <v>336.72</v>
      </c>
      <c r="K200" s="57">
        <v>523.13</v>
      </c>
      <c r="L200" s="57">
        <v>163.78</v>
      </c>
      <c r="M200" s="57">
        <v>325.91000000000003</v>
      </c>
      <c r="N200" s="57">
        <v>452.99</v>
      </c>
      <c r="O200" s="57">
        <v>778.33</v>
      </c>
      <c r="P200" s="57">
        <v>749.69</v>
      </c>
      <c r="Q200" s="57">
        <v>658.96</v>
      </c>
      <c r="R200" s="57">
        <v>489.55</v>
      </c>
      <c r="S200" s="57">
        <v>1228.3699999999999</v>
      </c>
      <c r="T200" s="57">
        <v>857.91</v>
      </c>
      <c r="U200" s="57">
        <v>243.61</v>
      </c>
      <c r="V200" s="57">
        <v>291.06</v>
      </c>
      <c r="W200" s="57">
        <v>588.44000000000005</v>
      </c>
      <c r="X200" s="57">
        <v>589.09</v>
      </c>
      <c r="Y200" s="57">
        <v>433.88</v>
      </c>
      <c r="Z200" s="57">
        <v>572.34</v>
      </c>
      <c r="AA200" s="57">
        <v>543</v>
      </c>
      <c r="AB200" s="57">
        <v>422.75</v>
      </c>
      <c r="AC200" s="57">
        <v>389.49</v>
      </c>
      <c r="AD200" s="57">
        <v>489.05</v>
      </c>
      <c r="AE200" s="57">
        <v>471.9</v>
      </c>
      <c r="AF200" s="57">
        <v>400.93</v>
      </c>
      <c r="AG200" s="57">
        <v>261.13</v>
      </c>
      <c r="AH200" s="57">
        <v>368.15</v>
      </c>
      <c r="AI200" s="57">
        <v>579.01</v>
      </c>
      <c r="AJ200" s="57">
        <v>505.77</v>
      </c>
      <c r="AK200" s="57">
        <v>481.71</v>
      </c>
      <c r="AL200" s="57">
        <v>514.5</v>
      </c>
      <c r="AM200" s="57">
        <v>748.37</v>
      </c>
      <c r="AN200" s="57">
        <v>40.450000000000003</v>
      </c>
      <c r="AO200" s="57">
        <v>194.17</v>
      </c>
      <c r="AP200" s="57">
        <v>97.86</v>
      </c>
      <c r="AQ200" s="57">
        <v>568.91</v>
      </c>
      <c r="AR200" s="57">
        <v>541.84</v>
      </c>
      <c r="AS200" s="57">
        <v>419.75</v>
      </c>
      <c r="AT200" s="57">
        <v>590.95000000000005</v>
      </c>
      <c r="AU200" s="57">
        <v>716.63</v>
      </c>
      <c r="AV200" s="57">
        <v>614.25</v>
      </c>
      <c r="AW200" s="57">
        <v>530.66999999999996</v>
      </c>
      <c r="AX200" s="57">
        <v>353.56</v>
      </c>
      <c r="AY200" s="57">
        <v>340.57</v>
      </c>
      <c r="AZ200" s="57">
        <v>806.62</v>
      </c>
      <c r="BA200" s="57">
        <v>477.75</v>
      </c>
      <c r="BB200" s="57">
        <v>436.71</v>
      </c>
      <c r="BC200" s="57">
        <v>1730.96</v>
      </c>
      <c r="BD200" s="57">
        <v>611</v>
      </c>
      <c r="BE200" s="57">
        <v>589.39</v>
      </c>
      <c r="BF200" s="57">
        <v>60.49</v>
      </c>
      <c r="BG200" s="57">
        <v>773.15</v>
      </c>
      <c r="BH200" s="57">
        <v>646.28</v>
      </c>
      <c r="BI200" s="57">
        <v>641.19000000000005</v>
      </c>
      <c r="BJ200" s="57">
        <v>702.89</v>
      </c>
      <c r="BK200" s="57">
        <v>642.49</v>
      </c>
      <c r="BL200" s="57">
        <v>685.1</v>
      </c>
      <c r="BM200" s="57">
        <v>581.98</v>
      </c>
      <c r="BN200" s="57">
        <v>788.91</v>
      </c>
      <c r="BO200" s="57">
        <v>454.56</v>
      </c>
      <c r="BP200" s="57">
        <v>650.42999999999995</v>
      </c>
      <c r="BQ200" s="57">
        <v>556.34</v>
      </c>
      <c r="BR200" s="57">
        <v>435.14</v>
      </c>
      <c r="BS200" s="57">
        <v>1289.71</v>
      </c>
      <c r="BT200" s="57">
        <v>747.88</v>
      </c>
      <c r="BU200" s="57">
        <v>1191.6300000000001</v>
      </c>
      <c r="BV200" s="57">
        <v>857.91</v>
      </c>
      <c r="BW200" s="57">
        <v>233.55</v>
      </c>
      <c r="BX200" s="57">
        <v>347.39</v>
      </c>
      <c r="BY200" s="57">
        <v>521.46</v>
      </c>
      <c r="BZ200" s="57">
        <v>289.62</v>
      </c>
      <c r="CA200" s="57">
        <v>618.14</v>
      </c>
      <c r="CB200" s="58">
        <v>588.44000000000005</v>
      </c>
      <c r="CC200" s="57">
        <v>589.09</v>
      </c>
      <c r="CD200" s="57">
        <v>432.21</v>
      </c>
      <c r="CE200" s="57">
        <v>519.52</v>
      </c>
      <c r="CF200" s="57">
        <v>563.25</v>
      </c>
      <c r="CG200" s="57">
        <v>576.05999999999995</v>
      </c>
      <c r="CH200" s="57">
        <v>554.87</v>
      </c>
      <c r="CI200" s="57">
        <v>513.09</v>
      </c>
      <c r="CJ200" s="57">
        <v>422.75</v>
      </c>
      <c r="CK200" s="57">
        <v>356.2</v>
      </c>
      <c r="CL200" s="57">
        <v>426.51</v>
      </c>
      <c r="CM200" s="57">
        <v>741.06</v>
      </c>
      <c r="CN200" s="57">
        <v>489.05</v>
      </c>
      <c r="CO200" s="57">
        <v>471.9</v>
      </c>
      <c r="CP200" s="57">
        <v>329.86</v>
      </c>
      <c r="CQ200" s="57">
        <v>689.43</v>
      </c>
      <c r="CR200" s="57">
        <v>276.20999999999998</v>
      </c>
      <c r="CS200" s="57">
        <v>362.34</v>
      </c>
      <c r="CT200" s="57">
        <v>241.27</v>
      </c>
      <c r="CU200" s="57">
        <v>269.69</v>
      </c>
      <c r="CV200" s="57">
        <v>538.08000000000004</v>
      </c>
      <c r="CW200" s="57">
        <v>235.12</v>
      </c>
      <c r="CX200" s="57">
        <v>579.01</v>
      </c>
      <c r="CY200" s="57">
        <v>507.96</v>
      </c>
      <c r="CZ200" s="57">
        <v>418.59</v>
      </c>
      <c r="DA200" s="57">
        <v>504.22</v>
      </c>
      <c r="DB200" s="57">
        <v>645.28</v>
      </c>
      <c r="DC200" s="57">
        <v>394.35</v>
      </c>
      <c r="DD200" s="57">
        <v>864.6</v>
      </c>
      <c r="DE200" s="57">
        <v>800.26</v>
      </c>
      <c r="DF200" s="57">
        <v>395.49</v>
      </c>
      <c r="DG200" s="57">
        <v>518.65</v>
      </c>
      <c r="DH200" s="57">
        <v>299.62</v>
      </c>
      <c r="DI200" s="57">
        <v>508.41</v>
      </c>
      <c r="DJ200" s="57">
        <v>670.9</v>
      </c>
      <c r="DK200" s="57">
        <v>748.37</v>
      </c>
      <c r="DL200" s="57">
        <v>40.450000000000003</v>
      </c>
      <c r="DM200" s="57">
        <v>194.17</v>
      </c>
      <c r="DN200" s="57">
        <v>57.72</v>
      </c>
      <c r="DO200" s="57">
        <v>144.66</v>
      </c>
      <c r="DP200" s="57">
        <v>277.14999999999998</v>
      </c>
      <c r="DQ200" s="57">
        <v>568.91</v>
      </c>
      <c r="DR200" s="57">
        <v>553.97</v>
      </c>
      <c r="DS200" s="57">
        <v>419</v>
      </c>
      <c r="DT200" s="57">
        <v>127.51</v>
      </c>
      <c r="DU200" s="57">
        <v>604.47</v>
      </c>
      <c r="DV200" s="57">
        <v>485.86</v>
      </c>
      <c r="DW200" s="57">
        <v>363.87</v>
      </c>
      <c r="DX200" s="57">
        <v>422.37</v>
      </c>
      <c r="DY200" s="57">
        <v>629.99</v>
      </c>
      <c r="DZ200" s="57">
        <v>615.08000000000004</v>
      </c>
      <c r="EA200" s="57">
        <v>564.22</v>
      </c>
      <c r="EB200" s="57">
        <v>716.63</v>
      </c>
      <c r="EC200" s="57">
        <v>614.25</v>
      </c>
      <c r="ED200" s="57">
        <v>530.66999999999996</v>
      </c>
      <c r="EE200" s="57">
        <v>353.56</v>
      </c>
      <c r="EF200" s="57">
        <v>340.57</v>
      </c>
      <c r="EG200" s="57">
        <v>806.62</v>
      </c>
      <c r="EH200" s="57">
        <v>477.75</v>
      </c>
      <c r="EI200" s="57">
        <v>642.75</v>
      </c>
      <c r="EJ200" s="57">
        <v>288.29000000000002</v>
      </c>
      <c r="EK200" s="57">
        <v>378.86</v>
      </c>
      <c r="EL200" s="57">
        <v>2287.2600000000002</v>
      </c>
      <c r="EM200" s="57">
        <v>532.15</v>
      </c>
      <c r="EN200" s="57">
        <v>611</v>
      </c>
      <c r="EO200" s="57">
        <v>348.09</v>
      </c>
      <c r="EP200" s="57">
        <v>543.88</v>
      </c>
      <c r="EQ200" s="57">
        <v>608.58000000000004</v>
      </c>
      <c r="ER200" s="57">
        <v>60.49</v>
      </c>
      <c r="ES200" s="57">
        <v>773.15</v>
      </c>
      <c r="ET200" s="57">
        <v>767.76</v>
      </c>
      <c r="EU200" s="57">
        <v>650.72</v>
      </c>
      <c r="EV200" s="57">
        <v>650.82000000000005</v>
      </c>
      <c r="EW200" s="57">
        <v>573.65</v>
      </c>
      <c r="EX200" s="57">
        <v>658.95</v>
      </c>
      <c r="EY200" s="57">
        <v>301.13</v>
      </c>
      <c r="EZ200" s="57">
        <v>594.03</v>
      </c>
      <c r="FA200" s="57">
        <v>730.22</v>
      </c>
      <c r="FB200" s="57">
        <v>643.04</v>
      </c>
      <c r="FC200" s="57">
        <v>886.84</v>
      </c>
      <c r="FD200" s="57">
        <v>528.02</v>
      </c>
      <c r="FE200" s="57">
        <v>714.46</v>
      </c>
      <c r="FF200" s="57">
        <v>130.84</v>
      </c>
      <c r="FG200" s="57">
        <v>543.25</v>
      </c>
      <c r="FH200" s="57">
        <v>503.29</v>
      </c>
      <c r="FI200" s="57">
        <v>694.96</v>
      </c>
      <c r="FJ200" s="57">
        <v>887.55</v>
      </c>
      <c r="FK200" s="57">
        <v>1032.7</v>
      </c>
      <c r="FL200" s="57">
        <v>594.09</v>
      </c>
      <c r="FM200" s="57">
        <v>646.77</v>
      </c>
      <c r="FN200" s="57">
        <v>510.05</v>
      </c>
      <c r="FO200" s="57">
        <v>979.89</v>
      </c>
      <c r="FP200" s="57">
        <v>853.11</v>
      </c>
      <c r="FQ200" s="57">
        <v>385.86</v>
      </c>
      <c r="FR200" s="57">
        <v>1028.1500000000001</v>
      </c>
      <c r="FS200" s="57">
        <v>631.92999999999995</v>
      </c>
      <c r="FT200" s="57">
        <v>345.56</v>
      </c>
      <c r="FU200" s="57">
        <v>674.84</v>
      </c>
      <c r="FV200" s="57">
        <v>500.01</v>
      </c>
      <c r="FW200" s="57">
        <v>341.62</v>
      </c>
      <c r="FX200" s="57">
        <v>650.42999999999995</v>
      </c>
      <c r="FY200" s="57">
        <v>591.51</v>
      </c>
      <c r="FZ200" s="57">
        <v>545.32000000000005</v>
      </c>
      <c r="GA200" s="57">
        <v>515.20000000000005</v>
      </c>
      <c r="GB200" s="57">
        <v>437.99</v>
      </c>
      <c r="GC200" s="57">
        <v>456.59</v>
      </c>
      <c r="GD200" s="57">
        <v>394.49</v>
      </c>
      <c r="GE200" s="57">
        <v>1289.71</v>
      </c>
      <c r="GF200" s="57">
        <v>747.88</v>
      </c>
      <c r="GG200" s="57">
        <v>1191.6300000000001</v>
      </c>
      <c r="GH200" s="57">
        <v>856.47</v>
      </c>
      <c r="GI200" s="57">
        <v>259.83</v>
      </c>
      <c r="GJ200" s="57">
        <v>212.72</v>
      </c>
      <c r="GK200" s="57">
        <v>220.34</v>
      </c>
      <c r="GL200" s="57">
        <v>359.99</v>
      </c>
      <c r="GM200" s="57">
        <v>347.39</v>
      </c>
      <c r="GN200" s="57">
        <v>521.46</v>
      </c>
      <c r="GO200" s="57">
        <v>303.56</v>
      </c>
      <c r="GP200" s="57">
        <v>270.63</v>
      </c>
      <c r="GQ200" s="57">
        <v>297.83</v>
      </c>
      <c r="GR200" s="57">
        <v>618.14</v>
      </c>
      <c r="GS200" s="57">
        <v>588.44000000000005</v>
      </c>
      <c r="GT200" s="57">
        <v>589.09</v>
      </c>
      <c r="GU200" s="57">
        <v>432.21</v>
      </c>
      <c r="GV200" s="57">
        <v>519.52</v>
      </c>
      <c r="GW200" s="57">
        <v>532.14</v>
      </c>
      <c r="GX200" s="57">
        <v>545.02</v>
      </c>
      <c r="GY200" s="57">
        <v>576.05999999999995</v>
      </c>
      <c r="GZ200" s="57">
        <v>662.91</v>
      </c>
      <c r="HA200" s="57">
        <v>535.41</v>
      </c>
      <c r="HB200" s="57">
        <v>550.95000000000005</v>
      </c>
      <c r="HC200" s="57">
        <v>513.09</v>
      </c>
      <c r="HD200" s="57">
        <v>422.75</v>
      </c>
      <c r="HE200" s="57">
        <v>287.16000000000003</v>
      </c>
      <c r="HF200" s="57">
        <v>341.83</v>
      </c>
      <c r="HG200" s="57">
        <v>419.06</v>
      </c>
      <c r="HH200" s="57">
        <v>479.98</v>
      </c>
      <c r="HI200" s="57">
        <v>241.07</v>
      </c>
      <c r="HJ200" s="57">
        <v>426.51</v>
      </c>
      <c r="HK200" s="57">
        <v>741.06</v>
      </c>
      <c r="HL200" s="57">
        <v>419.88</v>
      </c>
      <c r="HM200" s="57">
        <v>526.4</v>
      </c>
      <c r="HN200" s="57">
        <v>541.84</v>
      </c>
      <c r="HO200" s="57">
        <v>346.67</v>
      </c>
      <c r="HP200" s="57">
        <v>641.11</v>
      </c>
      <c r="HQ200" s="57">
        <v>308.2</v>
      </c>
      <c r="HR200" s="57">
        <v>489.77</v>
      </c>
      <c r="HS200" s="57">
        <v>697.09</v>
      </c>
      <c r="HT200" s="57">
        <v>443.71</v>
      </c>
      <c r="HU200" s="57">
        <v>276.20999999999998</v>
      </c>
      <c r="HV200" s="57">
        <v>362.34</v>
      </c>
      <c r="HW200" s="57">
        <v>208.06</v>
      </c>
      <c r="HX200" s="57">
        <v>288.62</v>
      </c>
      <c r="HY200" s="57">
        <v>269.69</v>
      </c>
      <c r="HZ200" s="57">
        <v>538.08000000000004</v>
      </c>
      <c r="IA200" s="57">
        <v>214.77</v>
      </c>
      <c r="IB200" s="57">
        <v>579.01</v>
      </c>
      <c r="IC200" s="57">
        <v>460.11</v>
      </c>
      <c r="ID200" s="57">
        <v>520.94000000000005</v>
      </c>
      <c r="IE200" s="57">
        <v>418.59</v>
      </c>
      <c r="IF200" s="57">
        <v>504.22</v>
      </c>
      <c r="IG200" s="57">
        <v>645.28</v>
      </c>
      <c r="IH200" s="57">
        <v>394.35</v>
      </c>
      <c r="II200" s="57">
        <v>864.6</v>
      </c>
      <c r="IJ200" s="57">
        <v>800.26</v>
      </c>
      <c r="IK200" s="57">
        <v>506.46</v>
      </c>
      <c r="IL200" s="57">
        <v>300.37</v>
      </c>
      <c r="IM200" s="57">
        <v>526.94000000000005</v>
      </c>
      <c r="IN200" s="57">
        <v>529.12</v>
      </c>
      <c r="IO200" s="57">
        <v>464.45</v>
      </c>
      <c r="IP200" s="57">
        <v>299.62</v>
      </c>
      <c r="IQ200" s="57">
        <v>508.41</v>
      </c>
      <c r="IR200" s="57">
        <v>670.9</v>
      </c>
      <c r="IS200" s="57">
        <v>748.37</v>
      </c>
      <c r="IT200" s="57">
        <v>40.450000000000003</v>
      </c>
      <c r="IU200" s="57">
        <v>194.17</v>
      </c>
      <c r="IV200" s="57">
        <v>57.73</v>
      </c>
      <c r="IW200" s="57">
        <v>144.66</v>
      </c>
      <c r="IX200" s="57">
        <v>277.14999999999998</v>
      </c>
      <c r="IY200" s="57">
        <v>568.91</v>
      </c>
      <c r="IZ200" s="57">
        <v>553.97</v>
      </c>
      <c r="JA200" s="57">
        <v>419</v>
      </c>
      <c r="JB200" s="57">
        <v>127.51</v>
      </c>
      <c r="JC200" s="57">
        <v>604.47</v>
      </c>
      <c r="JD200" s="57">
        <v>485.86</v>
      </c>
      <c r="JE200" s="57">
        <v>549</v>
      </c>
      <c r="JF200" s="57">
        <v>335.77</v>
      </c>
      <c r="JG200" s="57">
        <v>422.37</v>
      </c>
      <c r="JH200" s="57">
        <v>629.99</v>
      </c>
      <c r="JI200" s="57">
        <v>615.08000000000004</v>
      </c>
      <c r="JJ200" s="57">
        <v>564.22</v>
      </c>
      <c r="JK200" s="57">
        <v>716.63</v>
      </c>
      <c r="JL200" s="57">
        <v>614.25</v>
      </c>
      <c r="JM200" s="57">
        <v>530.66999999999996</v>
      </c>
      <c r="JN200" s="57">
        <v>353.56</v>
      </c>
      <c r="JO200" s="57">
        <v>340.57</v>
      </c>
      <c r="JP200" s="57">
        <v>850.64</v>
      </c>
      <c r="JQ200" s="57">
        <v>695.35</v>
      </c>
      <c r="JR200" s="57">
        <v>446.38</v>
      </c>
      <c r="JS200" s="57">
        <v>542.30999999999995</v>
      </c>
      <c r="JT200" s="57">
        <v>752.76</v>
      </c>
      <c r="JU200" s="57">
        <v>546.89</v>
      </c>
      <c r="JV200" s="57">
        <v>288.29000000000002</v>
      </c>
      <c r="JW200" s="57">
        <v>378.86</v>
      </c>
      <c r="JX200" s="57">
        <v>2287.2600000000002</v>
      </c>
      <c r="JY200" s="57">
        <v>500.03</v>
      </c>
      <c r="JZ200" s="57">
        <v>556.35</v>
      </c>
      <c r="KA200" s="57">
        <v>611</v>
      </c>
      <c r="KB200" s="57">
        <v>348.09</v>
      </c>
      <c r="KC200" s="57">
        <v>543.88</v>
      </c>
      <c r="KD200" s="57">
        <v>608.58000000000004</v>
      </c>
      <c r="KE200" s="57">
        <v>60.49</v>
      </c>
      <c r="KF200" s="57">
        <v>773.15</v>
      </c>
    </row>
    <row r="201" spans="1:292">
      <c r="A201" s="41">
        <v>2021</v>
      </c>
      <c r="B201" s="54" t="s">
        <v>983</v>
      </c>
      <c r="C201" s="50" t="s">
        <v>984</v>
      </c>
      <c r="D201" s="57">
        <v>532.32000000000005</v>
      </c>
      <c r="E201" s="57">
        <v>660.16</v>
      </c>
      <c r="F201" s="57">
        <v>886.09</v>
      </c>
      <c r="G201" s="57">
        <v>274.23</v>
      </c>
      <c r="H201" s="57">
        <v>562.76</v>
      </c>
      <c r="I201" s="57">
        <v>456.88</v>
      </c>
      <c r="J201" s="57">
        <v>338.61</v>
      </c>
      <c r="K201" s="57">
        <v>531.9</v>
      </c>
      <c r="L201" s="57">
        <v>163.32</v>
      </c>
      <c r="M201" s="57">
        <v>330.79</v>
      </c>
      <c r="N201" s="57">
        <v>462.46</v>
      </c>
      <c r="O201" s="57">
        <v>788.85</v>
      </c>
      <c r="P201" s="57">
        <v>763.86</v>
      </c>
      <c r="Q201" s="57">
        <v>673.24</v>
      </c>
      <c r="R201" s="57">
        <v>497.24</v>
      </c>
      <c r="S201" s="57">
        <v>1227.54</v>
      </c>
      <c r="T201" s="57">
        <v>864.69</v>
      </c>
      <c r="U201" s="57">
        <v>263.91000000000003</v>
      </c>
      <c r="V201" s="57">
        <v>304.74</v>
      </c>
      <c r="W201" s="57">
        <v>591.92999999999995</v>
      </c>
      <c r="X201" s="57">
        <v>616.64</v>
      </c>
      <c r="Y201" s="57">
        <v>435.26</v>
      </c>
      <c r="Z201" s="57">
        <v>575.44000000000005</v>
      </c>
      <c r="AA201" s="57">
        <v>523.62</v>
      </c>
      <c r="AB201" s="57">
        <v>432.28</v>
      </c>
      <c r="AC201" s="57">
        <v>390.84</v>
      </c>
      <c r="AD201" s="57">
        <v>500.05</v>
      </c>
      <c r="AE201" s="57">
        <v>505.88</v>
      </c>
      <c r="AF201" s="57">
        <v>407.98</v>
      </c>
      <c r="AG201" s="57">
        <v>262.23</v>
      </c>
      <c r="AH201" s="57">
        <v>370.87</v>
      </c>
      <c r="AI201" s="57">
        <v>581.25</v>
      </c>
      <c r="AJ201" s="57">
        <v>523.13</v>
      </c>
      <c r="AK201" s="57">
        <v>481.37</v>
      </c>
      <c r="AL201" s="57">
        <v>516.1</v>
      </c>
      <c r="AM201" s="57">
        <v>748.37</v>
      </c>
      <c r="AN201" s="57">
        <v>40.65</v>
      </c>
      <c r="AO201" s="57">
        <v>193.14</v>
      </c>
      <c r="AP201" s="57">
        <v>101.13</v>
      </c>
      <c r="AQ201" s="57">
        <v>583.74</v>
      </c>
      <c r="AR201" s="57">
        <v>555.53</v>
      </c>
      <c r="AS201" s="57">
        <v>417.23</v>
      </c>
      <c r="AT201" s="57">
        <v>598.53</v>
      </c>
      <c r="AU201" s="57">
        <v>721.69</v>
      </c>
      <c r="AV201" s="57">
        <v>631.04999999999995</v>
      </c>
      <c r="AW201" s="57">
        <v>548.63</v>
      </c>
      <c r="AX201" s="57">
        <v>353.56</v>
      </c>
      <c r="AY201" s="57">
        <v>341.67</v>
      </c>
      <c r="AZ201" s="57">
        <v>817.48</v>
      </c>
      <c r="BA201" s="57">
        <v>484.53</v>
      </c>
      <c r="BB201" s="57">
        <v>442.11</v>
      </c>
      <c r="BC201" s="57">
        <v>1820.12</v>
      </c>
      <c r="BD201" s="57">
        <v>613.38</v>
      </c>
      <c r="BE201" s="57">
        <v>581.26</v>
      </c>
      <c r="BF201" s="57">
        <v>60.49</v>
      </c>
      <c r="BG201" s="57">
        <v>773.52</v>
      </c>
      <c r="BH201" s="57">
        <v>650.48</v>
      </c>
      <c r="BI201" s="57">
        <v>657.94</v>
      </c>
      <c r="BJ201" s="57">
        <v>734.37</v>
      </c>
      <c r="BK201" s="57">
        <v>636.41</v>
      </c>
      <c r="BL201" s="57">
        <v>699.47</v>
      </c>
      <c r="BM201" s="57">
        <v>611.65</v>
      </c>
      <c r="BN201" s="57">
        <v>824.49</v>
      </c>
      <c r="BO201" s="57">
        <v>459.23</v>
      </c>
      <c r="BP201" s="57">
        <v>665.72</v>
      </c>
      <c r="BQ201" s="57">
        <v>563.84</v>
      </c>
      <c r="BR201" s="57">
        <v>442.91</v>
      </c>
      <c r="BS201" s="57">
        <v>1289.9000000000001</v>
      </c>
      <c r="BT201" s="57">
        <v>747.21</v>
      </c>
      <c r="BU201" s="57">
        <v>1190.08</v>
      </c>
      <c r="BV201" s="57">
        <v>864.69</v>
      </c>
      <c r="BW201" s="57">
        <v>253.75</v>
      </c>
      <c r="BX201" s="57">
        <v>370.71</v>
      </c>
      <c r="BY201" s="57">
        <v>526.30999999999995</v>
      </c>
      <c r="BZ201" s="57">
        <v>303.32</v>
      </c>
      <c r="CA201" s="57">
        <v>625.97</v>
      </c>
      <c r="CB201" s="58">
        <v>591.92999999999995</v>
      </c>
      <c r="CC201" s="57">
        <v>616.64</v>
      </c>
      <c r="CD201" s="57">
        <v>433.58</v>
      </c>
      <c r="CE201" s="57">
        <v>519.52</v>
      </c>
      <c r="CF201" s="57">
        <v>569.97</v>
      </c>
      <c r="CG201" s="57">
        <v>579.66</v>
      </c>
      <c r="CH201" s="57">
        <v>534.61</v>
      </c>
      <c r="CI201" s="57">
        <v>499.62</v>
      </c>
      <c r="CJ201" s="57">
        <v>432.28</v>
      </c>
      <c r="CK201" s="57">
        <v>357.29</v>
      </c>
      <c r="CL201" s="57">
        <v>429.29</v>
      </c>
      <c r="CM201" s="57">
        <v>744.73</v>
      </c>
      <c r="CN201" s="57">
        <v>500.05</v>
      </c>
      <c r="CO201" s="57">
        <v>505.88</v>
      </c>
      <c r="CP201" s="57">
        <v>335.98</v>
      </c>
      <c r="CQ201" s="57">
        <v>699.85</v>
      </c>
      <c r="CR201" s="57">
        <v>276.26</v>
      </c>
      <c r="CS201" s="57">
        <v>364.31</v>
      </c>
      <c r="CT201" s="57">
        <v>245.09</v>
      </c>
      <c r="CU201" s="57">
        <v>269.8</v>
      </c>
      <c r="CV201" s="57">
        <v>546.17999999999995</v>
      </c>
      <c r="CW201" s="57">
        <v>235.8</v>
      </c>
      <c r="CX201" s="57">
        <v>581.25</v>
      </c>
      <c r="CY201" s="57">
        <v>525.59</v>
      </c>
      <c r="CZ201" s="57">
        <v>427.24</v>
      </c>
      <c r="DA201" s="57">
        <v>529.74</v>
      </c>
      <c r="DB201" s="57">
        <v>658.08</v>
      </c>
      <c r="DC201" s="57">
        <v>391.29</v>
      </c>
      <c r="DD201" s="57">
        <v>875.43</v>
      </c>
      <c r="DE201" s="57">
        <v>805.19</v>
      </c>
      <c r="DF201" s="57">
        <v>395.97</v>
      </c>
      <c r="DG201" s="57">
        <v>519.17999999999995</v>
      </c>
      <c r="DH201" s="57">
        <v>307.07</v>
      </c>
      <c r="DI201" s="57">
        <v>508.71</v>
      </c>
      <c r="DJ201" s="57">
        <v>676.64</v>
      </c>
      <c r="DK201" s="57">
        <v>748.37</v>
      </c>
      <c r="DL201" s="57">
        <v>40.65</v>
      </c>
      <c r="DM201" s="57">
        <v>193.14</v>
      </c>
      <c r="DN201" s="57">
        <v>60.12</v>
      </c>
      <c r="DO201" s="57">
        <v>147.19</v>
      </c>
      <c r="DP201" s="57">
        <v>282.70999999999998</v>
      </c>
      <c r="DQ201" s="57">
        <v>583.74</v>
      </c>
      <c r="DR201" s="57">
        <v>553.91</v>
      </c>
      <c r="DS201" s="57">
        <v>424.44</v>
      </c>
      <c r="DT201" s="57">
        <v>134.47</v>
      </c>
      <c r="DU201" s="57">
        <v>604.66999999999996</v>
      </c>
      <c r="DV201" s="57">
        <v>481.83</v>
      </c>
      <c r="DW201" s="57">
        <v>362.62</v>
      </c>
      <c r="DX201" s="57">
        <v>422.37</v>
      </c>
      <c r="DY201" s="57">
        <v>632.23</v>
      </c>
      <c r="DZ201" s="57">
        <v>639.23</v>
      </c>
      <c r="EA201" s="57">
        <v>576.87</v>
      </c>
      <c r="EB201" s="57">
        <v>721.69</v>
      </c>
      <c r="EC201" s="57">
        <v>631.04999999999995</v>
      </c>
      <c r="ED201" s="57">
        <v>548.63</v>
      </c>
      <c r="EE201" s="57">
        <v>353.56</v>
      </c>
      <c r="EF201" s="57">
        <v>341.67</v>
      </c>
      <c r="EG201" s="57">
        <v>817.48</v>
      </c>
      <c r="EH201" s="57">
        <v>484.53</v>
      </c>
      <c r="EI201" s="57">
        <v>649.91999999999996</v>
      </c>
      <c r="EJ201" s="57">
        <v>290.41000000000003</v>
      </c>
      <c r="EK201" s="57">
        <v>383.73</v>
      </c>
      <c r="EL201" s="57">
        <v>2443.9299999999998</v>
      </c>
      <c r="EM201" s="57">
        <v>538.02</v>
      </c>
      <c r="EN201" s="57">
        <v>613.38</v>
      </c>
      <c r="EO201" s="57">
        <v>348.38</v>
      </c>
      <c r="EP201" s="57">
        <v>552.28</v>
      </c>
      <c r="EQ201" s="57">
        <v>596.73</v>
      </c>
      <c r="ER201" s="57">
        <v>60.49</v>
      </c>
      <c r="ES201" s="57">
        <v>773.52</v>
      </c>
      <c r="ET201" s="57">
        <v>767.87</v>
      </c>
      <c r="EU201" s="57">
        <v>644.04</v>
      </c>
      <c r="EV201" s="57">
        <v>654.05999999999995</v>
      </c>
      <c r="EW201" s="57">
        <v>584.91</v>
      </c>
      <c r="EX201" s="57">
        <v>658.8</v>
      </c>
      <c r="EY201" s="57">
        <v>304.44</v>
      </c>
      <c r="EZ201" s="57">
        <v>610.14</v>
      </c>
      <c r="FA201" s="57">
        <v>747.99</v>
      </c>
      <c r="FB201" s="57">
        <v>663.31</v>
      </c>
      <c r="FC201" s="57">
        <v>886.74</v>
      </c>
      <c r="FD201" s="57">
        <v>536.79999999999995</v>
      </c>
      <c r="FE201" s="57">
        <v>749.87</v>
      </c>
      <c r="FF201" s="57">
        <v>129.24</v>
      </c>
      <c r="FG201" s="57">
        <v>537.27</v>
      </c>
      <c r="FH201" s="57">
        <v>502.32</v>
      </c>
      <c r="FI201" s="57">
        <v>697.25</v>
      </c>
      <c r="FJ201" s="57">
        <v>852.97</v>
      </c>
      <c r="FK201" s="57">
        <v>1036.82</v>
      </c>
      <c r="FL201" s="57">
        <v>599.88</v>
      </c>
      <c r="FM201" s="57">
        <v>664.28</v>
      </c>
      <c r="FN201" s="57">
        <v>547.34</v>
      </c>
      <c r="FO201" s="57">
        <v>982.82</v>
      </c>
      <c r="FP201" s="57">
        <v>912.33</v>
      </c>
      <c r="FQ201" s="57">
        <v>377.03</v>
      </c>
      <c r="FR201" s="57">
        <v>1027.29</v>
      </c>
      <c r="FS201" s="57">
        <v>632.35</v>
      </c>
      <c r="FT201" s="57">
        <v>344.52</v>
      </c>
      <c r="FU201" s="57">
        <v>668.39</v>
      </c>
      <c r="FV201" s="57">
        <v>507.4</v>
      </c>
      <c r="FW201" s="57">
        <v>363.02</v>
      </c>
      <c r="FX201" s="57">
        <v>665.72</v>
      </c>
      <c r="FY201" s="57">
        <v>582.35</v>
      </c>
      <c r="FZ201" s="57">
        <v>556.64</v>
      </c>
      <c r="GA201" s="57">
        <v>524.08000000000004</v>
      </c>
      <c r="GB201" s="57">
        <v>447.97</v>
      </c>
      <c r="GC201" s="57">
        <v>464.57</v>
      </c>
      <c r="GD201" s="57">
        <v>395.3</v>
      </c>
      <c r="GE201" s="57">
        <v>1289.9000000000001</v>
      </c>
      <c r="GF201" s="57">
        <v>747.21</v>
      </c>
      <c r="GG201" s="57">
        <v>1190.08</v>
      </c>
      <c r="GH201" s="57">
        <v>863.24</v>
      </c>
      <c r="GI201" s="57">
        <v>283.01</v>
      </c>
      <c r="GJ201" s="57">
        <v>229.6</v>
      </c>
      <c r="GK201" s="57">
        <v>244.61</v>
      </c>
      <c r="GL201" s="57">
        <v>370.35</v>
      </c>
      <c r="GM201" s="57">
        <v>370.71</v>
      </c>
      <c r="GN201" s="57">
        <v>526.30999999999995</v>
      </c>
      <c r="GO201" s="57">
        <v>317.58</v>
      </c>
      <c r="GP201" s="57">
        <v>283.61</v>
      </c>
      <c r="GQ201" s="57">
        <v>312.29000000000002</v>
      </c>
      <c r="GR201" s="57">
        <v>625.97</v>
      </c>
      <c r="GS201" s="57">
        <v>591.92999999999995</v>
      </c>
      <c r="GT201" s="57">
        <v>616.64</v>
      </c>
      <c r="GU201" s="57">
        <v>433.58</v>
      </c>
      <c r="GV201" s="57">
        <v>519.52</v>
      </c>
      <c r="GW201" s="57">
        <v>537.80999999999995</v>
      </c>
      <c r="GX201" s="57">
        <v>553.95000000000005</v>
      </c>
      <c r="GY201" s="57">
        <v>579.66</v>
      </c>
      <c r="GZ201" s="57">
        <v>640.51</v>
      </c>
      <c r="HA201" s="57">
        <v>514.27</v>
      </c>
      <c r="HB201" s="57">
        <v>531.46</v>
      </c>
      <c r="HC201" s="57">
        <v>499.62</v>
      </c>
      <c r="HD201" s="57">
        <v>432.28</v>
      </c>
      <c r="HE201" s="57">
        <v>289.87</v>
      </c>
      <c r="HF201" s="57">
        <v>344.37</v>
      </c>
      <c r="HG201" s="57">
        <v>422.44</v>
      </c>
      <c r="HH201" s="57">
        <v>489.92</v>
      </c>
      <c r="HI201" s="57">
        <v>227.03</v>
      </c>
      <c r="HJ201" s="57">
        <v>429.29</v>
      </c>
      <c r="HK201" s="57">
        <v>744.73</v>
      </c>
      <c r="HL201" s="57">
        <v>426.53</v>
      </c>
      <c r="HM201" s="57">
        <v>535.21</v>
      </c>
      <c r="HN201" s="57">
        <v>556.6</v>
      </c>
      <c r="HO201" s="57">
        <v>388.25</v>
      </c>
      <c r="HP201" s="57">
        <v>651.64</v>
      </c>
      <c r="HQ201" s="57">
        <v>313.73</v>
      </c>
      <c r="HR201" s="57">
        <v>500.28</v>
      </c>
      <c r="HS201" s="57">
        <v>706.97</v>
      </c>
      <c r="HT201" s="57">
        <v>452.7</v>
      </c>
      <c r="HU201" s="57">
        <v>276.26</v>
      </c>
      <c r="HV201" s="57">
        <v>364.31</v>
      </c>
      <c r="HW201" s="57">
        <v>210.76</v>
      </c>
      <c r="HX201" s="57">
        <v>294.64999999999998</v>
      </c>
      <c r="HY201" s="57">
        <v>269.8</v>
      </c>
      <c r="HZ201" s="57">
        <v>546.17999999999995</v>
      </c>
      <c r="IA201" s="57">
        <v>215.38</v>
      </c>
      <c r="IB201" s="57">
        <v>581.25</v>
      </c>
      <c r="IC201" s="57">
        <v>467.52</v>
      </c>
      <c r="ID201" s="57">
        <v>546.23</v>
      </c>
      <c r="IE201" s="57">
        <v>427.24</v>
      </c>
      <c r="IF201" s="57">
        <v>529.74</v>
      </c>
      <c r="IG201" s="57">
        <v>658.08</v>
      </c>
      <c r="IH201" s="57">
        <v>391.29</v>
      </c>
      <c r="II201" s="57">
        <v>875.43</v>
      </c>
      <c r="IJ201" s="57">
        <v>805.19</v>
      </c>
      <c r="IK201" s="57">
        <v>510.68</v>
      </c>
      <c r="IL201" s="57">
        <v>300.37</v>
      </c>
      <c r="IM201" s="57">
        <v>529.01</v>
      </c>
      <c r="IN201" s="57">
        <v>531.6</v>
      </c>
      <c r="IO201" s="57">
        <v>459.06</v>
      </c>
      <c r="IP201" s="57">
        <v>307.07</v>
      </c>
      <c r="IQ201" s="57">
        <v>508.71</v>
      </c>
      <c r="IR201" s="57">
        <v>676.64</v>
      </c>
      <c r="IS201" s="57">
        <v>748.37</v>
      </c>
      <c r="IT201" s="57">
        <v>40.65</v>
      </c>
      <c r="IU201" s="57">
        <v>193.14</v>
      </c>
      <c r="IV201" s="57">
        <v>60.13</v>
      </c>
      <c r="IW201" s="57">
        <v>147.19</v>
      </c>
      <c r="IX201" s="57">
        <v>282.70999999999998</v>
      </c>
      <c r="IY201" s="57">
        <v>583.74</v>
      </c>
      <c r="IZ201" s="57">
        <v>553.91</v>
      </c>
      <c r="JA201" s="57">
        <v>424.44</v>
      </c>
      <c r="JB201" s="57">
        <v>134.47</v>
      </c>
      <c r="JC201" s="57">
        <v>604.66999999999996</v>
      </c>
      <c r="JD201" s="57">
        <v>481.83</v>
      </c>
      <c r="JE201" s="57">
        <v>553.74</v>
      </c>
      <c r="JF201" s="57">
        <v>333.99</v>
      </c>
      <c r="JG201" s="57">
        <v>422.37</v>
      </c>
      <c r="JH201" s="57">
        <v>632.23</v>
      </c>
      <c r="JI201" s="57">
        <v>639.23</v>
      </c>
      <c r="JJ201" s="57">
        <v>576.87</v>
      </c>
      <c r="JK201" s="57">
        <v>721.69</v>
      </c>
      <c r="JL201" s="57">
        <v>631.04999999999995</v>
      </c>
      <c r="JM201" s="57">
        <v>548.63</v>
      </c>
      <c r="JN201" s="57">
        <v>353.56</v>
      </c>
      <c r="JO201" s="57">
        <v>341.67</v>
      </c>
      <c r="JP201" s="57">
        <v>863.59</v>
      </c>
      <c r="JQ201" s="57">
        <v>699.44</v>
      </c>
      <c r="JR201" s="57">
        <v>455.57</v>
      </c>
      <c r="JS201" s="57">
        <v>542.35</v>
      </c>
      <c r="JT201" s="57">
        <v>760.68</v>
      </c>
      <c r="JU201" s="57">
        <v>553.34</v>
      </c>
      <c r="JV201" s="57">
        <v>290.41000000000003</v>
      </c>
      <c r="JW201" s="57">
        <v>383.73</v>
      </c>
      <c r="JX201" s="57">
        <v>2443.9299999999998</v>
      </c>
      <c r="JY201" s="57">
        <v>506.34</v>
      </c>
      <c r="JZ201" s="57">
        <v>561.4</v>
      </c>
      <c r="KA201" s="57">
        <v>613.38</v>
      </c>
      <c r="KB201" s="57">
        <v>348.38</v>
      </c>
      <c r="KC201" s="57">
        <v>552.28</v>
      </c>
      <c r="KD201" s="57">
        <v>596.73</v>
      </c>
      <c r="KE201" s="57">
        <v>60.49</v>
      </c>
      <c r="KF201" s="57">
        <v>773.52</v>
      </c>
    </row>
    <row r="202" spans="1:292">
      <c r="A202" s="41">
        <v>2021</v>
      </c>
      <c r="B202" s="54" t="s">
        <v>985</v>
      </c>
      <c r="C202" s="50" t="s">
        <v>986</v>
      </c>
      <c r="D202" s="57">
        <v>537.04999999999995</v>
      </c>
      <c r="E202" s="57">
        <v>662.08</v>
      </c>
      <c r="F202" s="57">
        <v>885.96</v>
      </c>
      <c r="G202" s="57">
        <v>279.07</v>
      </c>
      <c r="H202" s="57">
        <v>567.03</v>
      </c>
      <c r="I202" s="57">
        <v>460.3</v>
      </c>
      <c r="J202" s="57">
        <v>339.62</v>
      </c>
      <c r="K202" s="57">
        <v>545.51</v>
      </c>
      <c r="L202" s="57">
        <v>164.23</v>
      </c>
      <c r="M202" s="57">
        <v>326.42</v>
      </c>
      <c r="N202" s="57">
        <v>465.25</v>
      </c>
      <c r="O202" s="57">
        <v>796.33</v>
      </c>
      <c r="P202" s="57">
        <v>776.23</v>
      </c>
      <c r="Q202" s="57">
        <v>674.45</v>
      </c>
      <c r="R202" s="57">
        <v>506.8</v>
      </c>
      <c r="S202" s="57">
        <v>1225.05</v>
      </c>
      <c r="T202" s="57">
        <v>864.69</v>
      </c>
      <c r="U202" s="57">
        <v>270.27999999999997</v>
      </c>
      <c r="V202" s="57">
        <v>302.49</v>
      </c>
      <c r="W202" s="57">
        <v>596.16999999999996</v>
      </c>
      <c r="X202" s="57">
        <v>630.41</v>
      </c>
      <c r="Y202" s="57">
        <v>436.71</v>
      </c>
      <c r="Z202" s="57">
        <v>578.67999999999995</v>
      </c>
      <c r="AA202" s="57">
        <v>532.82000000000005</v>
      </c>
      <c r="AB202" s="57">
        <v>436.03</v>
      </c>
      <c r="AC202" s="57">
        <v>388.89</v>
      </c>
      <c r="AD202" s="57">
        <v>504.71</v>
      </c>
      <c r="AE202" s="57">
        <v>503.98</v>
      </c>
      <c r="AF202" s="57">
        <v>412.74</v>
      </c>
      <c r="AG202" s="57">
        <v>262.64</v>
      </c>
      <c r="AH202" s="57">
        <v>372.4</v>
      </c>
      <c r="AI202" s="57">
        <v>582.84</v>
      </c>
      <c r="AJ202" s="57">
        <v>530.17999999999995</v>
      </c>
      <c r="AK202" s="57">
        <v>496.57</v>
      </c>
      <c r="AL202" s="57">
        <v>542.13</v>
      </c>
      <c r="AM202" s="57">
        <v>748.37</v>
      </c>
      <c r="AN202" s="57">
        <v>40.32</v>
      </c>
      <c r="AO202" s="57">
        <v>195.07</v>
      </c>
      <c r="AP202" s="57">
        <v>100.37</v>
      </c>
      <c r="AQ202" s="57">
        <v>584.91</v>
      </c>
      <c r="AR202" s="57">
        <v>529.86</v>
      </c>
      <c r="AS202" s="57">
        <v>417.53</v>
      </c>
      <c r="AT202" s="57">
        <v>583.54999999999995</v>
      </c>
      <c r="AU202" s="57">
        <v>731.85</v>
      </c>
      <c r="AV202" s="57">
        <v>637.72</v>
      </c>
      <c r="AW202" s="57">
        <v>552.6</v>
      </c>
      <c r="AX202" s="57">
        <v>353.56</v>
      </c>
      <c r="AY202" s="57">
        <v>343.49</v>
      </c>
      <c r="AZ202" s="57">
        <v>826.01</v>
      </c>
      <c r="BA202" s="57">
        <v>482.95</v>
      </c>
      <c r="BB202" s="57">
        <v>443.79</v>
      </c>
      <c r="BC202" s="57">
        <v>1917.1</v>
      </c>
      <c r="BD202" s="57">
        <v>614.54999999999995</v>
      </c>
      <c r="BE202" s="57">
        <v>585.38</v>
      </c>
      <c r="BF202" s="57">
        <v>60.49</v>
      </c>
      <c r="BG202" s="57">
        <v>773.84</v>
      </c>
      <c r="BH202" s="57">
        <v>656.67</v>
      </c>
      <c r="BI202" s="57">
        <v>676.79</v>
      </c>
      <c r="BJ202" s="57">
        <v>794.42</v>
      </c>
      <c r="BK202" s="57">
        <v>635.55999999999995</v>
      </c>
      <c r="BL202" s="57">
        <v>702.52</v>
      </c>
      <c r="BM202" s="57">
        <v>645.45000000000005</v>
      </c>
      <c r="BN202" s="57">
        <v>744.29</v>
      </c>
      <c r="BO202" s="57">
        <v>465.08</v>
      </c>
      <c r="BP202" s="57">
        <v>677.16</v>
      </c>
      <c r="BQ202" s="57">
        <v>572.48</v>
      </c>
      <c r="BR202" s="57">
        <v>453.11</v>
      </c>
      <c r="BS202" s="57">
        <v>1289.96</v>
      </c>
      <c r="BT202" s="57">
        <v>747.17</v>
      </c>
      <c r="BU202" s="57">
        <v>1185.3</v>
      </c>
      <c r="BV202" s="57">
        <v>864.69</v>
      </c>
      <c r="BW202" s="57">
        <v>260.26</v>
      </c>
      <c r="BX202" s="57">
        <v>370.48</v>
      </c>
      <c r="BY202" s="57">
        <v>530.21</v>
      </c>
      <c r="BZ202" s="57">
        <v>301.04000000000002</v>
      </c>
      <c r="CA202" s="57">
        <v>631.89</v>
      </c>
      <c r="CB202" s="58">
        <v>596.16999999999996</v>
      </c>
      <c r="CC202" s="57">
        <v>630.41</v>
      </c>
      <c r="CD202" s="57">
        <v>435.02</v>
      </c>
      <c r="CE202" s="57">
        <v>519.52</v>
      </c>
      <c r="CF202" s="57">
        <v>576.30999999999995</v>
      </c>
      <c r="CG202" s="57">
        <v>585.07000000000005</v>
      </c>
      <c r="CH202" s="57">
        <v>544.37</v>
      </c>
      <c r="CI202" s="57">
        <v>504.47</v>
      </c>
      <c r="CJ202" s="57">
        <v>436.03</v>
      </c>
      <c r="CK202" s="57">
        <v>357.43</v>
      </c>
      <c r="CL202" s="57">
        <v>400.32</v>
      </c>
      <c r="CM202" s="57">
        <v>745.43</v>
      </c>
      <c r="CN202" s="57">
        <v>504.71</v>
      </c>
      <c r="CO202" s="57">
        <v>503.98</v>
      </c>
      <c r="CP202" s="57">
        <v>339.78</v>
      </c>
      <c r="CQ202" s="57">
        <v>708.57</v>
      </c>
      <c r="CR202" s="57">
        <v>276.27</v>
      </c>
      <c r="CS202" s="57">
        <v>363.14</v>
      </c>
      <c r="CT202" s="57">
        <v>247.08</v>
      </c>
      <c r="CU202" s="57">
        <v>269.83</v>
      </c>
      <c r="CV202" s="57">
        <v>549.99</v>
      </c>
      <c r="CW202" s="57">
        <v>236.7</v>
      </c>
      <c r="CX202" s="57">
        <v>582.84</v>
      </c>
      <c r="CY202" s="57">
        <v>532.72</v>
      </c>
      <c r="CZ202" s="57">
        <v>430.69</v>
      </c>
      <c r="DA202" s="57">
        <v>544.49</v>
      </c>
      <c r="DB202" s="57">
        <v>666.32</v>
      </c>
      <c r="DC202" s="57">
        <v>406.33</v>
      </c>
      <c r="DD202" s="57">
        <v>894.36</v>
      </c>
      <c r="DE202" s="57">
        <v>813.38</v>
      </c>
      <c r="DF202" s="57">
        <v>395.97</v>
      </c>
      <c r="DG202" s="57">
        <v>549.07000000000005</v>
      </c>
      <c r="DH202" s="57">
        <v>311.87</v>
      </c>
      <c r="DI202" s="57">
        <v>508.9</v>
      </c>
      <c r="DJ202" s="57">
        <v>681.14</v>
      </c>
      <c r="DK202" s="57">
        <v>748.37</v>
      </c>
      <c r="DL202" s="57">
        <v>40.32</v>
      </c>
      <c r="DM202" s="57">
        <v>195.07</v>
      </c>
      <c r="DN202" s="57">
        <v>59.7</v>
      </c>
      <c r="DO202" s="57">
        <v>145.56</v>
      </c>
      <c r="DP202" s="57">
        <v>282.86</v>
      </c>
      <c r="DQ202" s="57">
        <v>584.91</v>
      </c>
      <c r="DR202" s="57">
        <v>552.64</v>
      </c>
      <c r="DS202" s="57">
        <v>403.53</v>
      </c>
      <c r="DT202" s="57">
        <v>123.05</v>
      </c>
      <c r="DU202" s="57">
        <v>607.87</v>
      </c>
      <c r="DV202" s="57">
        <v>481.83</v>
      </c>
      <c r="DW202" s="57">
        <v>363.26</v>
      </c>
      <c r="DX202" s="57">
        <v>422.37</v>
      </c>
      <c r="DY202" s="57">
        <v>602.91999999999996</v>
      </c>
      <c r="DZ202" s="57">
        <v>639.23</v>
      </c>
      <c r="EA202" s="57">
        <v>580.05999999999995</v>
      </c>
      <c r="EB202" s="57">
        <v>731.85</v>
      </c>
      <c r="EC202" s="57">
        <v>637.72</v>
      </c>
      <c r="ED202" s="57">
        <v>552.6</v>
      </c>
      <c r="EE202" s="57">
        <v>353.56</v>
      </c>
      <c r="EF202" s="57">
        <v>343.49</v>
      </c>
      <c r="EG202" s="57">
        <v>826.01</v>
      </c>
      <c r="EH202" s="57">
        <v>482.95</v>
      </c>
      <c r="EI202" s="57">
        <v>652.65</v>
      </c>
      <c r="EJ202" s="57">
        <v>281.51</v>
      </c>
      <c r="EK202" s="57">
        <v>385.53</v>
      </c>
      <c r="EL202" s="57">
        <v>2643.26</v>
      </c>
      <c r="EM202" s="57">
        <v>528.38</v>
      </c>
      <c r="EN202" s="57">
        <v>614.54999999999995</v>
      </c>
      <c r="EO202" s="57">
        <v>348.33</v>
      </c>
      <c r="EP202" s="57">
        <v>591.48</v>
      </c>
      <c r="EQ202" s="57">
        <v>595.6</v>
      </c>
      <c r="ER202" s="57">
        <v>60.49</v>
      </c>
      <c r="ES202" s="57">
        <v>773.84</v>
      </c>
      <c r="ET202" s="57">
        <v>770.52</v>
      </c>
      <c r="EU202" s="57">
        <v>649.28</v>
      </c>
      <c r="EV202" s="57">
        <v>661.79</v>
      </c>
      <c r="EW202" s="57">
        <v>590.03</v>
      </c>
      <c r="EX202" s="57">
        <v>659.5</v>
      </c>
      <c r="EY202" s="57">
        <v>306.3</v>
      </c>
      <c r="EZ202" s="57">
        <v>638.4</v>
      </c>
      <c r="FA202" s="57">
        <v>766.93</v>
      </c>
      <c r="FB202" s="57">
        <v>675.69</v>
      </c>
      <c r="FC202" s="57">
        <v>884.93</v>
      </c>
      <c r="FD202" s="57">
        <v>536.15</v>
      </c>
      <c r="FE202" s="57">
        <v>815.37</v>
      </c>
      <c r="FF202" s="57">
        <v>130.65</v>
      </c>
      <c r="FG202" s="57">
        <v>532.39</v>
      </c>
      <c r="FH202" s="57">
        <v>497.82</v>
      </c>
      <c r="FI202" s="57">
        <v>697.95</v>
      </c>
      <c r="FJ202" s="57">
        <v>859.83</v>
      </c>
      <c r="FK202" s="57">
        <v>1039.68</v>
      </c>
      <c r="FL202" s="57">
        <v>615.29</v>
      </c>
      <c r="FM202" s="57">
        <v>666.41</v>
      </c>
      <c r="FN202" s="57">
        <v>590.17999999999995</v>
      </c>
      <c r="FO202" s="57">
        <v>984.67</v>
      </c>
      <c r="FP202" s="57">
        <v>751.98</v>
      </c>
      <c r="FQ202" s="57">
        <v>533.77</v>
      </c>
      <c r="FR202" s="57">
        <v>1044.01</v>
      </c>
      <c r="FS202" s="57">
        <v>640.87</v>
      </c>
      <c r="FT202" s="57">
        <v>343.45</v>
      </c>
      <c r="FU202" s="57">
        <v>669.03</v>
      </c>
      <c r="FV202" s="57">
        <v>515.25</v>
      </c>
      <c r="FW202" s="57">
        <v>383.66</v>
      </c>
      <c r="FX202" s="57">
        <v>677.16</v>
      </c>
      <c r="FY202" s="57">
        <v>582.62</v>
      </c>
      <c r="FZ202" s="57">
        <v>567.23</v>
      </c>
      <c r="GA202" s="57">
        <v>529.69000000000005</v>
      </c>
      <c r="GB202" s="57">
        <v>452.69</v>
      </c>
      <c r="GC202" s="57">
        <v>482.99</v>
      </c>
      <c r="GD202" s="57">
        <v>402.81</v>
      </c>
      <c r="GE202" s="57">
        <v>1289.96</v>
      </c>
      <c r="GF202" s="57">
        <v>747.17</v>
      </c>
      <c r="GG202" s="57">
        <v>1185.3</v>
      </c>
      <c r="GH202" s="57">
        <v>863.24</v>
      </c>
      <c r="GI202" s="57">
        <v>288.43</v>
      </c>
      <c r="GJ202" s="57">
        <v>235.65</v>
      </c>
      <c r="GK202" s="57">
        <v>254.64</v>
      </c>
      <c r="GL202" s="57">
        <v>372.9</v>
      </c>
      <c r="GM202" s="57">
        <v>370.48</v>
      </c>
      <c r="GN202" s="57">
        <v>530.21</v>
      </c>
      <c r="GO202" s="57">
        <v>314.17</v>
      </c>
      <c r="GP202" s="57">
        <v>279.87</v>
      </c>
      <c r="GQ202" s="57">
        <v>315.74</v>
      </c>
      <c r="GR202" s="57">
        <v>631.89</v>
      </c>
      <c r="GS202" s="57">
        <v>596.16999999999996</v>
      </c>
      <c r="GT202" s="57">
        <v>630.41</v>
      </c>
      <c r="GU202" s="57">
        <v>435.02</v>
      </c>
      <c r="GV202" s="57">
        <v>519.52</v>
      </c>
      <c r="GW202" s="57">
        <v>544.96</v>
      </c>
      <c r="GX202" s="57">
        <v>555.89</v>
      </c>
      <c r="GY202" s="57">
        <v>585.07000000000005</v>
      </c>
      <c r="GZ202" s="57">
        <v>657.55</v>
      </c>
      <c r="HA202" s="57">
        <v>523.17999999999995</v>
      </c>
      <c r="HB202" s="57">
        <v>539.79999999999995</v>
      </c>
      <c r="HC202" s="57">
        <v>504.47</v>
      </c>
      <c r="HD202" s="57">
        <v>436.03</v>
      </c>
      <c r="HE202" s="57">
        <v>289.45999999999998</v>
      </c>
      <c r="HF202" s="57">
        <v>344.56</v>
      </c>
      <c r="HG202" s="57">
        <v>431.89</v>
      </c>
      <c r="HH202" s="57">
        <v>500.91</v>
      </c>
      <c r="HI202" s="57">
        <v>215.39</v>
      </c>
      <c r="HJ202" s="57">
        <v>400.32</v>
      </c>
      <c r="HK202" s="57">
        <v>745.43</v>
      </c>
      <c r="HL202" s="57">
        <v>431.77</v>
      </c>
      <c r="HM202" s="57">
        <v>534.53</v>
      </c>
      <c r="HN202" s="57">
        <v>561.52</v>
      </c>
      <c r="HO202" s="57">
        <v>382.98</v>
      </c>
      <c r="HP202" s="57">
        <v>657.36</v>
      </c>
      <c r="HQ202" s="57">
        <v>315.64999999999998</v>
      </c>
      <c r="HR202" s="57">
        <v>518.20000000000005</v>
      </c>
      <c r="HS202" s="57">
        <v>716.03</v>
      </c>
      <c r="HT202" s="57">
        <v>457.49</v>
      </c>
      <c r="HU202" s="57">
        <v>276.27</v>
      </c>
      <c r="HV202" s="57">
        <v>363.14</v>
      </c>
      <c r="HW202" s="57">
        <v>212.15</v>
      </c>
      <c r="HX202" s="57">
        <v>297.86</v>
      </c>
      <c r="HY202" s="57">
        <v>269.83</v>
      </c>
      <c r="HZ202" s="57">
        <v>549.99</v>
      </c>
      <c r="IA202" s="57">
        <v>216.21</v>
      </c>
      <c r="IB202" s="57">
        <v>582.84</v>
      </c>
      <c r="IC202" s="57">
        <v>471.25</v>
      </c>
      <c r="ID202" s="57">
        <v>555.83000000000004</v>
      </c>
      <c r="IE202" s="57">
        <v>430.69</v>
      </c>
      <c r="IF202" s="57">
        <v>544.49</v>
      </c>
      <c r="IG202" s="57">
        <v>666.32</v>
      </c>
      <c r="IH202" s="57">
        <v>406.33</v>
      </c>
      <c r="II202" s="57">
        <v>894.36</v>
      </c>
      <c r="IJ202" s="57">
        <v>813.38</v>
      </c>
      <c r="IK202" s="57">
        <v>510.68</v>
      </c>
      <c r="IL202" s="57">
        <v>300.37</v>
      </c>
      <c r="IM202" s="57">
        <v>529.83000000000004</v>
      </c>
      <c r="IN202" s="57">
        <v>532.98</v>
      </c>
      <c r="IO202" s="57">
        <v>594.47</v>
      </c>
      <c r="IP202" s="57">
        <v>311.87</v>
      </c>
      <c r="IQ202" s="57">
        <v>508.9</v>
      </c>
      <c r="IR202" s="57">
        <v>681.14</v>
      </c>
      <c r="IS202" s="57">
        <v>748.37</v>
      </c>
      <c r="IT202" s="57">
        <v>40.32</v>
      </c>
      <c r="IU202" s="57">
        <v>195.07</v>
      </c>
      <c r="IV202" s="57">
        <v>59.71</v>
      </c>
      <c r="IW202" s="57">
        <v>145.56</v>
      </c>
      <c r="IX202" s="57">
        <v>282.86</v>
      </c>
      <c r="IY202" s="57">
        <v>584.91</v>
      </c>
      <c r="IZ202" s="57">
        <v>552.64</v>
      </c>
      <c r="JA202" s="57">
        <v>403.53</v>
      </c>
      <c r="JB202" s="57">
        <v>123.05</v>
      </c>
      <c r="JC202" s="57">
        <v>607.87</v>
      </c>
      <c r="JD202" s="57">
        <v>481.83</v>
      </c>
      <c r="JE202" s="57">
        <v>558.57000000000005</v>
      </c>
      <c r="JF202" s="57">
        <v>334.21</v>
      </c>
      <c r="JG202" s="57">
        <v>422.37</v>
      </c>
      <c r="JH202" s="57">
        <v>602.91999999999996</v>
      </c>
      <c r="JI202" s="57">
        <v>639.23</v>
      </c>
      <c r="JJ202" s="57">
        <v>580.05999999999995</v>
      </c>
      <c r="JK202" s="57">
        <v>731.85</v>
      </c>
      <c r="JL202" s="57">
        <v>637.72</v>
      </c>
      <c r="JM202" s="57">
        <v>552.6</v>
      </c>
      <c r="JN202" s="57">
        <v>353.56</v>
      </c>
      <c r="JO202" s="57">
        <v>343.49</v>
      </c>
      <c r="JP202" s="57">
        <v>873.99</v>
      </c>
      <c r="JQ202" s="57">
        <v>701.79</v>
      </c>
      <c r="JR202" s="57">
        <v>453.42</v>
      </c>
      <c r="JS202" s="57">
        <v>542.35</v>
      </c>
      <c r="JT202" s="57">
        <v>763.74</v>
      </c>
      <c r="JU202" s="57">
        <v>555.76</v>
      </c>
      <c r="JV202" s="57">
        <v>281.51</v>
      </c>
      <c r="JW202" s="57">
        <v>385.53</v>
      </c>
      <c r="JX202" s="57">
        <v>2643.26</v>
      </c>
      <c r="JY202" s="57">
        <v>489.86</v>
      </c>
      <c r="JZ202" s="57">
        <v>561.42999999999995</v>
      </c>
      <c r="KA202" s="57">
        <v>614.54999999999995</v>
      </c>
      <c r="KB202" s="57">
        <v>348.33</v>
      </c>
      <c r="KC202" s="57">
        <v>591.48</v>
      </c>
      <c r="KD202" s="57">
        <v>595.6</v>
      </c>
      <c r="KE202" s="57">
        <v>60.49</v>
      </c>
      <c r="KF202" s="57">
        <v>773.84</v>
      </c>
    </row>
    <row r="203" spans="1:292">
      <c r="A203" s="41">
        <v>2021</v>
      </c>
      <c r="B203" s="54" t="s">
        <v>987</v>
      </c>
      <c r="C203" s="50" t="s">
        <v>988</v>
      </c>
      <c r="D203" s="57">
        <v>547.48</v>
      </c>
      <c r="E203" s="57">
        <v>667.88</v>
      </c>
      <c r="F203" s="57">
        <v>885.88</v>
      </c>
      <c r="G203" s="57">
        <v>285.77</v>
      </c>
      <c r="H203" s="57">
        <v>573.70000000000005</v>
      </c>
      <c r="I203" s="57">
        <v>481.01</v>
      </c>
      <c r="J203" s="57">
        <v>342.32</v>
      </c>
      <c r="K203" s="57">
        <v>560.71</v>
      </c>
      <c r="L203" s="57">
        <v>164.81</v>
      </c>
      <c r="M203" s="57">
        <v>340.98</v>
      </c>
      <c r="N203" s="57">
        <v>475.51</v>
      </c>
      <c r="O203" s="57">
        <v>826.76</v>
      </c>
      <c r="P203" s="57">
        <v>797.18</v>
      </c>
      <c r="Q203" s="57">
        <v>679.72</v>
      </c>
      <c r="R203" s="57">
        <v>518.17999999999995</v>
      </c>
      <c r="S203" s="57">
        <v>1223.5</v>
      </c>
      <c r="T203" s="57">
        <v>864.69</v>
      </c>
      <c r="U203" s="57">
        <v>277.86</v>
      </c>
      <c r="V203" s="57">
        <v>304.82</v>
      </c>
      <c r="W203" s="57">
        <v>600.78</v>
      </c>
      <c r="X203" s="57">
        <v>669.06</v>
      </c>
      <c r="Y203" s="57">
        <v>438.31</v>
      </c>
      <c r="Z203" s="57">
        <v>581.37</v>
      </c>
      <c r="AA203" s="57">
        <v>563</v>
      </c>
      <c r="AB203" s="57">
        <v>448.37</v>
      </c>
      <c r="AC203" s="57">
        <v>412.96</v>
      </c>
      <c r="AD203" s="57">
        <v>517.15</v>
      </c>
      <c r="AE203" s="57">
        <v>504.39</v>
      </c>
      <c r="AF203" s="57">
        <v>423.46</v>
      </c>
      <c r="AG203" s="57">
        <v>263.55</v>
      </c>
      <c r="AH203" s="57">
        <v>375.36</v>
      </c>
      <c r="AI203" s="57">
        <v>592.17999999999995</v>
      </c>
      <c r="AJ203" s="57">
        <v>537.71</v>
      </c>
      <c r="AK203" s="57">
        <v>520.29999999999995</v>
      </c>
      <c r="AL203" s="57">
        <v>555.42999999999995</v>
      </c>
      <c r="AM203" s="57">
        <v>748.37</v>
      </c>
      <c r="AN203" s="57">
        <v>40.51</v>
      </c>
      <c r="AO203" s="57">
        <v>195.67</v>
      </c>
      <c r="AP203" s="57">
        <v>103.72</v>
      </c>
      <c r="AQ203" s="57">
        <v>606.75</v>
      </c>
      <c r="AR203" s="57">
        <v>553.35</v>
      </c>
      <c r="AS203" s="57">
        <v>440.55</v>
      </c>
      <c r="AT203" s="57">
        <v>610.12</v>
      </c>
      <c r="AU203" s="57">
        <v>766.3</v>
      </c>
      <c r="AV203" s="57">
        <v>661.6</v>
      </c>
      <c r="AW203" s="57">
        <v>568.33000000000004</v>
      </c>
      <c r="AX203" s="57">
        <v>353.56</v>
      </c>
      <c r="AY203" s="57">
        <v>347.66</v>
      </c>
      <c r="AZ203" s="57">
        <v>856.69</v>
      </c>
      <c r="BA203" s="57">
        <v>508.47</v>
      </c>
      <c r="BB203" s="57">
        <v>460</v>
      </c>
      <c r="BC203" s="57">
        <v>1964.17</v>
      </c>
      <c r="BD203" s="57">
        <v>620.80999999999995</v>
      </c>
      <c r="BE203" s="57">
        <v>596.46</v>
      </c>
      <c r="BF203" s="57">
        <v>60.48</v>
      </c>
      <c r="BG203" s="57">
        <v>774.79</v>
      </c>
      <c r="BH203" s="57">
        <v>666.25</v>
      </c>
      <c r="BI203" s="57">
        <v>716.05</v>
      </c>
      <c r="BJ203" s="57">
        <v>827.39</v>
      </c>
      <c r="BK203" s="57">
        <v>636.35</v>
      </c>
      <c r="BL203" s="57">
        <v>731.42</v>
      </c>
      <c r="BM203" s="57">
        <v>625.13</v>
      </c>
      <c r="BN203" s="57">
        <v>702.43</v>
      </c>
      <c r="BO203" s="57">
        <v>468.73</v>
      </c>
      <c r="BP203" s="57">
        <v>692.83</v>
      </c>
      <c r="BQ203" s="57">
        <v>586.87</v>
      </c>
      <c r="BR203" s="57">
        <v>462.12</v>
      </c>
      <c r="BS203" s="57">
        <v>1295.1300000000001</v>
      </c>
      <c r="BT203" s="57">
        <v>730.18</v>
      </c>
      <c r="BU203" s="57">
        <v>1183.1500000000001</v>
      </c>
      <c r="BV203" s="57">
        <v>864.69</v>
      </c>
      <c r="BW203" s="57">
        <v>267.54000000000002</v>
      </c>
      <c r="BX203" s="57">
        <v>380.16</v>
      </c>
      <c r="BY203" s="57">
        <v>546.44000000000005</v>
      </c>
      <c r="BZ203" s="57">
        <v>303.33999999999997</v>
      </c>
      <c r="CA203" s="57">
        <v>639.82000000000005</v>
      </c>
      <c r="CB203" s="58">
        <v>600.78</v>
      </c>
      <c r="CC203" s="57">
        <v>669.06</v>
      </c>
      <c r="CD203" s="57">
        <v>436.62</v>
      </c>
      <c r="CE203" s="57">
        <v>519.52</v>
      </c>
      <c r="CF203" s="57">
        <v>580.6</v>
      </c>
      <c r="CG203" s="57">
        <v>592.04999999999995</v>
      </c>
      <c r="CH203" s="57">
        <v>576.78</v>
      </c>
      <c r="CI203" s="57">
        <v>516.29</v>
      </c>
      <c r="CJ203" s="57">
        <v>448.37</v>
      </c>
      <c r="CK203" s="57">
        <v>381.16</v>
      </c>
      <c r="CL203" s="57">
        <v>427.65</v>
      </c>
      <c r="CM203" s="57">
        <v>748.77</v>
      </c>
      <c r="CN203" s="57">
        <v>517.15</v>
      </c>
      <c r="CO203" s="57">
        <v>504.39</v>
      </c>
      <c r="CP203" s="57">
        <v>350.1</v>
      </c>
      <c r="CQ203" s="57">
        <v>719.04</v>
      </c>
      <c r="CR203" s="57">
        <v>276.3</v>
      </c>
      <c r="CS203" s="57">
        <v>367.5</v>
      </c>
      <c r="CT203" s="57">
        <v>249.53</v>
      </c>
      <c r="CU203" s="57">
        <v>270.20999999999998</v>
      </c>
      <c r="CV203" s="57">
        <v>556.41</v>
      </c>
      <c r="CW203" s="57">
        <v>238.8</v>
      </c>
      <c r="CX203" s="57">
        <v>592.17999999999995</v>
      </c>
      <c r="CY203" s="57">
        <v>539.27</v>
      </c>
      <c r="CZ203" s="57">
        <v>457.39</v>
      </c>
      <c r="DA203" s="57">
        <v>568.26</v>
      </c>
      <c r="DB203" s="57">
        <v>686.82</v>
      </c>
      <c r="DC203" s="57">
        <v>432.04</v>
      </c>
      <c r="DD203" s="57">
        <v>903</v>
      </c>
      <c r="DE203" s="57">
        <v>842.97</v>
      </c>
      <c r="DF203" s="57">
        <v>395.97</v>
      </c>
      <c r="DG203" s="57">
        <v>563.55999999999995</v>
      </c>
      <c r="DH203" s="57">
        <v>314.83</v>
      </c>
      <c r="DI203" s="57">
        <v>509.1</v>
      </c>
      <c r="DJ203" s="57">
        <v>700.04</v>
      </c>
      <c r="DK203" s="57">
        <v>748.37</v>
      </c>
      <c r="DL203" s="57">
        <v>40.51</v>
      </c>
      <c r="DM203" s="57">
        <v>195.67</v>
      </c>
      <c r="DN203" s="57">
        <v>62.38</v>
      </c>
      <c r="DO203" s="57">
        <v>146.88999999999999</v>
      </c>
      <c r="DP203" s="57">
        <v>288.38</v>
      </c>
      <c r="DQ203" s="57">
        <v>606.75</v>
      </c>
      <c r="DR203" s="57">
        <v>556.74</v>
      </c>
      <c r="DS203" s="57">
        <v>416.55</v>
      </c>
      <c r="DT203" s="57">
        <v>133.51</v>
      </c>
      <c r="DU203" s="57">
        <v>615.15</v>
      </c>
      <c r="DV203" s="57">
        <v>524.24</v>
      </c>
      <c r="DW203" s="57">
        <v>367.65</v>
      </c>
      <c r="DX203" s="57">
        <v>435.34</v>
      </c>
      <c r="DY203" s="57">
        <v>641.82000000000005</v>
      </c>
      <c r="DZ203" s="57">
        <v>642.58000000000004</v>
      </c>
      <c r="EA203" s="57">
        <v>594.4</v>
      </c>
      <c r="EB203" s="57">
        <v>766.3</v>
      </c>
      <c r="EC203" s="57">
        <v>661.6</v>
      </c>
      <c r="ED203" s="57">
        <v>568.33000000000004</v>
      </c>
      <c r="EE203" s="57">
        <v>353.56</v>
      </c>
      <c r="EF203" s="57">
        <v>347.66</v>
      </c>
      <c r="EG203" s="57">
        <v>856.69</v>
      </c>
      <c r="EH203" s="57">
        <v>508.47</v>
      </c>
      <c r="EI203" s="57">
        <v>662.79</v>
      </c>
      <c r="EJ203" s="57">
        <v>288.45999999999998</v>
      </c>
      <c r="EK203" s="57">
        <v>401.99</v>
      </c>
      <c r="EL203" s="57">
        <v>2701.47</v>
      </c>
      <c r="EM203" s="57">
        <v>545.07000000000005</v>
      </c>
      <c r="EN203" s="57">
        <v>620.80999999999995</v>
      </c>
      <c r="EO203" s="57">
        <v>348.63</v>
      </c>
      <c r="EP203" s="57">
        <v>606.74</v>
      </c>
      <c r="EQ203" s="57">
        <v>607.27</v>
      </c>
      <c r="ER203" s="57">
        <v>60.48</v>
      </c>
      <c r="ES203" s="57">
        <v>774.79</v>
      </c>
      <c r="ET203" s="57">
        <v>774.18</v>
      </c>
      <c r="EU203" s="57">
        <v>657.34</v>
      </c>
      <c r="EV203" s="57">
        <v>674.32</v>
      </c>
      <c r="EW203" s="57">
        <v>595.75</v>
      </c>
      <c r="EX203" s="57">
        <v>673.8</v>
      </c>
      <c r="EY203" s="57">
        <v>305.98</v>
      </c>
      <c r="EZ203" s="57">
        <v>689.96</v>
      </c>
      <c r="FA203" s="57">
        <v>780.19</v>
      </c>
      <c r="FB203" s="57">
        <v>700.87</v>
      </c>
      <c r="FC203" s="57">
        <v>911.65</v>
      </c>
      <c r="FD203" s="57">
        <v>585.02</v>
      </c>
      <c r="FE203" s="57">
        <v>852.23</v>
      </c>
      <c r="FF203" s="57">
        <v>129.44999999999999</v>
      </c>
      <c r="FG203" s="57">
        <v>540.22</v>
      </c>
      <c r="FH203" s="57">
        <v>491.8</v>
      </c>
      <c r="FI203" s="57">
        <v>704.76</v>
      </c>
      <c r="FJ203" s="57">
        <v>843.45</v>
      </c>
      <c r="FK203" s="57">
        <v>1038.78</v>
      </c>
      <c r="FL203" s="57">
        <v>683.83</v>
      </c>
      <c r="FM203" s="57">
        <v>698.51</v>
      </c>
      <c r="FN203" s="57">
        <v>562.01</v>
      </c>
      <c r="FO203" s="57">
        <v>993.62</v>
      </c>
      <c r="FP203" s="57">
        <v>673.98</v>
      </c>
      <c r="FQ203" s="57">
        <v>552.54</v>
      </c>
      <c r="FR203" s="57">
        <v>1082.3800000000001</v>
      </c>
      <c r="FS203" s="57">
        <v>648.17999999999995</v>
      </c>
      <c r="FT203" s="57">
        <v>345.23</v>
      </c>
      <c r="FU203" s="57">
        <v>688.44</v>
      </c>
      <c r="FV203" s="57">
        <v>511.24</v>
      </c>
      <c r="FW203" s="57">
        <v>389.12</v>
      </c>
      <c r="FX203" s="57">
        <v>692.83</v>
      </c>
      <c r="FY203" s="57">
        <v>603.30999999999995</v>
      </c>
      <c r="FZ203" s="57">
        <v>580.36</v>
      </c>
      <c r="GA203" s="57">
        <v>528.29</v>
      </c>
      <c r="GB203" s="57">
        <v>457.88</v>
      </c>
      <c r="GC203" s="57">
        <v>496.77</v>
      </c>
      <c r="GD203" s="57">
        <v>412.4</v>
      </c>
      <c r="GE203" s="57">
        <v>1295.1300000000001</v>
      </c>
      <c r="GF203" s="57">
        <v>730.18</v>
      </c>
      <c r="GG203" s="57">
        <v>1183.1500000000001</v>
      </c>
      <c r="GH203" s="57">
        <v>863.24</v>
      </c>
      <c r="GI203" s="57">
        <v>297.35000000000002</v>
      </c>
      <c r="GJ203" s="57">
        <v>241.85</v>
      </c>
      <c r="GK203" s="57">
        <v>261.77</v>
      </c>
      <c r="GL203" s="57">
        <v>377.46</v>
      </c>
      <c r="GM203" s="57">
        <v>380.16</v>
      </c>
      <c r="GN203" s="57">
        <v>546.44000000000005</v>
      </c>
      <c r="GO203" s="57">
        <v>316.3</v>
      </c>
      <c r="GP203" s="57">
        <v>280.75</v>
      </c>
      <c r="GQ203" s="57">
        <v>321.52</v>
      </c>
      <c r="GR203" s="57">
        <v>639.82000000000005</v>
      </c>
      <c r="GS203" s="57">
        <v>600.78</v>
      </c>
      <c r="GT203" s="57">
        <v>669.06</v>
      </c>
      <c r="GU203" s="57">
        <v>436.62</v>
      </c>
      <c r="GV203" s="57">
        <v>519.52</v>
      </c>
      <c r="GW203" s="57">
        <v>547.96</v>
      </c>
      <c r="GX203" s="57">
        <v>563.87</v>
      </c>
      <c r="GY203" s="57">
        <v>592.04999999999995</v>
      </c>
      <c r="GZ203" s="57">
        <v>701.96</v>
      </c>
      <c r="HA203" s="57">
        <v>554.66</v>
      </c>
      <c r="HB203" s="57">
        <v>569.98</v>
      </c>
      <c r="HC203" s="57">
        <v>516.29</v>
      </c>
      <c r="HD203" s="57">
        <v>448.37</v>
      </c>
      <c r="HE203" s="57">
        <v>307.64</v>
      </c>
      <c r="HF203" s="57">
        <v>369.02</v>
      </c>
      <c r="HG203" s="57">
        <v>455.34</v>
      </c>
      <c r="HH203" s="57">
        <v>515.19000000000005</v>
      </c>
      <c r="HI203" s="57">
        <v>246.89</v>
      </c>
      <c r="HJ203" s="57">
        <v>427.65</v>
      </c>
      <c r="HK203" s="57">
        <v>748.77</v>
      </c>
      <c r="HL203" s="57">
        <v>440.46</v>
      </c>
      <c r="HM203" s="57">
        <v>556.66999999999996</v>
      </c>
      <c r="HN203" s="57">
        <v>575.73</v>
      </c>
      <c r="HO203" s="57">
        <v>372.3</v>
      </c>
      <c r="HP203" s="57">
        <v>681.48</v>
      </c>
      <c r="HQ203" s="57">
        <v>324.51</v>
      </c>
      <c r="HR203" s="57">
        <v>539.4</v>
      </c>
      <c r="HS203" s="57">
        <v>725.68</v>
      </c>
      <c r="HT203" s="57">
        <v>467.47</v>
      </c>
      <c r="HU203" s="57">
        <v>276.3</v>
      </c>
      <c r="HV203" s="57">
        <v>367.5</v>
      </c>
      <c r="HW203" s="57">
        <v>213.54</v>
      </c>
      <c r="HX203" s="57">
        <v>302.58999999999997</v>
      </c>
      <c r="HY203" s="57">
        <v>270.20999999999998</v>
      </c>
      <c r="HZ203" s="57">
        <v>556.41</v>
      </c>
      <c r="IA203" s="57">
        <v>218.13</v>
      </c>
      <c r="IB203" s="57">
        <v>592.17999999999995</v>
      </c>
      <c r="IC203" s="57">
        <v>475.35</v>
      </c>
      <c r="ID203" s="57">
        <v>564.09</v>
      </c>
      <c r="IE203" s="57">
        <v>457.39</v>
      </c>
      <c r="IF203" s="57">
        <v>568.26</v>
      </c>
      <c r="IG203" s="57">
        <v>686.82</v>
      </c>
      <c r="IH203" s="57">
        <v>432.04</v>
      </c>
      <c r="II203" s="57">
        <v>903</v>
      </c>
      <c r="IJ203" s="57">
        <v>842.97</v>
      </c>
      <c r="IK203" s="57">
        <v>510.68</v>
      </c>
      <c r="IL203" s="57">
        <v>300.37</v>
      </c>
      <c r="IM203" s="57">
        <v>535.86</v>
      </c>
      <c r="IN203" s="57">
        <v>535.89</v>
      </c>
      <c r="IO203" s="57">
        <v>641.20000000000005</v>
      </c>
      <c r="IP203" s="57">
        <v>314.83</v>
      </c>
      <c r="IQ203" s="57">
        <v>509.1</v>
      </c>
      <c r="IR203" s="57">
        <v>700.04</v>
      </c>
      <c r="IS203" s="57">
        <v>748.37</v>
      </c>
      <c r="IT203" s="57">
        <v>40.51</v>
      </c>
      <c r="IU203" s="57">
        <v>195.67</v>
      </c>
      <c r="IV203" s="57">
        <v>62.39</v>
      </c>
      <c r="IW203" s="57">
        <v>146.88999999999999</v>
      </c>
      <c r="IX203" s="57">
        <v>288.38</v>
      </c>
      <c r="IY203" s="57">
        <v>606.75</v>
      </c>
      <c r="IZ203" s="57">
        <v>556.74</v>
      </c>
      <c r="JA203" s="57">
        <v>416.55</v>
      </c>
      <c r="JB203" s="57">
        <v>133.51</v>
      </c>
      <c r="JC203" s="57">
        <v>615.15</v>
      </c>
      <c r="JD203" s="57">
        <v>524.24</v>
      </c>
      <c r="JE203" s="57">
        <v>578.76</v>
      </c>
      <c r="JF203" s="57">
        <v>336.95</v>
      </c>
      <c r="JG203" s="57">
        <v>435.34</v>
      </c>
      <c r="JH203" s="57">
        <v>641.82000000000005</v>
      </c>
      <c r="JI203" s="57">
        <v>642.58000000000004</v>
      </c>
      <c r="JJ203" s="57">
        <v>594.4</v>
      </c>
      <c r="JK203" s="57">
        <v>766.3</v>
      </c>
      <c r="JL203" s="57">
        <v>661.6</v>
      </c>
      <c r="JM203" s="57">
        <v>568.33000000000004</v>
      </c>
      <c r="JN203" s="57">
        <v>353.56</v>
      </c>
      <c r="JO203" s="57">
        <v>347.66</v>
      </c>
      <c r="JP203" s="57">
        <v>908.08</v>
      </c>
      <c r="JQ203" s="57">
        <v>722.04</v>
      </c>
      <c r="JR203" s="57">
        <v>488.1</v>
      </c>
      <c r="JS203" s="57">
        <v>542.35</v>
      </c>
      <c r="JT203" s="57">
        <v>773.29</v>
      </c>
      <c r="JU203" s="57">
        <v>566.09</v>
      </c>
      <c r="JV203" s="57">
        <v>288.45999999999998</v>
      </c>
      <c r="JW203" s="57">
        <v>401.99</v>
      </c>
      <c r="JX203" s="57">
        <v>2701.47</v>
      </c>
      <c r="JY203" s="57">
        <v>489.75</v>
      </c>
      <c r="JZ203" s="57">
        <v>600.36</v>
      </c>
      <c r="KA203" s="57">
        <v>620.80999999999995</v>
      </c>
      <c r="KB203" s="57">
        <v>348.63</v>
      </c>
      <c r="KC203" s="57">
        <v>606.74</v>
      </c>
      <c r="KD203" s="57">
        <v>607.27</v>
      </c>
      <c r="KE203" s="57">
        <v>60.48</v>
      </c>
      <c r="KF203" s="57">
        <v>774.79</v>
      </c>
    </row>
    <row r="204" spans="1:292">
      <c r="A204" s="41">
        <v>2021</v>
      </c>
      <c r="B204" s="54" t="s">
        <v>989</v>
      </c>
      <c r="C204" s="50" t="s">
        <v>990</v>
      </c>
      <c r="D204" s="57">
        <v>557.36</v>
      </c>
      <c r="E204" s="57">
        <v>686.41</v>
      </c>
      <c r="F204" s="57">
        <v>886.1</v>
      </c>
      <c r="G204" s="57">
        <v>279.67</v>
      </c>
      <c r="H204" s="57">
        <v>602.77</v>
      </c>
      <c r="I204" s="57">
        <v>480.72</v>
      </c>
      <c r="J204" s="57">
        <v>343.74</v>
      </c>
      <c r="K204" s="57">
        <v>566.77</v>
      </c>
      <c r="L204" s="57">
        <v>165</v>
      </c>
      <c r="M204" s="57">
        <v>345.42</v>
      </c>
      <c r="N204" s="57">
        <v>482.69</v>
      </c>
      <c r="O204" s="57">
        <v>849.27</v>
      </c>
      <c r="P204" s="57">
        <v>798.23</v>
      </c>
      <c r="Q204" s="57">
        <v>699.08</v>
      </c>
      <c r="R204" s="57">
        <v>527.12</v>
      </c>
      <c r="S204" s="57">
        <v>1227.82</v>
      </c>
      <c r="T204" s="57">
        <v>864.69</v>
      </c>
      <c r="U204" s="57">
        <v>271.83</v>
      </c>
      <c r="V204" s="57">
        <v>298.76</v>
      </c>
      <c r="W204" s="57">
        <v>606.67999999999995</v>
      </c>
      <c r="X204" s="57">
        <v>698.29</v>
      </c>
      <c r="Y204" s="57">
        <v>441.97</v>
      </c>
      <c r="Z204" s="57">
        <v>644.76</v>
      </c>
      <c r="AA204" s="57">
        <v>540.02</v>
      </c>
      <c r="AB204" s="57">
        <v>456.5</v>
      </c>
      <c r="AC204" s="57">
        <v>420.77</v>
      </c>
      <c r="AD204" s="57">
        <v>529.92999999999995</v>
      </c>
      <c r="AE204" s="57">
        <v>527.98</v>
      </c>
      <c r="AF204" s="57">
        <v>425.45</v>
      </c>
      <c r="AG204" s="57">
        <v>263.45</v>
      </c>
      <c r="AH204" s="57">
        <v>377.29</v>
      </c>
      <c r="AI204" s="57">
        <v>597.85</v>
      </c>
      <c r="AJ204" s="57">
        <v>539.91</v>
      </c>
      <c r="AK204" s="57">
        <v>532.62</v>
      </c>
      <c r="AL204" s="57">
        <v>556.12</v>
      </c>
      <c r="AM204" s="57">
        <v>748.37</v>
      </c>
      <c r="AN204" s="57">
        <v>40.54</v>
      </c>
      <c r="AO204" s="57">
        <v>195.92</v>
      </c>
      <c r="AP204" s="57">
        <v>104.55</v>
      </c>
      <c r="AQ204" s="57">
        <v>616.33000000000004</v>
      </c>
      <c r="AR204" s="57">
        <v>549.52</v>
      </c>
      <c r="AS204" s="57">
        <v>451.32</v>
      </c>
      <c r="AT204" s="57">
        <v>617.88</v>
      </c>
      <c r="AU204" s="57">
        <v>792.2</v>
      </c>
      <c r="AV204" s="57">
        <v>676.29</v>
      </c>
      <c r="AW204" s="57">
        <v>579.57000000000005</v>
      </c>
      <c r="AX204" s="57">
        <v>353.56</v>
      </c>
      <c r="AY204" s="57">
        <v>352.82</v>
      </c>
      <c r="AZ204" s="57">
        <v>878.87</v>
      </c>
      <c r="BA204" s="57">
        <v>531.38</v>
      </c>
      <c r="BB204" s="57">
        <v>464.42</v>
      </c>
      <c r="BC204" s="57">
        <v>1935.45</v>
      </c>
      <c r="BD204" s="57">
        <v>628.76</v>
      </c>
      <c r="BE204" s="57">
        <v>589.86</v>
      </c>
      <c r="BF204" s="57">
        <v>60.47</v>
      </c>
      <c r="BG204" s="57">
        <v>775.29</v>
      </c>
      <c r="BH204" s="57">
        <v>684.38</v>
      </c>
      <c r="BI204" s="57">
        <v>727.81</v>
      </c>
      <c r="BJ204" s="57">
        <v>862.81</v>
      </c>
      <c r="BK204" s="57">
        <v>659.49</v>
      </c>
      <c r="BL204" s="57">
        <v>744.74</v>
      </c>
      <c r="BM204" s="57">
        <v>655.61</v>
      </c>
      <c r="BN204" s="57">
        <v>729</v>
      </c>
      <c r="BO204" s="57">
        <v>473.29</v>
      </c>
      <c r="BP204" s="57">
        <v>693.1</v>
      </c>
      <c r="BQ204" s="57">
        <v>598.22</v>
      </c>
      <c r="BR204" s="57">
        <v>469.16</v>
      </c>
      <c r="BS204" s="57">
        <v>1300.55</v>
      </c>
      <c r="BT204" s="57">
        <v>746.34</v>
      </c>
      <c r="BU204" s="57">
        <v>1183.02</v>
      </c>
      <c r="BV204" s="57">
        <v>864.69</v>
      </c>
      <c r="BW204" s="57">
        <v>261.08999999999997</v>
      </c>
      <c r="BX204" s="57">
        <v>382.19</v>
      </c>
      <c r="BY204" s="57">
        <v>557.48</v>
      </c>
      <c r="BZ204" s="57">
        <v>297.22000000000003</v>
      </c>
      <c r="CA204" s="57">
        <v>653.1</v>
      </c>
      <c r="CB204" s="58">
        <v>606.67999999999995</v>
      </c>
      <c r="CC204" s="57">
        <v>698.29</v>
      </c>
      <c r="CD204" s="57">
        <v>440.27</v>
      </c>
      <c r="CE204" s="57">
        <v>597.49</v>
      </c>
      <c r="CF204" s="57">
        <v>639.30999999999995</v>
      </c>
      <c r="CG204" s="57">
        <v>594.54999999999995</v>
      </c>
      <c r="CH204" s="57">
        <v>551.74</v>
      </c>
      <c r="CI204" s="57">
        <v>511.13</v>
      </c>
      <c r="CJ204" s="57">
        <v>456.5</v>
      </c>
      <c r="CK204" s="57">
        <v>389.06</v>
      </c>
      <c r="CL204" s="57">
        <v>426.34</v>
      </c>
      <c r="CM204" s="57">
        <v>764</v>
      </c>
      <c r="CN204" s="57">
        <v>529.92999999999995</v>
      </c>
      <c r="CO204" s="57">
        <v>527.98</v>
      </c>
      <c r="CP204" s="57">
        <v>350.31</v>
      </c>
      <c r="CQ204" s="57">
        <v>730.12</v>
      </c>
      <c r="CR204" s="57">
        <v>276.31</v>
      </c>
      <c r="CS204" s="57">
        <v>361.05</v>
      </c>
      <c r="CT204" s="57">
        <v>250.81</v>
      </c>
      <c r="CU204" s="57">
        <v>270.37</v>
      </c>
      <c r="CV204" s="57">
        <v>561</v>
      </c>
      <c r="CW204" s="57">
        <v>239.98</v>
      </c>
      <c r="CX204" s="57">
        <v>597.85</v>
      </c>
      <c r="CY204" s="57">
        <v>540.98</v>
      </c>
      <c r="CZ204" s="57">
        <v>468.34</v>
      </c>
      <c r="DA204" s="57">
        <v>583</v>
      </c>
      <c r="DB204" s="57">
        <v>698.22</v>
      </c>
      <c r="DC204" s="57">
        <v>443.44</v>
      </c>
      <c r="DD204" s="57">
        <v>917.33</v>
      </c>
      <c r="DE204" s="57">
        <v>870.35</v>
      </c>
      <c r="DF204" s="57">
        <v>395.97</v>
      </c>
      <c r="DG204" s="57">
        <v>562.89</v>
      </c>
      <c r="DH204" s="57">
        <v>316.17</v>
      </c>
      <c r="DI204" s="57">
        <v>509.1</v>
      </c>
      <c r="DJ204" s="57">
        <v>729.69</v>
      </c>
      <c r="DK204" s="57">
        <v>748.37</v>
      </c>
      <c r="DL204" s="57">
        <v>40.54</v>
      </c>
      <c r="DM204" s="57">
        <v>195.92</v>
      </c>
      <c r="DN204" s="57">
        <v>62.78</v>
      </c>
      <c r="DO204" s="57">
        <v>148.29</v>
      </c>
      <c r="DP204" s="57">
        <v>293.26</v>
      </c>
      <c r="DQ204" s="57">
        <v>616.33000000000004</v>
      </c>
      <c r="DR204" s="57">
        <v>562.25</v>
      </c>
      <c r="DS204" s="57">
        <v>414.01</v>
      </c>
      <c r="DT204" s="57">
        <v>130.62</v>
      </c>
      <c r="DU204" s="57">
        <v>617.92999999999995</v>
      </c>
      <c r="DV204" s="57">
        <v>535.79999999999995</v>
      </c>
      <c r="DW204" s="57">
        <v>379</v>
      </c>
      <c r="DX204" s="57">
        <v>435.34</v>
      </c>
      <c r="DY204" s="57">
        <v>649.1</v>
      </c>
      <c r="DZ204" s="57">
        <v>647.46</v>
      </c>
      <c r="EA204" s="57">
        <v>604.11</v>
      </c>
      <c r="EB204" s="57">
        <v>792.2</v>
      </c>
      <c r="EC204" s="57">
        <v>676.29</v>
      </c>
      <c r="ED204" s="57">
        <v>579.57000000000005</v>
      </c>
      <c r="EE204" s="57">
        <v>353.56</v>
      </c>
      <c r="EF204" s="57">
        <v>352.82</v>
      </c>
      <c r="EG204" s="57">
        <v>878.87</v>
      </c>
      <c r="EH204" s="57">
        <v>531.38</v>
      </c>
      <c r="EI204" s="57">
        <v>671.04</v>
      </c>
      <c r="EJ204" s="57">
        <v>295.01</v>
      </c>
      <c r="EK204" s="57">
        <v>405.41</v>
      </c>
      <c r="EL204" s="57">
        <v>2650.13</v>
      </c>
      <c r="EM204" s="57">
        <v>543.66</v>
      </c>
      <c r="EN204" s="57">
        <v>628.76</v>
      </c>
      <c r="EO204" s="57">
        <v>348.98</v>
      </c>
      <c r="EP204" s="57">
        <v>610.78</v>
      </c>
      <c r="EQ204" s="57">
        <v>598.08000000000004</v>
      </c>
      <c r="ER204" s="57">
        <v>60.47</v>
      </c>
      <c r="ES204" s="57">
        <v>775.29</v>
      </c>
      <c r="ET204" s="57">
        <v>773.11</v>
      </c>
      <c r="EU204" s="57">
        <v>678.36</v>
      </c>
      <c r="EV204" s="57">
        <v>696.22</v>
      </c>
      <c r="EW204" s="57">
        <v>608.51</v>
      </c>
      <c r="EX204" s="57">
        <v>702.17</v>
      </c>
      <c r="EY204" s="57">
        <v>302.95</v>
      </c>
      <c r="EZ204" s="57">
        <v>699.67</v>
      </c>
      <c r="FA204" s="57">
        <v>783.96</v>
      </c>
      <c r="FB204" s="57">
        <v>717</v>
      </c>
      <c r="FC204" s="57">
        <v>912.64</v>
      </c>
      <c r="FD204" s="57">
        <v>602.25</v>
      </c>
      <c r="FE204" s="57">
        <v>888.55</v>
      </c>
      <c r="FF204" s="57">
        <v>135.35</v>
      </c>
      <c r="FG204" s="57">
        <v>573.64</v>
      </c>
      <c r="FH204" s="57">
        <v>530.63</v>
      </c>
      <c r="FI204" s="57">
        <v>728.47</v>
      </c>
      <c r="FJ204" s="57">
        <v>827.5</v>
      </c>
      <c r="FK204" s="57">
        <v>1057.99</v>
      </c>
      <c r="FL204" s="57">
        <v>715.95</v>
      </c>
      <c r="FM204" s="57">
        <v>709.49</v>
      </c>
      <c r="FN204" s="57">
        <v>598.14</v>
      </c>
      <c r="FO204" s="57">
        <v>1005.72</v>
      </c>
      <c r="FP204" s="57">
        <v>705.46</v>
      </c>
      <c r="FQ204" s="57">
        <v>554.29</v>
      </c>
      <c r="FR204" s="57">
        <v>1125.8800000000001</v>
      </c>
      <c r="FS204" s="57">
        <v>665.09</v>
      </c>
      <c r="FT204" s="57">
        <v>348.94</v>
      </c>
      <c r="FU204" s="57">
        <v>704.35</v>
      </c>
      <c r="FV204" s="57">
        <v>514.41999999999996</v>
      </c>
      <c r="FW204" s="57">
        <v>386.7</v>
      </c>
      <c r="FX204" s="57">
        <v>693.1</v>
      </c>
      <c r="FY204" s="57">
        <v>633.12</v>
      </c>
      <c r="FZ204" s="57">
        <v>587.29999999999995</v>
      </c>
      <c r="GA204" s="57">
        <v>540.88</v>
      </c>
      <c r="GB204" s="57">
        <v>466.1</v>
      </c>
      <c r="GC204" s="57">
        <v>503.49</v>
      </c>
      <c r="GD204" s="57">
        <v>416.89</v>
      </c>
      <c r="GE204" s="57">
        <v>1300.55</v>
      </c>
      <c r="GF204" s="57">
        <v>746.34</v>
      </c>
      <c r="GG204" s="57">
        <v>1183.02</v>
      </c>
      <c r="GH204" s="57">
        <v>863.24</v>
      </c>
      <c r="GI204" s="57">
        <v>294.27</v>
      </c>
      <c r="GJ204" s="57">
        <v>234.35</v>
      </c>
      <c r="GK204" s="57">
        <v>252.36</v>
      </c>
      <c r="GL204" s="57">
        <v>371.54</v>
      </c>
      <c r="GM204" s="57">
        <v>382.19</v>
      </c>
      <c r="GN204" s="57">
        <v>557.48</v>
      </c>
      <c r="GO204" s="57">
        <v>313.08999999999997</v>
      </c>
      <c r="GP204" s="57">
        <v>273.04000000000002</v>
      </c>
      <c r="GQ204" s="57">
        <v>312.52999999999997</v>
      </c>
      <c r="GR204" s="57">
        <v>653.1</v>
      </c>
      <c r="GS204" s="57">
        <v>606.67999999999995</v>
      </c>
      <c r="GT204" s="57">
        <v>698.29</v>
      </c>
      <c r="GU204" s="57">
        <v>440.27</v>
      </c>
      <c r="GV204" s="57">
        <v>597.49</v>
      </c>
      <c r="GW204" s="57">
        <v>600.58000000000004</v>
      </c>
      <c r="GX204" s="57">
        <v>630.96</v>
      </c>
      <c r="GY204" s="57">
        <v>594.54999999999995</v>
      </c>
      <c r="GZ204" s="57">
        <v>681.91</v>
      </c>
      <c r="HA204" s="57">
        <v>528.12</v>
      </c>
      <c r="HB204" s="57">
        <v>543.73</v>
      </c>
      <c r="HC204" s="57">
        <v>511.13</v>
      </c>
      <c r="HD204" s="57">
        <v>456.5</v>
      </c>
      <c r="HE204" s="57">
        <v>314.52</v>
      </c>
      <c r="HF204" s="57">
        <v>377.96</v>
      </c>
      <c r="HG204" s="57">
        <v>473.81</v>
      </c>
      <c r="HH204" s="57">
        <v>519.74</v>
      </c>
      <c r="HI204" s="57">
        <v>249.95</v>
      </c>
      <c r="HJ204" s="57">
        <v>426.34</v>
      </c>
      <c r="HK204" s="57">
        <v>764</v>
      </c>
      <c r="HL204" s="57">
        <v>449.52</v>
      </c>
      <c r="HM204" s="57">
        <v>573.67999999999995</v>
      </c>
      <c r="HN204" s="57">
        <v>590.96</v>
      </c>
      <c r="HO204" s="57">
        <v>395.54</v>
      </c>
      <c r="HP204" s="57">
        <v>700.84</v>
      </c>
      <c r="HQ204" s="57">
        <v>324.06</v>
      </c>
      <c r="HR204" s="57">
        <v>544.46</v>
      </c>
      <c r="HS204" s="57">
        <v>737.71</v>
      </c>
      <c r="HT204" s="57">
        <v>471.73</v>
      </c>
      <c r="HU204" s="57">
        <v>276.31</v>
      </c>
      <c r="HV204" s="57">
        <v>361.05</v>
      </c>
      <c r="HW204" s="57">
        <v>213.93</v>
      </c>
      <c r="HX204" s="57">
        <v>305.87</v>
      </c>
      <c r="HY204" s="57">
        <v>270.37</v>
      </c>
      <c r="HZ204" s="57">
        <v>561</v>
      </c>
      <c r="IA204" s="57">
        <v>219.21</v>
      </c>
      <c r="IB204" s="57">
        <v>597.85</v>
      </c>
      <c r="IC204" s="57">
        <v>476.86</v>
      </c>
      <c r="ID204" s="57">
        <v>565.88</v>
      </c>
      <c r="IE204" s="57">
        <v>468.34</v>
      </c>
      <c r="IF204" s="57">
        <v>583</v>
      </c>
      <c r="IG204" s="57">
        <v>698.22</v>
      </c>
      <c r="IH204" s="57">
        <v>443.44</v>
      </c>
      <c r="II204" s="57">
        <v>917.33</v>
      </c>
      <c r="IJ204" s="57">
        <v>870.35</v>
      </c>
      <c r="IK204" s="57">
        <v>510.68</v>
      </c>
      <c r="IL204" s="57">
        <v>300.37</v>
      </c>
      <c r="IM204" s="57">
        <v>536.88</v>
      </c>
      <c r="IN204" s="57">
        <v>539.07000000000005</v>
      </c>
      <c r="IO204" s="57">
        <v>633.15</v>
      </c>
      <c r="IP204" s="57">
        <v>316.17</v>
      </c>
      <c r="IQ204" s="57">
        <v>509.1</v>
      </c>
      <c r="IR204" s="57">
        <v>729.69</v>
      </c>
      <c r="IS204" s="57">
        <v>748.37</v>
      </c>
      <c r="IT204" s="57">
        <v>40.54</v>
      </c>
      <c r="IU204" s="57">
        <v>195.92</v>
      </c>
      <c r="IV204" s="57">
        <v>62.79</v>
      </c>
      <c r="IW204" s="57">
        <v>148.29</v>
      </c>
      <c r="IX204" s="57">
        <v>293.26</v>
      </c>
      <c r="IY204" s="57">
        <v>616.33000000000004</v>
      </c>
      <c r="IZ204" s="57">
        <v>562.25</v>
      </c>
      <c r="JA204" s="57">
        <v>414.01</v>
      </c>
      <c r="JB204" s="57">
        <v>130.62</v>
      </c>
      <c r="JC204" s="57">
        <v>617.92999999999995</v>
      </c>
      <c r="JD204" s="57">
        <v>535.79999999999995</v>
      </c>
      <c r="JE204" s="57">
        <v>587.69000000000005</v>
      </c>
      <c r="JF204" s="57">
        <v>348.21</v>
      </c>
      <c r="JG204" s="57">
        <v>435.34</v>
      </c>
      <c r="JH204" s="57">
        <v>649.1</v>
      </c>
      <c r="JI204" s="57">
        <v>647.46</v>
      </c>
      <c r="JJ204" s="57">
        <v>604.11</v>
      </c>
      <c r="JK204" s="57">
        <v>792.2</v>
      </c>
      <c r="JL204" s="57">
        <v>676.29</v>
      </c>
      <c r="JM204" s="57">
        <v>579.57000000000005</v>
      </c>
      <c r="JN204" s="57">
        <v>353.56</v>
      </c>
      <c r="JO204" s="57">
        <v>352.82</v>
      </c>
      <c r="JP204" s="57">
        <v>930.87</v>
      </c>
      <c r="JQ204" s="57">
        <v>743.33</v>
      </c>
      <c r="JR204" s="57">
        <v>519.21</v>
      </c>
      <c r="JS204" s="57">
        <v>542.35</v>
      </c>
      <c r="JT204" s="57">
        <v>781.99</v>
      </c>
      <c r="JU204" s="57">
        <v>573.82000000000005</v>
      </c>
      <c r="JV204" s="57">
        <v>295.01</v>
      </c>
      <c r="JW204" s="57">
        <v>405.41</v>
      </c>
      <c r="JX204" s="57">
        <v>2650.13</v>
      </c>
      <c r="JY204" s="57">
        <v>484.61</v>
      </c>
      <c r="JZ204" s="57">
        <v>604.09</v>
      </c>
      <c r="KA204" s="57">
        <v>628.76</v>
      </c>
      <c r="KB204" s="57">
        <v>348.98</v>
      </c>
      <c r="KC204" s="57">
        <v>610.78</v>
      </c>
      <c r="KD204" s="57">
        <v>598.08000000000004</v>
      </c>
      <c r="KE204" s="57">
        <v>60.47</v>
      </c>
      <c r="KF204" s="57">
        <v>775.29</v>
      </c>
    </row>
    <row r="205" spans="1:292" ht="12" customHeight="1">
      <c r="A205" s="41">
        <v>2021</v>
      </c>
      <c r="B205" s="54" t="s">
        <v>991</v>
      </c>
      <c r="C205" s="50" t="s">
        <v>992</v>
      </c>
      <c r="D205" s="57">
        <v>563.6</v>
      </c>
      <c r="E205" s="57">
        <v>708.25</v>
      </c>
      <c r="F205" s="57">
        <v>887.73</v>
      </c>
      <c r="G205" s="57">
        <v>271.06</v>
      </c>
      <c r="H205" s="57">
        <v>608.49</v>
      </c>
      <c r="I205" s="57">
        <v>487.34</v>
      </c>
      <c r="J205" s="57">
        <v>344.82</v>
      </c>
      <c r="K205" s="57">
        <v>562.41999999999996</v>
      </c>
      <c r="L205" s="57">
        <v>166.48</v>
      </c>
      <c r="M205" s="57">
        <v>349.33</v>
      </c>
      <c r="N205" s="57">
        <v>485.51</v>
      </c>
      <c r="O205" s="57">
        <v>868.59</v>
      </c>
      <c r="P205" s="57">
        <v>807.87</v>
      </c>
      <c r="Q205" s="57">
        <v>721.97</v>
      </c>
      <c r="R205" s="57">
        <v>536.86</v>
      </c>
      <c r="S205" s="57">
        <v>1259.6400000000001</v>
      </c>
      <c r="T205" s="57">
        <v>864.69</v>
      </c>
      <c r="U205" s="57">
        <v>263.08999999999997</v>
      </c>
      <c r="V205" s="57">
        <v>291.25</v>
      </c>
      <c r="W205" s="57">
        <v>613.76</v>
      </c>
      <c r="X205" s="57">
        <v>716.74</v>
      </c>
      <c r="Y205" s="57">
        <v>445.45</v>
      </c>
      <c r="Z205" s="57">
        <v>646.97</v>
      </c>
      <c r="AA205" s="57">
        <v>543.89</v>
      </c>
      <c r="AB205" s="57">
        <v>460.11</v>
      </c>
      <c r="AC205" s="57">
        <v>426.86</v>
      </c>
      <c r="AD205" s="57">
        <v>536.72</v>
      </c>
      <c r="AE205" s="57">
        <v>523.22</v>
      </c>
      <c r="AF205" s="57">
        <v>435.89</v>
      </c>
      <c r="AG205" s="57">
        <v>263.61</v>
      </c>
      <c r="AH205" s="57">
        <v>378.8</v>
      </c>
      <c r="AI205" s="57">
        <v>601.15</v>
      </c>
      <c r="AJ205" s="57">
        <v>525.08000000000004</v>
      </c>
      <c r="AK205" s="57">
        <v>539.5</v>
      </c>
      <c r="AL205" s="57">
        <v>558.25</v>
      </c>
      <c r="AM205" s="57">
        <v>748.37</v>
      </c>
      <c r="AN205" s="57">
        <v>40.659999999999997</v>
      </c>
      <c r="AO205" s="57">
        <v>198.06</v>
      </c>
      <c r="AP205" s="57">
        <v>104.73</v>
      </c>
      <c r="AQ205" s="57">
        <v>632.41999999999996</v>
      </c>
      <c r="AR205" s="57">
        <v>562.92999999999995</v>
      </c>
      <c r="AS205" s="57">
        <v>456.5</v>
      </c>
      <c r="AT205" s="57">
        <v>626.28</v>
      </c>
      <c r="AU205" s="57">
        <v>800.42</v>
      </c>
      <c r="AV205" s="57">
        <v>682.05</v>
      </c>
      <c r="AW205" s="57">
        <v>584.5</v>
      </c>
      <c r="AX205" s="57">
        <v>353.56</v>
      </c>
      <c r="AY205" s="57">
        <v>353.34</v>
      </c>
      <c r="AZ205" s="57">
        <v>898.18</v>
      </c>
      <c r="BA205" s="57">
        <v>548.97</v>
      </c>
      <c r="BB205" s="57">
        <v>477.62</v>
      </c>
      <c r="BC205" s="57">
        <v>1904.36</v>
      </c>
      <c r="BD205" s="57">
        <v>642.22</v>
      </c>
      <c r="BE205" s="57">
        <v>592.12</v>
      </c>
      <c r="BF205" s="57">
        <v>60.47</v>
      </c>
      <c r="BG205" s="57">
        <v>775.65</v>
      </c>
      <c r="BH205" s="57">
        <v>695.98</v>
      </c>
      <c r="BI205" s="57">
        <v>724.46</v>
      </c>
      <c r="BJ205" s="57">
        <v>866.77</v>
      </c>
      <c r="BK205" s="57">
        <v>706.79</v>
      </c>
      <c r="BL205" s="57">
        <v>751.65</v>
      </c>
      <c r="BM205" s="57">
        <v>710.19</v>
      </c>
      <c r="BN205" s="57">
        <v>770.31</v>
      </c>
      <c r="BO205" s="57">
        <v>477.12</v>
      </c>
      <c r="BP205" s="57">
        <v>711.48</v>
      </c>
      <c r="BQ205" s="57">
        <v>609.80999999999995</v>
      </c>
      <c r="BR205" s="57">
        <v>477.41</v>
      </c>
      <c r="BS205" s="57">
        <v>1302.3699999999999</v>
      </c>
      <c r="BT205" s="57">
        <v>750.16</v>
      </c>
      <c r="BU205" s="57">
        <v>1241.3399999999999</v>
      </c>
      <c r="BV205" s="57">
        <v>864.69</v>
      </c>
      <c r="BW205" s="57">
        <v>251.99</v>
      </c>
      <c r="BX205" s="57">
        <v>380.69</v>
      </c>
      <c r="BY205" s="57">
        <v>565.75</v>
      </c>
      <c r="BZ205" s="57">
        <v>289.66000000000003</v>
      </c>
      <c r="CA205" s="57">
        <v>659.2</v>
      </c>
      <c r="CB205" s="58">
        <v>613.76</v>
      </c>
      <c r="CC205" s="57">
        <v>716.74</v>
      </c>
      <c r="CD205" s="57">
        <v>443.73</v>
      </c>
      <c r="CE205" s="57">
        <v>597.49</v>
      </c>
      <c r="CF205" s="57">
        <v>645.08000000000004</v>
      </c>
      <c r="CG205" s="57">
        <v>594.54999999999995</v>
      </c>
      <c r="CH205" s="57">
        <v>555.87</v>
      </c>
      <c r="CI205" s="57">
        <v>512.92999999999995</v>
      </c>
      <c r="CJ205" s="57">
        <v>460.11</v>
      </c>
      <c r="CK205" s="57">
        <v>394.9</v>
      </c>
      <c r="CL205" s="57">
        <v>429.52</v>
      </c>
      <c r="CM205" s="57">
        <v>775.8</v>
      </c>
      <c r="CN205" s="57">
        <v>536.72</v>
      </c>
      <c r="CO205" s="57">
        <v>523.22</v>
      </c>
      <c r="CP205" s="57">
        <v>360.62</v>
      </c>
      <c r="CQ205" s="57">
        <v>738.86</v>
      </c>
      <c r="CR205" s="57">
        <v>276.33</v>
      </c>
      <c r="CS205" s="57">
        <v>358.55</v>
      </c>
      <c r="CT205" s="57">
        <v>252.08</v>
      </c>
      <c r="CU205" s="57">
        <v>270.49</v>
      </c>
      <c r="CV205" s="57">
        <v>564.44000000000005</v>
      </c>
      <c r="CW205" s="57">
        <v>241.01</v>
      </c>
      <c r="CX205" s="57">
        <v>601.15</v>
      </c>
      <c r="CY205" s="57">
        <v>524.80999999999995</v>
      </c>
      <c r="CZ205" s="57">
        <v>481.65</v>
      </c>
      <c r="DA205" s="57">
        <v>589.29</v>
      </c>
      <c r="DB205" s="57">
        <v>717.09</v>
      </c>
      <c r="DC205" s="57">
        <v>447.87</v>
      </c>
      <c r="DD205" s="57">
        <v>932.14</v>
      </c>
      <c r="DE205" s="57">
        <v>888.8</v>
      </c>
      <c r="DF205" s="57">
        <v>450.11</v>
      </c>
      <c r="DG205" s="57">
        <v>563.29999999999995</v>
      </c>
      <c r="DH205" s="57">
        <v>316.7</v>
      </c>
      <c r="DI205" s="57">
        <v>521.57000000000005</v>
      </c>
      <c r="DJ205" s="57">
        <v>742.74</v>
      </c>
      <c r="DK205" s="57">
        <v>748.37</v>
      </c>
      <c r="DL205" s="57">
        <v>40.659999999999997</v>
      </c>
      <c r="DM205" s="57">
        <v>198.06</v>
      </c>
      <c r="DN205" s="57">
        <v>63.27</v>
      </c>
      <c r="DO205" s="57">
        <v>145.91</v>
      </c>
      <c r="DP205" s="57">
        <v>296.77999999999997</v>
      </c>
      <c r="DQ205" s="57">
        <v>632.41999999999996</v>
      </c>
      <c r="DR205" s="57">
        <v>558.30999999999995</v>
      </c>
      <c r="DS205" s="57">
        <v>417.73</v>
      </c>
      <c r="DT205" s="57">
        <v>138.33000000000001</v>
      </c>
      <c r="DU205" s="57">
        <v>619.59</v>
      </c>
      <c r="DV205" s="57">
        <v>543.80999999999995</v>
      </c>
      <c r="DW205" s="57">
        <v>381.89</v>
      </c>
      <c r="DX205" s="57">
        <v>435.34</v>
      </c>
      <c r="DY205" s="57">
        <v>658.27</v>
      </c>
      <c r="DZ205" s="57">
        <v>647.46</v>
      </c>
      <c r="EA205" s="57">
        <v>613.86</v>
      </c>
      <c r="EB205" s="57">
        <v>800.42</v>
      </c>
      <c r="EC205" s="57">
        <v>682.05</v>
      </c>
      <c r="ED205" s="57">
        <v>584.5</v>
      </c>
      <c r="EE205" s="57">
        <v>353.56</v>
      </c>
      <c r="EF205" s="57">
        <v>353.34</v>
      </c>
      <c r="EG205" s="57">
        <v>898.18</v>
      </c>
      <c r="EH205" s="57">
        <v>548.97</v>
      </c>
      <c r="EI205" s="57">
        <v>681.6</v>
      </c>
      <c r="EJ205" s="57">
        <v>298.23</v>
      </c>
      <c r="EK205" s="57">
        <v>418.53</v>
      </c>
      <c r="EL205" s="57">
        <v>2585.5700000000002</v>
      </c>
      <c r="EM205" s="57">
        <v>547.11</v>
      </c>
      <c r="EN205" s="57">
        <v>642.22</v>
      </c>
      <c r="EO205" s="57">
        <v>349.31</v>
      </c>
      <c r="EP205" s="57">
        <v>612.71</v>
      </c>
      <c r="EQ205" s="57">
        <v>600.61</v>
      </c>
      <c r="ER205" s="57">
        <v>60.47</v>
      </c>
      <c r="ES205" s="57">
        <v>775.65</v>
      </c>
      <c r="ET205" s="57">
        <v>774.52</v>
      </c>
      <c r="EU205" s="57">
        <v>678.09</v>
      </c>
      <c r="EV205" s="57">
        <v>709.63</v>
      </c>
      <c r="EW205" s="57">
        <v>620.95000000000005</v>
      </c>
      <c r="EX205" s="57">
        <v>734.89</v>
      </c>
      <c r="EY205" s="57">
        <v>310.08999999999997</v>
      </c>
      <c r="EZ205" s="57">
        <v>697.77</v>
      </c>
      <c r="FA205" s="57">
        <v>782.97</v>
      </c>
      <c r="FB205" s="57">
        <v>707.51</v>
      </c>
      <c r="FC205" s="57">
        <v>910.49</v>
      </c>
      <c r="FD205" s="57">
        <v>603.22</v>
      </c>
      <c r="FE205" s="57">
        <v>894.63</v>
      </c>
      <c r="FF205" s="57">
        <v>131.58000000000001</v>
      </c>
      <c r="FG205" s="57">
        <v>585.77</v>
      </c>
      <c r="FH205" s="57">
        <v>556.72</v>
      </c>
      <c r="FI205" s="57">
        <v>774.48</v>
      </c>
      <c r="FJ205" s="57">
        <v>966.35</v>
      </c>
      <c r="FK205" s="57">
        <v>1081.1099999999999</v>
      </c>
      <c r="FL205" s="57">
        <v>729.11</v>
      </c>
      <c r="FM205" s="57">
        <v>712.95</v>
      </c>
      <c r="FN205" s="57">
        <v>663.27</v>
      </c>
      <c r="FO205" s="57">
        <v>1025.54</v>
      </c>
      <c r="FP205" s="57">
        <v>770.28</v>
      </c>
      <c r="FQ205" s="57">
        <v>513.89</v>
      </c>
      <c r="FR205" s="57">
        <v>1142.1199999999999</v>
      </c>
      <c r="FS205" s="57">
        <v>681.81</v>
      </c>
      <c r="FT205" s="57">
        <v>346.07</v>
      </c>
      <c r="FU205" s="57">
        <v>705.28</v>
      </c>
      <c r="FV205" s="57">
        <v>529.6</v>
      </c>
      <c r="FW205" s="57">
        <v>387</v>
      </c>
      <c r="FX205" s="57">
        <v>711.48</v>
      </c>
      <c r="FY205" s="57">
        <v>677.88</v>
      </c>
      <c r="FZ205" s="57">
        <v>591.15</v>
      </c>
      <c r="GA205" s="57">
        <v>548.66999999999996</v>
      </c>
      <c r="GB205" s="57">
        <v>474.5</v>
      </c>
      <c r="GC205" s="57">
        <v>511.62</v>
      </c>
      <c r="GD205" s="57">
        <v>425.37</v>
      </c>
      <c r="GE205" s="57">
        <v>1302.3699999999999</v>
      </c>
      <c r="GF205" s="57">
        <v>750.16</v>
      </c>
      <c r="GG205" s="57">
        <v>1241.3399999999999</v>
      </c>
      <c r="GH205" s="57">
        <v>863.24</v>
      </c>
      <c r="GI205" s="57">
        <v>284.88</v>
      </c>
      <c r="GJ205" s="57">
        <v>226.61</v>
      </c>
      <c r="GK205" s="57">
        <v>239.96</v>
      </c>
      <c r="GL205" s="57">
        <v>365.43</v>
      </c>
      <c r="GM205" s="57">
        <v>380.69</v>
      </c>
      <c r="GN205" s="57">
        <v>565.75</v>
      </c>
      <c r="GO205" s="57">
        <v>305.69</v>
      </c>
      <c r="GP205" s="57">
        <v>265.99</v>
      </c>
      <c r="GQ205" s="57">
        <v>303.56</v>
      </c>
      <c r="GR205" s="57">
        <v>659.2</v>
      </c>
      <c r="GS205" s="57">
        <v>613.76</v>
      </c>
      <c r="GT205" s="57">
        <v>716.74</v>
      </c>
      <c r="GU205" s="57">
        <v>443.73</v>
      </c>
      <c r="GV205" s="57">
        <v>597.49</v>
      </c>
      <c r="GW205" s="57">
        <v>604.24</v>
      </c>
      <c r="GX205" s="57">
        <v>643.07000000000005</v>
      </c>
      <c r="GY205" s="57">
        <v>594.54999999999995</v>
      </c>
      <c r="GZ205" s="57">
        <v>693.77</v>
      </c>
      <c r="HA205" s="57">
        <v>530.5</v>
      </c>
      <c r="HB205" s="57">
        <v>546.79999999999995</v>
      </c>
      <c r="HC205" s="57">
        <v>512.92999999999995</v>
      </c>
      <c r="HD205" s="57">
        <v>460.11</v>
      </c>
      <c r="HE205" s="57">
        <v>319.39999999999998</v>
      </c>
      <c r="HF205" s="57">
        <v>387.1</v>
      </c>
      <c r="HG205" s="57">
        <v>478.5</v>
      </c>
      <c r="HH205" s="57">
        <v>526.96</v>
      </c>
      <c r="HI205" s="57">
        <v>248.17</v>
      </c>
      <c r="HJ205" s="57">
        <v>429.52</v>
      </c>
      <c r="HK205" s="57">
        <v>775.8</v>
      </c>
      <c r="HL205" s="57">
        <v>454.41</v>
      </c>
      <c r="HM205" s="57">
        <v>578.64</v>
      </c>
      <c r="HN205" s="57">
        <v>599.52</v>
      </c>
      <c r="HO205" s="57">
        <v>384.52</v>
      </c>
      <c r="HP205" s="57">
        <v>710.51</v>
      </c>
      <c r="HQ205" s="57">
        <v>334.33</v>
      </c>
      <c r="HR205" s="57">
        <v>555.01</v>
      </c>
      <c r="HS205" s="57">
        <v>746.69</v>
      </c>
      <c r="HT205" s="57">
        <v>476.87</v>
      </c>
      <c r="HU205" s="57">
        <v>276.33</v>
      </c>
      <c r="HV205" s="57">
        <v>358.55</v>
      </c>
      <c r="HW205" s="57">
        <v>214.7</v>
      </c>
      <c r="HX205" s="57">
        <v>308.19</v>
      </c>
      <c r="HY205" s="57">
        <v>270.49</v>
      </c>
      <c r="HZ205" s="57">
        <v>564.44000000000005</v>
      </c>
      <c r="IA205" s="57">
        <v>220.15</v>
      </c>
      <c r="IB205" s="57">
        <v>601.15</v>
      </c>
      <c r="IC205" s="57">
        <v>466.44</v>
      </c>
      <c r="ID205" s="57">
        <v>545.74</v>
      </c>
      <c r="IE205" s="57">
        <v>481.65</v>
      </c>
      <c r="IF205" s="57">
        <v>589.29</v>
      </c>
      <c r="IG205" s="57">
        <v>717.09</v>
      </c>
      <c r="IH205" s="57">
        <v>447.87</v>
      </c>
      <c r="II205" s="57">
        <v>932.14</v>
      </c>
      <c r="IJ205" s="57">
        <v>888.8</v>
      </c>
      <c r="IK205" s="57">
        <v>522.69000000000005</v>
      </c>
      <c r="IL205" s="57">
        <v>347.32</v>
      </c>
      <c r="IM205" s="57">
        <v>542.35</v>
      </c>
      <c r="IN205" s="57">
        <v>541.82000000000005</v>
      </c>
      <c r="IO205" s="57">
        <v>616.37</v>
      </c>
      <c r="IP205" s="57">
        <v>316.7</v>
      </c>
      <c r="IQ205" s="57">
        <v>521.57000000000005</v>
      </c>
      <c r="IR205" s="57">
        <v>742.74</v>
      </c>
      <c r="IS205" s="57">
        <v>748.37</v>
      </c>
      <c r="IT205" s="57">
        <v>40.659999999999997</v>
      </c>
      <c r="IU205" s="57">
        <v>198.06</v>
      </c>
      <c r="IV205" s="57">
        <v>63.28</v>
      </c>
      <c r="IW205" s="57">
        <v>145.91</v>
      </c>
      <c r="IX205" s="57">
        <v>296.77999999999997</v>
      </c>
      <c r="IY205" s="57">
        <v>632.41999999999996</v>
      </c>
      <c r="IZ205" s="57">
        <v>558.30999999999995</v>
      </c>
      <c r="JA205" s="57">
        <v>417.73</v>
      </c>
      <c r="JB205" s="57">
        <v>138.33000000000001</v>
      </c>
      <c r="JC205" s="57">
        <v>619.59</v>
      </c>
      <c r="JD205" s="57">
        <v>543.80999999999995</v>
      </c>
      <c r="JE205" s="57">
        <v>595.09</v>
      </c>
      <c r="JF205" s="57">
        <v>350.59</v>
      </c>
      <c r="JG205" s="57">
        <v>435.34</v>
      </c>
      <c r="JH205" s="57">
        <v>658.27</v>
      </c>
      <c r="JI205" s="57">
        <v>647.46</v>
      </c>
      <c r="JJ205" s="57">
        <v>613.86</v>
      </c>
      <c r="JK205" s="57">
        <v>800.42</v>
      </c>
      <c r="JL205" s="57">
        <v>682.05</v>
      </c>
      <c r="JM205" s="57">
        <v>584.5</v>
      </c>
      <c r="JN205" s="57">
        <v>353.56</v>
      </c>
      <c r="JO205" s="57">
        <v>353.34</v>
      </c>
      <c r="JP205" s="57">
        <v>953.1</v>
      </c>
      <c r="JQ205" s="57">
        <v>753.35</v>
      </c>
      <c r="JR205" s="57">
        <v>543.1</v>
      </c>
      <c r="JS205" s="57">
        <v>542.35</v>
      </c>
      <c r="JT205" s="57">
        <v>792.11</v>
      </c>
      <c r="JU205" s="57">
        <v>584.45000000000005</v>
      </c>
      <c r="JV205" s="57">
        <v>298.23</v>
      </c>
      <c r="JW205" s="57">
        <v>418.53</v>
      </c>
      <c r="JX205" s="57">
        <v>2585.5700000000002</v>
      </c>
      <c r="JY205" s="57">
        <v>487.07</v>
      </c>
      <c r="JZ205" s="57">
        <v>608.75</v>
      </c>
      <c r="KA205" s="57">
        <v>642.22</v>
      </c>
      <c r="KB205" s="57">
        <v>349.31</v>
      </c>
      <c r="KC205" s="57">
        <v>612.71</v>
      </c>
      <c r="KD205" s="57">
        <v>600.61</v>
      </c>
      <c r="KE205" s="57">
        <v>60.47</v>
      </c>
      <c r="KF205" s="57">
        <v>775.65</v>
      </c>
    </row>
    <row r="206" spans="1:292">
      <c r="A206" s="41">
        <v>2021</v>
      </c>
      <c r="B206" s="54" t="s">
        <v>993</v>
      </c>
      <c r="C206" s="50" t="s">
        <v>994</v>
      </c>
      <c r="D206" s="57">
        <v>570.66</v>
      </c>
      <c r="E206" s="57">
        <v>711.76</v>
      </c>
      <c r="F206" s="57">
        <v>888.14</v>
      </c>
      <c r="G206" s="57">
        <v>270.62</v>
      </c>
      <c r="H206" s="57">
        <v>622.72</v>
      </c>
      <c r="I206" s="57">
        <v>503.56</v>
      </c>
      <c r="J206" s="57">
        <v>346.61</v>
      </c>
      <c r="K206" s="57">
        <v>565.44000000000005</v>
      </c>
      <c r="L206" s="57">
        <v>167.26</v>
      </c>
      <c r="M206" s="57">
        <v>353.05</v>
      </c>
      <c r="N206" s="57">
        <v>510.5</v>
      </c>
      <c r="O206" s="57">
        <v>887.83</v>
      </c>
      <c r="P206" s="57">
        <v>819.88</v>
      </c>
      <c r="Q206" s="57">
        <v>724.36</v>
      </c>
      <c r="R206" s="57">
        <v>552.5</v>
      </c>
      <c r="S206" s="57">
        <v>1267.6300000000001</v>
      </c>
      <c r="T206" s="57">
        <v>864.69</v>
      </c>
      <c r="U206" s="57">
        <v>262.17</v>
      </c>
      <c r="V206" s="57">
        <v>292.98</v>
      </c>
      <c r="W206" s="57">
        <v>621.66</v>
      </c>
      <c r="X206" s="57">
        <v>735.41</v>
      </c>
      <c r="Y206" s="57">
        <v>468.55</v>
      </c>
      <c r="Z206" s="57">
        <v>660.08</v>
      </c>
      <c r="AA206" s="57">
        <v>585.35</v>
      </c>
      <c r="AB206" s="57">
        <v>465.96</v>
      </c>
      <c r="AC206" s="57">
        <v>435.8</v>
      </c>
      <c r="AD206" s="57">
        <v>545.59</v>
      </c>
      <c r="AE206" s="57">
        <v>533.51</v>
      </c>
      <c r="AF206" s="57">
        <v>441.8</v>
      </c>
      <c r="AG206" s="57">
        <v>263.99</v>
      </c>
      <c r="AH206" s="57">
        <v>381.08</v>
      </c>
      <c r="AI206" s="57">
        <v>607.05999999999995</v>
      </c>
      <c r="AJ206" s="57">
        <v>526.75</v>
      </c>
      <c r="AK206" s="57">
        <v>538.80999999999995</v>
      </c>
      <c r="AL206" s="57">
        <v>573.9</v>
      </c>
      <c r="AM206" s="57">
        <v>748.37</v>
      </c>
      <c r="AN206" s="57">
        <v>40.93</v>
      </c>
      <c r="AO206" s="57">
        <v>198.86</v>
      </c>
      <c r="AP206" s="57">
        <v>105.43</v>
      </c>
      <c r="AQ206" s="57">
        <v>666.85</v>
      </c>
      <c r="AR206" s="57">
        <v>565.21</v>
      </c>
      <c r="AS206" s="57">
        <v>464.03</v>
      </c>
      <c r="AT206" s="57">
        <v>642</v>
      </c>
      <c r="AU206" s="57">
        <v>765.5</v>
      </c>
      <c r="AV206" s="57">
        <v>686.65</v>
      </c>
      <c r="AW206" s="57">
        <v>588.12</v>
      </c>
      <c r="AX206" s="57">
        <v>419.73</v>
      </c>
      <c r="AY206" s="57">
        <v>363.83</v>
      </c>
      <c r="AZ206" s="57">
        <v>916.37</v>
      </c>
      <c r="BA206" s="57">
        <v>574.76</v>
      </c>
      <c r="BB206" s="57">
        <v>485.52</v>
      </c>
      <c r="BC206" s="57">
        <v>1919.37</v>
      </c>
      <c r="BD206" s="57">
        <v>686.64</v>
      </c>
      <c r="BE206" s="57">
        <v>596.55999999999995</v>
      </c>
      <c r="BF206" s="57">
        <v>60.47</v>
      </c>
      <c r="BG206" s="57">
        <v>776.12</v>
      </c>
      <c r="BH206" s="57">
        <v>712.56</v>
      </c>
      <c r="BI206" s="57">
        <v>719.62</v>
      </c>
      <c r="BJ206" s="57">
        <v>744.31</v>
      </c>
      <c r="BK206" s="57">
        <v>727.92</v>
      </c>
      <c r="BL206" s="57">
        <v>751.62</v>
      </c>
      <c r="BM206" s="57">
        <v>678.45</v>
      </c>
      <c r="BN206" s="57">
        <v>790.77</v>
      </c>
      <c r="BO206" s="57">
        <v>481.69</v>
      </c>
      <c r="BP206" s="57">
        <v>719.65</v>
      </c>
      <c r="BQ206" s="57">
        <v>626.03</v>
      </c>
      <c r="BR206" s="57">
        <v>492.5</v>
      </c>
      <c r="BS206" s="57">
        <v>1302.7</v>
      </c>
      <c r="BT206" s="57">
        <v>767.89</v>
      </c>
      <c r="BU206" s="57">
        <v>1251.52</v>
      </c>
      <c r="BV206" s="57">
        <v>864.69</v>
      </c>
      <c r="BW206" s="57">
        <v>250.79</v>
      </c>
      <c r="BX206" s="57">
        <v>381.87</v>
      </c>
      <c r="BY206" s="57">
        <v>581.57000000000005</v>
      </c>
      <c r="BZ206" s="57">
        <v>291.37</v>
      </c>
      <c r="CA206" s="57">
        <v>664.83</v>
      </c>
      <c r="CB206" s="58">
        <v>621.66</v>
      </c>
      <c r="CC206" s="57">
        <v>735.41</v>
      </c>
      <c r="CD206" s="57">
        <v>466.74</v>
      </c>
      <c r="CE206" s="57">
        <v>597.49</v>
      </c>
      <c r="CF206" s="57">
        <v>648.92999999999995</v>
      </c>
      <c r="CG206" s="57">
        <v>671.87</v>
      </c>
      <c r="CH206" s="57">
        <v>601.67999999999995</v>
      </c>
      <c r="CI206" s="57">
        <v>515.45000000000005</v>
      </c>
      <c r="CJ206" s="57">
        <v>465.96</v>
      </c>
      <c r="CK206" s="57">
        <v>403.98</v>
      </c>
      <c r="CL206" s="57">
        <v>428.16</v>
      </c>
      <c r="CM206" s="57">
        <v>792.15</v>
      </c>
      <c r="CN206" s="57">
        <v>545.59</v>
      </c>
      <c r="CO206" s="57">
        <v>533.51</v>
      </c>
      <c r="CP206" s="57">
        <v>365.58</v>
      </c>
      <c r="CQ206" s="57">
        <v>748.48</v>
      </c>
      <c r="CR206" s="57">
        <v>276.38</v>
      </c>
      <c r="CS206" s="57">
        <v>357.48</v>
      </c>
      <c r="CT206" s="57">
        <v>253.77</v>
      </c>
      <c r="CU206" s="57">
        <v>271.01</v>
      </c>
      <c r="CV206" s="57">
        <v>569.87</v>
      </c>
      <c r="CW206" s="57">
        <v>242.1</v>
      </c>
      <c r="CX206" s="57">
        <v>607.05999999999995</v>
      </c>
      <c r="CY206" s="57">
        <v>526.29</v>
      </c>
      <c r="CZ206" s="57">
        <v>488.35</v>
      </c>
      <c r="DA206" s="57">
        <v>586.19000000000005</v>
      </c>
      <c r="DB206" s="57">
        <v>721.68</v>
      </c>
      <c r="DC206" s="57">
        <v>450.57</v>
      </c>
      <c r="DD206" s="57">
        <v>909.94</v>
      </c>
      <c r="DE206" s="57">
        <v>876.7</v>
      </c>
      <c r="DF206" s="57">
        <v>450.65</v>
      </c>
      <c r="DG206" s="57">
        <v>581.75</v>
      </c>
      <c r="DH206" s="57">
        <v>315.14999999999998</v>
      </c>
      <c r="DI206" s="57">
        <v>521.57000000000005</v>
      </c>
      <c r="DJ206" s="57">
        <v>749.44</v>
      </c>
      <c r="DK206" s="57">
        <v>748.37</v>
      </c>
      <c r="DL206" s="57">
        <v>40.93</v>
      </c>
      <c r="DM206" s="57">
        <v>198.86</v>
      </c>
      <c r="DN206" s="57">
        <v>64.06</v>
      </c>
      <c r="DO206" s="57">
        <v>144.88</v>
      </c>
      <c r="DP206" s="57">
        <v>297.54000000000002</v>
      </c>
      <c r="DQ206" s="57">
        <v>666.85</v>
      </c>
      <c r="DR206" s="57">
        <v>558.51</v>
      </c>
      <c r="DS206" s="57">
        <v>416.31</v>
      </c>
      <c r="DT206" s="57">
        <v>139.55000000000001</v>
      </c>
      <c r="DU206" s="57">
        <v>627.1</v>
      </c>
      <c r="DV206" s="57">
        <v>557.16999999999996</v>
      </c>
      <c r="DW206" s="57">
        <v>384.29</v>
      </c>
      <c r="DX206" s="57">
        <v>435.34</v>
      </c>
      <c r="DY206" s="57">
        <v>661.31</v>
      </c>
      <c r="DZ206" s="57">
        <v>729.31</v>
      </c>
      <c r="EA206" s="57">
        <v>635.17999999999995</v>
      </c>
      <c r="EB206" s="57">
        <v>765.5</v>
      </c>
      <c r="EC206" s="57">
        <v>686.65</v>
      </c>
      <c r="ED206" s="57">
        <v>588.12</v>
      </c>
      <c r="EE206" s="57">
        <v>419.73</v>
      </c>
      <c r="EF206" s="57">
        <v>363.83</v>
      </c>
      <c r="EG206" s="57">
        <v>916.37</v>
      </c>
      <c r="EH206" s="57">
        <v>574.76</v>
      </c>
      <c r="EI206" s="57">
        <v>688.52</v>
      </c>
      <c r="EJ206" s="57">
        <v>299.39999999999998</v>
      </c>
      <c r="EK206" s="57">
        <v>426.32</v>
      </c>
      <c r="EL206" s="57">
        <v>2606.46</v>
      </c>
      <c r="EM206" s="57">
        <v>551.14</v>
      </c>
      <c r="EN206" s="57">
        <v>686.64</v>
      </c>
      <c r="EO206" s="57">
        <v>350.08</v>
      </c>
      <c r="EP206" s="57">
        <v>610.13</v>
      </c>
      <c r="EQ206" s="57">
        <v>606.6</v>
      </c>
      <c r="ER206" s="57">
        <v>60.47</v>
      </c>
      <c r="ES206" s="57">
        <v>776.12</v>
      </c>
      <c r="ET206" s="57">
        <v>775.43</v>
      </c>
      <c r="EU206" s="57">
        <v>688.81</v>
      </c>
      <c r="EV206" s="57">
        <v>729.11</v>
      </c>
      <c r="EW206" s="57">
        <v>635.30999999999995</v>
      </c>
      <c r="EX206" s="57">
        <v>771.24</v>
      </c>
      <c r="EY206" s="57">
        <v>311.87</v>
      </c>
      <c r="EZ206" s="57">
        <v>696.75</v>
      </c>
      <c r="FA206" s="57">
        <v>782.04</v>
      </c>
      <c r="FB206" s="57">
        <v>687.17</v>
      </c>
      <c r="FC206" s="57">
        <v>911.52</v>
      </c>
      <c r="FD206" s="57">
        <v>610.27</v>
      </c>
      <c r="FE206" s="57">
        <v>757.83</v>
      </c>
      <c r="FF206" s="57">
        <v>135.78</v>
      </c>
      <c r="FG206" s="57">
        <v>584.27</v>
      </c>
      <c r="FH206" s="57">
        <v>554.72</v>
      </c>
      <c r="FI206" s="57">
        <v>773.95</v>
      </c>
      <c r="FJ206" s="57">
        <v>1111.74</v>
      </c>
      <c r="FK206" s="57">
        <v>1083.2</v>
      </c>
      <c r="FL206" s="57">
        <v>739.31</v>
      </c>
      <c r="FM206" s="57">
        <v>711.63</v>
      </c>
      <c r="FN206" s="57">
        <v>616.22</v>
      </c>
      <c r="FO206" s="57">
        <v>1052.22</v>
      </c>
      <c r="FP206" s="57">
        <v>781.48</v>
      </c>
      <c r="FQ206" s="57">
        <v>606.44000000000005</v>
      </c>
      <c r="FR206" s="57">
        <v>1191.45</v>
      </c>
      <c r="FS206" s="57">
        <v>688.43</v>
      </c>
      <c r="FT206" s="57">
        <v>347.41</v>
      </c>
      <c r="FU206" s="57">
        <v>718.95</v>
      </c>
      <c r="FV206" s="57">
        <v>538.39</v>
      </c>
      <c r="FW206" s="57">
        <v>381.95</v>
      </c>
      <c r="FX206" s="57">
        <v>719.65</v>
      </c>
      <c r="FY206" s="57">
        <v>712.32</v>
      </c>
      <c r="FZ206" s="57">
        <v>603.21</v>
      </c>
      <c r="GA206" s="57">
        <v>553.75</v>
      </c>
      <c r="GB206" s="57">
        <v>485.62</v>
      </c>
      <c r="GC206" s="57">
        <v>530.64</v>
      </c>
      <c r="GD206" s="57">
        <v>443.82</v>
      </c>
      <c r="GE206" s="57">
        <v>1302.7</v>
      </c>
      <c r="GF206" s="57">
        <v>767.89</v>
      </c>
      <c r="GG206" s="57">
        <v>1251.52</v>
      </c>
      <c r="GH206" s="57">
        <v>863.24</v>
      </c>
      <c r="GI206" s="57">
        <v>283.55</v>
      </c>
      <c r="GJ206" s="57">
        <v>226.07</v>
      </c>
      <c r="GK206" s="57">
        <v>236.31</v>
      </c>
      <c r="GL206" s="57">
        <v>372.38</v>
      </c>
      <c r="GM206" s="57">
        <v>381.87</v>
      </c>
      <c r="GN206" s="57">
        <v>581.57000000000005</v>
      </c>
      <c r="GO206" s="57">
        <v>307.52999999999997</v>
      </c>
      <c r="GP206" s="57">
        <v>268.62</v>
      </c>
      <c r="GQ206" s="57">
        <v>303</v>
      </c>
      <c r="GR206" s="57">
        <v>664.83</v>
      </c>
      <c r="GS206" s="57">
        <v>621.66</v>
      </c>
      <c r="GT206" s="57">
        <v>735.41</v>
      </c>
      <c r="GU206" s="57">
        <v>466.74</v>
      </c>
      <c r="GV206" s="57">
        <v>597.49</v>
      </c>
      <c r="GW206" s="57">
        <v>606.83000000000004</v>
      </c>
      <c r="GX206" s="57">
        <v>650.54999999999995</v>
      </c>
      <c r="GY206" s="57">
        <v>671.87</v>
      </c>
      <c r="GZ206" s="57">
        <v>736.66</v>
      </c>
      <c r="HA206" s="57">
        <v>580.01</v>
      </c>
      <c r="HB206" s="57">
        <v>592.09</v>
      </c>
      <c r="HC206" s="57">
        <v>515.45000000000005</v>
      </c>
      <c r="HD206" s="57">
        <v>465.96</v>
      </c>
      <c r="HE206" s="57">
        <v>325.35000000000002</v>
      </c>
      <c r="HF206" s="57">
        <v>399.16</v>
      </c>
      <c r="HG206" s="57">
        <v>486.53</v>
      </c>
      <c r="HH206" s="57">
        <v>538.44000000000005</v>
      </c>
      <c r="HI206" s="57">
        <v>252.65</v>
      </c>
      <c r="HJ206" s="57">
        <v>428.16</v>
      </c>
      <c r="HK206" s="57">
        <v>792.15</v>
      </c>
      <c r="HL206" s="57">
        <v>463.34</v>
      </c>
      <c r="HM206" s="57">
        <v>586.41</v>
      </c>
      <c r="HN206" s="57">
        <v>608.54999999999995</v>
      </c>
      <c r="HO206" s="57">
        <v>385.38</v>
      </c>
      <c r="HP206" s="57">
        <v>738.85</v>
      </c>
      <c r="HQ206" s="57">
        <v>336.87</v>
      </c>
      <c r="HR206" s="57">
        <v>578.11</v>
      </c>
      <c r="HS206" s="57">
        <v>755.29</v>
      </c>
      <c r="HT206" s="57">
        <v>486.97</v>
      </c>
      <c r="HU206" s="57">
        <v>276.38</v>
      </c>
      <c r="HV206" s="57">
        <v>357.48</v>
      </c>
      <c r="HW206" s="57">
        <v>216.71</v>
      </c>
      <c r="HX206" s="57">
        <v>308.87</v>
      </c>
      <c r="HY206" s="57">
        <v>271.01</v>
      </c>
      <c r="HZ206" s="57">
        <v>569.87</v>
      </c>
      <c r="IA206" s="57">
        <v>221.14</v>
      </c>
      <c r="IB206" s="57">
        <v>607.05999999999995</v>
      </c>
      <c r="IC206" s="57">
        <v>467.15</v>
      </c>
      <c r="ID206" s="57">
        <v>547.78</v>
      </c>
      <c r="IE206" s="57">
        <v>488.35</v>
      </c>
      <c r="IF206" s="57">
        <v>586.19000000000005</v>
      </c>
      <c r="IG206" s="57">
        <v>721.68</v>
      </c>
      <c r="IH206" s="57">
        <v>450.57</v>
      </c>
      <c r="II206" s="57">
        <v>909.94</v>
      </c>
      <c r="IJ206" s="57">
        <v>876.7</v>
      </c>
      <c r="IK206" s="57">
        <v>526</v>
      </c>
      <c r="IL206" s="57">
        <v>347.46</v>
      </c>
      <c r="IM206" s="57">
        <v>573.38</v>
      </c>
      <c r="IN206" s="57">
        <v>545.29999999999995</v>
      </c>
      <c r="IO206" s="57">
        <v>602.6</v>
      </c>
      <c r="IP206" s="57">
        <v>315.14999999999998</v>
      </c>
      <c r="IQ206" s="57">
        <v>521.57000000000005</v>
      </c>
      <c r="IR206" s="57">
        <v>749.44</v>
      </c>
      <c r="IS206" s="57">
        <v>748.37</v>
      </c>
      <c r="IT206" s="57">
        <v>40.93</v>
      </c>
      <c r="IU206" s="57">
        <v>198.86</v>
      </c>
      <c r="IV206" s="57">
        <v>64.069999999999993</v>
      </c>
      <c r="IW206" s="57">
        <v>144.88</v>
      </c>
      <c r="IX206" s="57">
        <v>297.54000000000002</v>
      </c>
      <c r="IY206" s="57">
        <v>666.85</v>
      </c>
      <c r="IZ206" s="57">
        <v>558.51</v>
      </c>
      <c r="JA206" s="57">
        <v>416.31</v>
      </c>
      <c r="JB206" s="57">
        <v>139.55000000000001</v>
      </c>
      <c r="JC206" s="57">
        <v>627.1</v>
      </c>
      <c r="JD206" s="57">
        <v>557.16999999999996</v>
      </c>
      <c r="JE206" s="57">
        <v>606.70000000000005</v>
      </c>
      <c r="JF206" s="57">
        <v>352.03</v>
      </c>
      <c r="JG206" s="57">
        <v>435.34</v>
      </c>
      <c r="JH206" s="57">
        <v>661.31</v>
      </c>
      <c r="JI206" s="57">
        <v>729.31</v>
      </c>
      <c r="JJ206" s="57">
        <v>635.17999999999995</v>
      </c>
      <c r="JK206" s="57">
        <v>765.5</v>
      </c>
      <c r="JL206" s="57">
        <v>686.65</v>
      </c>
      <c r="JM206" s="57">
        <v>588.12</v>
      </c>
      <c r="JN206" s="57">
        <v>419.73</v>
      </c>
      <c r="JO206" s="57">
        <v>363.83</v>
      </c>
      <c r="JP206" s="57">
        <v>973.26</v>
      </c>
      <c r="JQ206" s="57">
        <v>765.54</v>
      </c>
      <c r="JR206" s="57">
        <v>543.29</v>
      </c>
      <c r="JS206" s="57">
        <v>635.63</v>
      </c>
      <c r="JT206" s="57">
        <v>801.41</v>
      </c>
      <c r="JU206" s="57">
        <v>589.47</v>
      </c>
      <c r="JV206" s="57">
        <v>299.39999999999998</v>
      </c>
      <c r="JW206" s="57">
        <v>426.32</v>
      </c>
      <c r="JX206" s="57">
        <v>2606.46</v>
      </c>
      <c r="JY206" s="57">
        <v>491.01</v>
      </c>
      <c r="JZ206" s="57">
        <v>612.76</v>
      </c>
      <c r="KA206" s="57">
        <v>686.64</v>
      </c>
      <c r="KB206" s="57">
        <v>350.08</v>
      </c>
      <c r="KC206" s="57">
        <v>610.13</v>
      </c>
      <c r="KD206" s="57">
        <v>606.6</v>
      </c>
      <c r="KE206" s="57">
        <v>60.47</v>
      </c>
      <c r="KF206" s="57">
        <v>776.12</v>
      </c>
    </row>
    <row r="207" spans="1:292">
      <c r="A207" s="41">
        <v>2021</v>
      </c>
      <c r="B207" s="54" t="s">
        <v>995</v>
      </c>
      <c r="C207" s="50" t="s">
        <v>996</v>
      </c>
      <c r="D207" s="57">
        <v>584.32000000000005</v>
      </c>
      <c r="E207" s="57">
        <v>725.45</v>
      </c>
      <c r="F207" s="57">
        <v>941.17</v>
      </c>
      <c r="G207" s="57">
        <v>291.07</v>
      </c>
      <c r="H207" s="57">
        <v>636.97</v>
      </c>
      <c r="I207" s="57">
        <v>514.9</v>
      </c>
      <c r="J207" s="57">
        <v>348.85</v>
      </c>
      <c r="K207" s="57">
        <v>579.16999999999996</v>
      </c>
      <c r="L207" s="57">
        <v>168.11</v>
      </c>
      <c r="M207" s="57">
        <v>354.85</v>
      </c>
      <c r="N207" s="57">
        <v>511.38</v>
      </c>
      <c r="O207" s="57">
        <v>908.36</v>
      </c>
      <c r="P207" s="57">
        <v>834.22</v>
      </c>
      <c r="Q207" s="57">
        <v>738.1</v>
      </c>
      <c r="R207" s="57">
        <v>565.29</v>
      </c>
      <c r="S207" s="57">
        <v>1267.68</v>
      </c>
      <c r="T207" s="57">
        <v>920.39</v>
      </c>
      <c r="U207" s="57">
        <v>282.20999999999998</v>
      </c>
      <c r="V207" s="57">
        <v>314.13</v>
      </c>
      <c r="W207" s="57">
        <v>628.6</v>
      </c>
      <c r="X207" s="57">
        <v>762.78</v>
      </c>
      <c r="Y207" s="57">
        <v>470.66</v>
      </c>
      <c r="Z207" s="57">
        <v>683.9</v>
      </c>
      <c r="AA207" s="57">
        <v>590.66</v>
      </c>
      <c r="AB207" s="57">
        <v>476.42</v>
      </c>
      <c r="AC207" s="57">
        <v>454.07</v>
      </c>
      <c r="AD207" s="57">
        <v>553.66999999999996</v>
      </c>
      <c r="AE207" s="57">
        <v>560.53</v>
      </c>
      <c r="AF207" s="57">
        <v>447.69</v>
      </c>
      <c r="AG207" s="57">
        <v>265.54000000000002</v>
      </c>
      <c r="AH207" s="57">
        <v>382.76</v>
      </c>
      <c r="AI207" s="57">
        <v>614.49</v>
      </c>
      <c r="AJ207" s="57">
        <v>527.76</v>
      </c>
      <c r="AK207" s="57">
        <v>572.72</v>
      </c>
      <c r="AL207" s="57">
        <v>572.98</v>
      </c>
      <c r="AM207" s="57">
        <v>1010.3</v>
      </c>
      <c r="AN207" s="57">
        <v>41.23</v>
      </c>
      <c r="AO207" s="57">
        <v>199.71</v>
      </c>
      <c r="AP207" s="57">
        <v>108.39</v>
      </c>
      <c r="AQ207" s="57">
        <v>683.2</v>
      </c>
      <c r="AR207" s="57">
        <v>540.99</v>
      </c>
      <c r="AS207" s="57">
        <v>469.74</v>
      </c>
      <c r="AT207" s="57">
        <v>646.79999999999995</v>
      </c>
      <c r="AU207" s="57">
        <v>741.5</v>
      </c>
      <c r="AV207" s="57">
        <v>686.65</v>
      </c>
      <c r="AW207" s="57">
        <v>588.23</v>
      </c>
      <c r="AX207" s="57">
        <v>419.73</v>
      </c>
      <c r="AY207" s="57">
        <v>370.75</v>
      </c>
      <c r="AZ207" s="57">
        <v>935</v>
      </c>
      <c r="BA207" s="57">
        <v>608.42999999999995</v>
      </c>
      <c r="BB207" s="57">
        <v>488.7</v>
      </c>
      <c r="BC207" s="57">
        <v>2011.68</v>
      </c>
      <c r="BD207" s="57">
        <v>689.13</v>
      </c>
      <c r="BE207" s="57">
        <v>617.32000000000005</v>
      </c>
      <c r="BF207" s="57">
        <v>60.47</v>
      </c>
      <c r="BG207" s="57">
        <v>776.25</v>
      </c>
      <c r="BH207" s="57">
        <v>733</v>
      </c>
      <c r="BI207" s="57">
        <v>723.36</v>
      </c>
      <c r="BJ207" s="57">
        <v>737.19</v>
      </c>
      <c r="BK207" s="57">
        <v>734.91</v>
      </c>
      <c r="BL207" s="57">
        <v>765.55</v>
      </c>
      <c r="BM207" s="57">
        <v>629.66</v>
      </c>
      <c r="BN207" s="57">
        <v>882.25</v>
      </c>
      <c r="BO207" s="57">
        <v>495.89</v>
      </c>
      <c r="BP207" s="57">
        <v>732.25</v>
      </c>
      <c r="BQ207" s="57">
        <v>638.47</v>
      </c>
      <c r="BR207" s="57">
        <v>505.46</v>
      </c>
      <c r="BS207" s="57">
        <v>1303.18</v>
      </c>
      <c r="BT207" s="57">
        <v>768.92</v>
      </c>
      <c r="BU207" s="57">
        <v>1250.98</v>
      </c>
      <c r="BV207" s="57">
        <v>920.39</v>
      </c>
      <c r="BW207" s="57">
        <v>270.83999999999997</v>
      </c>
      <c r="BX207" s="57">
        <v>392.13</v>
      </c>
      <c r="BY207" s="57">
        <v>598.84</v>
      </c>
      <c r="BZ207" s="57">
        <v>312.54000000000002</v>
      </c>
      <c r="CA207" s="57">
        <v>678.97</v>
      </c>
      <c r="CB207" s="58">
        <v>628.6</v>
      </c>
      <c r="CC207" s="57">
        <v>762.78</v>
      </c>
      <c r="CD207" s="57">
        <v>468.84</v>
      </c>
      <c r="CE207" s="57">
        <v>597.49</v>
      </c>
      <c r="CF207" s="57">
        <v>668.63</v>
      </c>
      <c r="CG207" s="57">
        <v>780.07</v>
      </c>
      <c r="CH207" s="57">
        <v>607.1</v>
      </c>
      <c r="CI207" s="57">
        <v>520.59</v>
      </c>
      <c r="CJ207" s="57">
        <v>476.42</v>
      </c>
      <c r="CK207" s="57">
        <v>421.76</v>
      </c>
      <c r="CL207" s="57">
        <v>439.83</v>
      </c>
      <c r="CM207" s="57">
        <v>817.1</v>
      </c>
      <c r="CN207" s="57">
        <v>553.66999999999996</v>
      </c>
      <c r="CO207" s="57">
        <v>560.53</v>
      </c>
      <c r="CP207" s="57">
        <v>371.77</v>
      </c>
      <c r="CQ207" s="57">
        <v>751.48</v>
      </c>
      <c r="CR207" s="57">
        <v>276.16000000000003</v>
      </c>
      <c r="CS207" s="57">
        <v>371.69</v>
      </c>
      <c r="CT207" s="57">
        <v>256.92</v>
      </c>
      <c r="CU207" s="57">
        <v>271.3</v>
      </c>
      <c r="CV207" s="57">
        <v>573.27</v>
      </c>
      <c r="CW207" s="57">
        <v>243.4</v>
      </c>
      <c r="CX207" s="57">
        <v>614.49</v>
      </c>
      <c r="CY207" s="57">
        <v>526.76</v>
      </c>
      <c r="CZ207" s="57">
        <v>500.19</v>
      </c>
      <c r="DA207" s="57">
        <v>595.14</v>
      </c>
      <c r="DB207" s="57">
        <v>737.06</v>
      </c>
      <c r="DC207" s="57">
        <v>490.53</v>
      </c>
      <c r="DD207" s="57">
        <v>917.37</v>
      </c>
      <c r="DE207" s="57">
        <v>868.3</v>
      </c>
      <c r="DF207" s="57">
        <v>450.74</v>
      </c>
      <c r="DG207" s="57">
        <v>579.59</v>
      </c>
      <c r="DH207" s="57">
        <v>319.75</v>
      </c>
      <c r="DI207" s="57">
        <v>521.57000000000005</v>
      </c>
      <c r="DJ207" s="57">
        <v>758.43</v>
      </c>
      <c r="DK207" s="57">
        <v>1010.3</v>
      </c>
      <c r="DL207" s="57">
        <v>41.23</v>
      </c>
      <c r="DM207" s="57">
        <v>199.71</v>
      </c>
      <c r="DN207" s="57">
        <v>65.459999999999994</v>
      </c>
      <c r="DO207" s="57">
        <v>150.96</v>
      </c>
      <c r="DP207" s="57">
        <v>307.94</v>
      </c>
      <c r="DQ207" s="57">
        <v>683.2</v>
      </c>
      <c r="DR207" s="57">
        <v>564.17999999999995</v>
      </c>
      <c r="DS207" s="57">
        <v>413.06</v>
      </c>
      <c r="DT207" s="57">
        <v>125.1</v>
      </c>
      <c r="DU207" s="57">
        <v>634.23</v>
      </c>
      <c r="DV207" s="57">
        <v>563.19000000000005</v>
      </c>
      <c r="DW207" s="57">
        <v>390.41</v>
      </c>
      <c r="DX207" s="57">
        <v>435.34</v>
      </c>
      <c r="DY207" s="57">
        <v>660.68</v>
      </c>
      <c r="DZ207" s="57">
        <v>744.52</v>
      </c>
      <c r="EA207" s="57">
        <v>646.5</v>
      </c>
      <c r="EB207" s="57">
        <v>741.5</v>
      </c>
      <c r="EC207" s="57">
        <v>686.65</v>
      </c>
      <c r="ED207" s="57">
        <v>588.23</v>
      </c>
      <c r="EE207" s="57">
        <v>419.73</v>
      </c>
      <c r="EF207" s="57">
        <v>370.75</v>
      </c>
      <c r="EG207" s="57">
        <v>935</v>
      </c>
      <c r="EH207" s="57">
        <v>608.42999999999995</v>
      </c>
      <c r="EI207" s="57">
        <v>698.31</v>
      </c>
      <c r="EJ207" s="57">
        <v>299.77999999999997</v>
      </c>
      <c r="EK207" s="57">
        <v>428.3</v>
      </c>
      <c r="EL207" s="57">
        <v>2761.62</v>
      </c>
      <c r="EM207" s="57">
        <v>561.13</v>
      </c>
      <c r="EN207" s="57">
        <v>689.13</v>
      </c>
      <c r="EO207" s="57">
        <v>351.02</v>
      </c>
      <c r="EP207" s="57">
        <v>621.53</v>
      </c>
      <c r="EQ207" s="57">
        <v>631.19000000000005</v>
      </c>
      <c r="ER207" s="57">
        <v>60.47</v>
      </c>
      <c r="ES207" s="57">
        <v>776.25</v>
      </c>
      <c r="ET207" s="57">
        <v>763.28</v>
      </c>
      <c r="EU207" s="57">
        <v>727.87</v>
      </c>
      <c r="EV207" s="57">
        <v>747.55</v>
      </c>
      <c r="EW207" s="57">
        <v>649.79999999999995</v>
      </c>
      <c r="EX207" s="57">
        <v>846.62</v>
      </c>
      <c r="EY207" s="57">
        <v>318.72000000000003</v>
      </c>
      <c r="EZ207" s="57">
        <v>701.67</v>
      </c>
      <c r="FA207" s="57">
        <v>780.78</v>
      </c>
      <c r="FB207" s="57">
        <v>693.99</v>
      </c>
      <c r="FC207" s="57">
        <v>920.54</v>
      </c>
      <c r="FD207" s="57">
        <v>609.76</v>
      </c>
      <c r="FE207" s="57">
        <v>749.86</v>
      </c>
      <c r="FF207" s="57">
        <v>136.05000000000001</v>
      </c>
      <c r="FG207" s="57">
        <v>599.63</v>
      </c>
      <c r="FH207" s="57">
        <v>565.01</v>
      </c>
      <c r="FI207" s="57">
        <v>772.8</v>
      </c>
      <c r="FJ207" s="57">
        <v>1121.25</v>
      </c>
      <c r="FK207" s="57">
        <v>1078.52</v>
      </c>
      <c r="FL207" s="57">
        <v>766.74</v>
      </c>
      <c r="FM207" s="57">
        <v>728.42</v>
      </c>
      <c r="FN207" s="57">
        <v>547.75</v>
      </c>
      <c r="FO207" s="57">
        <v>1077.22</v>
      </c>
      <c r="FP207" s="57">
        <v>904.78</v>
      </c>
      <c r="FQ207" s="57">
        <v>692.45</v>
      </c>
      <c r="FR207" s="57">
        <v>1280.6600000000001</v>
      </c>
      <c r="FS207" s="57">
        <v>696.59</v>
      </c>
      <c r="FT207" s="57">
        <v>364.73</v>
      </c>
      <c r="FU207" s="57">
        <v>760.82</v>
      </c>
      <c r="FV207" s="57">
        <v>543.91999999999996</v>
      </c>
      <c r="FW207" s="57">
        <v>377.29</v>
      </c>
      <c r="FX207" s="57">
        <v>732.25</v>
      </c>
      <c r="FY207" s="57">
        <v>741.76</v>
      </c>
      <c r="FZ207" s="57">
        <v>611.87</v>
      </c>
      <c r="GA207" s="57">
        <v>552.42999999999995</v>
      </c>
      <c r="GB207" s="57">
        <v>490.19</v>
      </c>
      <c r="GC207" s="57">
        <v>550.72</v>
      </c>
      <c r="GD207" s="57">
        <v>465.92</v>
      </c>
      <c r="GE207" s="57">
        <v>1303.18</v>
      </c>
      <c r="GF207" s="57">
        <v>768.92</v>
      </c>
      <c r="GG207" s="57">
        <v>1250.98</v>
      </c>
      <c r="GH207" s="57">
        <v>918.84</v>
      </c>
      <c r="GI207" s="57">
        <v>306.35000000000002</v>
      </c>
      <c r="GJ207" s="57">
        <v>242.76</v>
      </c>
      <c r="GK207" s="57">
        <v>259.82</v>
      </c>
      <c r="GL207" s="57">
        <v>394.9</v>
      </c>
      <c r="GM207" s="57">
        <v>392.13</v>
      </c>
      <c r="GN207" s="57">
        <v>598.84</v>
      </c>
      <c r="GO207" s="57">
        <v>322.79000000000002</v>
      </c>
      <c r="GP207" s="57">
        <v>294.93</v>
      </c>
      <c r="GQ207" s="57">
        <v>325.56</v>
      </c>
      <c r="GR207" s="57">
        <v>678.97</v>
      </c>
      <c r="GS207" s="57">
        <v>628.6</v>
      </c>
      <c r="GT207" s="57">
        <v>762.78</v>
      </c>
      <c r="GU207" s="57">
        <v>468.84</v>
      </c>
      <c r="GV207" s="57">
        <v>597.49</v>
      </c>
      <c r="GW207" s="57">
        <v>609.36</v>
      </c>
      <c r="GX207" s="57">
        <v>727.93</v>
      </c>
      <c r="GY207" s="57">
        <v>780.07</v>
      </c>
      <c r="GZ207" s="57">
        <v>745.95</v>
      </c>
      <c r="HA207" s="57">
        <v>586.25</v>
      </c>
      <c r="HB207" s="57">
        <v>595.79999999999995</v>
      </c>
      <c r="HC207" s="57">
        <v>520.59</v>
      </c>
      <c r="HD207" s="57">
        <v>476.42</v>
      </c>
      <c r="HE207" s="57">
        <v>352.41</v>
      </c>
      <c r="HF207" s="57">
        <v>416.93</v>
      </c>
      <c r="HG207" s="57">
        <v>502.1</v>
      </c>
      <c r="HH207" s="57">
        <v>546.67999999999995</v>
      </c>
      <c r="HI207" s="57">
        <v>250.62</v>
      </c>
      <c r="HJ207" s="57">
        <v>439.83</v>
      </c>
      <c r="HK207" s="57">
        <v>817.1</v>
      </c>
      <c r="HL207" s="57">
        <v>472.37</v>
      </c>
      <c r="HM207" s="57">
        <v>591.57000000000005</v>
      </c>
      <c r="HN207" s="57">
        <v>616.34</v>
      </c>
      <c r="HO207" s="57">
        <v>388.28</v>
      </c>
      <c r="HP207" s="57">
        <v>811.91</v>
      </c>
      <c r="HQ207" s="57">
        <v>343.99</v>
      </c>
      <c r="HR207" s="57">
        <v>577.23</v>
      </c>
      <c r="HS207" s="57">
        <v>756.33</v>
      </c>
      <c r="HT207" s="57">
        <v>495.77</v>
      </c>
      <c r="HU207" s="57">
        <v>276.16000000000003</v>
      </c>
      <c r="HV207" s="57">
        <v>371.69</v>
      </c>
      <c r="HW207" s="57">
        <v>220.07</v>
      </c>
      <c r="HX207" s="57">
        <v>311.02</v>
      </c>
      <c r="HY207" s="57">
        <v>271.3</v>
      </c>
      <c r="HZ207" s="57">
        <v>573.27</v>
      </c>
      <c r="IA207" s="57">
        <v>222.33</v>
      </c>
      <c r="IB207" s="57">
        <v>614.49</v>
      </c>
      <c r="IC207" s="57">
        <v>467.15</v>
      </c>
      <c r="ID207" s="57">
        <v>548.63</v>
      </c>
      <c r="IE207" s="57">
        <v>500.19</v>
      </c>
      <c r="IF207" s="57">
        <v>595.14</v>
      </c>
      <c r="IG207" s="57">
        <v>737.06</v>
      </c>
      <c r="IH207" s="57">
        <v>490.53</v>
      </c>
      <c r="II207" s="57">
        <v>917.37</v>
      </c>
      <c r="IJ207" s="57">
        <v>868.3</v>
      </c>
      <c r="IK207" s="57">
        <v>526.80999999999995</v>
      </c>
      <c r="IL207" s="57">
        <v>347.46</v>
      </c>
      <c r="IM207" s="57">
        <v>576.30999999999995</v>
      </c>
      <c r="IN207" s="57">
        <v>547.46</v>
      </c>
      <c r="IO207" s="57">
        <v>582.21</v>
      </c>
      <c r="IP207" s="57">
        <v>319.75</v>
      </c>
      <c r="IQ207" s="57">
        <v>521.57000000000005</v>
      </c>
      <c r="IR207" s="57">
        <v>758.43</v>
      </c>
      <c r="IS207" s="57">
        <v>1010.3</v>
      </c>
      <c r="IT207" s="57">
        <v>41.23</v>
      </c>
      <c r="IU207" s="57">
        <v>199.71</v>
      </c>
      <c r="IV207" s="57">
        <v>65.47</v>
      </c>
      <c r="IW207" s="57">
        <v>150.96</v>
      </c>
      <c r="IX207" s="57">
        <v>307.94</v>
      </c>
      <c r="IY207" s="57">
        <v>683.2</v>
      </c>
      <c r="IZ207" s="57">
        <v>564.17999999999995</v>
      </c>
      <c r="JA207" s="57">
        <v>413.06</v>
      </c>
      <c r="JB207" s="57">
        <v>125.1</v>
      </c>
      <c r="JC207" s="57">
        <v>634.23</v>
      </c>
      <c r="JD207" s="57">
        <v>563.19000000000005</v>
      </c>
      <c r="JE207" s="57">
        <v>614.99</v>
      </c>
      <c r="JF207" s="57">
        <v>357.77</v>
      </c>
      <c r="JG207" s="57">
        <v>435.34</v>
      </c>
      <c r="JH207" s="57">
        <v>660.68</v>
      </c>
      <c r="JI207" s="57">
        <v>744.52</v>
      </c>
      <c r="JJ207" s="57">
        <v>646.5</v>
      </c>
      <c r="JK207" s="57">
        <v>741.5</v>
      </c>
      <c r="JL207" s="57">
        <v>686.65</v>
      </c>
      <c r="JM207" s="57">
        <v>588.23</v>
      </c>
      <c r="JN207" s="57">
        <v>419.73</v>
      </c>
      <c r="JO207" s="57">
        <v>370.75</v>
      </c>
      <c r="JP207" s="57">
        <v>994.22</v>
      </c>
      <c r="JQ207" s="57">
        <v>776.9</v>
      </c>
      <c r="JR207" s="57">
        <v>555.41999999999996</v>
      </c>
      <c r="JS207" s="57">
        <v>725.61</v>
      </c>
      <c r="JT207" s="57">
        <v>812.89</v>
      </c>
      <c r="JU207" s="57">
        <v>597.78</v>
      </c>
      <c r="JV207" s="57">
        <v>299.77999999999997</v>
      </c>
      <c r="JW207" s="57">
        <v>428.3</v>
      </c>
      <c r="JX207" s="57">
        <v>2761.62</v>
      </c>
      <c r="JY207" s="57">
        <v>502.64</v>
      </c>
      <c r="JZ207" s="57">
        <v>620.15</v>
      </c>
      <c r="KA207" s="57">
        <v>689.13</v>
      </c>
      <c r="KB207" s="57">
        <v>351.02</v>
      </c>
      <c r="KC207" s="57">
        <v>621.53</v>
      </c>
      <c r="KD207" s="57">
        <v>631.19000000000005</v>
      </c>
      <c r="KE207" s="57">
        <v>60.47</v>
      </c>
      <c r="KF207" s="57">
        <v>776.25</v>
      </c>
    </row>
    <row r="208" spans="1:292">
      <c r="A208" s="41">
        <v>2021</v>
      </c>
      <c r="B208" s="54" t="s">
        <v>997</v>
      </c>
      <c r="C208" s="50" t="s">
        <v>998</v>
      </c>
      <c r="D208" s="57">
        <v>604.84</v>
      </c>
      <c r="E208" s="57">
        <v>753.88</v>
      </c>
      <c r="F208" s="57">
        <v>941.45</v>
      </c>
      <c r="G208" s="57">
        <v>296.01</v>
      </c>
      <c r="H208" s="57">
        <v>656.84</v>
      </c>
      <c r="I208" s="57">
        <v>532.59</v>
      </c>
      <c r="J208" s="57">
        <v>351.91</v>
      </c>
      <c r="K208" s="57">
        <v>615.69000000000005</v>
      </c>
      <c r="L208" s="57">
        <v>169.08</v>
      </c>
      <c r="M208" s="57">
        <v>362.97</v>
      </c>
      <c r="N208" s="57">
        <v>511.79</v>
      </c>
      <c r="O208" s="57">
        <v>945.62</v>
      </c>
      <c r="P208" s="57">
        <v>878.92</v>
      </c>
      <c r="Q208" s="57">
        <v>767.61</v>
      </c>
      <c r="R208" s="57">
        <v>581.02</v>
      </c>
      <c r="S208" s="57">
        <v>1273.25</v>
      </c>
      <c r="T208" s="57">
        <v>920.39</v>
      </c>
      <c r="U208" s="57">
        <v>286.17</v>
      </c>
      <c r="V208" s="57">
        <v>323.11</v>
      </c>
      <c r="W208" s="57">
        <v>636.01</v>
      </c>
      <c r="X208" s="57">
        <v>832.49</v>
      </c>
      <c r="Y208" s="57">
        <v>474.74</v>
      </c>
      <c r="Z208" s="57">
        <v>710.05</v>
      </c>
      <c r="AA208" s="57">
        <v>621.33000000000004</v>
      </c>
      <c r="AB208" s="57">
        <v>503.04</v>
      </c>
      <c r="AC208" s="57">
        <v>462.3</v>
      </c>
      <c r="AD208" s="57">
        <v>570.12</v>
      </c>
      <c r="AE208" s="57">
        <v>592.66999999999996</v>
      </c>
      <c r="AF208" s="57">
        <v>460.33</v>
      </c>
      <c r="AG208" s="57">
        <v>267.08999999999997</v>
      </c>
      <c r="AH208" s="57">
        <v>385.61</v>
      </c>
      <c r="AI208" s="57">
        <v>624.79999999999995</v>
      </c>
      <c r="AJ208" s="57">
        <v>556.01</v>
      </c>
      <c r="AK208" s="57">
        <v>628.17999999999995</v>
      </c>
      <c r="AL208" s="57">
        <v>576.48</v>
      </c>
      <c r="AM208" s="57">
        <v>1010.3</v>
      </c>
      <c r="AN208" s="57">
        <v>41.48</v>
      </c>
      <c r="AO208" s="57">
        <v>200.84</v>
      </c>
      <c r="AP208" s="57">
        <v>109.52</v>
      </c>
      <c r="AQ208" s="57">
        <v>708.1</v>
      </c>
      <c r="AR208" s="57">
        <v>576.21</v>
      </c>
      <c r="AS208" s="57">
        <v>475.84</v>
      </c>
      <c r="AT208" s="57">
        <v>668.1</v>
      </c>
      <c r="AU208" s="57">
        <v>732.82</v>
      </c>
      <c r="AV208" s="57">
        <v>686.65</v>
      </c>
      <c r="AW208" s="57">
        <v>588.23</v>
      </c>
      <c r="AX208" s="57">
        <v>419.73</v>
      </c>
      <c r="AY208" s="57">
        <v>374.14</v>
      </c>
      <c r="AZ208" s="57">
        <v>974.62</v>
      </c>
      <c r="BA208" s="57">
        <v>623.24</v>
      </c>
      <c r="BB208" s="57">
        <v>500.64</v>
      </c>
      <c r="BC208" s="57">
        <v>2268.75</v>
      </c>
      <c r="BD208" s="57">
        <v>690.49</v>
      </c>
      <c r="BE208" s="57">
        <v>651.79</v>
      </c>
      <c r="BF208" s="57">
        <v>60.47</v>
      </c>
      <c r="BG208" s="57">
        <v>809.42</v>
      </c>
      <c r="BH208" s="57">
        <v>783.34</v>
      </c>
      <c r="BI208" s="57">
        <v>766.75</v>
      </c>
      <c r="BJ208" s="57">
        <v>744.23</v>
      </c>
      <c r="BK208" s="57">
        <v>754.9</v>
      </c>
      <c r="BL208" s="57">
        <v>820.48</v>
      </c>
      <c r="BM208" s="57">
        <v>632.20000000000005</v>
      </c>
      <c r="BN208" s="57">
        <v>884.39</v>
      </c>
      <c r="BO208" s="57">
        <v>517.94000000000005</v>
      </c>
      <c r="BP208" s="57">
        <v>758.63</v>
      </c>
      <c r="BQ208" s="57">
        <v>650.29</v>
      </c>
      <c r="BR208" s="57">
        <v>524.07000000000005</v>
      </c>
      <c r="BS208" s="57">
        <v>1311.66</v>
      </c>
      <c r="BT208" s="57">
        <v>779.87</v>
      </c>
      <c r="BU208" s="57">
        <v>1252.4000000000001</v>
      </c>
      <c r="BV208" s="57">
        <v>920.39</v>
      </c>
      <c r="BW208" s="57">
        <v>273.58</v>
      </c>
      <c r="BX208" s="57">
        <v>414.87</v>
      </c>
      <c r="BY208" s="57">
        <v>623.36</v>
      </c>
      <c r="BZ208" s="57">
        <v>321.39999999999998</v>
      </c>
      <c r="CA208" s="57">
        <v>716.95</v>
      </c>
      <c r="CB208" s="58">
        <v>636.01</v>
      </c>
      <c r="CC208" s="57">
        <v>832.49</v>
      </c>
      <c r="CD208" s="57">
        <v>472.91</v>
      </c>
      <c r="CE208" s="57">
        <v>597.49</v>
      </c>
      <c r="CF208" s="57">
        <v>693.23</v>
      </c>
      <c r="CG208" s="57">
        <v>891.26</v>
      </c>
      <c r="CH208" s="57">
        <v>639.34</v>
      </c>
      <c r="CI208" s="57">
        <v>539.96</v>
      </c>
      <c r="CJ208" s="57">
        <v>503.04</v>
      </c>
      <c r="CK208" s="57">
        <v>429.39</v>
      </c>
      <c r="CL208" s="57">
        <v>435.72</v>
      </c>
      <c r="CM208" s="57">
        <v>854.56</v>
      </c>
      <c r="CN208" s="57">
        <v>570.12</v>
      </c>
      <c r="CO208" s="57">
        <v>592.66999999999996</v>
      </c>
      <c r="CP208" s="57">
        <v>384.09</v>
      </c>
      <c r="CQ208" s="57">
        <v>762.88</v>
      </c>
      <c r="CR208" s="57">
        <v>275.73</v>
      </c>
      <c r="CS208" s="57">
        <v>376.33</v>
      </c>
      <c r="CT208" s="57">
        <v>263.18</v>
      </c>
      <c r="CU208" s="57">
        <v>271.77</v>
      </c>
      <c r="CV208" s="57">
        <v>578.29</v>
      </c>
      <c r="CW208" s="57">
        <v>246.08</v>
      </c>
      <c r="CX208" s="57">
        <v>624.79999999999995</v>
      </c>
      <c r="CY208" s="57">
        <v>554.17999999999995</v>
      </c>
      <c r="CZ208" s="57">
        <v>548.32000000000005</v>
      </c>
      <c r="DA208" s="57">
        <v>604.98</v>
      </c>
      <c r="DB208" s="57">
        <v>784.78</v>
      </c>
      <c r="DC208" s="57">
        <v>551.04</v>
      </c>
      <c r="DD208" s="57">
        <v>947.31</v>
      </c>
      <c r="DE208" s="57">
        <v>877.11</v>
      </c>
      <c r="DF208" s="57">
        <v>450.74</v>
      </c>
      <c r="DG208" s="57">
        <v>581.30999999999995</v>
      </c>
      <c r="DH208" s="57">
        <v>329.1</v>
      </c>
      <c r="DI208" s="57">
        <v>521.86</v>
      </c>
      <c r="DJ208" s="57">
        <v>782.07</v>
      </c>
      <c r="DK208" s="57">
        <v>1010.3</v>
      </c>
      <c r="DL208" s="57">
        <v>41.48</v>
      </c>
      <c r="DM208" s="57">
        <v>200.84</v>
      </c>
      <c r="DN208" s="57">
        <v>65.349999999999994</v>
      </c>
      <c r="DO208" s="57">
        <v>156.63999999999999</v>
      </c>
      <c r="DP208" s="57">
        <v>315.93</v>
      </c>
      <c r="DQ208" s="57">
        <v>708.1</v>
      </c>
      <c r="DR208" s="57">
        <v>584.08000000000004</v>
      </c>
      <c r="DS208" s="57">
        <v>420.07</v>
      </c>
      <c r="DT208" s="57">
        <v>139.87</v>
      </c>
      <c r="DU208" s="57">
        <v>649.91999999999996</v>
      </c>
      <c r="DV208" s="57">
        <v>571.9</v>
      </c>
      <c r="DW208" s="57">
        <v>394.57</v>
      </c>
      <c r="DX208" s="57">
        <v>435.34</v>
      </c>
      <c r="DY208" s="57">
        <v>673.13</v>
      </c>
      <c r="DZ208" s="57">
        <v>744.52</v>
      </c>
      <c r="EA208" s="57">
        <v>688.31</v>
      </c>
      <c r="EB208" s="57">
        <v>732.82</v>
      </c>
      <c r="EC208" s="57">
        <v>686.65</v>
      </c>
      <c r="ED208" s="57">
        <v>588.23</v>
      </c>
      <c r="EE208" s="57">
        <v>419.73</v>
      </c>
      <c r="EF208" s="57">
        <v>374.14</v>
      </c>
      <c r="EG208" s="57">
        <v>974.62</v>
      </c>
      <c r="EH208" s="57">
        <v>623.24</v>
      </c>
      <c r="EI208" s="57">
        <v>713.26</v>
      </c>
      <c r="EJ208" s="57">
        <v>297.92</v>
      </c>
      <c r="EK208" s="57">
        <v>439.47</v>
      </c>
      <c r="EL208" s="57">
        <v>3238.59</v>
      </c>
      <c r="EM208" s="57">
        <v>564.05999999999995</v>
      </c>
      <c r="EN208" s="57">
        <v>690.49</v>
      </c>
      <c r="EO208" s="57">
        <v>352.1</v>
      </c>
      <c r="EP208" s="57">
        <v>616.19000000000005</v>
      </c>
      <c r="EQ208" s="57">
        <v>676.1</v>
      </c>
      <c r="ER208" s="57">
        <v>60.47</v>
      </c>
      <c r="ES208" s="57">
        <v>809.42</v>
      </c>
      <c r="ET208" s="57">
        <v>775.67</v>
      </c>
      <c r="EU208" s="57">
        <v>802.85</v>
      </c>
      <c r="EV208" s="57">
        <v>800.01</v>
      </c>
      <c r="EW208" s="57">
        <v>693.18</v>
      </c>
      <c r="EX208" s="57">
        <v>882.63</v>
      </c>
      <c r="EY208" s="57">
        <v>320.26</v>
      </c>
      <c r="EZ208" s="57">
        <v>729.84</v>
      </c>
      <c r="FA208" s="57">
        <v>797.74</v>
      </c>
      <c r="FB208" s="57">
        <v>771.18</v>
      </c>
      <c r="FC208" s="57">
        <v>999.05</v>
      </c>
      <c r="FD208" s="57">
        <v>658.12</v>
      </c>
      <c r="FE208" s="57">
        <v>757.22</v>
      </c>
      <c r="FF208" s="57">
        <v>136.93</v>
      </c>
      <c r="FG208" s="57">
        <v>613.27</v>
      </c>
      <c r="FH208" s="57">
        <v>566.72</v>
      </c>
      <c r="FI208" s="57">
        <v>772.63</v>
      </c>
      <c r="FJ208" s="57">
        <v>1228.3699999999999</v>
      </c>
      <c r="FK208" s="57">
        <v>1090.74</v>
      </c>
      <c r="FL208" s="57">
        <v>831.3</v>
      </c>
      <c r="FM208" s="57">
        <v>792.4</v>
      </c>
      <c r="FN208" s="57">
        <v>538.33000000000004</v>
      </c>
      <c r="FO208" s="57">
        <v>1129.98</v>
      </c>
      <c r="FP208" s="57">
        <v>886.16</v>
      </c>
      <c r="FQ208" s="57">
        <v>774.19</v>
      </c>
      <c r="FR208" s="57">
        <v>1337.02</v>
      </c>
      <c r="FS208" s="57">
        <v>705.49</v>
      </c>
      <c r="FT208" s="57">
        <v>405.7</v>
      </c>
      <c r="FU208" s="57">
        <v>772.05</v>
      </c>
      <c r="FV208" s="57">
        <v>558.23</v>
      </c>
      <c r="FW208" s="57">
        <v>381.76</v>
      </c>
      <c r="FX208" s="57">
        <v>758.63</v>
      </c>
      <c r="FY208" s="57">
        <v>782.39</v>
      </c>
      <c r="FZ208" s="57">
        <v>616.88</v>
      </c>
      <c r="GA208" s="57">
        <v>564.85</v>
      </c>
      <c r="GB208" s="57">
        <v>508.63</v>
      </c>
      <c r="GC208" s="57">
        <v>557.9</v>
      </c>
      <c r="GD208" s="57">
        <v>513.87</v>
      </c>
      <c r="GE208" s="57">
        <v>1311.66</v>
      </c>
      <c r="GF208" s="57">
        <v>779.87</v>
      </c>
      <c r="GG208" s="57">
        <v>1252.4000000000001</v>
      </c>
      <c r="GH208" s="57">
        <v>918.84</v>
      </c>
      <c r="GI208" s="57">
        <v>308.36</v>
      </c>
      <c r="GJ208" s="57">
        <v>246.06</v>
      </c>
      <c r="GK208" s="57">
        <v>261.2</v>
      </c>
      <c r="GL208" s="57">
        <v>407.44</v>
      </c>
      <c r="GM208" s="57">
        <v>414.87</v>
      </c>
      <c r="GN208" s="57">
        <v>623.36</v>
      </c>
      <c r="GO208" s="57">
        <v>332.94</v>
      </c>
      <c r="GP208" s="57">
        <v>303.10000000000002</v>
      </c>
      <c r="GQ208" s="57">
        <v>333.02</v>
      </c>
      <c r="GR208" s="57">
        <v>716.95</v>
      </c>
      <c r="GS208" s="57">
        <v>636.01</v>
      </c>
      <c r="GT208" s="57">
        <v>832.49</v>
      </c>
      <c r="GU208" s="57">
        <v>472.91</v>
      </c>
      <c r="GV208" s="57">
        <v>597.49</v>
      </c>
      <c r="GW208" s="57">
        <v>611.16999999999996</v>
      </c>
      <c r="GX208" s="57">
        <v>829.53</v>
      </c>
      <c r="GY208" s="57">
        <v>891.26</v>
      </c>
      <c r="GZ208" s="57">
        <v>784.08</v>
      </c>
      <c r="HA208" s="57">
        <v>615.70000000000005</v>
      </c>
      <c r="HB208" s="57">
        <v>629.21</v>
      </c>
      <c r="HC208" s="57">
        <v>539.96</v>
      </c>
      <c r="HD208" s="57">
        <v>503.04</v>
      </c>
      <c r="HE208" s="57">
        <v>362.88</v>
      </c>
      <c r="HF208" s="57">
        <v>425.73</v>
      </c>
      <c r="HG208" s="57">
        <v>509.06</v>
      </c>
      <c r="HH208" s="57">
        <v>562.02</v>
      </c>
      <c r="HI208" s="57">
        <v>240.05</v>
      </c>
      <c r="HJ208" s="57">
        <v>435.72</v>
      </c>
      <c r="HK208" s="57">
        <v>854.56</v>
      </c>
      <c r="HL208" s="57">
        <v>487.16</v>
      </c>
      <c r="HM208" s="57">
        <v>601.29</v>
      </c>
      <c r="HN208" s="57">
        <v>635.07000000000005</v>
      </c>
      <c r="HO208" s="57">
        <v>400.85</v>
      </c>
      <c r="HP208" s="57">
        <v>879.26</v>
      </c>
      <c r="HQ208" s="57">
        <v>355.39</v>
      </c>
      <c r="HR208" s="57">
        <v>596.42999999999995</v>
      </c>
      <c r="HS208" s="57">
        <v>765.93</v>
      </c>
      <c r="HT208" s="57">
        <v>509.78</v>
      </c>
      <c r="HU208" s="57">
        <v>275.73</v>
      </c>
      <c r="HV208" s="57">
        <v>376.33</v>
      </c>
      <c r="HW208" s="57">
        <v>224.88</v>
      </c>
      <c r="HX208" s="57">
        <v>319.95999999999998</v>
      </c>
      <c r="HY208" s="57">
        <v>271.77</v>
      </c>
      <c r="HZ208" s="57">
        <v>578.29</v>
      </c>
      <c r="IA208" s="57">
        <v>224.78</v>
      </c>
      <c r="IB208" s="57">
        <v>624.79999999999995</v>
      </c>
      <c r="IC208" s="57">
        <v>500.76</v>
      </c>
      <c r="ID208" s="57">
        <v>569.35</v>
      </c>
      <c r="IE208" s="57">
        <v>548.32000000000005</v>
      </c>
      <c r="IF208" s="57">
        <v>604.98</v>
      </c>
      <c r="IG208" s="57">
        <v>784.78</v>
      </c>
      <c r="IH208" s="57">
        <v>551.04</v>
      </c>
      <c r="II208" s="57">
        <v>947.31</v>
      </c>
      <c r="IJ208" s="57">
        <v>877.11</v>
      </c>
      <c r="IK208" s="57">
        <v>526.80999999999995</v>
      </c>
      <c r="IL208" s="57">
        <v>347.46</v>
      </c>
      <c r="IM208" s="57">
        <v>578.37</v>
      </c>
      <c r="IN208" s="57">
        <v>550.16999999999996</v>
      </c>
      <c r="IO208" s="57">
        <v>582.26</v>
      </c>
      <c r="IP208" s="57">
        <v>329.1</v>
      </c>
      <c r="IQ208" s="57">
        <v>521.86</v>
      </c>
      <c r="IR208" s="57">
        <v>782.07</v>
      </c>
      <c r="IS208" s="57">
        <v>1010.3</v>
      </c>
      <c r="IT208" s="57">
        <v>41.48</v>
      </c>
      <c r="IU208" s="57">
        <v>200.84</v>
      </c>
      <c r="IV208" s="57">
        <v>65.36</v>
      </c>
      <c r="IW208" s="57">
        <v>156.63999999999999</v>
      </c>
      <c r="IX208" s="57">
        <v>315.93</v>
      </c>
      <c r="IY208" s="57">
        <v>708.1</v>
      </c>
      <c r="IZ208" s="57">
        <v>584.08000000000004</v>
      </c>
      <c r="JA208" s="57">
        <v>420.07</v>
      </c>
      <c r="JB208" s="57">
        <v>139.87</v>
      </c>
      <c r="JC208" s="57">
        <v>649.91999999999996</v>
      </c>
      <c r="JD208" s="57">
        <v>571.9</v>
      </c>
      <c r="JE208" s="57">
        <v>644.32000000000005</v>
      </c>
      <c r="JF208" s="57">
        <v>359.38</v>
      </c>
      <c r="JG208" s="57">
        <v>435.34</v>
      </c>
      <c r="JH208" s="57">
        <v>673.13</v>
      </c>
      <c r="JI208" s="57">
        <v>744.52</v>
      </c>
      <c r="JJ208" s="57">
        <v>688.31</v>
      </c>
      <c r="JK208" s="57">
        <v>732.82</v>
      </c>
      <c r="JL208" s="57">
        <v>686.65</v>
      </c>
      <c r="JM208" s="57">
        <v>588.23</v>
      </c>
      <c r="JN208" s="57">
        <v>419.73</v>
      </c>
      <c r="JO208" s="57">
        <v>374.14</v>
      </c>
      <c r="JP208" s="57">
        <v>1039.23</v>
      </c>
      <c r="JQ208" s="57">
        <v>799.6</v>
      </c>
      <c r="JR208" s="57">
        <v>575.17999999999995</v>
      </c>
      <c r="JS208" s="57">
        <v>726.55</v>
      </c>
      <c r="JT208" s="57">
        <v>832.72</v>
      </c>
      <c r="JU208" s="57">
        <v>608.79999999999995</v>
      </c>
      <c r="JV208" s="57">
        <v>297.92</v>
      </c>
      <c r="JW208" s="57">
        <v>439.47</v>
      </c>
      <c r="JX208" s="57">
        <v>3238.59</v>
      </c>
      <c r="JY208" s="57">
        <v>504.27</v>
      </c>
      <c r="JZ208" s="57">
        <v>624.75</v>
      </c>
      <c r="KA208" s="57">
        <v>690.49</v>
      </c>
      <c r="KB208" s="57">
        <v>352.1</v>
      </c>
      <c r="KC208" s="57">
        <v>616.19000000000005</v>
      </c>
      <c r="KD208" s="57">
        <v>676.1</v>
      </c>
      <c r="KE208" s="57">
        <v>60.47</v>
      </c>
      <c r="KF208" s="57">
        <v>809.42</v>
      </c>
    </row>
    <row r="209" spans="1:292">
      <c r="A209" s="41">
        <v>2021</v>
      </c>
      <c r="B209" s="54" t="s">
        <v>999</v>
      </c>
      <c r="C209" s="50" t="s">
        <v>1000</v>
      </c>
      <c r="D209" s="57">
        <v>686.95</v>
      </c>
      <c r="E209" s="57">
        <v>874.42</v>
      </c>
      <c r="F209" s="57">
        <v>1046.98</v>
      </c>
      <c r="G209" s="57">
        <v>317.77999999999997</v>
      </c>
      <c r="H209" s="57">
        <v>686.8</v>
      </c>
      <c r="I209" s="57">
        <v>620.66</v>
      </c>
      <c r="J209" s="57">
        <v>364.42</v>
      </c>
      <c r="K209" s="57">
        <v>791.13</v>
      </c>
      <c r="L209" s="57">
        <v>175.25</v>
      </c>
      <c r="M209" s="57">
        <v>399.87</v>
      </c>
      <c r="N209" s="57">
        <v>512.48</v>
      </c>
      <c r="O209" s="57">
        <v>1038.3900000000001</v>
      </c>
      <c r="P209" s="57">
        <v>999.42</v>
      </c>
      <c r="Q209" s="57">
        <v>894.57</v>
      </c>
      <c r="R209" s="57">
        <v>627.52</v>
      </c>
      <c r="S209" s="57">
        <v>1287.44</v>
      </c>
      <c r="T209" s="57">
        <v>1030.44</v>
      </c>
      <c r="U209" s="57">
        <v>309.08999999999997</v>
      </c>
      <c r="V209" s="57">
        <v>338.51</v>
      </c>
      <c r="W209" s="57">
        <v>643.07000000000005</v>
      </c>
      <c r="X209" s="57">
        <v>990.06</v>
      </c>
      <c r="Y209" s="57">
        <v>482.14</v>
      </c>
      <c r="Z209" s="57">
        <v>738.56</v>
      </c>
      <c r="AA209" s="57">
        <v>728.21</v>
      </c>
      <c r="AB209" s="57">
        <v>593.38</v>
      </c>
      <c r="AC209" s="57">
        <v>569.27</v>
      </c>
      <c r="AD209" s="57">
        <v>639.87</v>
      </c>
      <c r="AE209" s="57">
        <v>656.9</v>
      </c>
      <c r="AF209" s="57">
        <v>499.61</v>
      </c>
      <c r="AG209" s="57">
        <v>277.49</v>
      </c>
      <c r="AH209" s="57">
        <v>397.52</v>
      </c>
      <c r="AI209" s="57">
        <v>650.17999999999995</v>
      </c>
      <c r="AJ209" s="57">
        <v>785.99</v>
      </c>
      <c r="AK209" s="57">
        <v>768.81</v>
      </c>
      <c r="AL209" s="57">
        <v>609.83000000000004</v>
      </c>
      <c r="AM209" s="57">
        <v>1010.3</v>
      </c>
      <c r="AN209" s="57">
        <v>47.53</v>
      </c>
      <c r="AO209" s="57">
        <v>201.27</v>
      </c>
      <c r="AP209" s="57">
        <v>129.59</v>
      </c>
      <c r="AQ209" s="57">
        <v>775.84</v>
      </c>
      <c r="AR209" s="57">
        <v>650.96</v>
      </c>
      <c r="AS209" s="57">
        <v>484.52</v>
      </c>
      <c r="AT209" s="57">
        <v>747.19</v>
      </c>
      <c r="AU209" s="57">
        <v>736.58</v>
      </c>
      <c r="AV209" s="57">
        <v>686.65</v>
      </c>
      <c r="AW209" s="57">
        <v>588.27</v>
      </c>
      <c r="AX209" s="57">
        <v>419.73</v>
      </c>
      <c r="AY209" s="57">
        <v>379.69</v>
      </c>
      <c r="AZ209" s="57">
        <v>1073.68</v>
      </c>
      <c r="BA209" s="57">
        <v>656.99</v>
      </c>
      <c r="BB209" s="57">
        <v>552.84</v>
      </c>
      <c r="BC209" s="57">
        <v>2799.74</v>
      </c>
      <c r="BD209" s="57">
        <v>693.54</v>
      </c>
      <c r="BE209" s="57">
        <v>821.79</v>
      </c>
      <c r="BF209" s="57">
        <v>60.47</v>
      </c>
      <c r="BG209" s="57">
        <v>852.01</v>
      </c>
      <c r="BH209" s="57">
        <v>934.53</v>
      </c>
      <c r="BI209" s="57">
        <v>906.34</v>
      </c>
      <c r="BJ209" s="57">
        <v>869.16</v>
      </c>
      <c r="BK209" s="57">
        <v>908.7</v>
      </c>
      <c r="BL209" s="57">
        <v>1005.94</v>
      </c>
      <c r="BM209" s="57">
        <v>682.22</v>
      </c>
      <c r="BN209" s="57">
        <v>987.16</v>
      </c>
      <c r="BO209" s="57">
        <v>585.97</v>
      </c>
      <c r="BP209" s="57">
        <v>853.73</v>
      </c>
      <c r="BQ209" s="57">
        <v>698.58</v>
      </c>
      <c r="BR209" s="57">
        <v>568.88</v>
      </c>
      <c r="BS209" s="57">
        <v>1315.04</v>
      </c>
      <c r="BT209" s="57">
        <v>873.5</v>
      </c>
      <c r="BU209" s="57">
        <v>1251.49</v>
      </c>
      <c r="BV209" s="57">
        <v>1030.44</v>
      </c>
      <c r="BW209" s="57">
        <v>294.55</v>
      </c>
      <c r="BX209" s="57">
        <v>474.89</v>
      </c>
      <c r="BY209" s="57">
        <v>658.2</v>
      </c>
      <c r="BZ209" s="57">
        <v>336.6</v>
      </c>
      <c r="CA209" s="57">
        <v>782.03</v>
      </c>
      <c r="CB209" s="58">
        <v>643.07000000000005</v>
      </c>
      <c r="CC209" s="57">
        <v>990.06</v>
      </c>
      <c r="CD209" s="57">
        <v>480.28</v>
      </c>
      <c r="CE209" s="57">
        <v>597.49</v>
      </c>
      <c r="CF209" s="57">
        <v>728.61</v>
      </c>
      <c r="CG209" s="57">
        <v>990.87</v>
      </c>
      <c r="CH209" s="57">
        <v>750.65</v>
      </c>
      <c r="CI209" s="57">
        <v>618.66</v>
      </c>
      <c r="CJ209" s="57">
        <v>593.38</v>
      </c>
      <c r="CK209" s="57">
        <v>533.92999999999995</v>
      </c>
      <c r="CL209" s="57">
        <v>553.22</v>
      </c>
      <c r="CM209" s="57">
        <v>899.1</v>
      </c>
      <c r="CN209" s="57">
        <v>639.87</v>
      </c>
      <c r="CO209" s="57">
        <v>656.9</v>
      </c>
      <c r="CP209" s="57">
        <v>424.19</v>
      </c>
      <c r="CQ209" s="57">
        <v>788.88</v>
      </c>
      <c r="CR209" s="57">
        <v>279.39</v>
      </c>
      <c r="CS209" s="57">
        <v>393.99</v>
      </c>
      <c r="CT209" s="57">
        <v>291.33</v>
      </c>
      <c r="CU209" s="57">
        <v>272.77</v>
      </c>
      <c r="CV209" s="57">
        <v>605.86</v>
      </c>
      <c r="CW209" s="57">
        <v>253.86</v>
      </c>
      <c r="CX209" s="57">
        <v>650.17999999999995</v>
      </c>
      <c r="CY209" s="57">
        <v>789.06</v>
      </c>
      <c r="CZ209" s="57">
        <v>677.22</v>
      </c>
      <c r="DA209" s="57">
        <v>664.19</v>
      </c>
      <c r="DB209" s="57">
        <v>971.84</v>
      </c>
      <c r="DC209" s="57">
        <v>674.52</v>
      </c>
      <c r="DD209" s="57">
        <v>1185.05</v>
      </c>
      <c r="DE209" s="57">
        <v>919.93</v>
      </c>
      <c r="DF209" s="57">
        <v>451.21</v>
      </c>
      <c r="DG209" s="57">
        <v>613.22</v>
      </c>
      <c r="DH209" s="57">
        <v>364.52</v>
      </c>
      <c r="DI209" s="57">
        <v>521.86</v>
      </c>
      <c r="DJ209" s="57">
        <v>834.91</v>
      </c>
      <c r="DK209" s="57">
        <v>1010.3</v>
      </c>
      <c r="DL209" s="57">
        <v>47.53</v>
      </c>
      <c r="DM209" s="57">
        <v>201.27</v>
      </c>
      <c r="DN209" s="57">
        <v>78.14</v>
      </c>
      <c r="DO209" s="57">
        <v>184.24</v>
      </c>
      <c r="DP209" s="57">
        <v>346.02</v>
      </c>
      <c r="DQ209" s="57">
        <v>775.84</v>
      </c>
      <c r="DR209" s="57">
        <v>715.33</v>
      </c>
      <c r="DS209" s="57">
        <v>461.86</v>
      </c>
      <c r="DT209" s="57">
        <v>151.22999999999999</v>
      </c>
      <c r="DU209" s="57">
        <v>681.05</v>
      </c>
      <c r="DV209" s="57">
        <v>578.38</v>
      </c>
      <c r="DW209" s="57">
        <v>406.68</v>
      </c>
      <c r="DX209" s="57">
        <v>435.34</v>
      </c>
      <c r="DY209" s="57">
        <v>733.09</v>
      </c>
      <c r="DZ209" s="57">
        <v>798.68</v>
      </c>
      <c r="EA209" s="57">
        <v>809.1</v>
      </c>
      <c r="EB209" s="57">
        <v>736.58</v>
      </c>
      <c r="EC209" s="57">
        <v>686.65</v>
      </c>
      <c r="ED209" s="57">
        <v>588.27</v>
      </c>
      <c r="EE209" s="57">
        <v>419.73</v>
      </c>
      <c r="EF209" s="57">
        <v>379.69</v>
      </c>
      <c r="EG209" s="57">
        <v>1073.68</v>
      </c>
      <c r="EH209" s="57">
        <v>656.99</v>
      </c>
      <c r="EI209" s="57">
        <v>749.16</v>
      </c>
      <c r="EJ209" s="57">
        <v>346.76</v>
      </c>
      <c r="EK209" s="57">
        <v>490.95</v>
      </c>
      <c r="EL209" s="57">
        <v>4149.8900000000003</v>
      </c>
      <c r="EM209" s="57">
        <v>611.1</v>
      </c>
      <c r="EN209" s="57">
        <v>693.54</v>
      </c>
      <c r="EO209" s="57">
        <v>353.94</v>
      </c>
      <c r="EP209" s="57">
        <v>612.72</v>
      </c>
      <c r="EQ209" s="57">
        <v>894.38</v>
      </c>
      <c r="ER209" s="57">
        <v>60.47</v>
      </c>
      <c r="ES209" s="57">
        <v>852.01</v>
      </c>
      <c r="ET209" s="57">
        <v>882.06</v>
      </c>
      <c r="EU209" s="57">
        <v>1073.73</v>
      </c>
      <c r="EV209" s="57">
        <v>945.61</v>
      </c>
      <c r="EW209" s="57">
        <v>803.02</v>
      </c>
      <c r="EX209" s="57">
        <v>1045.83</v>
      </c>
      <c r="EY209" s="57">
        <v>342.21</v>
      </c>
      <c r="EZ209" s="57">
        <v>850.32</v>
      </c>
      <c r="FA209" s="57">
        <v>913.7</v>
      </c>
      <c r="FB209" s="57">
        <v>968.13</v>
      </c>
      <c r="FC209" s="57">
        <v>1135.77</v>
      </c>
      <c r="FD209" s="57">
        <v>752.04</v>
      </c>
      <c r="FE209" s="57">
        <v>892.63</v>
      </c>
      <c r="FF209" s="57">
        <v>141.75</v>
      </c>
      <c r="FG209" s="57">
        <v>768.4</v>
      </c>
      <c r="FH209" s="57">
        <v>725.22</v>
      </c>
      <c r="FI209" s="57">
        <v>883.05</v>
      </c>
      <c r="FJ209" s="57">
        <v>1488.14</v>
      </c>
      <c r="FK209" s="57">
        <v>1271.28</v>
      </c>
      <c r="FL209" s="57">
        <v>1191.3900000000001</v>
      </c>
      <c r="FM209" s="57">
        <v>969.45</v>
      </c>
      <c r="FN209" s="57">
        <v>561.52</v>
      </c>
      <c r="FO209" s="57">
        <v>1300.23</v>
      </c>
      <c r="FP209" s="57">
        <v>981.49</v>
      </c>
      <c r="FQ209" s="57">
        <v>993.89</v>
      </c>
      <c r="FR209" s="57">
        <v>1506.24</v>
      </c>
      <c r="FS209" s="57">
        <v>754.84</v>
      </c>
      <c r="FT209" s="57">
        <v>474.47</v>
      </c>
      <c r="FU209" s="57">
        <v>869.33</v>
      </c>
      <c r="FV209" s="57">
        <v>643.61</v>
      </c>
      <c r="FW209" s="57">
        <v>383.71</v>
      </c>
      <c r="FX209" s="57">
        <v>853.73</v>
      </c>
      <c r="FY209" s="57">
        <v>956.51</v>
      </c>
      <c r="FZ209" s="57">
        <v>635.87</v>
      </c>
      <c r="GA209" s="57">
        <v>593.20000000000005</v>
      </c>
      <c r="GB209" s="57">
        <v>564.20000000000005</v>
      </c>
      <c r="GC209" s="57">
        <v>592.73</v>
      </c>
      <c r="GD209" s="57">
        <v>551.94000000000005</v>
      </c>
      <c r="GE209" s="57">
        <v>1315.04</v>
      </c>
      <c r="GF209" s="57">
        <v>873.5</v>
      </c>
      <c r="GG209" s="57">
        <v>1251.49</v>
      </c>
      <c r="GH209" s="57">
        <v>1028.71</v>
      </c>
      <c r="GI209" s="57">
        <v>337.32</v>
      </c>
      <c r="GJ209" s="57">
        <v>260.73</v>
      </c>
      <c r="GK209" s="57">
        <v>283.39999999999998</v>
      </c>
      <c r="GL209" s="57">
        <v>440.99</v>
      </c>
      <c r="GM209" s="57">
        <v>474.89</v>
      </c>
      <c r="GN209" s="57">
        <v>658.2</v>
      </c>
      <c r="GO209" s="57">
        <v>349.82</v>
      </c>
      <c r="GP209" s="57">
        <v>317.95999999999998</v>
      </c>
      <c r="GQ209" s="57">
        <v>345.12</v>
      </c>
      <c r="GR209" s="57">
        <v>782.03</v>
      </c>
      <c r="GS209" s="57">
        <v>643.07000000000005</v>
      </c>
      <c r="GT209" s="57">
        <v>990.06</v>
      </c>
      <c r="GU209" s="57">
        <v>480.28</v>
      </c>
      <c r="GV209" s="57">
        <v>597.49</v>
      </c>
      <c r="GW209" s="57">
        <v>616.29999999999995</v>
      </c>
      <c r="GX209" s="57">
        <v>966.34</v>
      </c>
      <c r="GY209" s="57">
        <v>990.87</v>
      </c>
      <c r="GZ209" s="57">
        <v>900.87</v>
      </c>
      <c r="HA209" s="57">
        <v>725.94</v>
      </c>
      <c r="HB209" s="57">
        <v>742.82</v>
      </c>
      <c r="HC209" s="57">
        <v>618.66</v>
      </c>
      <c r="HD209" s="57">
        <v>593.38</v>
      </c>
      <c r="HE209" s="57">
        <v>444.77</v>
      </c>
      <c r="HF209" s="57">
        <v>519.57000000000005</v>
      </c>
      <c r="HG209" s="57">
        <v>636.6</v>
      </c>
      <c r="HH209" s="57">
        <v>711.08</v>
      </c>
      <c r="HI209" s="57">
        <v>319.74</v>
      </c>
      <c r="HJ209" s="57">
        <v>553.22</v>
      </c>
      <c r="HK209" s="57">
        <v>899.1</v>
      </c>
      <c r="HL209" s="57">
        <v>539.79999999999995</v>
      </c>
      <c r="HM209" s="57">
        <v>715.1</v>
      </c>
      <c r="HN209" s="57">
        <v>712.99</v>
      </c>
      <c r="HO209" s="57">
        <v>435.11</v>
      </c>
      <c r="HP209" s="57">
        <v>994.22</v>
      </c>
      <c r="HQ209" s="57">
        <v>386.4</v>
      </c>
      <c r="HR209" s="57">
        <v>704.43</v>
      </c>
      <c r="HS209" s="57">
        <v>787.01</v>
      </c>
      <c r="HT209" s="57">
        <v>544.6</v>
      </c>
      <c r="HU209" s="57">
        <v>279.39</v>
      </c>
      <c r="HV209" s="57">
        <v>393.99</v>
      </c>
      <c r="HW209" s="57">
        <v>245.89</v>
      </c>
      <c r="HX209" s="57">
        <v>361.69</v>
      </c>
      <c r="HY209" s="57">
        <v>272.77</v>
      </c>
      <c r="HZ209" s="57">
        <v>605.86</v>
      </c>
      <c r="IA209" s="57">
        <v>231.88</v>
      </c>
      <c r="IB209" s="57">
        <v>650.17999999999995</v>
      </c>
      <c r="IC209" s="57">
        <v>713.43</v>
      </c>
      <c r="ID209" s="57">
        <v>810.31</v>
      </c>
      <c r="IE209" s="57">
        <v>677.22</v>
      </c>
      <c r="IF209" s="57">
        <v>664.19</v>
      </c>
      <c r="IG209" s="57">
        <v>971.84</v>
      </c>
      <c r="IH209" s="57">
        <v>674.52</v>
      </c>
      <c r="II209" s="57">
        <v>1185.05</v>
      </c>
      <c r="IJ209" s="57">
        <v>919.93</v>
      </c>
      <c r="IK209" s="57">
        <v>530.9</v>
      </c>
      <c r="IL209" s="57">
        <v>347.46</v>
      </c>
      <c r="IM209" s="57">
        <v>594.66</v>
      </c>
      <c r="IN209" s="57">
        <v>562.28</v>
      </c>
      <c r="IO209" s="57">
        <v>672.6</v>
      </c>
      <c r="IP209" s="57">
        <v>364.52</v>
      </c>
      <c r="IQ209" s="57">
        <v>521.86</v>
      </c>
      <c r="IR209" s="57">
        <v>834.91</v>
      </c>
      <c r="IS209" s="57">
        <v>1010.3</v>
      </c>
      <c r="IT209" s="57">
        <v>47.53</v>
      </c>
      <c r="IU209" s="57">
        <v>201.27</v>
      </c>
      <c r="IV209" s="57">
        <v>78.150000000000006</v>
      </c>
      <c r="IW209" s="57">
        <v>184.24</v>
      </c>
      <c r="IX209" s="57">
        <v>346.02</v>
      </c>
      <c r="IY209" s="57">
        <v>775.84</v>
      </c>
      <c r="IZ209" s="57">
        <v>715.33</v>
      </c>
      <c r="JA209" s="57">
        <v>461.86</v>
      </c>
      <c r="JB209" s="57">
        <v>151.22999999999999</v>
      </c>
      <c r="JC209" s="57">
        <v>681.05</v>
      </c>
      <c r="JD209" s="57">
        <v>578.38</v>
      </c>
      <c r="JE209" s="57">
        <v>727.36</v>
      </c>
      <c r="JF209" s="57">
        <v>364.31</v>
      </c>
      <c r="JG209" s="57">
        <v>435.34</v>
      </c>
      <c r="JH209" s="57">
        <v>733.09</v>
      </c>
      <c r="JI209" s="57">
        <v>798.68</v>
      </c>
      <c r="JJ209" s="57">
        <v>809.1</v>
      </c>
      <c r="JK209" s="57">
        <v>736.58</v>
      </c>
      <c r="JL209" s="57">
        <v>686.65</v>
      </c>
      <c r="JM209" s="57">
        <v>588.27</v>
      </c>
      <c r="JN209" s="57">
        <v>419.73</v>
      </c>
      <c r="JO209" s="57">
        <v>379.69</v>
      </c>
      <c r="JP209" s="57">
        <v>1149.56</v>
      </c>
      <c r="JQ209" s="57">
        <v>864.11</v>
      </c>
      <c r="JR209" s="57">
        <v>621</v>
      </c>
      <c r="JS209" s="57">
        <v>726.62</v>
      </c>
      <c r="JT209" s="57">
        <v>878.23</v>
      </c>
      <c r="JU209" s="57">
        <v>636.79999999999995</v>
      </c>
      <c r="JV209" s="57">
        <v>346.76</v>
      </c>
      <c r="JW209" s="57">
        <v>490.95</v>
      </c>
      <c r="JX209" s="57">
        <v>4149.8900000000003</v>
      </c>
      <c r="JY209" s="57">
        <v>534.53</v>
      </c>
      <c r="JZ209" s="57">
        <v>692.89</v>
      </c>
      <c r="KA209" s="57">
        <v>693.54</v>
      </c>
      <c r="KB209" s="57">
        <v>353.94</v>
      </c>
      <c r="KC209" s="57">
        <v>612.72</v>
      </c>
      <c r="KD209" s="57">
        <v>894.38</v>
      </c>
      <c r="KE209" s="57">
        <v>60.47</v>
      </c>
      <c r="KF209" s="57">
        <v>852.01</v>
      </c>
    </row>
    <row r="210" spans="1:292">
      <c r="A210" s="41">
        <v>2022</v>
      </c>
      <c r="B210" s="54" t="s">
        <v>977</v>
      </c>
      <c r="C210" s="50" t="s">
        <v>978</v>
      </c>
      <c r="D210" s="57">
        <v>763.23</v>
      </c>
      <c r="E210" s="57">
        <v>969.71</v>
      </c>
      <c r="F210" s="57">
        <v>1276.31</v>
      </c>
      <c r="G210" s="57">
        <v>317.02</v>
      </c>
      <c r="H210" s="57">
        <v>816.66</v>
      </c>
      <c r="I210" s="57">
        <v>700.24</v>
      </c>
      <c r="J210" s="57">
        <v>405.48</v>
      </c>
      <c r="K210" s="57">
        <v>879.32</v>
      </c>
      <c r="L210" s="57">
        <v>179.03</v>
      </c>
      <c r="M210" s="57">
        <v>434.95</v>
      </c>
      <c r="N210" s="57">
        <v>518.57000000000005</v>
      </c>
      <c r="O210" s="57">
        <v>1126.1099999999999</v>
      </c>
      <c r="P210" s="57">
        <v>1080.25</v>
      </c>
      <c r="Q210" s="57">
        <v>993.94</v>
      </c>
      <c r="R210" s="57">
        <v>675.7</v>
      </c>
      <c r="S210" s="57">
        <v>1729.43</v>
      </c>
      <c r="T210" s="57">
        <v>1247.78</v>
      </c>
      <c r="U210" s="57">
        <v>306.05</v>
      </c>
      <c r="V210" s="57">
        <v>348</v>
      </c>
      <c r="W210" s="57">
        <v>660.79</v>
      </c>
      <c r="X210" s="57">
        <v>1102.5</v>
      </c>
      <c r="Y210" s="57">
        <v>539.39</v>
      </c>
      <c r="Z210" s="57">
        <v>1003.84</v>
      </c>
      <c r="AA210" s="57">
        <v>816.96</v>
      </c>
      <c r="AB210" s="57">
        <v>645.42999999999995</v>
      </c>
      <c r="AC210" s="57">
        <v>661.22</v>
      </c>
      <c r="AD210" s="57">
        <v>696.19</v>
      </c>
      <c r="AE210" s="57">
        <v>702.59</v>
      </c>
      <c r="AF210" s="57">
        <v>560.77</v>
      </c>
      <c r="AG210" s="57">
        <v>289.83</v>
      </c>
      <c r="AH210" s="57">
        <v>457.2</v>
      </c>
      <c r="AI210" s="57">
        <v>737.18</v>
      </c>
      <c r="AJ210" s="57">
        <v>796.83</v>
      </c>
      <c r="AK210" s="57">
        <v>923.13</v>
      </c>
      <c r="AL210" s="57">
        <v>712.76</v>
      </c>
      <c r="AM210" s="57">
        <v>1010.3</v>
      </c>
      <c r="AN210" s="57">
        <v>48.25</v>
      </c>
      <c r="AO210" s="57">
        <v>206.12</v>
      </c>
      <c r="AP210" s="57">
        <v>144.80000000000001</v>
      </c>
      <c r="AQ210" s="57">
        <v>844.15</v>
      </c>
      <c r="AR210" s="57">
        <v>710.28</v>
      </c>
      <c r="AS210" s="57">
        <v>516.01</v>
      </c>
      <c r="AT210" s="57">
        <v>816.32</v>
      </c>
      <c r="AU210" s="57">
        <v>740.99</v>
      </c>
      <c r="AV210" s="57">
        <v>692.69</v>
      </c>
      <c r="AW210" s="57">
        <v>593.82000000000005</v>
      </c>
      <c r="AX210" s="57">
        <v>419.73</v>
      </c>
      <c r="AY210" s="57">
        <v>402.81</v>
      </c>
      <c r="AZ210" s="57">
        <v>1165.48</v>
      </c>
      <c r="BA210" s="57">
        <v>706.83</v>
      </c>
      <c r="BB210" s="57">
        <v>611.72</v>
      </c>
      <c r="BC210" s="57">
        <v>2831.5</v>
      </c>
      <c r="BD210" s="57">
        <v>736.12</v>
      </c>
      <c r="BE210" s="57">
        <v>888.2</v>
      </c>
      <c r="BF210" s="57">
        <v>66.77</v>
      </c>
      <c r="BG210" s="57">
        <v>997.14</v>
      </c>
      <c r="BH210" s="57">
        <v>1006.83</v>
      </c>
      <c r="BI210" s="57">
        <v>963.27</v>
      </c>
      <c r="BJ210" s="57">
        <v>962.39</v>
      </c>
      <c r="BK210" s="57">
        <v>1048.42</v>
      </c>
      <c r="BL210" s="57">
        <v>1106.24</v>
      </c>
      <c r="BM210" s="57">
        <v>732.67</v>
      </c>
      <c r="BN210" s="57">
        <v>1210.96</v>
      </c>
      <c r="BO210" s="57">
        <v>633.59</v>
      </c>
      <c r="BP210" s="57">
        <v>984.23</v>
      </c>
      <c r="BQ210" s="57">
        <v>748.37</v>
      </c>
      <c r="BR210" s="57">
        <v>615.53</v>
      </c>
      <c r="BS210" s="57">
        <v>1773.7</v>
      </c>
      <c r="BT210" s="57">
        <v>1061.69</v>
      </c>
      <c r="BU210" s="57">
        <v>1706.25</v>
      </c>
      <c r="BV210" s="57">
        <v>1247.78</v>
      </c>
      <c r="BW210" s="57">
        <v>289.94</v>
      </c>
      <c r="BX210" s="57">
        <v>496.17</v>
      </c>
      <c r="BY210" s="57">
        <v>724.77</v>
      </c>
      <c r="BZ210" s="57">
        <v>345.9</v>
      </c>
      <c r="CA210" s="57">
        <v>846.79</v>
      </c>
      <c r="CB210" s="58">
        <v>660.79</v>
      </c>
      <c r="CC210" s="57">
        <v>1102.5</v>
      </c>
      <c r="CD210" s="57">
        <v>537.30999999999995</v>
      </c>
      <c r="CE210" s="57">
        <v>1015.52</v>
      </c>
      <c r="CF210" s="57">
        <v>859.79</v>
      </c>
      <c r="CG210" s="57">
        <v>1039.8399999999999</v>
      </c>
      <c r="CH210" s="57">
        <v>844.88</v>
      </c>
      <c r="CI210" s="57">
        <v>666.67</v>
      </c>
      <c r="CJ210" s="57">
        <v>645.42999999999995</v>
      </c>
      <c r="CK210" s="57">
        <v>619.24</v>
      </c>
      <c r="CL210" s="57">
        <v>659.44</v>
      </c>
      <c r="CM210" s="57">
        <v>1030.24</v>
      </c>
      <c r="CN210" s="57">
        <v>696.19</v>
      </c>
      <c r="CO210" s="57">
        <v>702.59</v>
      </c>
      <c r="CP210" s="57">
        <v>478.08</v>
      </c>
      <c r="CQ210" s="57">
        <v>875.79</v>
      </c>
      <c r="CR210" s="57">
        <v>282.76</v>
      </c>
      <c r="CS210" s="57">
        <v>436.63</v>
      </c>
      <c r="CT210" s="57">
        <v>321.44</v>
      </c>
      <c r="CU210" s="57">
        <v>277.64</v>
      </c>
      <c r="CV210" s="57">
        <v>741.51</v>
      </c>
      <c r="CW210" s="57">
        <v>301.39</v>
      </c>
      <c r="CX210" s="57">
        <v>737.18</v>
      </c>
      <c r="CY210" s="57">
        <v>798.99</v>
      </c>
      <c r="CZ210" s="57">
        <v>698.64</v>
      </c>
      <c r="DA210" s="57">
        <v>717.62</v>
      </c>
      <c r="DB210" s="57">
        <v>1062.81</v>
      </c>
      <c r="DC210" s="57">
        <v>832</v>
      </c>
      <c r="DD210" s="57">
        <v>1301.1300000000001</v>
      </c>
      <c r="DE210" s="57">
        <v>1142.5999999999999</v>
      </c>
      <c r="DF210" s="57">
        <v>559.47</v>
      </c>
      <c r="DG210" s="57">
        <v>717.5</v>
      </c>
      <c r="DH210" s="57">
        <v>437.52</v>
      </c>
      <c r="DI210" s="57">
        <v>554.49</v>
      </c>
      <c r="DJ210" s="57">
        <v>905.76</v>
      </c>
      <c r="DK210" s="57">
        <v>1010.3</v>
      </c>
      <c r="DL210" s="57">
        <v>48.25</v>
      </c>
      <c r="DM210" s="57">
        <v>206.12</v>
      </c>
      <c r="DN210" s="57">
        <v>90.84</v>
      </c>
      <c r="DO210" s="57">
        <v>187.11</v>
      </c>
      <c r="DP210" s="57">
        <v>376.57</v>
      </c>
      <c r="DQ210" s="57">
        <v>844.15</v>
      </c>
      <c r="DR210" s="57">
        <v>753.42</v>
      </c>
      <c r="DS210" s="57">
        <v>480.78</v>
      </c>
      <c r="DT210" s="57">
        <v>170.74</v>
      </c>
      <c r="DU210" s="57">
        <v>871.67</v>
      </c>
      <c r="DV210" s="57">
        <v>615.21</v>
      </c>
      <c r="DW210" s="57">
        <v>435.1</v>
      </c>
      <c r="DX210" s="57">
        <v>452.13</v>
      </c>
      <c r="DY210" s="57">
        <v>818.51</v>
      </c>
      <c r="DZ210" s="57">
        <v>808.43</v>
      </c>
      <c r="EA210" s="57">
        <v>868.65</v>
      </c>
      <c r="EB210" s="57">
        <v>740.99</v>
      </c>
      <c r="EC210" s="57">
        <v>692.69</v>
      </c>
      <c r="ED210" s="57">
        <v>593.82000000000005</v>
      </c>
      <c r="EE210" s="57">
        <v>419.73</v>
      </c>
      <c r="EF210" s="57">
        <v>402.81</v>
      </c>
      <c r="EG210" s="57">
        <v>1165.48</v>
      </c>
      <c r="EH210" s="57">
        <v>706.83</v>
      </c>
      <c r="EI210" s="57">
        <v>809.63</v>
      </c>
      <c r="EJ210" s="57">
        <v>404.02</v>
      </c>
      <c r="EK210" s="57">
        <v>546.17999999999995</v>
      </c>
      <c r="EL210" s="57">
        <v>4143.49</v>
      </c>
      <c r="EM210" s="57">
        <v>644.79999999999995</v>
      </c>
      <c r="EN210" s="57">
        <v>736.12</v>
      </c>
      <c r="EO210" s="57">
        <v>415.07</v>
      </c>
      <c r="EP210" s="57">
        <v>674.86</v>
      </c>
      <c r="EQ210" s="57">
        <v>959.14</v>
      </c>
      <c r="ER210" s="57">
        <v>66.77</v>
      </c>
      <c r="ES210" s="57">
        <v>997.14</v>
      </c>
      <c r="ET210" s="57">
        <v>958.36</v>
      </c>
      <c r="EU210" s="57">
        <v>1163.8699999999999</v>
      </c>
      <c r="EV210" s="57">
        <v>987.93</v>
      </c>
      <c r="EW210" s="57">
        <v>908.93</v>
      </c>
      <c r="EX210" s="57">
        <v>1142.1099999999999</v>
      </c>
      <c r="EY210" s="57">
        <v>385.09</v>
      </c>
      <c r="EZ210" s="57">
        <v>897.38</v>
      </c>
      <c r="FA210" s="57">
        <v>968.69</v>
      </c>
      <c r="FB210" s="57">
        <v>1027.1400000000001</v>
      </c>
      <c r="FC210" s="57">
        <v>1182.47</v>
      </c>
      <c r="FD210" s="57">
        <v>824.73</v>
      </c>
      <c r="FE210" s="57">
        <v>986.32</v>
      </c>
      <c r="FF210" s="57">
        <v>161.52000000000001</v>
      </c>
      <c r="FG210" s="57">
        <v>928.48</v>
      </c>
      <c r="FH210" s="57">
        <v>825.4</v>
      </c>
      <c r="FI210" s="57">
        <v>1057.27</v>
      </c>
      <c r="FJ210" s="57">
        <v>1545.45</v>
      </c>
      <c r="FK210" s="57">
        <v>1546.68</v>
      </c>
      <c r="FL210" s="57">
        <v>1278.06</v>
      </c>
      <c r="FM210" s="57">
        <v>1039.43</v>
      </c>
      <c r="FN210" s="57">
        <v>604.11</v>
      </c>
      <c r="FO210" s="57">
        <v>1391.6</v>
      </c>
      <c r="FP210" s="57">
        <v>1280.82</v>
      </c>
      <c r="FQ210" s="57">
        <v>1032.72</v>
      </c>
      <c r="FR210" s="57">
        <v>1839.23</v>
      </c>
      <c r="FS210" s="57">
        <v>803.21</v>
      </c>
      <c r="FT210" s="57">
        <v>503.87</v>
      </c>
      <c r="FU210" s="57">
        <v>924.72</v>
      </c>
      <c r="FV210" s="57">
        <v>705.75</v>
      </c>
      <c r="FW210" s="57">
        <v>427.66</v>
      </c>
      <c r="FX210" s="57">
        <v>984.23</v>
      </c>
      <c r="FY210" s="57">
        <v>1065.44</v>
      </c>
      <c r="FZ210" s="57">
        <v>670.25</v>
      </c>
      <c r="GA210" s="57">
        <v>758.95</v>
      </c>
      <c r="GB210" s="57">
        <v>619.82000000000005</v>
      </c>
      <c r="GC210" s="57">
        <v>636.14</v>
      </c>
      <c r="GD210" s="57">
        <v>580.91</v>
      </c>
      <c r="GE210" s="57">
        <v>1773.7</v>
      </c>
      <c r="GF210" s="57">
        <v>1061.69</v>
      </c>
      <c r="GG210" s="57">
        <v>1706.25</v>
      </c>
      <c r="GH210" s="57">
        <v>1245.68</v>
      </c>
      <c r="GI210" s="57">
        <v>337.62</v>
      </c>
      <c r="GJ210" s="57">
        <v>253.91</v>
      </c>
      <c r="GK210" s="57">
        <v>274.52999999999997</v>
      </c>
      <c r="GL210" s="57">
        <v>449.27</v>
      </c>
      <c r="GM210" s="57">
        <v>496.17</v>
      </c>
      <c r="GN210" s="57">
        <v>724.77</v>
      </c>
      <c r="GO210" s="57">
        <v>361.38</v>
      </c>
      <c r="GP210" s="57">
        <v>326.47000000000003</v>
      </c>
      <c r="GQ210" s="57">
        <v>351.13</v>
      </c>
      <c r="GR210" s="57">
        <v>846.79</v>
      </c>
      <c r="GS210" s="57">
        <v>660.79</v>
      </c>
      <c r="GT210" s="57">
        <v>1102.5</v>
      </c>
      <c r="GU210" s="57">
        <v>537.30999999999995</v>
      </c>
      <c r="GV210" s="57">
        <v>1015.52</v>
      </c>
      <c r="GW210" s="57">
        <v>747.91</v>
      </c>
      <c r="GX210" s="57">
        <v>1075.3900000000001</v>
      </c>
      <c r="GY210" s="57">
        <v>1039.8399999999999</v>
      </c>
      <c r="GZ210" s="57">
        <v>1003.16</v>
      </c>
      <c r="HA210" s="57">
        <v>809.97</v>
      </c>
      <c r="HB210" s="57">
        <v>845.02</v>
      </c>
      <c r="HC210" s="57">
        <v>666.67</v>
      </c>
      <c r="HD210" s="57">
        <v>645.42999999999995</v>
      </c>
      <c r="HE210" s="57">
        <v>510.97</v>
      </c>
      <c r="HF210" s="57">
        <v>601.16</v>
      </c>
      <c r="HG210" s="57">
        <v>764.2</v>
      </c>
      <c r="HH210" s="57">
        <v>835.24</v>
      </c>
      <c r="HI210" s="57">
        <v>366.42</v>
      </c>
      <c r="HJ210" s="57">
        <v>659.44</v>
      </c>
      <c r="HK210" s="57">
        <v>1030.24</v>
      </c>
      <c r="HL210" s="57">
        <v>592.29999999999995</v>
      </c>
      <c r="HM210" s="57">
        <v>794.25</v>
      </c>
      <c r="HN210" s="57">
        <v>769.84</v>
      </c>
      <c r="HO210" s="57">
        <v>466.88</v>
      </c>
      <c r="HP210" s="57">
        <v>1059.28</v>
      </c>
      <c r="HQ210" s="57">
        <v>439.74</v>
      </c>
      <c r="HR210" s="57">
        <v>769.28</v>
      </c>
      <c r="HS210" s="57">
        <v>867.09</v>
      </c>
      <c r="HT210" s="57">
        <v>628.35</v>
      </c>
      <c r="HU210" s="57">
        <v>282.76</v>
      </c>
      <c r="HV210" s="57">
        <v>436.63</v>
      </c>
      <c r="HW210" s="57">
        <v>274.05</v>
      </c>
      <c r="HX210" s="57">
        <v>391.23</v>
      </c>
      <c r="HY210" s="57">
        <v>277.64</v>
      </c>
      <c r="HZ210" s="57">
        <v>741.51</v>
      </c>
      <c r="IA210" s="57">
        <v>275.3</v>
      </c>
      <c r="IB210" s="57">
        <v>737.18</v>
      </c>
      <c r="IC210" s="57">
        <v>717.2</v>
      </c>
      <c r="ID210" s="57">
        <v>822.46</v>
      </c>
      <c r="IE210" s="57">
        <v>698.64</v>
      </c>
      <c r="IF210" s="57">
        <v>717.62</v>
      </c>
      <c r="IG210" s="57">
        <v>1062.81</v>
      </c>
      <c r="IH210" s="57">
        <v>832</v>
      </c>
      <c r="II210" s="57">
        <v>1301.1300000000001</v>
      </c>
      <c r="IJ210" s="57">
        <v>1142.5999999999999</v>
      </c>
      <c r="IK210" s="57">
        <v>688.62</v>
      </c>
      <c r="IL210" s="57">
        <v>428.07</v>
      </c>
      <c r="IM210" s="57">
        <v>687.29</v>
      </c>
      <c r="IN210" s="57">
        <v>701.12</v>
      </c>
      <c r="IO210" s="57">
        <v>791.87</v>
      </c>
      <c r="IP210" s="57">
        <v>437.52</v>
      </c>
      <c r="IQ210" s="57">
        <v>554.49</v>
      </c>
      <c r="IR210" s="57">
        <v>905.76</v>
      </c>
      <c r="IS210" s="57">
        <v>1010.3</v>
      </c>
      <c r="IT210" s="57">
        <v>48.25</v>
      </c>
      <c r="IU210" s="57">
        <v>206.12</v>
      </c>
      <c r="IV210" s="57">
        <v>90.85</v>
      </c>
      <c r="IW210" s="57">
        <v>187.11</v>
      </c>
      <c r="IX210" s="57">
        <v>376.57</v>
      </c>
      <c r="IY210" s="57">
        <v>844.15</v>
      </c>
      <c r="IZ210" s="57">
        <v>753.42</v>
      </c>
      <c r="JA210" s="57">
        <v>480.78</v>
      </c>
      <c r="JB210" s="57">
        <v>170.74</v>
      </c>
      <c r="JC210" s="57">
        <v>871.67</v>
      </c>
      <c r="JD210" s="57">
        <v>615.21</v>
      </c>
      <c r="JE210" s="57">
        <v>799.51</v>
      </c>
      <c r="JF210" s="57">
        <v>387.95</v>
      </c>
      <c r="JG210" s="57">
        <v>452.13</v>
      </c>
      <c r="JH210" s="57">
        <v>818.51</v>
      </c>
      <c r="JI210" s="57">
        <v>808.43</v>
      </c>
      <c r="JJ210" s="57">
        <v>868.65</v>
      </c>
      <c r="JK210" s="57">
        <v>740.99</v>
      </c>
      <c r="JL210" s="57">
        <v>692.69</v>
      </c>
      <c r="JM210" s="57">
        <v>593.82000000000005</v>
      </c>
      <c r="JN210" s="57">
        <v>419.73</v>
      </c>
      <c r="JO210" s="57">
        <v>402.81</v>
      </c>
      <c r="JP210" s="57">
        <v>1242.6300000000001</v>
      </c>
      <c r="JQ210" s="57">
        <v>955.38</v>
      </c>
      <c r="JR210" s="57">
        <v>689.27</v>
      </c>
      <c r="JS210" s="57">
        <v>726.72</v>
      </c>
      <c r="JT210" s="57">
        <v>951.07</v>
      </c>
      <c r="JU210" s="57">
        <v>686.95</v>
      </c>
      <c r="JV210" s="57">
        <v>404.02</v>
      </c>
      <c r="JW210" s="57">
        <v>546.17999999999995</v>
      </c>
      <c r="JX210" s="57">
        <v>4143.49</v>
      </c>
      <c r="JY210" s="57">
        <v>555.02</v>
      </c>
      <c r="JZ210" s="57">
        <v>744.32</v>
      </c>
      <c r="KA210" s="57">
        <v>736.12</v>
      </c>
      <c r="KB210" s="57">
        <v>415.07</v>
      </c>
      <c r="KC210" s="57">
        <v>674.86</v>
      </c>
      <c r="KD210" s="57">
        <v>959.14</v>
      </c>
      <c r="KE210" s="57">
        <v>66.77</v>
      </c>
      <c r="KF210" s="57">
        <v>997.14</v>
      </c>
    </row>
    <row r="211" spans="1:292">
      <c r="A211" s="41">
        <v>2022</v>
      </c>
      <c r="B211" s="54" t="s">
        <v>979</v>
      </c>
      <c r="C211" s="50" t="s">
        <v>980</v>
      </c>
      <c r="D211" s="57">
        <v>799.93</v>
      </c>
      <c r="E211" s="57">
        <v>1051.29</v>
      </c>
      <c r="F211" s="57">
        <v>1281.95</v>
      </c>
      <c r="G211" s="57">
        <v>317.97000000000003</v>
      </c>
      <c r="H211" s="57">
        <v>828.85</v>
      </c>
      <c r="I211" s="57">
        <v>749.27</v>
      </c>
      <c r="J211" s="57">
        <v>431.4</v>
      </c>
      <c r="K211" s="57">
        <v>919.45</v>
      </c>
      <c r="L211" s="57">
        <v>181.88</v>
      </c>
      <c r="M211" s="57">
        <v>446.78</v>
      </c>
      <c r="N211" s="57">
        <v>538.78</v>
      </c>
      <c r="O211" s="57">
        <v>1177.29</v>
      </c>
      <c r="P211" s="57">
        <v>1145.22</v>
      </c>
      <c r="Q211" s="57">
        <v>1078.58</v>
      </c>
      <c r="R211" s="57">
        <v>721.59</v>
      </c>
      <c r="S211" s="57">
        <v>1842.65</v>
      </c>
      <c r="T211" s="57">
        <v>1247.78</v>
      </c>
      <c r="U211" s="57">
        <v>305.23</v>
      </c>
      <c r="V211" s="57">
        <v>356.86</v>
      </c>
      <c r="W211" s="57">
        <v>675.49</v>
      </c>
      <c r="X211" s="57">
        <v>1161.97</v>
      </c>
      <c r="Y211" s="57">
        <v>555.02</v>
      </c>
      <c r="Z211" s="57">
        <v>1000.38</v>
      </c>
      <c r="AA211" s="57">
        <v>880.5</v>
      </c>
      <c r="AB211" s="57">
        <v>677.98</v>
      </c>
      <c r="AC211" s="57">
        <v>714.78</v>
      </c>
      <c r="AD211" s="57">
        <v>740.7</v>
      </c>
      <c r="AE211" s="57">
        <v>736.81</v>
      </c>
      <c r="AF211" s="57">
        <v>590.99</v>
      </c>
      <c r="AG211" s="57">
        <v>327.84</v>
      </c>
      <c r="AH211" s="57">
        <v>470.26</v>
      </c>
      <c r="AI211" s="57">
        <v>772.96</v>
      </c>
      <c r="AJ211" s="57">
        <v>797.25</v>
      </c>
      <c r="AK211" s="57">
        <v>1001.07</v>
      </c>
      <c r="AL211" s="57">
        <v>753.62</v>
      </c>
      <c r="AM211" s="57">
        <v>1197.3900000000001</v>
      </c>
      <c r="AN211" s="57">
        <v>49.49</v>
      </c>
      <c r="AO211" s="57">
        <v>208.61</v>
      </c>
      <c r="AP211" s="57">
        <v>145.78</v>
      </c>
      <c r="AQ211" s="57">
        <v>941.62</v>
      </c>
      <c r="AR211" s="57">
        <v>722.74</v>
      </c>
      <c r="AS211" s="57">
        <v>535.89</v>
      </c>
      <c r="AT211" s="57">
        <v>854.94</v>
      </c>
      <c r="AU211" s="57">
        <v>746.63</v>
      </c>
      <c r="AV211" s="57">
        <v>735.01</v>
      </c>
      <c r="AW211" s="57">
        <v>625.41999999999996</v>
      </c>
      <c r="AX211" s="57">
        <v>419.73</v>
      </c>
      <c r="AY211" s="57">
        <v>414.31</v>
      </c>
      <c r="AZ211" s="57">
        <v>1223.3800000000001</v>
      </c>
      <c r="BA211" s="57">
        <v>713.62</v>
      </c>
      <c r="BB211" s="57">
        <v>662.14</v>
      </c>
      <c r="BC211" s="57">
        <v>2933.26</v>
      </c>
      <c r="BD211" s="57">
        <v>770.83</v>
      </c>
      <c r="BE211" s="57">
        <v>963.04</v>
      </c>
      <c r="BF211" s="57">
        <v>77.87</v>
      </c>
      <c r="BG211" s="57">
        <v>999.25</v>
      </c>
      <c r="BH211" s="57">
        <v>1059.72</v>
      </c>
      <c r="BI211" s="57">
        <v>986.1</v>
      </c>
      <c r="BJ211" s="57">
        <v>1019.03</v>
      </c>
      <c r="BK211" s="57">
        <v>1035.23</v>
      </c>
      <c r="BL211" s="57">
        <v>1143.69</v>
      </c>
      <c r="BM211" s="57">
        <v>820.61</v>
      </c>
      <c r="BN211" s="57">
        <v>1583.45</v>
      </c>
      <c r="BO211" s="57">
        <v>676.08</v>
      </c>
      <c r="BP211" s="57">
        <v>1078.6600000000001</v>
      </c>
      <c r="BQ211" s="57">
        <v>771.15</v>
      </c>
      <c r="BR211" s="57">
        <v>679.05</v>
      </c>
      <c r="BS211" s="57">
        <v>1851.13</v>
      </c>
      <c r="BT211" s="57">
        <v>1080.67</v>
      </c>
      <c r="BU211" s="57">
        <v>1862.52</v>
      </c>
      <c r="BV211" s="57">
        <v>1247.78</v>
      </c>
      <c r="BW211" s="57">
        <v>288.23</v>
      </c>
      <c r="BX211" s="57">
        <v>510.69</v>
      </c>
      <c r="BY211" s="57">
        <v>757.8</v>
      </c>
      <c r="BZ211" s="57">
        <v>354.68</v>
      </c>
      <c r="CA211" s="57">
        <v>877.43</v>
      </c>
      <c r="CB211" s="58">
        <v>675.49</v>
      </c>
      <c r="CC211" s="57">
        <v>1161.97</v>
      </c>
      <c r="CD211" s="57">
        <v>552.88</v>
      </c>
      <c r="CE211" s="57">
        <v>966.39</v>
      </c>
      <c r="CF211" s="57">
        <v>889.66</v>
      </c>
      <c r="CG211" s="57">
        <v>1095.5</v>
      </c>
      <c r="CH211" s="57">
        <v>913.14</v>
      </c>
      <c r="CI211" s="57">
        <v>693.01</v>
      </c>
      <c r="CJ211" s="57">
        <v>677.98</v>
      </c>
      <c r="CK211" s="57">
        <v>670.94</v>
      </c>
      <c r="CL211" s="57">
        <v>708.51</v>
      </c>
      <c r="CM211" s="57">
        <v>1088.8499999999999</v>
      </c>
      <c r="CN211" s="57">
        <v>740.7</v>
      </c>
      <c r="CO211" s="57">
        <v>736.81</v>
      </c>
      <c r="CP211" s="57">
        <v>506.99</v>
      </c>
      <c r="CQ211" s="57">
        <v>907.45</v>
      </c>
      <c r="CR211" s="57">
        <v>330.93</v>
      </c>
      <c r="CS211" s="57">
        <v>483.17</v>
      </c>
      <c r="CT211" s="57">
        <v>337.21</v>
      </c>
      <c r="CU211" s="57">
        <v>278.67</v>
      </c>
      <c r="CV211" s="57">
        <v>771</v>
      </c>
      <c r="CW211" s="57">
        <v>311.95</v>
      </c>
      <c r="CX211" s="57">
        <v>772.96</v>
      </c>
      <c r="CY211" s="57">
        <v>798.75</v>
      </c>
      <c r="CZ211" s="57">
        <v>707.67</v>
      </c>
      <c r="DA211" s="57">
        <v>747.44</v>
      </c>
      <c r="DB211" s="57">
        <v>1112.3599999999999</v>
      </c>
      <c r="DC211" s="57">
        <v>916.02</v>
      </c>
      <c r="DD211" s="57">
        <v>1347.24</v>
      </c>
      <c r="DE211" s="57">
        <v>1158.93</v>
      </c>
      <c r="DF211" s="57">
        <v>560.66</v>
      </c>
      <c r="DG211" s="57">
        <v>764.86</v>
      </c>
      <c r="DH211" s="57">
        <v>440.67</v>
      </c>
      <c r="DI211" s="57">
        <v>554.49</v>
      </c>
      <c r="DJ211" s="57">
        <v>949.58</v>
      </c>
      <c r="DK211" s="57">
        <v>1197.3900000000001</v>
      </c>
      <c r="DL211" s="57">
        <v>49.49</v>
      </c>
      <c r="DM211" s="57">
        <v>208.61</v>
      </c>
      <c r="DN211" s="57">
        <v>90.66</v>
      </c>
      <c r="DO211" s="57">
        <v>191.23</v>
      </c>
      <c r="DP211" s="57">
        <v>393.18</v>
      </c>
      <c r="DQ211" s="57">
        <v>941.62</v>
      </c>
      <c r="DR211" s="57">
        <v>794.98</v>
      </c>
      <c r="DS211" s="57">
        <v>496.35</v>
      </c>
      <c r="DT211" s="57">
        <v>166.4</v>
      </c>
      <c r="DU211" s="57">
        <v>922.79</v>
      </c>
      <c r="DV211" s="57">
        <v>632.4</v>
      </c>
      <c r="DW211" s="57">
        <v>461.32</v>
      </c>
      <c r="DX211" s="57">
        <v>451.85</v>
      </c>
      <c r="DY211" s="57">
        <v>845.89</v>
      </c>
      <c r="DZ211" s="57">
        <v>848.53</v>
      </c>
      <c r="EA211" s="57">
        <v>928.27</v>
      </c>
      <c r="EB211" s="57">
        <v>746.63</v>
      </c>
      <c r="EC211" s="57">
        <v>735.01</v>
      </c>
      <c r="ED211" s="57">
        <v>625.41999999999996</v>
      </c>
      <c r="EE211" s="57">
        <v>419.73</v>
      </c>
      <c r="EF211" s="57">
        <v>414.31</v>
      </c>
      <c r="EG211" s="57">
        <v>1223.3800000000001</v>
      </c>
      <c r="EH211" s="57">
        <v>713.62</v>
      </c>
      <c r="EI211" s="57">
        <v>844.71</v>
      </c>
      <c r="EJ211" s="57">
        <v>403.98</v>
      </c>
      <c r="EK211" s="57">
        <v>597.98</v>
      </c>
      <c r="EL211" s="57">
        <v>4300.74</v>
      </c>
      <c r="EM211" s="57">
        <v>663.79</v>
      </c>
      <c r="EN211" s="57">
        <v>770.83</v>
      </c>
      <c r="EO211" s="57">
        <v>417.22</v>
      </c>
      <c r="EP211" s="57">
        <v>686.92</v>
      </c>
      <c r="EQ211" s="57">
        <v>1052.26</v>
      </c>
      <c r="ER211" s="57">
        <v>77.87</v>
      </c>
      <c r="ES211" s="57">
        <v>999.25</v>
      </c>
      <c r="ET211" s="57">
        <v>982.19</v>
      </c>
      <c r="EU211" s="57">
        <v>1202.04</v>
      </c>
      <c r="EV211" s="57">
        <v>1028.57</v>
      </c>
      <c r="EW211" s="57">
        <v>993.44</v>
      </c>
      <c r="EX211" s="57">
        <v>1177.19</v>
      </c>
      <c r="EY211" s="57">
        <v>418.95</v>
      </c>
      <c r="EZ211" s="57">
        <v>946.56</v>
      </c>
      <c r="FA211" s="57">
        <v>986.44</v>
      </c>
      <c r="FB211" s="57">
        <v>1007.43</v>
      </c>
      <c r="FC211" s="57">
        <v>1240.72</v>
      </c>
      <c r="FD211" s="57">
        <v>840.66</v>
      </c>
      <c r="FE211" s="57">
        <v>1034.1199999999999</v>
      </c>
      <c r="FF211" s="57">
        <v>193.79</v>
      </c>
      <c r="FG211" s="57">
        <v>898.11</v>
      </c>
      <c r="FH211" s="57">
        <v>795.65</v>
      </c>
      <c r="FI211" s="57">
        <v>1039.18</v>
      </c>
      <c r="FJ211" s="57">
        <v>1603.5</v>
      </c>
      <c r="FK211" s="57">
        <v>1505.3</v>
      </c>
      <c r="FL211" s="57">
        <v>1359.48</v>
      </c>
      <c r="FM211" s="57">
        <v>1090.08</v>
      </c>
      <c r="FN211" s="57">
        <v>699.79</v>
      </c>
      <c r="FO211" s="57">
        <v>1454.82</v>
      </c>
      <c r="FP211" s="57">
        <v>1818.69</v>
      </c>
      <c r="FQ211" s="57">
        <v>1093.8800000000001</v>
      </c>
      <c r="FR211" s="57">
        <v>1915.75</v>
      </c>
      <c r="FS211" s="57">
        <v>885.06</v>
      </c>
      <c r="FT211" s="57">
        <v>505.23</v>
      </c>
      <c r="FU211" s="57">
        <v>955.12</v>
      </c>
      <c r="FV211" s="57">
        <v>790.34</v>
      </c>
      <c r="FW211" s="57">
        <v>477.19</v>
      </c>
      <c r="FX211" s="57">
        <v>1078.6600000000001</v>
      </c>
      <c r="FY211" s="57">
        <v>1066.46</v>
      </c>
      <c r="FZ211" s="57">
        <v>696.73</v>
      </c>
      <c r="GA211" s="57">
        <v>897.24</v>
      </c>
      <c r="GB211" s="57">
        <v>671.82</v>
      </c>
      <c r="GC211" s="57">
        <v>714.12</v>
      </c>
      <c r="GD211" s="57">
        <v>648.08000000000004</v>
      </c>
      <c r="GE211" s="57">
        <v>1851.13</v>
      </c>
      <c r="GF211" s="57">
        <v>1080.67</v>
      </c>
      <c r="GG211" s="57">
        <v>1862.52</v>
      </c>
      <c r="GH211" s="57">
        <v>1245.68</v>
      </c>
      <c r="GI211" s="57">
        <v>336.57</v>
      </c>
      <c r="GJ211" s="57">
        <v>252</v>
      </c>
      <c r="GK211" s="57">
        <v>271.5</v>
      </c>
      <c r="GL211" s="57">
        <v>454.68</v>
      </c>
      <c r="GM211" s="57">
        <v>510.69</v>
      </c>
      <c r="GN211" s="57">
        <v>757.8</v>
      </c>
      <c r="GO211" s="57">
        <v>377.42</v>
      </c>
      <c r="GP211" s="57">
        <v>332.67</v>
      </c>
      <c r="GQ211" s="57">
        <v>349.8</v>
      </c>
      <c r="GR211" s="57">
        <v>877.43</v>
      </c>
      <c r="GS211" s="57">
        <v>675.49</v>
      </c>
      <c r="GT211" s="57">
        <v>1161.97</v>
      </c>
      <c r="GU211" s="57">
        <v>552.88</v>
      </c>
      <c r="GV211" s="57">
        <v>966.39</v>
      </c>
      <c r="GW211" s="57">
        <v>771.86</v>
      </c>
      <c r="GX211" s="57">
        <v>1119.1400000000001</v>
      </c>
      <c r="GY211" s="57">
        <v>1095.5</v>
      </c>
      <c r="GZ211" s="57">
        <v>1101.8599999999999</v>
      </c>
      <c r="HA211" s="57">
        <v>867.07</v>
      </c>
      <c r="HB211" s="57">
        <v>913.74</v>
      </c>
      <c r="HC211" s="57">
        <v>693.01</v>
      </c>
      <c r="HD211" s="57">
        <v>677.98</v>
      </c>
      <c r="HE211" s="57">
        <v>559.80999999999995</v>
      </c>
      <c r="HF211" s="57">
        <v>644.44000000000005</v>
      </c>
      <c r="HG211" s="57">
        <v>848.5</v>
      </c>
      <c r="HH211" s="57">
        <v>904.04</v>
      </c>
      <c r="HI211" s="57">
        <v>389.19</v>
      </c>
      <c r="HJ211" s="57">
        <v>708.51</v>
      </c>
      <c r="HK211" s="57">
        <v>1088.8499999999999</v>
      </c>
      <c r="HL211" s="57">
        <v>632.16</v>
      </c>
      <c r="HM211" s="57">
        <v>822.99</v>
      </c>
      <c r="HN211" s="57">
        <v>820.57</v>
      </c>
      <c r="HO211" s="57">
        <v>492.98</v>
      </c>
      <c r="HP211" s="57">
        <v>1101.78</v>
      </c>
      <c r="HQ211" s="57">
        <v>460.08</v>
      </c>
      <c r="HR211" s="57">
        <v>852.03</v>
      </c>
      <c r="HS211" s="57">
        <v>892.89</v>
      </c>
      <c r="HT211" s="57">
        <v>670.88</v>
      </c>
      <c r="HU211" s="57">
        <v>330.93</v>
      </c>
      <c r="HV211" s="57">
        <v>483.17</v>
      </c>
      <c r="HW211" s="57">
        <v>284.58</v>
      </c>
      <c r="HX211" s="57">
        <v>418.75</v>
      </c>
      <c r="HY211" s="57">
        <v>278.67</v>
      </c>
      <c r="HZ211" s="57">
        <v>771</v>
      </c>
      <c r="IA211" s="57">
        <v>284.94</v>
      </c>
      <c r="IB211" s="57">
        <v>772.96</v>
      </c>
      <c r="IC211" s="57">
        <v>718.44</v>
      </c>
      <c r="ID211" s="57">
        <v>821.66</v>
      </c>
      <c r="IE211" s="57">
        <v>707.67</v>
      </c>
      <c r="IF211" s="57">
        <v>747.44</v>
      </c>
      <c r="IG211" s="57">
        <v>1112.3599999999999</v>
      </c>
      <c r="IH211" s="57">
        <v>916.02</v>
      </c>
      <c r="II211" s="57">
        <v>1347.24</v>
      </c>
      <c r="IJ211" s="57">
        <v>1158.93</v>
      </c>
      <c r="IK211" s="57">
        <v>694.17</v>
      </c>
      <c r="IL211" s="57">
        <v>428.61</v>
      </c>
      <c r="IM211" s="57">
        <v>724.52</v>
      </c>
      <c r="IN211" s="57">
        <v>724.02</v>
      </c>
      <c r="IO211" s="57">
        <v>888.09</v>
      </c>
      <c r="IP211" s="57">
        <v>440.67</v>
      </c>
      <c r="IQ211" s="57">
        <v>554.49</v>
      </c>
      <c r="IR211" s="57">
        <v>949.58</v>
      </c>
      <c r="IS211" s="57">
        <v>1197.3900000000001</v>
      </c>
      <c r="IT211" s="57">
        <v>49.49</v>
      </c>
      <c r="IU211" s="57">
        <v>208.61</v>
      </c>
      <c r="IV211" s="57">
        <v>90.68</v>
      </c>
      <c r="IW211" s="57">
        <v>191.23</v>
      </c>
      <c r="IX211" s="57">
        <v>393.18</v>
      </c>
      <c r="IY211" s="57">
        <v>941.62</v>
      </c>
      <c r="IZ211" s="57">
        <v>794.98</v>
      </c>
      <c r="JA211" s="57">
        <v>496.35</v>
      </c>
      <c r="JB211" s="57">
        <v>166.4</v>
      </c>
      <c r="JC211" s="57">
        <v>922.79</v>
      </c>
      <c r="JD211" s="57">
        <v>632.4</v>
      </c>
      <c r="JE211" s="57">
        <v>832.76</v>
      </c>
      <c r="JF211" s="57">
        <v>412.6</v>
      </c>
      <c r="JG211" s="57">
        <v>451.85</v>
      </c>
      <c r="JH211" s="57">
        <v>845.89</v>
      </c>
      <c r="JI211" s="57">
        <v>848.53</v>
      </c>
      <c r="JJ211" s="57">
        <v>928.27</v>
      </c>
      <c r="JK211" s="57">
        <v>746.63</v>
      </c>
      <c r="JL211" s="57">
        <v>735.01</v>
      </c>
      <c r="JM211" s="57">
        <v>625.41999999999996</v>
      </c>
      <c r="JN211" s="57">
        <v>419.73</v>
      </c>
      <c r="JO211" s="57">
        <v>414.31</v>
      </c>
      <c r="JP211" s="57">
        <v>1305.8800000000001</v>
      </c>
      <c r="JQ211" s="57">
        <v>997.82</v>
      </c>
      <c r="JR211" s="57">
        <v>698.58</v>
      </c>
      <c r="JS211" s="57">
        <v>726.75</v>
      </c>
      <c r="JT211" s="57">
        <v>993.44</v>
      </c>
      <c r="JU211" s="57">
        <v>715.98</v>
      </c>
      <c r="JV211" s="57">
        <v>403.98</v>
      </c>
      <c r="JW211" s="57">
        <v>597.98</v>
      </c>
      <c r="JX211" s="57">
        <v>4300.74</v>
      </c>
      <c r="JY211" s="57">
        <v>569.35</v>
      </c>
      <c r="JZ211" s="57">
        <v>769.21</v>
      </c>
      <c r="KA211" s="57">
        <v>770.83</v>
      </c>
      <c r="KB211" s="57">
        <v>417.22</v>
      </c>
      <c r="KC211" s="57">
        <v>686.92</v>
      </c>
      <c r="KD211" s="57">
        <v>1052.26</v>
      </c>
      <c r="KE211" s="57">
        <v>77.87</v>
      </c>
      <c r="KF211" s="57">
        <v>999.25</v>
      </c>
    </row>
    <row r="212" spans="1:292">
      <c r="A212" s="41">
        <v>2022</v>
      </c>
      <c r="B212" s="54" t="s">
        <v>981</v>
      </c>
      <c r="C212" s="50" t="s">
        <v>982</v>
      </c>
      <c r="D212" s="57">
        <v>843.64</v>
      </c>
      <c r="E212" s="57">
        <v>1101</v>
      </c>
      <c r="F212" s="57">
        <v>1332.12</v>
      </c>
      <c r="G212" s="57">
        <v>323.64</v>
      </c>
      <c r="H212" s="57">
        <v>844.12</v>
      </c>
      <c r="I212" s="57">
        <v>773.57</v>
      </c>
      <c r="J212" s="57">
        <v>454.39</v>
      </c>
      <c r="K212" s="57">
        <v>1041.68</v>
      </c>
      <c r="L212" s="57">
        <v>188.48</v>
      </c>
      <c r="M212" s="57">
        <v>459.21</v>
      </c>
      <c r="N212" s="57">
        <v>574.08000000000004</v>
      </c>
      <c r="O212" s="57">
        <v>1248.45</v>
      </c>
      <c r="P212" s="57">
        <v>1201.1600000000001</v>
      </c>
      <c r="Q212" s="57">
        <v>1130.68</v>
      </c>
      <c r="R212" s="57">
        <v>743.94</v>
      </c>
      <c r="S212" s="57">
        <v>1839.49</v>
      </c>
      <c r="T212" s="57">
        <v>1300.55</v>
      </c>
      <c r="U212" s="57">
        <v>309.52</v>
      </c>
      <c r="V212" s="57">
        <v>368.38</v>
      </c>
      <c r="W212" s="57">
        <v>686.71</v>
      </c>
      <c r="X212" s="57">
        <v>1216.25</v>
      </c>
      <c r="Y212" s="57">
        <v>572.69000000000005</v>
      </c>
      <c r="Z212" s="57">
        <v>1008.15</v>
      </c>
      <c r="AA212" s="57">
        <v>911.21</v>
      </c>
      <c r="AB212" s="57">
        <v>710.06</v>
      </c>
      <c r="AC212" s="57">
        <v>728.01</v>
      </c>
      <c r="AD212" s="57">
        <v>775.05</v>
      </c>
      <c r="AE212" s="57">
        <v>764.56</v>
      </c>
      <c r="AF212" s="57">
        <v>614.91</v>
      </c>
      <c r="AG212" s="57">
        <v>368.03</v>
      </c>
      <c r="AH212" s="57">
        <v>477.64</v>
      </c>
      <c r="AI212" s="57">
        <v>797.05</v>
      </c>
      <c r="AJ212" s="57">
        <v>856.34</v>
      </c>
      <c r="AK212" s="57">
        <v>1199</v>
      </c>
      <c r="AL212" s="57">
        <v>825.01</v>
      </c>
      <c r="AM212" s="57">
        <v>1197.3900000000001</v>
      </c>
      <c r="AN212" s="57">
        <v>53.15</v>
      </c>
      <c r="AO212" s="57">
        <v>213.1</v>
      </c>
      <c r="AP212" s="57">
        <v>145.47</v>
      </c>
      <c r="AQ212" s="57">
        <v>1061.0999999999999</v>
      </c>
      <c r="AR212" s="57">
        <v>763.88</v>
      </c>
      <c r="AS212" s="57">
        <v>548.78</v>
      </c>
      <c r="AT212" s="57">
        <v>891.47</v>
      </c>
      <c r="AU212" s="57">
        <v>766.57</v>
      </c>
      <c r="AV212" s="57">
        <v>804.62</v>
      </c>
      <c r="AW212" s="57">
        <v>687.02</v>
      </c>
      <c r="AX212" s="57">
        <v>419.73</v>
      </c>
      <c r="AY212" s="57">
        <v>423</v>
      </c>
      <c r="AZ212" s="57">
        <v>1299.83</v>
      </c>
      <c r="BA212" s="57">
        <v>743.89</v>
      </c>
      <c r="BB212" s="57">
        <v>688.48</v>
      </c>
      <c r="BC212" s="57">
        <v>3191.99</v>
      </c>
      <c r="BD212" s="57">
        <v>788.96</v>
      </c>
      <c r="BE212" s="57">
        <v>1004.47</v>
      </c>
      <c r="BF212" s="57">
        <v>77.87</v>
      </c>
      <c r="BG212" s="57">
        <v>1001.23</v>
      </c>
      <c r="BH212" s="57">
        <v>1116.81</v>
      </c>
      <c r="BI212" s="57">
        <v>1120.79</v>
      </c>
      <c r="BJ212" s="57">
        <v>1158.1300000000001</v>
      </c>
      <c r="BK212" s="57">
        <v>1025.8800000000001</v>
      </c>
      <c r="BL212" s="57">
        <v>1220.5</v>
      </c>
      <c r="BM212" s="57">
        <v>864.16</v>
      </c>
      <c r="BN212" s="57">
        <v>1563.01</v>
      </c>
      <c r="BO212" s="57">
        <v>699.06</v>
      </c>
      <c r="BP212" s="57">
        <v>1082.22</v>
      </c>
      <c r="BQ212" s="57">
        <v>768.84</v>
      </c>
      <c r="BR212" s="57">
        <v>720.37</v>
      </c>
      <c r="BS212" s="57">
        <v>1853.42</v>
      </c>
      <c r="BT212" s="57">
        <v>1097.5899999999999</v>
      </c>
      <c r="BU212" s="57">
        <v>1849.81</v>
      </c>
      <c r="BV212" s="57">
        <v>1300.55</v>
      </c>
      <c r="BW212" s="57">
        <v>291.63</v>
      </c>
      <c r="BX212" s="57">
        <v>528.02</v>
      </c>
      <c r="BY212" s="57">
        <v>793.22</v>
      </c>
      <c r="BZ212" s="57">
        <v>366.08</v>
      </c>
      <c r="CA212" s="57">
        <v>921.3</v>
      </c>
      <c r="CB212" s="58">
        <v>686.71</v>
      </c>
      <c r="CC212" s="57">
        <v>1216.25</v>
      </c>
      <c r="CD212" s="57">
        <v>570.48</v>
      </c>
      <c r="CE212" s="57">
        <v>872.61</v>
      </c>
      <c r="CF212" s="57">
        <v>944.57</v>
      </c>
      <c r="CG212" s="57">
        <v>1302.72</v>
      </c>
      <c r="CH212" s="57">
        <v>944.91</v>
      </c>
      <c r="CI212" s="57">
        <v>717.99</v>
      </c>
      <c r="CJ212" s="57">
        <v>710.06</v>
      </c>
      <c r="CK212" s="57">
        <v>682.08</v>
      </c>
      <c r="CL212" s="57">
        <v>726.68</v>
      </c>
      <c r="CM212" s="57">
        <v>1126.6099999999999</v>
      </c>
      <c r="CN212" s="57">
        <v>775.05</v>
      </c>
      <c r="CO212" s="57">
        <v>764.56</v>
      </c>
      <c r="CP212" s="57">
        <v>529.04</v>
      </c>
      <c r="CQ212" s="57">
        <v>936.57</v>
      </c>
      <c r="CR212" s="57">
        <v>387.45</v>
      </c>
      <c r="CS212" s="57">
        <v>494.82</v>
      </c>
      <c r="CT212" s="57">
        <v>349.2</v>
      </c>
      <c r="CU212" s="57">
        <v>279.14999999999998</v>
      </c>
      <c r="CV212" s="57">
        <v>790.08</v>
      </c>
      <c r="CW212" s="57">
        <v>316.52</v>
      </c>
      <c r="CX212" s="57">
        <v>797.05</v>
      </c>
      <c r="CY212" s="57">
        <v>859.12</v>
      </c>
      <c r="CZ212" s="57">
        <v>732.74</v>
      </c>
      <c r="DA212" s="57">
        <v>810.7</v>
      </c>
      <c r="DB212" s="57">
        <v>1159.3800000000001</v>
      </c>
      <c r="DC212" s="57">
        <v>1151.98</v>
      </c>
      <c r="DD212" s="57">
        <v>1343.22</v>
      </c>
      <c r="DE212" s="57">
        <v>1170.56</v>
      </c>
      <c r="DF212" s="57">
        <v>571.09</v>
      </c>
      <c r="DG212" s="57">
        <v>843.35</v>
      </c>
      <c r="DH212" s="57">
        <v>465.19</v>
      </c>
      <c r="DI212" s="57">
        <v>555.24</v>
      </c>
      <c r="DJ212" s="57">
        <v>1029.56</v>
      </c>
      <c r="DK212" s="57">
        <v>1197.3900000000001</v>
      </c>
      <c r="DL212" s="57">
        <v>53.15</v>
      </c>
      <c r="DM212" s="57">
        <v>213.1</v>
      </c>
      <c r="DN212" s="57">
        <v>89.6</v>
      </c>
      <c r="DO212" s="57">
        <v>194.46</v>
      </c>
      <c r="DP212" s="57">
        <v>402.91</v>
      </c>
      <c r="DQ212" s="57">
        <v>1061.0999999999999</v>
      </c>
      <c r="DR212" s="57">
        <v>837.13</v>
      </c>
      <c r="DS212" s="57">
        <v>514.25</v>
      </c>
      <c r="DT212" s="57">
        <v>178.67</v>
      </c>
      <c r="DU212" s="57">
        <v>948.46</v>
      </c>
      <c r="DV212" s="57">
        <v>649.12</v>
      </c>
      <c r="DW212" s="57">
        <v>471.51</v>
      </c>
      <c r="DX212" s="57">
        <v>453.07</v>
      </c>
      <c r="DY212" s="57">
        <v>863.9</v>
      </c>
      <c r="DZ212" s="57">
        <v>866.24</v>
      </c>
      <c r="EA212" s="57">
        <v>1002.3</v>
      </c>
      <c r="EB212" s="57">
        <v>766.57</v>
      </c>
      <c r="EC212" s="57">
        <v>804.62</v>
      </c>
      <c r="ED212" s="57">
        <v>687.02</v>
      </c>
      <c r="EE212" s="57">
        <v>419.73</v>
      </c>
      <c r="EF212" s="57">
        <v>423</v>
      </c>
      <c r="EG212" s="57">
        <v>1299.83</v>
      </c>
      <c r="EH212" s="57">
        <v>743.89</v>
      </c>
      <c r="EI212" s="57">
        <v>870.78</v>
      </c>
      <c r="EJ212" s="57">
        <v>426.1</v>
      </c>
      <c r="EK212" s="57">
        <v>622.98</v>
      </c>
      <c r="EL212" s="57">
        <v>4716.63</v>
      </c>
      <c r="EM212" s="57">
        <v>704.06</v>
      </c>
      <c r="EN212" s="57">
        <v>788.96</v>
      </c>
      <c r="EO212" s="57">
        <v>417.88</v>
      </c>
      <c r="EP212" s="57">
        <v>700.92</v>
      </c>
      <c r="EQ212" s="57">
        <v>1102.83</v>
      </c>
      <c r="ER212" s="57">
        <v>77.87</v>
      </c>
      <c r="ES212" s="57">
        <v>1001.23</v>
      </c>
      <c r="ET212" s="57">
        <v>984.69</v>
      </c>
      <c r="EU212" s="57">
        <v>1216.94</v>
      </c>
      <c r="EV212" s="57">
        <v>1115.75</v>
      </c>
      <c r="EW212" s="57">
        <v>1031.28</v>
      </c>
      <c r="EX212" s="57">
        <v>1211.25</v>
      </c>
      <c r="EY212" s="57">
        <v>415.88</v>
      </c>
      <c r="EZ212" s="57">
        <v>1083.3</v>
      </c>
      <c r="FA212" s="57">
        <v>1135.1199999999999</v>
      </c>
      <c r="FB212" s="57">
        <v>1162.95</v>
      </c>
      <c r="FC212" s="57">
        <v>1320.21</v>
      </c>
      <c r="FD212" s="57">
        <v>893.8</v>
      </c>
      <c r="FE212" s="57">
        <v>1186.1400000000001</v>
      </c>
      <c r="FF212" s="57">
        <v>196.13</v>
      </c>
      <c r="FG212" s="57">
        <v>874.02</v>
      </c>
      <c r="FH212" s="57">
        <v>769.4</v>
      </c>
      <c r="FI212" s="57">
        <v>1021.85</v>
      </c>
      <c r="FJ212" s="57">
        <v>1670.7</v>
      </c>
      <c r="FK212" s="57">
        <v>1461.62</v>
      </c>
      <c r="FL212" s="57">
        <v>1504.5</v>
      </c>
      <c r="FM212" s="57">
        <v>1187.53</v>
      </c>
      <c r="FN212" s="57">
        <v>747.6</v>
      </c>
      <c r="FO212" s="57">
        <v>1484.26</v>
      </c>
      <c r="FP212" s="57">
        <v>1776.44</v>
      </c>
      <c r="FQ212" s="57">
        <v>1206.02</v>
      </c>
      <c r="FR212" s="57">
        <v>1863.51</v>
      </c>
      <c r="FS212" s="57">
        <v>884.13</v>
      </c>
      <c r="FT212" s="57">
        <v>561.30999999999995</v>
      </c>
      <c r="FU212" s="57">
        <v>959.56</v>
      </c>
      <c r="FV212" s="57">
        <v>788.45</v>
      </c>
      <c r="FW212" s="57">
        <v>496.71</v>
      </c>
      <c r="FX212" s="57">
        <v>1082.22</v>
      </c>
      <c r="FY212" s="57">
        <v>1048.48</v>
      </c>
      <c r="FZ212" s="57">
        <v>697.82</v>
      </c>
      <c r="GA212" s="57">
        <v>920.15</v>
      </c>
      <c r="GB212" s="57">
        <v>729.13</v>
      </c>
      <c r="GC212" s="57">
        <v>738</v>
      </c>
      <c r="GD212" s="57">
        <v>683.91</v>
      </c>
      <c r="GE212" s="57">
        <v>1853.42</v>
      </c>
      <c r="GF212" s="57">
        <v>1097.5899999999999</v>
      </c>
      <c r="GG212" s="57">
        <v>1849.81</v>
      </c>
      <c r="GH212" s="57">
        <v>1298.3599999999999</v>
      </c>
      <c r="GI212" s="57">
        <v>342.24</v>
      </c>
      <c r="GJ212" s="57">
        <v>251.65</v>
      </c>
      <c r="GK212" s="57">
        <v>280.43</v>
      </c>
      <c r="GL212" s="57">
        <v>466.92</v>
      </c>
      <c r="GM212" s="57">
        <v>528.02</v>
      </c>
      <c r="GN212" s="57">
        <v>793.22</v>
      </c>
      <c r="GO212" s="57">
        <v>395.42</v>
      </c>
      <c r="GP212" s="57">
        <v>337.8</v>
      </c>
      <c r="GQ212" s="57">
        <v>360.96</v>
      </c>
      <c r="GR212" s="57">
        <v>921.3</v>
      </c>
      <c r="GS212" s="57">
        <v>686.71</v>
      </c>
      <c r="GT212" s="57">
        <v>1216.25</v>
      </c>
      <c r="GU212" s="57">
        <v>570.48</v>
      </c>
      <c r="GV212" s="57">
        <v>872.61</v>
      </c>
      <c r="GW212" s="57">
        <v>789.5</v>
      </c>
      <c r="GX212" s="57">
        <v>1282.58</v>
      </c>
      <c r="GY212" s="57">
        <v>1302.72</v>
      </c>
      <c r="GZ212" s="57">
        <v>1157.4100000000001</v>
      </c>
      <c r="HA212" s="57">
        <v>890.05</v>
      </c>
      <c r="HB212" s="57">
        <v>945.24</v>
      </c>
      <c r="HC212" s="57">
        <v>717.99</v>
      </c>
      <c r="HD212" s="57">
        <v>710.06</v>
      </c>
      <c r="HE212" s="57">
        <v>571.04</v>
      </c>
      <c r="HF212" s="57">
        <v>658.7</v>
      </c>
      <c r="HG212" s="57">
        <v>828.5</v>
      </c>
      <c r="HH212" s="57">
        <v>916.2</v>
      </c>
      <c r="HI212" s="57">
        <v>399.57</v>
      </c>
      <c r="HJ212" s="57">
        <v>726.68</v>
      </c>
      <c r="HK212" s="57">
        <v>1126.6099999999999</v>
      </c>
      <c r="HL212" s="57">
        <v>660.36</v>
      </c>
      <c r="HM212" s="57">
        <v>852.57</v>
      </c>
      <c r="HN212" s="57">
        <v>860.61</v>
      </c>
      <c r="HO212" s="57">
        <v>504.19</v>
      </c>
      <c r="HP212" s="57">
        <v>1163.19</v>
      </c>
      <c r="HQ212" s="57">
        <v>479.13</v>
      </c>
      <c r="HR212" s="57">
        <v>894.66</v>
      </c>
      <c r="HS212" s="57">
        <v>912.49</v>
      </c>
      <c r="HT212" s="57">
        <v>724.84</v>
      </c>
      <c r="HU212" s="57">
        <v>387.45</v>
      </c>
      <c r="HV212" s="57">
        <v>494.82</v>
      </c>
      <c r="HW212" s="57">
        <v>293.22000000000003</v>
      </c>
      <c r="HX212" s="57">
        <v>437.87</v>
      </c>
      <c r="HY212" s="57">
        <v>279.14999999999998</v>
      </c>
      <c r="HZ212" s="57">
        <v>790.08</v>
      </c>
      <c r="IA212" s="57">
        <v>289.12</v>
      </c>
      <c r="IB212" s="57">
        <v>797.05</v>
      </c>
      <c r="IC212" s="57">
        <v>769.49</v>
      </c>
      <c r="ID212" s="57">
        <v>884.97</v>
      </c>
      <c r="IE212" s="57">
        <v>732.74</v>
      </c>
      <c r="IF212" s="57">
        <v>810.7</v>
      </c>
      <c r="IG212" s="57">
        <v>1159.3800000000001</v>
      </c>
      <c r="IH212" s="57">
        <v>1151.98</v>
      </c>
      <c r="II212" s="57">
        <v>1343.22</v>
      </c>
      <c r="IJ212" s="57">
        <v>1170.56</v>
      </c>
      <c r="IK212" s="57">
        <v>794.58</v>
      </c>
      <c r="IL212" s="57">
        <v>428.61</v>
      </c>
      <c r="IM212" s="57">
        <v>782.23</v>
      </c>
      <c r="IN212" s="57">
        <v>754.54</v>
      </c>
      <c r="IO212" s="57">
        <v>1066.5</v>
      </c>
      <c r="IP212" s="57">
        <v>465.19</v>
      </c>
      <c r="IQ212" s="57">
        <v>555.24</v>
      </c>
      <c r="IR212" s="57">
        <v>1029.56</v>
      </c>
      <c r="IS212" s="57">
        <v>1197.3900000000001</v>
      </c>
      <c r="IT212" s="57">
        <v>53.15</v>
      </c>
      <c r="IU212" s="57">
        <v>213.1</v>
      </c>
      <c r="IV212" s="57">
        <v>89.62</v>
      </c>
      <c r="IW212" s="57">
        <v>194.46</v>
      </c>
      <c r="IX212" s="57">
        <v>402.91</v>
      </c>
      <c r="IY212" s="57">
        <v>1061.0999999999999</v>
      </c>
      <c r="IZ212" s="57">
        <v>837.13</v>
      </c>
      <c r="JA212" s="57">
        <v>514.25</v>
      </c>
      <c r="JB212" s="57">
        <v>178.67</v>
      </c>
      <c r="JC212" s="57">
        <v>948.46</v>
      </c>
      <c r="JD212" s="57">
        <v>649.12</v>
      </c>
      <c r="JE212" s="57">
        <v>867.96</v>
      </c>
      <c r="JF212" s="57">
        <v>420.29</v>
      </c>
      <c r="JG212" s="57">
        <v>453.07</v>
      </c>
      <c r="JH212" s="57">
        <v>863.9</v>
      </c>
      <c r="JI212" s="57">
        <v>866.24</v>
      </c>
      <c r="JJ212" s="57">
        <v>1002.3</v>
      </c>
      <c r="JK212" s="57">
        <v>766.57</v>
      </c>
      <c r="JL212" s="57">
        <v>804.62</v>
      </c>
      <c r="JM212" s="57">
        <v>687.02</v>
      </c>
      <c r="JN212" s="57">
        <v>419.73</v>
      </c>
      <c r="JO212" s="57">
        <v>423</v>
      </c>
      <c r="JP212" s="57">
        <v>1394.32</v>
      </c>
      <c r="JQ212" s="57">
        <v>1037.3699999999999</v>
      </c>
      <c r="JR212" s="57">
        <v>740.06</v>
      </c>
      <c r="JS212" s="57">
        <v>726.77</v>
      </c>
      <c r="JT212" s="57">
        <v>1031.1199999999999</v>
      </c>
      <c r="JU212" s="57">
        <v>733.6</v>
      </c>
      <c r="JV212" s="57">
        <v>426.1</v>
      </c>
      <c r="JW212" s="57">
        <v>622.98</v>
      </c>
      <c r="JX212" s="57">
        <v>4716.63</v>
      </c>
      <c r="JY212" s="57">
        <v>589.27</v>
      </c>
      <c r="JZ212" s="57">
        <v>837.37</v>
      </c>
      <c r="KA212" s="57">
        <v>788.96</v>
      </c>
      <c r="KB212" s="57">
        <v>417.88</v>
      </c>
      <c r="KC212" s="57">
        <v>700.92</v>
      </c>
      <c r="KD212" s="57">
        <v>1102.83</v>
      </c>
      <c r="KE212" s="57">
        <v>77.87</v>
      </c>
      <c r="KF212" s="57">
        <v>1001.23</v>
      </c>
    </row>
    <row r="213" spans="1:292">
      <c r="A213" s="41">
        <v>2022</v>
      </c>
      <c r="B213" s="54" t="s">
        <v>983</v>
      </c>
      <c r="C213" s="50" t="s">
        <v>984</v>
      </c>
      <c r="D213" s="57">
        <v>904.79</v>
      </c>
      <c r="E213" s="57">
        <v>1248.33</v>
      </c>
      <c r="F213" s="57">
        <v>1385.71</v>
      </c>
      <c r="G213" s="57">
        <v>346.17</v>
      </c>
      <c r="H213" s="57">
        <v>906.81</v>
      </c>
      <c r="I213" s="57">
        <v>811.62</v>
      </c>
      <c r="J213" s="57">
        <v>460.35</v>
      </c>
      <c r="K213" s="57">
        <v>1094.98</v>
      </c>
      <c r="L213" s="57">
        <v>193.88</v>
      </c>
      <c r="M213" s="57">
        <v>473.95</v>
      </c>
      <c r="N213" s="57">
        <v>590.69000000000005</v>
      </c>
      <c r="O213" s="57">
        <v>1335.19</v>
      </c>
      <c r="P213" s="57">
        <v>1212.3900000000001</v>
      </c>
      <c r="Q213" s="57">
        <v>1284.8</v>
      </c>
      <c r="R213" s="57">
        <v>813.13</v>
      </c>
      <c r="S213" s="57">
        <v>1862.28</v>
      </c>
      <c r="T213" s="57">
        <v>1355.54</v>
      </c>
      <c r="U213" s="57">
        <v>331.57</v>
      </c>
      <c r="V213" s="57">
        <v>391.79</v>
      </c>
      <c r="W213" s="57">
        <v>699.54</v>
      </c>
      <c r="X213" s="57">
        <v>1282.31</v>
      </c>
      <c r="Y213" s="57">
        <v>654.16</v>
      </c>
      <c r="Z213" s="57">
        <v>1102.57</v>
      </c>
      <c r="AA213" s="57">
        <v>1017.74</v>
      </c>
      <c r="AB213" s="57">
        <v>744.56</v>
      </c>
      <c r="AC213" s="57">
        <v>753.95</v>
      </c>
      <c r="AD213" s="57">
        <v>816.59</v>
      </c>
      <c r="AE213" s="57">
        <v>796.1</v>
      </c>
      <c r="AF213" s="57">
        <v>600.79999999999995</v>
      </c>
      <c r="AG213" s="57">
        <v>368.87</v>
      </c>
      <c r="AH213" s="57">
        <v>482.6</v>
      </c>
      <c r="AI213" s="57">
        <v>825.54</v>
      </c>
      <c r="AJ213" s="57">
        <v>891.52</v>
      </c>
      <c r="AK213" s="57">
        <v>1246.3399999999999</v>
      </c>
      <c r="AL213" s="57">
        <v>918.68</v>
      </c>
      <c r="AM213" s="57">
        <v>1197.3900000000001</v>
      </c>
      <c r="AN213" s="57">
        <v>54.67</v>
      </c>
      <c r="AO213" s="57">
        <v>219.2</v>
      </c>
      <c r="AP213" s="57">
        <v>144.43</v>
      </c>
      <c r="AQ213" s="57">
        <v>1100.2</v>
      </c>
      <c r="AR213" s="57">
        <v>841.78</v>
      </c>
      <c r="AS213" s="57">
        <v>565.11</v>
      </c>
      <c r="AT213" s="57">
        <v>922.24</v>
      </c>
      <c r="AU213" s="57">
        <v>777.19</v>
      </c>
      <c r="AV213" s="57">
        <v>836.6</v>
      </c>
      <c r="AW213" s="57">
        <v>712.82</v>
      </c>
      <c r="AX213" s="57">
        <v>419.73</v>
      </c>
      <c r="AY213" s="57">
        <v>436.69</v>
      </c>
      <c r="AZ213" s="57">
        <v>1397.32</v>
      </c>
      <c r="BA213" s="57">
        <v>758.67</v>
      </c>
      <c r="BB213" s="57">
        <v>685.27</v>
      </c>
      <c r="BC213" s="57">
        <v>3256.99</v>
      </c>
      <c r="BD213" s="57">
        <v>802.21</v>
      </c>
      <c r="BE213" s="57">
        <v>1077.6600000000001</v>
      </c>
      <c r="BF213" s="57">
        <v>77.87</v>
      </c>
      <c r="BG213" s="57">
        <v>1020.53</v>
      </c>
      <c r="BH213" s="57">
        <v>1188.8</v>
      </c>
      <c r="BI213" s="57">
        <v>1317.59</v>
      </c>
      <c r="BJ213" s="57">
        <v>1228.73</v>
      </c>
      <c r="BK213" s="57">
        <v>1136.92</v>
      </c>
      <c r="BL213" s="57">
        <v>1361.68</v>
      </c>
      <c r="BM213" s="57">
        <v>1003.32</v>
      </c>
      <c r="BN213" s="57">
        <v>1861.58</v>
      </c>
      <c r="BO213" s="57">
        <v>809.45</v>
      </c>
      <c r="BP213" s="57">
        <v>1146.69</v>
      </c>
      <c r="BQ213" s="57">
        <v>800.36</v>
      </c>
      <c r="BR213" s="57">
        <v>818.32</v>
      </c>
      <c r="BS213" s="57">
        <v>1861.73</v>
      </c>
      <c r="BT213" s="57">
        <v>1109.8499999999999</v>
      </c>
      <c r="BU213" s="57">
        <v>1884.71</v>
      </c>
      <c r="BV213" s="57">
        <v>1355.54</v>
      </c>
      <c r="BW213" s="57">
        <v>312.64999999999998</v>
      </c>
      <c r="BX213" s="57">
        <v>567.82000000000005</v>
      </c>
      <c r="BY213" s="57">
        <v>825.91</v>
      </c>
      <c r="BZ213" s="57">
        <v>389.43</v>
      </c>
      <c r="CA213" s="57">
        <v>952.36</v>
      </c>
      <c r="CB213" s="58">
        <v>699.54</v>
      </c>
      <c r="CC213" s="57">
        <v>1282.31</v>
      </c>
      <c r="CD213" s="57">
        <v>651.63</v>
      </c>
      <c r="CE213" s="57">
        <v>872.61</v>
      </c>
      <c r="CF213" s="57">
        <v>1139.02</v>
      </c>
      <c r="CG213" s="57">
        <v>1403.37</v>
      </c>
      <c r="CH213" s="57">
        <v>1059.96</v>
      </c>
      <c r="CI213" s="57">
        <v>756.19</v>
      </c>
      <c r="CJ213" s="57">
        <v>744.56</v>
      </c>
      <c r="CK213" s="57">
        <v>709.5</v>
      </c>
      <c r="CL213" s="57">
        <v>722.96</v>
      </c>
      <c r="CM213" s="57">
        <v>1159.18</v>
      </c>
      <c r="CN213" s="57">
        <v>816.59</v>
      </c>
      <c r="CO213" s="57">
        <v>796.1</v>
      </c>
      <c r="CP213" s="57">
        <v>505.67</v>
      </c>
      <c r="CQ213" s="57">
        <v>970.55</v>
      </c>
      <c r="CR213" s="57">
        <v>387.51</v>
      </c>
      <c r="CS213" s="57">
        <v>481.25</v>
      </c>
      <c r="CT213" s="57">
        <v>356.12</v>
      </c>
      <c r="CU213" s="57">
        <v>279.64999999999998</v>
      </c>
      <c r="CV213" s="57">
        <v>803.63</v>
      </c>
      <c r="CW213" s="57">
        <v>318.94</v>
      </c>
      <c r="CX213" s="57">
        <v>825.54</v>
      </c>
      <c r="CY213" s="57">
        <v>894.54</v>
      </c>
      <c r="CZ213" s="57">
        <v>751.62</v>
      </c>
      <c r="DA213" s="57">
        <v>883.8</v>
      </c>
      <c r="DB213" s="57">
        <v>1213.08</v>
      </c>
      <c r="DC213" s="57">
        <v>1200.04</v>
      </c>
      <c r="DD213" s="57">
        <v>1378.19</v>
      </c>
      <c r="DE213" s="57">
        <v>1201</v>
      </c>
      <c r="DF213" s="57">
        <v>668.98</v>
      </c>
      <c r="DG213" s="57">
        <v>945.44</v>
      </c>
      <c r="DH213" s="57">
        <v>498.73</v>
      </c>
      <c r="DI213" s="57">
        <v>597.22</v>
      </c>
      <c r="DJ213" s="57">
        <v>1078.18</v>
      </c>
      <c r="DK213" s="57">
        <v>1197.3900000000001</v>
      </c>
      <c r="DL213" s="57">
        <v>54.67</v>
      </c>
      <c r="DM213" s="57">
        <v>219.2</v>
      </c>
      <c r="DN213" s="57">
        <v>88.74</v>
      </c>
      <c r="DO213" s="57">
        <v>193.23</v>
      </c>
      <c r="DP213" s="57">
        <v>409.76</v>
      </c>
      <c r="DQ213" s="57">
        <v>1100.2</v>
      </c>
      <c r="DR213" s="57">
        <v>857.24</v>
      </c>
      <c r="DS213" s="57">
        <v>565.9</v>
      </c>
      <c r="DT213" s="57">
        <v>211.24</v>
      </c>
      <c r="DU213" s="57">
        <v>968.49</v>
      </c>
      <c r="DV213" s="57">
        <v>667.46</v>
      </c>
      <c r="DW213" s="57">
        <v>487.94</v>
      </c>
      <c r="DX213" s="57">
        <v>453.49</v>
      </c>
      <c r="DY213" s="57">
        <v>912.59</v>
      </c>
      <c r="DZ213" s="57">
        <v>878.56</v>
      </c>
      <c r="EA213" s="57">
        <v>1009.26</v>
      </c>
      <c r="EB213" s="57">
        <v>777.19</v>
      </c>
      <c r="EC213" s="57">
        <v>836.6</v>
      </c>
      <c r="ED213" s="57">
        <v>712.82</v>
      </c>
      <c r="EE213" s="57">
        <v>419.73</v>
      </c>
      <c r="EF213" s="57">
        <v>436.69</v>
      </c>
      <c r="EG213" s="57">
        <v>1397.32</v>
      </c>
      <c r="EH213" s="57">
        <v>758.67</v>
      </c>
      <c r="EI213" s="57">
        <v>896.77</v>
      </c>
      <c r="EJ213" s="57">
        <v>445.06</v>
      </c>
      <c r="EK213" s="57">
        <v>613.94000000000005</v>
      </c>
      <c r="EL213" s="57">
        <v>4783.7700000000004</v>
      </c>
      <c r="EM213" s="57">
        <v>732.86</v>
      </c>
      <c r="EN213" s="57">
        <v>802.21</v>
      </c>
      <c r="EO213" s="57">
        <v>420.11</v>
      </c>
      <c r="EP213" s="57">
        <v>740.21</v>
      </c>
      <c r="EQ213" s="57">
        <v>1189.83</v>
      </c>
      <c r="ER213" s="57">
        <v>77.87</v>
      </c>
      <c r="ES213" s="57">
        <v>1020.53</v>
      </c>
      <c r="ET213" s="57">
        <v>1077.07</v>
      </c>
      <c r="EU213" s="57">
        <v>1279.1099999999999</v>
      </c>
      <c r="EV213" s="57">
        <v>1197.3900000000001</v>
      </c>
      <c r="EW213" s="57">
        <v>1085.67</v>
      </c>
      <c r="EX213" s="57">
        <v>1266.67</v>
      </c>
      <c r="EY213" s="57">
        <v>463.04</v>
      </c>
      <c r="EZ213" s="57">
        <v>1240.68</v>
      </c>
      <c r="FA213" s="57">
        <v>1293.8699999999999</v>
      </c>
      <c r="FB213" s="57">
        <v>1471.63</v>
      </c>
      <c r="FC213" s="57">
        <v>1420.66</v>
      </c>
      <c r="FD213" s="57">
        <v>1026.8499999999999</v>
      </c>
      <c r="FE213" s="57">
        <v>1255.07</v>
      </c>
      <c r="FF213" s="57">
        <v>215.58</v>
      </c>
      <c r="FG213" s="57">
        <v>994.31</v>
      </c>
      <c r="FH213" s="57">
        <v>912.27</v>
      </c>
      <c r="FI213" s="57">
        <v>1139.48</v>
      </c>
      <c r="FJ213" s="57">
        <v>1692.39</v>
      </c>
      <c r="FK213" s="57">
        <v>1613.24</v>
      </c>
      <c r="FL213" s="57">
        <v>1547.87</v>
      </c>
      <c r="FM213" s="57">
        <v>1338.38</v>
      </c>
      <c r="FN213" s="57">
        <v>902.84</v>
      </c>
      <c r="FO213" s="57">
        <v>1567.12</v>
      </c>
      <c r="FP213" s="57">
        <v>2147.73</v>
      </c>
      <c r="FQ213" s="57">
        <v>1704.79</v>
      </c>
      <c r="FR213" s="57">
        <v>1901.46</v>
      </c>
      <c r="FS213" s="57">
        <v>955.54</v>
      </c>
      <c r="FT213" s="57">
        <v>759.56</v>
      </c>
      <c r="FU213" s="57">
        <v>1042.3599999999999</v>
      </c>
      <c r="FV213" s="57">
        <v>843.1</v>
      </c>
      <c r="FW213" s="57">
        <v>554.27</v>
      </c>
      <c r="FX213" s="57">
        <v>1146.69</v>
      </c>
      <c r="FY213" s="57">
        <v>1151.75</v>
      </c>
      <c r="FZ213" s="57">
        <v>712.34</v>
      </c>
      <c r="GA213" s="57">
        <v>955.18</v>
      </c>
      <c r="GB213" s="57">
        <v>815.4</v>
      </c>
      <c r="GC213" s="57">
        <v>862.63</v>
      </c>
      <c r="GD213" s="57">
        <v>758.28</v>
      </c>
      <c r="GE213" s="57">
        <v>1861.73</v>
      </c>
      <c r="GF213" s="57">
        <v>1109.8499999999999</v>
      </c>
      <c r="GG213" s="57">
        <v>1884.71</v>
      </c>
      <c r="GH213" s="57">
        <v>1353.27</v>
      </c>
      <c r="GI213" s="57">
        <v>367.03</v>
      </c>
      <c r="GJ213" s="57">
        <v>270.39999999999998</v>
      </c>
      <c r="GK213" s="57">
        <v>300.77999999999997</v>
      </c>
      <c r="GL213" s="57">
        <v>477.15</v>
      </c>
      <c r="GM213" s="57">
        <v>567.82000000000005</v>
      </c>
      <c r="GN213" s="57">
        <v>825.91</v>
      </c>
      <c r="GO213" s="57">
        <v>420.7</v>
      </c>
      <c r="GP213" s="57">
        <v>357.18</v>
      </c>
      <c r="GQ213" s="57">
        <v>388.83</v>
      </c>
      <c r="GR213" s="57">
        <v>952.36</v>
      </c>
      <c r="GS213" s="57">
        <v>699.54</v>
      </c>
      <c r="GT213" s="57">
        <v>1282.31</v>
      </c>
      <c r="GU213" s="57">
        <v>651.63</v>
      </c>
      <c r="GV213" s="57">
        <v>872.61</v>
      </c>
      <c r="GW213" s="57">
        <v>1006.45</v>
      </c>
      <c r="GX213" s="57">
        <v>1375.42</v>
      </c>
      <c r="GY213" s="57">
        <v>1403.37</v>
      </c>
      <c r="GZ213" s="57">
        <v>1276.79</v>
      </c>
      <c r="HA213" s="57">
        <v>997.4</v>
      </c>
      <c r="HB213" s="57">
        <v>1068.27</v>
      </c>
      <c r="HC213" s="57">
        <v>756.19</v>
      </c>
      <c r="HD213" s="57">
        <v>744.56</v>
      </c>
      <c r="HE213" s="57">
        <v>597.14</v>
      </c>
      <c r="HF213" s="57">
        <v>688.5</v>
      </c>
      <c r="HG213" s="57">
        <v>841.2</v>
      </c>
      <c r="HH213" s="57">
        <v>952.04</v>
      </c>
      <c r="HI213" s="57">
        <v>411.5</v>
      </c>
      <c r="HJ213" s="57">
        <v>722.96</v>
      </c>
      <c r="HK213" s="57">
        <v>1159.18</v>
      </c>
      <c r="HL213" s="57">
        <v>710.56</v>
      </c>
      <c r="HM213" s="57">
        <v>881.43</v>
      </c>
      <c r="HN213" s="57">
        <v>898.02</v>
      </c>
      <c r="HO213" s="57">
        <v>525.88</v>
      </c>
      <c r="HP213" s="57">
        <v>1208.8</v>
      </c>
      <c r="HQ213" s="57">
        <v>450.05</v>
      </c>
      <c r="HR213" s="57">
        <v>900.98</v>
      </c>
      <c r="HS213" s="57">
        <v>935.93</v>
      </c>
      <c r="HT213" s="57">
        <v>785.74</v>
      </c>
      <c r="HU213" s="57">
        <v>387.51</v>
      </c>
      <c r="HV213" s="57">
        <v>481.25</v>
      </c>
      <c r="HW213" s="57">
        <v>299.32</v>
      </c>
      <c r="HX213" s="57">
        <v>445.71</v>
      </c>
      <c r="HY213" s="57">
        <v>279.64999999999998</v>
      </c>
      <c r="HZ213" s="57">
        <v>803.63</v>
      </c>
      <c r="IA213" s="57">
        <v>291.32</v>
      </c>
      <c r="IB213" s="57">
        <v>825.54</v>
      </c>
      <c r="IC213" s="57">
        <v>800.89</v>
      </c>
      <c r="ID213" s="57">
        <v>921.58</v>
      </c>
      <c r="IE213" s="57">
        <v>751.62</v>
      </c>
      <c r="IF213" s="57">
        <v>883.8</v>
      </c>
      <c r="IG213" s="57">
        <v>1213.08</v>
      </c>
      <c r="IH213" s="57">
        <v>1200.04</v>
      </c>
      <c r="II213" s="57">
        <v>1378.19</v>
      </c>
      <c r="IJ213" s="57">
        <v>1201</v>
      </c>
      <c r="IK213" s="57">
        <v>944.34</v>
      </c>
      <c r="IL213" s="57">
        <v>500.84</v>
      </c>
      <c r="IM213" s="57">
        <v>878.63</v>
      </c>
      <c r="IN213" s="57">
        <v>912.28</v>
      </c>
      <c r="IO213" s="57">
        <v>1149.23</v>
      </c>
      <c r="IP213" s="57">
        <v>498.73</v>
      </c>
      <c r="IQ213" s="57">
        <v>597.22</v>
      </c>
      <c r="IR213" s="57">
        <v>1078.18</v>
      </c>
      <c r="IS213" s="57">
        <v>1197.3900000000001</v>
      </c>
      <c r="IT213" s="57">
        <v>54.67</v>
      </c>
      <c r="IU213" s="57">
        <v>219.2</v>
      </c>
      <c r="IV213" s="57">
        <v>88.75</v>
      </c>
      <c r="IW213" s="57">
        <v>193.23</v>
      </c>
      <c r="IX213" s="57">
        <v>409.76</v>
      </c>
      <c r="IY213" s="57">
        <v>1100.2</v>
      </c>
      <c r="IZ213" s="57">
        <v>857.24</v>
      </c>
      <c r="JA213" s="57">
        <v>565.9</v>
      </c>
      <c r="JB213" s="57">
        <v>211.24</v>
      </c>
      <c r="JC213" s="57">
        <v>968.49</v>
      </c>
      <c r="JD213" s="57">
        <v>667.46</v>
      </c>
      <c r="JE213" s="57">
        <v>908.9</v>
      </c>
      <c r="JF213" s="57">
        <v>434.02</v>
      </c>
      <c r="JG213" s="57">
        <v>453.49</v>
      </c>
      <c r="JH213" s="57">
        <v>912.59</v>
      </c>
      <c r="JI213" s="57">
        <v>878.56</v>
      </c>
      <c r="JJ213" s="57">
        <v>1009.26</v>
      </c>
      <c r="JK213" s="57">
        <v>777.19</v>
      </c>
      <c r="JL213" s="57">
        <v>836.6</v>
      </c>
      <c r="JM213" s="57">
        <v>712.82</v>
      </c>
      <c r="JN213" s="57">
        <v>419.73</v>
      </c>
      <c r="JO213" s="57">
        <v>436.69</v>
      </c>
      <c r="JP213" s="57">
        <v>1507.83</v>
      </c>
      <c r="JQ213" s="57">
        <v>1085.4100000000001</v>
      </c>
      <c r="JR213" s="57">
        <v>760.29</v>
      </c>
      <c r="JS213" s="57">
        <v>726.85</v>
      </c>
      <c r="JT213" s="57">
        <v>1061.97</v>
      </c>
      <c r="JU213" s="57">
        <v>755.45</v>
      </c>
      <c r="JV213" s="57">
        <v>445.06</v>
      </c>
      <c r="JW213" s="57">
        <v>613.94000000000005</v>
      </c>
      <c r="JX213" s="57">
        <v>4783.7700000000004</v>
      </c>
      <c r="JY213" s="57">
        <v>614.41</v>
      </c>
      <c r="JZ213" s="57">
        <v>870.11</v>
      </c>
      <c r="KA213" s="57">
        <v>802.21</v>
      </c>
      <c r="KB213" s="57">
        <v>420.11</v>
      </c>
      <c r="KC213" s="57">
        <v>740.21</v>
      </c>
      <c r="KD213" s="57">
        <v>1189.83</v>
      </c>
      <c r="KE213" s="57">
        <v>77.87</v>
      </c>
      <c r="KF213" s="57">
        <v>1020.53</v>
      </c>
    </row>
    <row r="214" spans="1:292">
      <c r="A214" s="41">
        <v>2022</v>
      </c>
      <c r="B214" s="54" t="s">
        <v>985</v>
      </c>
      <c r="C214" s="50" t="s">
        <v>986</v>
      </c>
      <c r="D214" s="57">
        <v>931.76</v>
      </c>
      <c r="E214" s="57">
        <v>1268.74</v>
      </c>
      <c r="F214" s="57">
        <v>1476.21</v>
      </c>
      <c r="G214" s="57">
        <v>362.23</v>
      </c>
      <c r="H214" s="57">
        <v>927.17</v>
      </c>
      <c r="I214" s="57">
        <v>838.1</v>
      </c>
      <c r="J214" s="57">
        <v>467.78</v>
      </c>
      <c r="K214" s="57">
        <v>1132.57</v>
      </c>
      <c r="L214" s="57">
        <v>196.77</v>
      </c>
      <c r="M214" s="57">
        <v>503.09</v>
      </c>
      <c r="N214" s="57">
        <v>593.12</v>
      </c>
      <c r="O214" s="57">
        <v>1408.17</v>
      </c>
      <c r="P214" s="57">
        <v>1249.45</v>
      </c>
      <c r="Q214" s="57">
        <v>1302.24</v>
      </c>
      <c r="R214" s="57">
        <v>864.7</v>
      </c>
      <c r="S214" s="57">
        <v>1910.41</v>
      </c>
      <c r="T214" s="57">
        <v>1447.92</v>
      </c>
      <c r="U214" s="57">
        <v>349.02</v>
      </c>
      <c r="V214" s="57">
        <v>400.65</v>
      </c>
      <c r="W214" s="57">
        <v>715.5</v>
      </c>
      <c r="X214" s="57">
        <v>1320.39</v>
      </c>
      <c r="Y214" s="57">
        <v>696.54</v>
      </c>
      <c r="Z214" s="57">
        <v>1110.93</v>
      </c>
      <c r="AA214" s="57">
        <v>1046.95</v>
      </c>
      <c r="AB214" s="57">
        <v>772.59</v>
      </c>
      <c r="AC214" s="57">
        <v>763.88</v>
      </c>
      <c r="AD214" s="57">
        <v>834.08</v>
      </c>
      <c r="AE214" s="57">
        <v>823.91</v>
      </c>
      <c r="AF214" s="57">
        <v>644.33000000000004</v>
      </c>
      <c r="AG214" s="57">
        <v>371.71</v>
      </c>
      <c r="AH214" s="57">
        <v>491.17</v>
      </c>
      <c r="AI214" s="57">
        <v>846.76</v>
      </c>
      <c r="AJ214" s="57">
        <v>912.88</v>
      </c>
      <c r="AK214" s="57">
        <v>1292.17</v>
      </c>
      <c r="AL214" s="57">
        <v>965.86</v>
      </c>
      <c r="AM214" s="57">
        <v>1197.3900000000001</v>
      </c>
      <c r="AN214" s="57">
        <v>55.11</v>
      </c>
      <c r="AO214" s="57">
        <v>223.09</v>
      </c>
      <c r="AP214" s="57">
        <v>145.01</v>
      </c>
      <c r="AQ214" s="57">
        <v>1190.5</v>
      </c>
      <c r="AR214" s="57">
        <v>894.48</v>
      </c>
      <c r="AS214" s="57">
        <v>581.85</v>
      </c>
      <c r="AT214" s="57">
        <v>967.66</v>
      </c>
      <c r="AU214" s="57">
        <v>1329.34</v>
      </c>
      <c r="AV214" s="57">
        <v>838.29</v>
      </c>
      <c r="AW214" s="57">
        <v>713.14</v>
      </c>
      <c r="AX214" s="57">
        <v>419.73</v>
      </c>
      <c r="AY214" s="57">
        <v>451.92</v>
      </c>
      <c r="AZ214" s="57">
        <v>1469.36</v>
      </c>
      <c r="BA214" s="57">
        <v>822.45</v>
      </c>
      <c r="BB214" s="57">
        <v>711.98</v>
      </c>
      <c r="BC214" s="57">
        <v>3320.87</v>
      </c>
      <c r="BD214" s="57">
        <v>824.5</v>
      </c>
      <c r="BE214" s="57">
        <v>1138.3599999999999</v>
      </c>
      <c r="BF214" s="57">
        <v>77.87</v>
      </c>
      <c r="BG214" s="57">
        <v>1022.91</v>
      </c>
      <c r="BH214" s="57">
        <v>1234.04</v>
      </c>
      <c r="BI214" s="57">
        <v>1386.56</v>
      </c>
      <c r="BJ214" s="57">
        <v>1349.81</v>
      </c>
      <c r="BK214" s="57">
        <v>1211.5899999999999</v>
      </c>
      <c r="BL214" s="57">
        <v>1415.03</v>
      </c>
      <c r="BM214" s="57">
        <v>1107.95</v>
      </c>
      <c r="BN214" s="57">
        <v>1559.42</v>
      </c>
      <c r="BO214" s="57">
        <v>835.79</v>
      </c>
      <c r="BP214" s="57">
        <v>1193.76</v>
      </c>
      <c r="BQ214" s="57">
        <v>875.29</v>
      </c>
      <c r="BR214" s="57">
        <v>851.5</v>
      </c>
      <c r="BS214" s="57">
        <v>1942.18</v>
      </c>
      <c r="BT214" s="57">
        <v>1213.31</v>
      </c>
      <c r="BU214" s="57">
        <v>1887.19</v>
      </c>
      <c r="BV214" s="57">
        <v>1447.92</v>
      </c>
      <c r="BW214" s="57">
        <v>329.51</v>
      </c>
      <c r="BX214" s="57">
        <v>585.95000000000005</v>
      </c>
      <c r="BY214" s="57">
        <v>869.79</v>
      </c>
      <c r="BZ214" s="57">
        <v>398.19</v>
      </c>
      <c r="CA214" s="57">
        <v>987.66</v>
      </c>
      <c r="CB214" s="58">
        <v>715.5</v>
      </c>
      <c r="CC214" s="57">
        <v>1320.39</v>
      </c>
      <c r="CD214" s="57">
        <v>693.86</v>
      </c>
      <c r="CE214" s="57">
        <v>872.61</v>
      </c>
      <c r="CF214" s="57">
        <v>1144.45</v>
      </c>
      <c r="CG214" s="57">
        <v>1444.16</v>
      </c>
      <c r="CH214" s="57">
        <v>1092.58</v>
      </c>
      <c r="CI214" s="57">
        <v>755.85</v>
      </c>
      <c r="CJ214" s="57">
        <v>772.59</v>
      </c>
      <c r="CK214" s="57">
        <v>721.32</v>
      </c>
      <c r="CL214" s="57">
        <v>700.16</v>
      </c>
      <c r="CM214" s="57">
        <v>1186.06</v>
      </c>
      <c r="CN214" s="57">
        <v>834.08</v>
      </c>
      <c r="CO214" s="57">
        <v>823.91</v>
      </c>
      <c r="CP214" s="57">
        <v>549.03</v>
      </c>
      <c r="CQ214" s="57">
        <v>1007.68</v>
      </c>
      <c r="CR214" s="57">
        <v>388.81</v>
      </c>
      <c r="CS214" s="57">
        <v>487.51</v>
      </c>
      <c r="CT214" s="57">
        <v>362.63</v>
      </c>
      <c r="CU214" s="57">
        <v>280.63</v>
      </c>
      <c r="CV214" s="57">
        <v>815.79</v>
      </c>
      <c r="CW214" s="57">
        <v>330.07</v>
      </c>
      <c r="CX214" s="57">
        <v>846.76</v>
      </c>
      <c r="CY214" s="57">
        <v>915.95</v>
      </c>
      <c r="CZ214" s="57">
        <v>767.98</v>
      </c>
      <c r="DA214" s="57">
        <v>915.02</v>
      </c>
      <c r="DB214" s="57">
        <v>1287.46</v>
      </c>
      <c r="DC214" s="57">
        <v>1247.72</v>
      </c>
      <c r="DD214" s="57">
        <v>1396.74</v>
      </c>
      <c r="DE214" s="57">
        <v>1221.69</v>
      </c>
      <c r="DF214" s="57">
        <v>715.92</v>
      </c>
      <c r="DG214" s="57">
        <v>984</v>
      </c>
      <c r="DH214" s="57">
        <v>573.46</v>
      </c>
      <c r="DI214" s="57">
        <v>633.30999999999995</v>
      </c>
      <c r="DJ214" s="57">
        <v>1126.05</v>
      </c>
      <c r="DK214" s="57">
        <v>1197.3900000000001</v>
      </c>
      <c r="DL214" s="57">
        <v>55.11</v>
      </c>
      <c r="DM214" s="57">
        <v>223.09</v>
      </c>
      <c r="DN214" s="57">
        <v>89.15</v>
      </c>
      <c r="DO214" s="57">
        <v>190.66</v>
      </c>
      <c r="DP214" s="57">
        <v>437.85</v>
      </c>
      <c r="DQ214" s="57">
        <v>1190.5</v>
      </c>
      <c r="DR214" s="57">
        <v>879.99</v>
      </c>
      <c r="DS214" s="57">
        <v>587.82000000000005</v>
      </c>
      <c r="DT214" s="57">
        <v>233.55</v>
      </c>
      <c r="DU214" s="57">
        <v>981.12</v>
      </c>
      <c r="DV214" s="57">
        <v>679.12</v>
      </c>
      <c r="DW214" s="57">
        <v>513.38</v>
      </c>
      <c r="DX214" s="57">
        <v>453.49</v>
      </c>
      <c r="DY214" s="57">
        <v>966.41</v>
      </c>
      <c r="DZ214" s="57">
        <v>895</v>
      </c>
      <c r="EA214" s="57">
        <v>1050</v>
      </c>
      <c r="EB214" s="57">
        <v>1329.34</v>
      </c>
      <c r="EC214" s="57">
        <v>838.29</v>
      </c>
      <c r="ED214" s="57">
        <v>713.14</v>
      </c>
      <c r="EE214" s="57">
        <v>419.73</v>
      </c>
      <c r="EF214" s="57">
        <v>451.92</v>
      </c>
      <c r="EG214" s="57">
        <v>1469.36</v>
      </c>
      <c r="EH214" s="57">
        <v>822.45</v>
      </c>
      <c r="EI214" s="57">
        <v>935.72</v>
      </c>
      <c r="EJ214" s="57">
        <v>468.62</v>
      </c>
      <c r="EK214" s="57">
        <v>636.96</v>
      </c>
      <c r="EL214" s="57">
        <v>4875.42</v>
      </c>
      <c r="EM214" s="57">
        <v>748.33</v>
      </c>
      <c r="EN214" s="57">
        <v>824.5</v>
      </c>
      <c r="EO214" s="57">
        <v>424</v>
      </c>
      <c r="EP214" s="57">
        <v>654.36</v>
      </c>
      <c r="EQ214" s="57">
        <v>1279.08</v>
      </c>
      <c r="ER214" s="57">
        <v>77.87</v>
      </c>
      <c r="ES214" s="57">
        <v>1022.91</v>
      </c>
      <c r="ET214" s="57">
        <v>1151.83</v>
      </c>
      <c r="EU214" s="57">
        <v>1301.6099999999999</v>
      </c>
      <c r="EV214" s="57">
        <v>1236.8599999999999</v>
      </c>
      <c r="EW214" s="57">
        <v>1133.6199999999999</v>
      </c>
      <c r="EX214" s="57">
        <v>1379.22</v>
      </c>
      <c r="EY214" s="57">
        <v>495.19</v>
      </c>
      <c r="EZ214" s="57">
        <v>1300.94</v>
      </c>
      <c r="FA214" s="57">
        <v>1357.53</v>
      </c>
      <c r="FB214" s="57">
        <v>1557.63</v>
      </c>
      <c r="FC214" s="57">
        <v>1489.3</v>
      </c>
      <c r="FD214" s="57">
        <v>1084.28</v>
      </c>
      <c r="FE214" s="57">
        <v>1387.32</v>
      </c>
      <c r="FF214" s="57">
        <v>217.78</v>
      </c>
      <c r="FG214" s="57">
        <v>1109.43</v>
      </c>
      <c r="FH214" s="57">
        <v>1008.77</v>
      </c>
      <c r="FI214" s="57">
        <v>1277.3800000000001</v>
      </c>
      <c r="FJ214" s="57">
        <v>1470.17</v>
      </c>
      <c r="FK214" s="57">
        <v>1841.63</v>
      </c>
      <c r="FL214" s="57">
        <v>1541.51</v>
      </c>
      <c r="FM214" s="57">
        <v>1363.59</v>
      </c>
      <c r="FN214" s="57">
        <v>1015.92</v>
      </c>
      <c r="FO214" s="57">
        <v>1645.82</v>
      </c>
      <c r="FP214" s="57">
        <v>1636.94</v>
      </c>
      <c r="FQ214" s="57">
        <v>1778.65</v>
      </c>
      <c r="FR214" s="57">
        <v>1951.38</v>
      </c>
      <c r="FS214" s="57">
        <v>1005.58</v>
      </c>
      <c r="FT214" s="57">
        <v>803.16</v>
      </c>
      <c r="FU214" s="57">
        <v>1056.75</v>
      </c>
      <c r="FV214" s="57">
        <v>865.56</v>
      </c>
      <c r="FW214" s="57">
        <v>562.25</v>
      </c>
      <c r="FX214" s="57">
        <v>1193.76</v>
      </c>
      <c r="FY214" s="57">
        <v>1217.3399999999999</v>
      </c>
      <c r="FZ214" s="57">
        <v>789.81</v>
      </c>
      <c r="GA214" s="57">
        <v>965.47</v>
      </c>
      <c r="GB214" s="57">
        <v>859.85</v>
      </c>
      <c r="GC214" s="57">
        <v>885.37</v>
      </c>
      <c r="GD214" s="57">
        <v>783.37</v>
      </c>
      <c r="GE214" s="57">
        <v>1942.18</v>
      </c>
      <c r="GF214" s="57">
        <v>1213.31</v>
      </c>
      <c r="GG214" s="57">
        <v>1887.19</v>
      </c>
      <c r="GH214" s="57">
        <v>1445.49</v>
      </c>
      <c r="GI214" s="57">
        <v>377.06</v>
      </c>
      <c r="GJ214" s="57">
        <v>283.55</v>
      </c>
      <c r="GK214" s="57">
        <v>342.62</v>
      </c>
      <c r="GL214" s="57">
        <v>481.02</v>
      </c>
      <c r="GM214" s="57">
        <v>585.95000000000005</v>
      </c>
      <c r="GN214" s="57">
        <v>869.79</v>
      </c>
      <c r="GO214" s="57">
        <v>431.17</v>
      </c>
      <c r="GP214" s="57">
        <v>365.82</v>
      </c>
      <c r="GQ214" s="57">
        <v>393.94</v>
      </c>
      <c r="GR214" s="57">
        <v>987.66</v>
      </c>
      <c r="GS214" s="57">
        <v>715.5</v>
      </c>
      <c r="GT214" s="57">
        <v>1320.39</v>
      </c>
      <c r="GU214" s="57">
        <v>693.86</v>
      </c>
      <c r="GV214" s="57">
        <v>872.61</v>
      </c>
      <c r="GW214" s="57">
        <v>1021.66</v>
      </c>
      <c r="GX214" s="57">
        <v>1349.2</v>
      </c>
      <c r="GY214" s="57">
        <v>1444.16</v>
      </c>
      <c r="GZ214" s="57">
        <v>1334.64</v>
      </c>
      <c r="HA214" s="57">
        <v>1022.4</v>
      </c>
      <c r="HB214" s="57">
        <v>1099.3</v>
      </c>
      <c r="HC214" s="57">
        <v>755.85</v>
      </c>
      <c r="HD214" s="57">
        <v>772.59</v>
      </c>
      <c r="HE214" s="57">
        <v>605.52</v>
      </c>
      <c r="HF214" s="57">
        <v>711.73</v>
      </c>
      <c r="HG214" s="57">
        <v>851.85</v>
      </c>
      <c r="HH214" s="57">
        <v>968.55</v>
      </c>
      <c r="HI214" s="57">
        <v>403.67</v>
      </c>
      <c r="HJ214" s="57">
        <v>700.16</v>
      </c>
      <c r="HK214" s="57">
        <v>1186.06</v>
      </c>
      <c r="HL214" s="57">
        <v>728.96</v>
      </c>
      <c r="HM214" s="57">
        <v>901.49</v>
      </c>
      <c r="HN214" s="57">
        <v>914.72</v>
      </c>
      <c r="HO214" s="57">
        <v>544.33000000000004</v>
      </c>
      <c r="HP214" s="57">
        <v>1250.78</v>
      </c>
      <c r="HQ214" s="57">
        <v>491.38</v>
      </c>
      <c r="HR214" s="57">
        <v>962.41</v>
      </c>
      <c r="HS214" s="57">
        <v>970.51</v>
      </c>
      <c r="HT214" s="57">
        <v>820.19</v>
      </c>
      <c r="HU214" s="57">
        <v>388.81</v>
      </c>
      <c r="HV214" s="57">
        <v>487.51</v>
      </c>
      <c r="HW214" s="57">
        <v>306.16000000000003</v>
      </c>
      <c r="HX214" s="57">
        <v>449.95</v>
      </c>
      <c r="HY214" s="57">
        <v>280.63</v>
      </c>
      <c r="HZ214" s="57">
        <v>815.79</v>
      </c>
      <c r="IA214" s="57">
        <v>301.49</v>
      </c>
      <c r="IB214" s="57">
        <v>846.76</v>
      </c>
      <c r="IC214" s="57">
        <v>808.36</v>
      </c>
      <c r="ID214" s="57">
        <v>948</v>
      </c>
      <c r="IE214" s="57">
        <v>767.98</v>
      </c>
      <c r="IF214" s="57">
        <v>915.02</v>
      </c>
      <c r="IG214" s="57">
        <v>1287.46</v>
      </c>
      <c r="IH214" s="57">
        <v>1247.72</v>
      </c>
      <c r="II214" s="57">
        <v>1396.74</v>
      </c>
      <c r="IJ214" s="57">
        <v>1221.69</v>
      </c>
      <c r="IK214" s="57">
        <v>972.02</v>
      </c>
      <c r="IL214" s="57">
        <v>539.49</v>
      </c>
      <c r="IM214" s="57">
        <v>908.97</v>
      </c>
      <c r="IN214" s="57">
        <v>970.36</v>
      </c>
      <c r="IO214" s="57">
        <v>1203.54</v>
      </c>
      <c r="IP214" s="57">
        <v>573.46</v>
      </c>
      <c r="IQ214" s="57">
        <v>633.30999999999995</v>
      </c>
      <c r="IR214" s="57">
        <v>1126.05</v>
      </c>
      <c r="IS214" s="57">
        <v>1197.3900000000001</v>
      </c>
      <c r="IT214" s="57">
        <v>55.11</v>
      </c>
      <c r="IU214" s="57">
        <v>223.09</v>
      </c>
      <c r="IV214" s="57">
        <v>89.16</v>
      </c>
      <c r="IW214" s="57">
        <v>190.66</v>
      </c>
      <c r="IX214" s="57">
        <v>437.85</v>
      </c>
      <c r="IY214" s="57">
        <v>1190.5</v>
      </c>
      <c r="IZ214" s="57">
        <v>879.99</v>
      </c>
      <c r="JA214" s="57">
        <v>587.82000000000005</v>
      </c>
      <c r="JB214" s="57">
        <v>233.55</v>
      </c>
      <c r="JC214" s="57">
        <v>981.12</v>
      </c>
      <c r="JD214" s="57">
        <v>679.12</v>
      </c>
      <c r="JE214" s="57">
        <v>966.36</v>
      </c>
      <c r="JF214" s="57">
        <v>455.79</v>
      </c>
      <c r="JG214" s="57">
        <v>453.49</v>
      </c>
      <c r="JH214" s="57">
        <v>966.41</v>
      </c>
      <c r="JI214" s="57">
        <v>895</v>
      </c>
      <c r="JJ214" s="57">
        <v>1050</v>
      </c>
      <c r="JK214" s="57">
        <v>1329.34</v>
      </c>
      <c r="JL214" s="57">
        <v>838.29</v>
      </c>
      <c r="JM214" s="57">
        <v>713.14</v>
      </c>
      <c r="JN214" s="57">
        <v>419.73</v>
      </c>
      <c r="JO214" s="57">
        <v>451.92</v>
      </c>
      <c r="JP214" s="57">
        <v>1593.3</v>
      </c>
      <c r="JQ214" s="57">
        <v>1115.5999999999999</v>
      </c>
      <c r="JR214" s="57">
        <v>847.64</v>
      </c>
      <c r="JS214" s="57">
        <v>727.05</v>
      </c>
      <c r="JT214" s="57">
        <v>1107.82</v>
      </c>
      <c r="JU214" s="57">
        <v>788.44</v>
      </c>
      <c r="JV214" s="57">
        <v>468.62</v>
      </c>
      <c r="JW214" s="57">
        <v>636.96</v>
      </c>
      <c r="JX214" s="57">
        <v>4875.42</v>
      </c>
      <c r="JY214" s="57">
        <v>622.13</v>
      </c>
      <c r="JZ214" s="57">
        <v>896.19</v>
      </c>
      <c r="KA214" s="57">
        <v>824.5</v>
      </c>
      <c r="KB214" s="57">
        <v>424</v>
      </c>
      <c r="KC214" s="57">
        <v>654.36</v>
      </c>
      <c r="KD214" s="57">
        <v>1279.08</v>
      </c>
      <c r="KE214" s="57">
        <v>77.87</v>
      </c>
      <c r="KF214" s="57">
        <v>1022.91</v>
      </c>
    </row>
    <row r="215" spans="1:292">
      <c r="A215" s="41">
        <v>2022</v>
      </c>
      <c r="B215" s="54" t="s">
        <v>987</v>
      </c>
      <c r="C215" s="50" t="s">
        <v>988</v>
      </c>
      <c r="D215" s="57">
        <v>977.9</v>
      </c>
      <c r="E215" s="57">
        <v>1295.25</v>
      </c>
      <c r="F215" s="57">
        <v>1514.77</v>
      </c>
      <c r="G215" s="57">
        <v>362.89</v>
      </c>
      <c r="H215" s="57">
        <v>1004.5</v>
      </c>
      <c r="I215" s="57">
        <v>871.32</v>
      </c>
      <c r="J215" s="57">
        <v>476.98</v>
      </c>
      <c r="K215" s="57">
        <v>1252.47</v>
      </c>
      <c r="L215" s="57">
        <v>203.94</v>
      </c>
      <c r="M215" s="57">
        <v>513.25</v>
      </c>
      <c r="N215" s="57">
        <v>607.51</v>
      </c>
      <c r="O215" s="57">
        <v>1484.48</v>
      </c>
      <c r="P215" s="57">
        <v>1304.72</v>
      </c>
      <c r="Q215" s="57">
        <v>1320.75</v>
      </c>
      <c r="R215" s="57">
        <v>976.14</v>
      </c>
      <c r="S215" s="57">
        <v>2379.4299999999998</v>
      </c>
      <c r="T215" s="57">
        <v>1463.83</v>
      </c>
      <c r="U215" s="57">
        <v>349.03</v>
      </c>
      <c r="V215" s="57">
        <v>404.22</v>
      </c>
      <c r="W215" s="57">
        <v>737.75</v>
      </c>
      <c r="X215" s="57">
        <v>1363.7</v>
      </c>
      <c r="Y215" s="57">
        <v>720.17</v>
      </c>
      <c r="Z215" s="57">
        <v>1269.72</v>
      </c>
      <c r="AA215" s="57">
        <v>1114.8800000000001</v>
      </c>
      <c r="AB215" s="57">
        <v>811.54</v>
      </c>
      <c r="AC215" s="57">
        <v>779.36</v>
      </c>
      <c r="AD215" s="57">
        <v>860.82</v>
      </c>
      <c r="AE215" s="57">
        <v>836.33</v>
      </c>
      <c r="AF215" s="57">
        <v>665.56</v>
      </c>
      <c r="AG215" s="57">
        <v>375</v>
      </c>
      <c r="AH215" s="57">
        <v>501.57</v>
      </c>
      <c r="AI215" s="57">
        <v>874.59</v>
      </c>
      <c r="AJ215" s="57">
        <v>943.61</v>
      </c>
      <c r="AK215" s="57">
        <v>1528.2</v>
      </c>
      <c r="AL215" s="57">
        <v>1009.96</v>
      </c>
      <c r="AM215" s="57">
        <v>1197.3900000000001</v>
      </c>
      <c r="AN215" s="57">
        <v>57.78</v>
      </c>
      <c r="AO215" s="57">
        <v>230.15</v>
      </c>
      <c r="AP215" s="57">
        <v>144.94</v>
      </c>
      <c r="AQ215" s="57">
        <v>1211.45</v>
      </c>
      <c r="AR215" s="57">
        <v>924.52</v>
      </c>
      <c r="AS215" s="57">
        <v>591.57000000000005</v>
      </c>
      <c r="AT215" s="57">
        <v>1003.05</v>
      </c>
      <c r="AU215" s="57">
        <v>1375.81</v>
      </c>
      <c r="AV215" s="57">
        <v>862.36</v>
      </c>
      <c r="AW215" s="57">
        <v>737.8</v>
      </c>
      <c r="AX215" s="57">
        <v>419.73</v>
      </c>
      <c r="AY215" s="57">
        <v>462.35</v>
      </c>
      <c r="AZ215" s="57">
        <v>1542.22</v>
      </c>
      <c r="BA215" s="57">
        <v>901.74</v>
      </c>
      <c r="BB215" s="57">
        <v>737.36</v>
      </c>
      <c r="BC215" s="57">
        <v>3475.75</v>
      </c>
      <c r="BD215" s="57">
        <v>848.15</v>
      </c>
      <c r="BE215" s="57">
        <v>1361.38</v>
      </c>
      <c r="BF215" s="57">
        <v>77.87</v>
      </c>
      <c r="BG215" s="57">
        <v>1024.24</v>
      </c>
      <c r="BH215" s="57">
        <v>1295.81</v>
      </c>
      <c r="BI215" s="57">
        <v>1408.68</v>
      </c>
      <c r="BJ215" s="57">
        <v>1449.08</v>
      </c>
      <c r="BK215" s="57">
        <v>1340.96</v>
      </c>
      <c r="BL215" s="57">
        <v>1483.6</v>
      </c>
      <c r="BM215" s="57">
        <v>1111.1199999999999</v>
      </c>
      <c r="BN215" s="57">
        <v>1334.13</v>
      </c>
      <c r="BO215" s="57">
        <v>889.79</v>
      </c>
      <c r="BP215" s="57">
        <v>1245.3900000000001</v>
      </c>
      <c r="BQ215" s="57">
        <v>1016.59</v>
      </c>
      <c r="BR215" s="57">
        <v>939.18</v>
      </c>
      <c r="BS215" s="57">
        <v>2429.84</v>
      </c>
      <c r="BT215" s="57">
        <v>1345.21</v>
      </c>
      <c r="BU215" s="57">
        <v>2387.71</v>
      </c>
      <c r="BV215" s="57">
        <v>1463.83</v>
      </c>
      <c r="BW215" s="57">
        <v>328.21</v>
      </c>
      <c r="BX215" s="57">
        <v>604.38</v>
      </c>
      <c r="BY215" s="57">
        <v>917.26</v>
      </c>
      <c r="BZ215" s="57">
        <v>401.58</v>
      </c>
      <c r="CA215" s="57">
        <v>1044.82</v>
      </c>
      <c r="CB215" s="58">
        <v>737.75</v>
      </c>
      <c r="CC215" s="57">
        <v>1363.7</v>
      </c>
      <c r="CD215" s="57">
        <v>717.39</v>
      </c>
      <c r="CE215" s="57">
        <v>1003.58</v>
      </c>
      <c r="CF215" s="57">
        <v>1365.49</v>
      </c>
      <c r="CG215" s="57">
        <v>1475.05</v>
      </c>
      <c r="CH215" s="57">
        <v>1163.9000000000001</v>
      </c>
      <c r="CI215" s="57">
        <v>800.59</v>
      </c>
      <c r="CJ215" s="57">
        <v>811.54</v>
      </c>
      <c r="CK215" s="57">
        <v>736.13</v>
      </c>
      <c r="CL215" s="57">
        <v>709.59</v>
      </c>
      <c r="CM215" s="57">
        <v>1215.6500000000001</v>
      </c>
      <c r="CN215" s="57">
        <v>860.82</v>
      </c>
      <c r="CO215" s="57">
        <v>836.33</v>
      </c>
      <c r="CP215" s="57">
        <v>568.03</v>
      </c>
      <c r="CQ215" s="57">
        <v>1036.3599999999999</v>
      </c>
      <c r="CR215" s="57">
        <v>388.88</v>
      </c>
      <c r="CS215" s="57">
        <v>506.82</v>
      </c>
      <c r="CT215" s="57">
        <v>370.72</v>
      </c>
      <c r="CU215" s="57">
        <v>281.51</v>
      </c>
      <c r="CV215" s="57">
        <v>840.36</v>
      </c>
      <c r="CW215" s="57">
        <v>337.73</v>
      </c>
      <c r="CX215" s="57">
        <v>874.59</v>
      </c>
      <c r="CY215" s="57">
        <v>946.06</v>
      </c>
      <c r="CZ215" s="57">
        <v>812.02</v>
      </c>
      <c r="DA215" s="57">
        <v>936.57</v>
      </c>
      <c r="DB215" s="57">
        <v>1334.08</v>
      </c>
      <c r="DC215" s="57">
        <v>1520.68</v>
      </c>
      <c r="DD215" s="57">
        <v>1447.41</v>
      </c>
      <c r="DE215" s="57">
        <v>1271.75</v>
      </c>
      <c r="DF215" s="57">
        <v>803.1</v>
      </c>
      <c r="DG215" s="57">
        <v>1020.11</v>
      </c>
      <c r="DH215" s="57">
        <v>626.45000000000005</v>
      </c>
      <c r="DI215" s="57">
        <v>634.49</v>
      </c>
      <c r="DJ215" s="57">
        <v>1222.47</v>
      </c>
      <c r="DK215" s="57">
        <v>1197.3900000000001</v>
      </c>
      <c r="DL215" s="57">
        <v>57.78</v>
      </c>
      <c r="DM215" s="57">
        <v>230.15</v>
      </c>
      <c r="DN215" s="57">
        <v>90.04</v>
      </c>
      <c r="DO215" s="57">
        <v>184.13</v>
      </c>
      <c r="DP215" s="57">
        <v>447.26</v>
      </c>
      <c r="DQ215" s="57">
        <v>1211.45</v>
      </c>
      <c r="DR215" s="57">
        <v>888.87</v>
      </c>
      <c r="DS215" s="57">
        <v>606.02</v>
      </c>
      <c r="DT215" s="57">
        <v>244.42</v>
      </c>
      <c r="DU215" s="57">
        <v>1063.68</v>
      </c>
      <c r="DV215" s="57">
        <v>696.26</v>
      </c>
      <c r="DW215" s="57">
        <v>508.62</v>
      </c>
      <c r="DX215" s="57">
        <v>529.12</v>
      </c>
      <c r="DY215" s="57">
        <v>1007.76</v>
      </c>
      <c r="DZ215" s="57">
        <v>911.91</v>
      </c>
      <c r="EA215" s="57">
        <v>1081.8599999999999</v>
      </c>
      <c r="EB215" s="57">
        <v>1375.81</v>
      </c>
      <c r="EC215" s="57">
        <v>862.36</v>
      </c>
      <c r="ED215" s="57">
        <v>737.8</v>
      </c>
      <c r="EE215" s="57">
        <v>419.73</v>
      </c>
      <c r="EF215" s="57">
        <v>462.35</v>
      </c>
      <c r="EG215" s="57">
        <v>1542.22</v>
      </c>
      <c r="EH215" s="57">
        <v>901.74</v>
      </c>
      <c r="EI215" s="57">
        <v>964.69</v>
      </c>
      <c r="EJ215" s="57">
        <v>480.89</v>
      </c>
      <c r="EK215" s="57">
        <v>660.61</v>
      </c>
      <c r="EL215" s="57">
        <v>5172.91</v>
      </c>
      <c r="EM215" s="57">
        <v>748.13</v>
      </c>
      <c r="EN215" s="57">
        <v>848.15</v>
      </c>
      <c r="EO215" s="57">
        <v>468.73</v>
      </c>
      <c r="EP215" s="57">
        <v>661.62</v>
      </c>
      <c r="EQ215" s="57">
        <v>1554.14</v>
      </c>
      <c r="ER215" s="57">
        <v>77.87</v>
      </c>
      <c r="ES215" s="57">
        <v>1024.24</v>
      </c>
      <c r="ET215" s="57">
        <v>1224.54</v>
      </c>
      <c r="EU215" s="57">
        <v>1373.43</v>
      </c>
      <c r="EV215" s="57">
        <v>1292.27</v>
      </c>
      <c r="EW215" s="57">
        <v>1194.0899999999999</v>
      </c>
      <c r="EX215" s="57">
        <v>1467.65</v>
      </c>
      <c r="EY215" s="57">
        <v>497.72</v>
      </c>
      <c r="EZ215" s="57">
        <v>1356.49</v>
      </c>
      <c r="FA215" s="57">
        <v>1328.17</v>
      </c>
      <c r="FB215" s="57">
        <v>1513.26</v>
      </c>
      <c r="FC215" s="57">
        <v>1516.05</v>
      </c>
      <c r="FD215" s="57">
        <v>1173.45</v>
      </c>
      <c r="FE215" s="57">
        <v>1496</v>
      </c>
      <c r="FF215" s="57">
        <v>219.04</v>
      </c>
      <c r="FG215" s="57">
        <v>1278.24</v>
      </c>
      <c r="FH215" s="57">
        <v>1157.02</v>
      </c>
      <c r="FI215" s="57">
        <v>1435.91</v>
      </c>
      <c r="FJ215" s="57">
        <v>1408.71</v>
      </c>
      <c r="FK215" s="57">
        <v>2071.02</v>
      </c>
      <c r="FL215" s="57">
        <v>1628.08</v>
      </c>
      <c r="FM215" s="57">
        <v>1401.27</v>
      </c>
      <c r="FN215" s="57">
        <v>985.21</v>
      </c>
      <c r="FO215" s="57">
        <v>1801.11</v>
      </c>
      <c r="FP215" s="57">
        <v>1230.1500000000001</v>
      </c>
      <c r="FQ215" s="57">
        <v>1895.33</v>
      </c>
      <c r="FR215" s="57">
        <v>2060.4</v>
      </c>
      <c r="FS215" s="57">
        <v>1071.1300000000001</v>
      </c>
      <c r="FT215" s="57">
        <v>853.61</v>
      </c>
      <c r="FU215" s="57">
        <v>1096.44</v>
      </c>
      <c r="FV215" s="57">
        <v>933.43</v>
      </c>
      <c r="FW215" s="57">
        <v>604.15</v>
      </c>
      <c r="FX215" s="57">
        <v>1245.3900000000001</v>
      </c>
      <c r="FY215" s="57">
        <v>1307.05</v>
      </c>
      <c r="FZ215" s="57">
        <v>943.73</v>
      </c>
      <c r="GA215" s="57">
        <v>995.38</v>
      </c>
      <c r="GB215" s="57">
        <v>922.44</v>
      </c>
      <c r="GC215" s="57">
        <v>1000.56</v>
      </c>
      <c r="GD215" s="57">
        <v>886.22</v>
      </c>
      <c r="GE215" s="57">
        <v>2429.84</v>
      </c>
      <c r="GF215" s="57">
        <v>1345.21</v>
      </c>
      <c r="GG215" s="57">
        <v>2387.71</v>
      </c>
      <c r="GH215" s="57">
        <v>1461.37</v>
      </c>
      <c r="GI215" s="57">
        <v>376.51</v>
      </c>
      <c r="GJ215" s="57">
        <v>283.13</v>
      </c>
      <c r="GK215" s="57">
        <v>337.1</v>
      </c>
      <c r="GL215" s="57">
        <v>481.61</v>
      </c>
      <c r="GM215" s="57">
        <v>604.38</v>
      </c>
      <c r="GN215" s="57">
        <v>917.26</v>
      </c>
      <c r="GO215" s="57">
        <v>438.39</v>
      </c>
      <c r="GP215" s="57">
        <v>366.13</v>
      </c>
      <c r="GQ215" s="57">
        <v>395.99</v>
      </c>
      <c r="GR215" s="57">
        <v>1044.82</v>
      </c>
      <c r="GS215" s="57">
        <v>737.75</v>
      </c>
      <c r="GT215" s="57">
        <v>1363.7</v>
      </c>
      <c r="GU215" s="57">
        <v>717.39</v>
      </c>
      <c r="GV215" s="57">
        <v>1003.58</v>
      </c>
      <c r="GW215" s="57">
        <v>1275.04</v>
      </c>
      <c r="GX215" s="57">
        <v>1433.5</v>
      </c>
      <c r="GY215" s="57">
        <v>1475.05</v>
      </c>
      <c r="GZ215" s="57">
        <v>1400.66</v>
      </c>
      <c r="HA215" s="57">
        <v>1100.79</v>
      </c>
      <c r="HB215" s="57">
        <v>1169.25</v>
      </c>
      <c r="HC215" s="57">
        <v>800.59</v>
      </c>
      <c r="HD215" s="57">
        <v>811.54</v>
      </c>
      <c r="HE215" s="57">
        <v>606.07000000000005</v>
      </c>
      <c r="HF215" s="57">
        <v>733.27</v>
      </c>
      <c r="HG215" s="57">
        <v>891.66</v>
      </c>
      <c r="HH215" s="57">
        <v>1004.42</v>
      </c>
      <c r="HI215" s="57">
        <v>405.77</v>
      </c>
      <c r="HJ215" s="57">
        <v>709.59</v>
      </c>
      <c r="HK215" s="57">
        <v>1215.6500000000001</v>
      </c>
      <c r="HL215" s="57">
        <v>768.02</v>
      </c>
      <c r="HM215" s="57">
        <v>926.21</v>
      </c>
      <c r="HN215" s="57">
        <v>932.94</v>
      </c>
      <c r="HO215" s="57">
        <v>543.16999999999996</v>
      </c>
      <c r="HP215" s="57">
        <v>1295</v>
      </c>
      <c r="HQ215" s="57">
        <v>506.85</v>
      </c>
      <c r="HR215" s="57">
        <v>1004.58</v>
      </c>
      <c r="HS215" s="57">
        <v>990.95</v>
      </c>
      <c r="HT215" s="57">
        <v>869.28</v>
      </c>
      <c r="HU215" s="57">
        <v>388.88</v>
      </c>
      <c r="HV215" s="57">
        <v>506.82</v>
      </c>
      <c r="HW215" s="57">
        <v>310.32</v>
      </c>
      <c r="HX215" s="57">
        <v>467.62</v>
      </c>
      <c r="HY215" s="57">
        <v>281.51</v>
      </c>
      <c r="HZ215" s="57">
        <v>840.36</v>
      </c>
      <c r="IA215" s="57">
        <v>308.49</v>
      </c>
      <c r="IB215" s="57">
        <v>874.59</v>
      </c>
      <c r="IC215" s="57">
        <v>822.63</v>
      </c>
      <c r="ID215" s="57">
        <v>983.75</v>
      </c>
      <c r="IE215" s="57">
        <v>812.02</v>
      </c>
      <c r="IF215" s="57">
        <v>936.57</v>
      </c>
      <c r="IG215" s="57">
        <v>1334.08</v>
      </c>
      <c r="IH215" s="57">
        <v>1520.68</v>
      </c>
      <c r="II215" s="57">
        <v>1447.41</v>
      </c>
      <c r="IJ215" s="57">
        <v>1271.75</v>
      </c>
      <c r="IK215" s="57">
        <v>994.23</v>
      </c>
      <c r="IL215" s="57">
        <v>613.95000000000005</v>
      </c>
      <c r="IM215" s="57">
        <v>922.26</v>
      </c>
      <c r="IN215" s="57">
        <v>985.35</v>
      </c>
      <c r="IO215" s="57">
        <v>1333.54</v>
      </c>
      <c r="IP215" s="57">
        <v>626.45000000000005</v>
      </c>
      <c r="IQ215" s="57">
        <v>634.49</v>
      </c>
      <c r="IR215" s="57">
        <v>1222.47</v>
      </c>
      <c r="IS215" s="57">
        <v>1197.3900000000001</v>
      </c>
      <c r="IT215" s="57">
        <v>57.78</v>
      </c>
      <c r="IU215" s="57">
        <v>230.15</v>
      </c>
      <c r="IV215" s="57">
        <v>90.06</v>
      </c>
      <c r="IW215" s="57">
        <v>184.13</v>
      </c>
      <c r="IX215" s="57">
        <v>447.26</v>
      </c>
      <c r="IY215" s="57">
        <v>1211.45</v>
      </c>
      <c r="IZ215" s="57">
        <v>888.87</v>
      </c>
      <c r="JA215" s="57">
        <v>606.02</v>
      </c>
      <c r="JB215" s="57">
        <v>244.42</v>
      </c>
      <c r="JC215" s="57">
        <v>1063.68</v>
      </c>
      <c r="JD215" s="57">
        <v>696.26</v>
      </c>
      <c r="JE215" s="57">
        <v>1017.34</v>
      </c>
      <c r="JF215" s="57">
        <v>446.47</v>
      </c>
      <c r="JG215" s="57">
        <v>529.12</v>
      </c>
      <c r="JH215" s="57">
        <v>1007.76</v>
      </c>
      <c r="JI215" s="57">
        <v>911.91</v>
      </c>
      <c r="JJ215" s="57">
        <v>1081.8599999999999</v>
      </c>
      <c r="JK215" s="57">
        <v>1375.81</v>
      </c>
      <c r="JL215" s="57">
        <v>862.36</v>
      </c>
      <c r="JM215" s="57">
        <v>737.8</v>
      </c>
      <c r="JN215" s="57">
        <v>419.73</v>
      </c>
      <c r="JO215" s="57">
        <v>462.35</v>
      </c>
      <c r="JP215" s="57">
        <v>1671.19</v>
      </c>
      <c r="JQ215" s="57">
        <v>1174.6500000000001</v>
      </c>
      <c r="JR215" s="57">
        <v>956.3</v>
      </c>
      <c r="JS215" s="57">
        <v>727.08</v>
      </c>
      <c r="JT215" s="57">
        <v>1144.47</v>
      </c>
      <c r="JU215" s="57">
        <v>811.34</v>
      </c>
      <c r="JV215" s="57">
        <v>480.89</v>
      </c>
      <c r="JW215" s="57">
        <v>660.61</v>
      </c>
      <c r="JX215" s="57">
        <v>5172.91</v>
      </c>
      <c r="JY215" s="57">
        <v>622.58000000000004</v>
      </c>
      <c r="JZ215" s="57">
        <v>895.07</v>
      </c>
      <c r="KA215" s="57">
        <v>848.15</v>
      </c>
      <c r="KB215" s="57">
        <v>468.73</v>
      </c>
      <c r="KC215" s="57">
        <v>661.62</v>
      </c>
      <c r="KD215" s="57">
        <v>1554.14</v>
      </c>
      <c r="KE215" s="57">
        <v>77.87</v>
      </c>
      <c r="KF215" s="57">
        <v>1024.24</v>
      </c>
    </row>
    <row r="216" spans="1:292">
      <c r="A216" s="41">
        <v>2022</v>
      </c>
      <c r="B216" s="54" t="s">
        <v>989</v>
      </c>
      <c r="C216" s="50" t="s">
        <v>990</v>
      </c>
      <c r="D216" s="57">
        <v>1001.03</v>
      </c>
      <c r="E216" s="57">
        <v>1336.07</v>
      </c>
      <c r="F216" s="57">
        <v>1618.58</v>
      </c>
      <c r="G216" s="57">
        <v>369.42</v>
      </c>
      <c r="H216" s="57">
        <v>1024.47</v>
      </c>
      <c r="I216" s="57">
        <v>905.43</v>
      </c>
      <c r="J216" s="57">
        <v>510.26</v>
      </c>
      <c r="K216" s="57">
        <v>1241.8399999999999</v>
      </c>
      <c r="L216" s="57">
        <v>207.56</v>
      </c>
      <c r="M216" s="57">
        <v>536.34</v>
      </c>
      <c r="N216" s="57">
        <v>612.13</v>
      </c>
      <c r="O216" s="57">
        <v>1521.38</v>
      </c>
      <c r="P216" s="57">
        <v>1331.59</v>
      </c>
      <c r="Q216" s="57">
        <v>1359.64</v>
      </c>
      <c r="R216" s="57">
        <v>1036.27</v>
      </c>
      <c r="S216" s="57">
        <v>2386.7600000000002</v>
      </c>
      <c r="T216" s="57">
        <v>1572.28</v>
      </c>
      <c r="U216" s="57">
        <v>353.69</v>
      </c>
      <c r="V216" s="57">
        <v>418.77</v>
      </c>
      <c r="W216" s="57">
        <v>769.01</v>
      </c>
      <c r="X216" s="57">
        <v>1384.45</v>
      </c>
      <c r="Y216" s="57">
        <v>753.99</v>
      </c>
      <c r="Z216" s="57">
        <v>1272.26</v>
      </c>
      <c r="AA216" s="57">
        <v>1151.07</v>
      </c>
      <c r="AB216" s="57">
        <v>837.82</v>
      </c>
      <c r="AC216" s="57">
        <v>816.01</v>
      </c>
      <c r="AD216" s="57">
        <v>877.85</v>
      </c>
      <c r="AE216" s="57">
        <v>850.12</v>
      </c>
      <c r="AF216" s="57">
        <v>698.22</v>
      </c>
      <c r="AG216" s="57">
        <v>428.01</v>
      </c>
      <c r="AH216" s="57">
        <v>522.16</v>
      </c>
      <c r="AI216" s="57">
        <v>893.36</v>
      </c>
      <c r="AJ216" s="57">
        <v>984.48</v>
      </c>
      <c r="AK216" s="57">
        <v>1434.27</v>
      </c>
      <c r="AL216" s="57">
        <v>1060.6099999999999</v>
      </c>
      <c r="AM216" s="57">
        <v>1197.3900000000001</v>
      </c>
      <c r="AN216" s="57">
        <v>58.73</v>
      </c>
      <c r="AO216" s="57">
        <v>234.35</v>
      </c>
      <c r="AP216" s="57">
        <v>149.18</v>
      </c>
      <c r="AQ216" s="57">
        <v>1225.8800000000001</v>
      </c>
      <c r="AR216" s="57">
        <v>971.7</v>
      </c>
      <c r="AS216" s="57">
        <v>617.82000000000005</v>
      </c>
      <c r="AT216" s="57">
        <v>1082.6400000000001</v>
      </c>
      <c r="AU216" s="57">
        <v>1388.17</v>
      </c>
      <c r="AV216" s="57">
        <v>864.27</v>
      </c>
      <c r="AW216" s="57">
        <v>741.31</v>
      </c>
      <c r="AX216" s="57">
        <v>419.73</v>
      </c>
      <c r="AY216" s="57">
        <v>485.3</v>
      </c>
      <c r="AZ216" s="57">
        <v>1580.67</v>
      </c>
      <c r="BA216" s="57">
        <v>923.6</v>
      </c>
      <c r="BB216" s="57">
        <v>759.17</v>
      </c>
      <c r="BC216" s="57">
        <v>3464.16</v>
      </c>
      <c r="BD216" s="57">
        <v>883.17</v>
      </c>
      <c r="BE216" s="57">
        <v>1451.24</v>
      </c>
      <c r="BF216" s="57">
        <v>77.87</v>
      </c>
      <c r="BG216" s="57">
        <v>1025.4000000000001</v>
      </c>
      <c r="BH216" s="57">
        <v>1376.53</v>
      </c>
      <c r="BI216" s="57">
        <v>1380.92</v>
      </c>
      <c r="BJ216" s="57">
        <v>1568.42</v>
      </c>
      <c r="BK216" s="57">
        <v>1383.24</v>
      </c>
      <c r="BL216" s="57">
        <v>1499.74</v>
      </c>
      <c r="BM216" s="57">
        <v>1129.3</v>
      </c>
      <c r="BN216" s="57">
        <v>1432.68</v>
      </c>
      <c r="BO216" s="57">
        <v>912.36</v>
      </c>
      <c r="BP216" s="57">
        <v>1314.02</v>
      </c>
      <c r="BQ216" s="57">
        <v>1087.3599999999999</v>
      </c>
      <c r="BR216" s="57">
        <v>990.72</v>
      </c>
      <c r="BS216" s="57">
        <v>2432.65</v>
      </c>
      <c r="BT216" s="57">
        <v>1360.19</v>
      </c>
      <c r="BU216" s="57">
        <v>2395.79</v>
      </c>
      <c r="BV216" s="57">
        <v>1572.28</v>
      </c>
      <c r="BW216" s="57">
        <v>332.02</v>
      </c>
      <c r="BX216" s="57">
        <v>615.66999999999996</v>
      </c>
      <c r="BY216" s="57">
        <v>962.29</v>
      </c>
      <c r="BZ216" s="57">
        <v>416</v>
      </c>
      <c r="CA216" s="57">
        <v>1094.25</v>
      </c>
      <c r="CB216" s="58">
        <v>769.01</v>
      </c>
      <c r="CC216" s="57">
        <v>1384.45</v>
      </c>
      <c r="CD216" s="57">
        <v>751.08</v>
      </c>
      <c r="CE216" s="57">
        <v>1003.58</v>
      </c>
      <c r="CF216" s="57">
        <v>1363.13</v>
      </c>
      <c r="CG216" s="57">
        <v>1498.29</v>
      </c>
      <c r="CH216" s="57">
        <v>1200.8800000000001</v>
      </c>
      <c r="CI216" s="57">
        <v>834.7</v>
      </c>
      <c r="CJ216" s="57">
        <v>837.82</v>
      </c>
      <c r="CK216" s="57">
        <v>769.23</v>
      </c>
      <c r="CL216" s="57">
        <v>741.3</v>
      </c>
      <c r="CM216" s="57">
        <v>1309.6500000000001</v>
      </c>
      <c r="CN216" s="57">
        <v>877.85</v>
      </c>
      <c r="CO216" s="57">
        <v>850.12</v>
      </c>
      <c r="CP216" s="57">
        <v>601.11</v>
      </c>
      <c r="CQ216" s="57">
        <v>1061.5899999999999</v>
      </c>
      <c r="CR216" s="57">
        <v>461.45</v>
      </c>
      <c r="CS216" s="57">
        <v>544.58000000000004</v>
      </c>
      <c r="CT216" s="57">
        <v>385.74</v>
      </c>
      <c r="CU216" s="57">
        <v>284.04000000000002</v>
      </c>
      <c r="CV216" s="57">
        <v>861.42</v>
      </c>
      <c r="CW216" s="57">
        <v>369.39</v>
      </c>
      <c r="CX216" s="57">
        <v>893.36</v>
      </c>
      <c r="CY216" s="57">
        <v>987.16</v>
      </c>
      <c r="CZ216" s="57">
        <v>849.89</v>
      </c>
      <c r="DA216" s="57">
        <v>949.76</v>
      </c>
      <c r="DB216" s="57">
        <v>1365.79</v>
      </c>
      <c r="DC216" s="57">
        <v>1396.26</v>
      </c>
      <c r="DD216" s="57">
        <v>1486.75</v>
      </c>
      <c r="DE216" s="57">
        <v>1399.03</v>
      </c>
      <c r="DF216" s="57">
        <v>899.31</v>
      </c>
      <c r="DG216" s="57">
        <v>1065.28</v>
      </c>
      <c r="DH216" s="57">
        <v>668.81</v>
      </c>
      <c r="DI216" s="57">
        <v>647.41</v>
      </c>
      <c r="DJ216" s="57">
        <v>1332.58</v>
      </c>
      <c r="DK216" s="57">
        <v>1197.3900000000001</v>
      </c>
      <c r="DL216" s="57">
        <v>58.73</v>
      </c>
      <c r="DM216" s="57">
        <v>234.35</v>
      </c>
      <c r="DN216" s="57">
        <v>92.63</v>
      </c>
      <c r="DO216" s="57">
        <v>187.6</v>
      </c>
      <c r="DP216" s="57">
        <v>479.35</v>
      </c>
      <c r="DQ216" s="57">
        <v>1225.8800000000001</v>
      </c>
      <c r="DR216" s="57">
        <v>908.82</v>
      </c>
      <c r="DS216" s="57">
        <v>675.68</v>
      </c>
      <c r="DT216" s="57">
        <v>252.96</v>
      </c>
      <c r="DU216" s="57">
        <v>1242.42</v>
      </c>
      <c r="DV216" s="57">
        <v>717.6</v>
      </c>
      <c r="DW216" s="57">
        <v>544.72</v>
      </c>
      <c r="DX216" s="57">
        <v>530.38</v>
      </c>
      <c r="DY216" s="57">
        <v>1113.94</v>
      </c>
      <c r="DZ216" s="57">
        <v>1021.05</v>
      </c>
      <c r="EA216" s="57">
        <v>1115.8599999999999</v>
      </c>
      <c r="EB216" s="57">
        <v>1388.17</v>
      </c>
      <c r="EC216" s="57">
        <v>864.27</v>
      </c>
      <c r="ED216" s="57">
        <v>741.31</v>
      </c>
      <c r="EE216" s="57">
        <v>419.73</v>
      </c>
      <c r="EF216" s="57">
        <v>485.3</v>
      </c>
      <c r="EG216" s="57">
        <v>1580.67</v>
      </c>
      <c r="EH216" s="57">
        <v>923.6</v>
      </c>
      <c r="EI216" s="57">
        <v>1006.56</v>
      </c>
      <c r="EJ216" s="57">
        <v>507.32</v>
      </c>
      <c r="EK216" s="57">
        <v>677.34</v>
      </c>
      <c r="EL216" s="57">
        <v>5109.6499999999996</v>
      </c>
      <c r="EM216" s="57">
        <v>768.67</v>
      </c>
      <c r="EN216" s="57">
        <v>883.17</v>
      </c>
      <c r="EO216" s="57">
        <v>469.68</v>
      </c>
      <c r="EP216" s="57">
        <v>661.62</v>
      </c>
      <c r="EQ216" s="57">
        <v>1668.38</v>
      </c>
      <c r="ER216" s="57">
        <v>77.87</v>
      </c>
      <c r="ES216" s="57">
        <v>1025.4000000000001</v>
      </c>
      <c r="ET216" s="57">
        <v>1379.16</v>
      </c>
      <c r="EU216" s="57">
        <v>1477.74</v>
      </c>
      <c r="EV216" s="57">
        <v>1374.52</v>
      </c>
      <c r="EW216" s="57">
        <v>1239.8499999999999</v>
      </c>
      <c r="EX216" s="57">
        <v>1583.69</v>
      </c>
      <c r="EY216" s="57">
        <v>522.17999999999995</v>
      </c>
      <c r="EZ216" s="57">
        <v>1349.9</v>
      </c>
      <c r="FA216" s="57">
        <v>1327.75</v>
      </c>
      <c r="FB216" s="57">
        <v>1418.73</v>
      </c>
      <c r="FC216" s="57">
        <v>1524.04</v>
      </c>
      <c r="FD216" s="57">
        <v>1167.5</v>
      </c>
      <c r="FE216" s="57">
        <v>1625.4</v>
      </c>
      <c r="FF216" s="57">
        <v>223.29</v>
      </c>
      <c r="FG216" s="57">
        <v>1283.21</v>
      </c>
      <c r="FH216" s="57">
        <v>1174.7</v>
      </c>
      <c r="FI216" s="57">
        <v>1448.77</v>
      </c>
      <c r="FJ216" s="57">
        <v>1641.78</v>
      </c>
      <c r="FK216" s="57">
        <v>2083.31</v>
      </c>
      <c r="FL216" s="57">
        <v>1760.73</v>
      </c>
      <c r="FM216" s="57">
        <v>1409.67</v>
      </c>
      <c r="FN216" s="57">
        <v>999.96</v>
      </c>
      <c r="FO216" s="57">
        <v>1836.71</v>
      </c>
      <c r="FP216" s="57">
        <v>1334.6</v>
      </c>
      <c r="FQ216" s="57">
        <v>2071.44</v>
      </c>
      <c r="FR216" s="57">
        <v>2241.44</v>
      </c>
      <c r="FS216" s="57">
        <v>1100.75</v>
      </c>
      <c r="FT216" s="57">
        <v>884.08</v>
      </c>
      <c r="FU216" s="57">
        <v>1130.04</v>
      </c>
      <c r="FV216" s="57">
        <v>946.84</v>
      </c>
      <c r="FW216" s="57">
        <v>616.53</v>
      </c>
      <c r="FX216" s="57">
        <v>1314.02</v>
      </c>
      <c r="FY216" s="57">
        <v>1404.16</v>
      </c>
      <c r="FZ216" s="57">
        <v>1007.9</v>
      </c>
      <c r="GA216" s="57">
        <v>1073.22</v>
      </c>
      <c r="GB216" s="57">
        <v>960.13</v>
      </c>
      <c r="GC216" s="57">
        <v>1071.6500000000001</v>
      </c>
      <c r="GD216" s="57">
        <v>935.84</v>
      </c>
      <c r="GE216" s="57">
        <v>2432.65</v>
      </c>
      <c r="GF216" s="57">
        <v>1360.19</v>
      </c>
      <c r="GG216" s="57">
        <v>2395.79</v>
      </c>
      <c r="GH216" s="57">
        <v>1569.64</v>
      </c>
      <c r="GI216" s="57">
        <v>390.9</v>
      </c>
      <c r="GJ216" s="57">
        <v>283</v>
      </c>
      <c r="GK216" s="57">
        <v>330.36</v>
      </c>
      <c r="GL216" s="57">
        <v>496.39</v>
      </c>
      <c r="GM216" s="57">
        <v>615.66999999999996</v>
      </c>
      <c r="GN216" s="57">
        <v>962.29</v>
      </c>
      <c r="GO216" s="57">
        <v>465.37</v>
      </c>
      <c r="GP216" s="57">
        <v>370.91</v>
      </c>
      <c r="GQ216" s="57">
        <v>404.77</v>
      </c>
      <c r="GR216" s="57">
        <v>1094.25</v>
      </c>
      <c r="GS216" s="57">
        <v>769.01</v>
      </c>
      <c r="GT216" s="57">
        <v>1384.45</v>
      </c>
      <c r="GU216" s="57">
        <v>751.08</v>
      </c>
      <c r="GV216" s="57">
        <v>1003.58</v>
      </c>
      <c r="GW216" s="57">
        <v>1290.1600000000001</v>
      </c>
      <c r="GX216" s="57">
        <v>1376.49</v>
      </c>
      <c r="GY216" s="57">
        <v>1498.29</v>
      </c>
      <c r="GZ216" s="57">
        <v>1445.95</v>
      </c>
      <c r="HA216" s="57">
        <v>1155.56</v>
      </c>
      <c r="HB216" s="57">
        <v>1191.1500000000001</v>
      </c>
      <c r="HC216" s="57">
        <v>834.7</v>
      </c>
      <c r="HD216" s="57">
        <v>837.82</v>
      </c>
      <c r="HE216" s="57">
        <v>629.69000000000005</v>
      </c>
      <c r="HF216" s="57">
        <v>781.05</v>
      </c>
      <c r="HG216" s="57">
        <v>960.05</v>
      </c>
      <c r="HH216" s="57">
        <v>1033.31</v>
      </c>
      <c r="HI216" s="57">
        <v>411.23</v>
      </c>
      <c r="HJ216" s="57">
        <v>741.3</v>
      </c>
      <c r="HK216" s="57">
        <v>1309.6500000000001</v>
      </c>
      <c r="HL216" s="57">
        <v>797.34</v>
      </c>
      <c r="HM216" s="57">
        <v>933.32</v>
      </c>
      <c r="HN216" s="57">
        <v>942.42</v>
      </c>
      <c r="HO216" s="57">
        <v>551.44000000000005</v>
      </c>
      <c r="HP216" s="57">
        <v>1318.23</v>
      </c>
      <c r="HQ216" s="57">
        <v>540.44000000000005</v>
      </c>
      <c r="HR216" s="57">
        <v>1039.48</v>
      </c>
      <c r="HS216" s="57">
        <v>1011.13</v>
      </c>
      <c r="HT216" s="57">
        <v>904.56</v>
      </c>
      <c r="HU216" s="57">
        <v>461.45</v>
      </c>
      <c r="HV216" s="57">
        <v>544.58000000000004</v>
      </c>
      <c r="HW216" s="57">
        <v>325.49</v>
      </c>
      <c r="HX216" s="57">
        <v>479.14</v>
      </c>
      <c r="HY216" s="57">
        <v>284.04000000000002</v>
      </c>
      <c r="HZ216" s="57">
        <v>861.42</v>
      </c>
      <c r="IA216" s="57">
        <v>337.4</v>
      </c>
      <c r="IB216" s="57">
        <v>893.36</v>
      </c>
      <c r="IC216" s="57">
        <v>841.78</v>
      </c>
      <c r="ID216" s="57">
        <v>1032.67</v>
      </c>
      <c r="IE216" s="57">
        <v>849.89</v>
      </c>
      <c r="IF216" s="57">
        <v>949.76</v>
      </c>
      <c r="IG216" s="57">
        <v>1365.79</v>
      </c>
      <c r="IH216" s="57">
        <v>1396.26</v>
      </c>
      <c r="II216" s="57">
        <v>1486.75</v>
      </c>
      <c r="IJ216" s="57">
        <v>1399.03</v>
      </c>
      <c r="IK216" s="57">
        <v>990.59</v>
      </c>
      <c r="IL216" s="57">
        <v>698.68</v>
      </c>
      <c r="IM216" s="57">
        <v>948.81</v>
      </c>
      <c r="IN216" s="57">
        <v>1012.83</v>
      </c>
      <c r="IO216" s="57">
        <v>1454.6</v>
      </c>
      <c r="IP216" s="57">
        <v>668.81</v>
      </c>
      <c r="IQ216" s="57">
        <v>647.41</v>
      </c>
      <c r="IR216" s="57">
        <v>1332.58</v>
      </c>
      <c r="IS216" s="57">
        <v>1197.3900000000001</v>
      </c>
      <c r="IT216" s="57">
        <v>58.73</v>
      </c>
      <c r="IU216" s="57">
        <v>234.35</v>
      </c>
      <c r="IV216" s="57">
        <v>92.64</v>
      </c>
      <c r="IW216" s="57">
        <v>187.6</v>
      </c>
      <c r="IX216" s="57">
        <v>479.35</v>
      </c>
      <c r="IY216" s="57">
        <v>1225.8800000000001</v>
      </c>
      <c r="IZ216" s="57">
        <v>908.82</v>
      </c>
      <c r="JA216" s="57">
        <v>675.68</v>
      </c>
      <c r="JB216" s="57">
        <v>252.96</v>
      </c>
      <c r="JC216" s="57">
        <v>1242.42</v>
      </c>
      <c r="JD216" s="57">
        <v>717.6</v>
      </c>
      <c r="JE216" s="57">
        <v>1106.47</v>
      </c>
      <c r="JF216" s="57">
        <v>476.71</v>
      </c>
      <c r="JG216" s="57">
        <v>530.38</v>
      </c>
      <c r="JH216" s="57">
        <v>1113.94</v>
      </c>
      <c r="JI216" s="57">
        <v>1021.05</v>
      </c>
      <c r="JJ216" s="57">
        <v>1115.8599999999999</v>
      </c>
      <c r="JK216" s="57">
        <v>1388.17</v>
      </c>
      <c r="JL216" s="57">
        <v>864.27</v>
      </c>
      <c r="JM216" s="57">
        <v>741.31</v>
      </c>
      <c r="JN216" s="57">
        <v>419.73</v>
      </c>
      <c r="JO216" s="57">
        <v>485.3</v>
      </c>
      <c r="JP216" s="57">
        <v>1711.56</v>
      </c>
      <c r="JQ216" s="57">
        <v>1208.24</v>
      </c>
      <c r="JR216" s="57">
        <v>986.26</v>
      </c>
      <c r="JS216" s="57">
        <v>727.08</v>
      </c>
      <c r="JT216" s="57">
        <v>1190.1099999999999</v>
      </c>
      <c r="JU216" s="57">
        <v>849.13</v>
      </c>
      <c r="JV216" s="57">
        <v>507.32</v>
      </c>
      <c r="JW216" s="57">
        <v>677.34</v>
      </c>
      <c r="JX216" s="57">
        <v>5109.6499999999996</v>
      </c>
      <c r="JY216" s="57">
        <v>631.07000000000005</v>
      </c>
      <c r="JZ216" s="57">
        <v>932.27</v>
      </c>
      <c r="KA216" s="57">
        <v>883.17</v>
      </c>
      <c r="KB216" s="57">
        <v>469.68</v>
      </c>
      <c r="KC216" s="57">
        <v>661.62</v>
      </c>
      <c r="KD216" s="57">
        <v>1668.38</v>
      </c>
      <c r="KE216" s="57">
        <v>77.87</v>
      </c>
      <c r="KF216" s="57">
        <v>1025.4000000000001</v>
      </c>
    </row>
    <row r="217" spans="1:292">
      <c r="A217" s="41">
        <v>2022</v>
      </c>
      <c r="B217" s="54" t="s">
        <v>991</v>
      </c>
      <c r="C217" s="50" t="s">
        <v>992</v>
      </c>
      <c r="D217" s="57">
        <v>1015.65</v>
      </c>
      <c r="E217" s="57">
        <v>1347.48</v>
      </c>
      <c r="F217" s="57">
        <v>1620</v>
      </c>
      <c r="G217" s="57">
        <v>374.15</v>
      </c>
      <c r="H217" s="57">
        <v>1045.5</v>
      </c>
      <c r="I217" s="57">
        <v>935.78</v>
      </c>
      <c r="J217" s="57">
        <v>546.03</v>
      </c>
      <c r="K217" s="57">
        <v>1219.74</v>
      </c>
      <c r="L217" s="57">
        <v>211.52</v>
      </c>
      <c r="M217" s="57">
        <v>554.23</v>
      </c>
      <c r="N217" s="57">
        <v>652.23</v>
      </c>
      <c r="O217" s="57">
        <v>1571.7</v>
      </c>
      <c r="P217" s="57">
        <v>1383</v>
      </c>
      <c r="Q217" s="57">
        <v>1366.6</v>
      </c>
      <c r="R217" s="57">
        <v>1095.1099999999999</v>
      </c>
      <c r="S217" s="57">
        <v>2415.38</v>
      </c>
      <c r="T217" s="57">
        <v>1572.28</v>
      </c>
      <c r="U217" s="57">
        <v>358.1</v>
      </c>
      <c r="V217" s="57">
        <v>424.64</v>
      </c>
      <c r="W217" s="57">
        <v>802.85</v>
      </c>
      <c r="X217" s="57">
        <v>1400.12</v>
      </c>
      <c r="Y217" s="57">
        <v>774.74</v>
      </c>
      <c r="Z217" s="57">
        <v>1283.0899999999999</v>
      </c>
      <c r="AA217" s="57">
        <v>1161.5999999999999</v>
      </c>
      <c r="AB217" s="57">
        <v>865.81</v>
      </c>
      <c r="AC217" s="57">
        <v>856.04</v>
      </c>
      <c r="AD217" s="57">
        <v>910.8</v>
      </c>
      <c r="AE217" s="57">
        <v>870.8</v>
      </c>
      <c r="AF217" s="57">
        <v>730.74</v>
      </c>
      <c r="AG217" s="57">
        <v>483.03</v>
      </c>
      <c r="AH217" s="57">
        <v>541.96</v>
      </c>
      <c r="AI217" s="57">
        <v>928.12</v>
      </c>
      <c r="AJ217" s="57">
        <v>1009.22</v>
      </c>
      <c r="AK217" s="57">
        <v>1352.76</v>
      </c>
      <c r="AL217" s="57">
        <v>1062.3</v>
      </c>
      <c r="AM217" s="57">
        <v>1609</v>
      </c>
      <c r="AN217" s="57">
        <v>60.22</v>
      </c>
      <c r="AO217" s="57">
        <v>238.16</v>
      </c>
      <c r="AP217" s="57">
        <v>152.18</v>
      </c>
      <c r="AQ217" s="57">
        <v>1275.43</v>
      </c>
      <c r="AR217" s="57">
        <v>992.43</v>
      </c>
      <c r="AS217" s="57">
        <v>647.46</v>
      </c>
      <c r="AT217" s="57">
        <v>1138.5999999999999</v>
      </c>
      <c r="AU217" s="57">
        <v>1391.16</v>
      </c>
      <c r="AV217" s="57">
        <v>877.65</v>
      </c>
      <c r="AW217" s="57">
        <v>753.18</v>
      </c>
      <c r="AX217" s="57">
        <v>521.48</v>
      </c>
      <c r="AY217" s="57">
        <v>496.43</v>
      </c>
      <c r="AZ217" s="57">
        <v>1632.76</v>
      </c>
      <c r="BA217" s="57">
        <v>955.11</v>
      </c>
      <c r="BB217" s="57">
        <v>789.45</v>
      </c>
      <c r="BC217" s="57">
        <v>3639.36</v>
      </c>
      <c r="BD217" s="57">
        <v>903.85</v>
      </c>
      <c r="BE217" s="57">
        <v>1500.68</v>
      </c>
      <c r="BF217" s="57">
        <v>77.87</v>
      </c>
      <c r="BG217" s="57">
        <v>1027.6199999999999</v>
      </c>
      <c r="BH217" s="57">
        <v>1432.66</v>
      </c>
      <c r="BI217" s="57">
        <v>1354.06</v>
      </c>
      <c r="BJ217" s="57">
        <v>1576.96</v>
      </c>
      <c r="BK217" s="57">
        <v>1420.92</v>
      </c>
      <c r="BL217" s="57">
        <v>1489.24</v>
      </c>
      <c r="BM217" s="57">
        <v>1093.77</v>
      </c>
      <c r="BN217" s="57">
        <v>1396.26</v>
      </c>
      <c r="BO217" s="57">
        <v>967.49</v>
      </c>
      <c r="BP217" s="57">
        <v>1388.86</v>
      </c>
      <c r="BQ217" s="57">
        <v>1143.6099999999999</v>
      </c>
      <c r="BR217" s="57">
        <v>1051.24</v>
      </c>
      <c r="BS217" s="57">
        <v>2444.79</v>
      </c>
      <c r="BT217" s="57">
        <v>1533.67</v>
      </c>
      <c r="BU217" s="57">
        <v>2394.64</v>
      </c>
      <c r="BV217" s="57">
        <v>1572.28</v>
      </c>
      <c r="BW217" s="57">
        <v>335.49</v>
      </c>
      <c r="BX217" s="57">
        <v>631.25</v>
      </c>
      <c r="BY217" s="57">
        <v>1007.5</v>
      </c>
      <c r="BZ217" s="57">
        <v>421.72</v>
      </c>
      <c r="CA217" s="57">
        <v>1141.6500000000001</v>
      </c>
      <c r="CB217" s="58">
        <v>802.85</v>
      </c>
      <c r="CC217" s="57">
        <v>1400.12</v>
      </c>
      <c r="CD217" s="57">
        <v>771.75</v>
      </c>
      <c r="CE217" s="57">
        <v>1003.58</v>
      </c>
      <c r="CF217" s="57">
        <v>1381.54</v>
      </c>
      <c r="CG217" s="57">
        <v>1520.35</v>
      </c>
      <c r="CH217" s="57">
        <v>1210.5999999999999</v>
      </c>
      <c r="CI217" s="57">
        <v>854.92</v>
      </c>
      <c r="CJ217" s="57">
        <v>865.81</v>
      </c>
      <c r="CK217" s="57">
        <v>809.39</v>
      </c>
      <c r="CL217" s="57">
        <v>761.07</v>
      </c>
      <c r="CM217" s="57">
        <v>1354.42</v>
      </c>
      <c r="CN217" s="57">
        <v>910.8</v>
      </c>
      <c r="CO217" s="57">
        <v>870.8</v>
      </c>
      <c r="CP217" s="57">
        <v>636.30999999999995</v>
      </c>
      <c r="CQ217" s="57">
        <v>1075.45</v>
      </c>
      <c r="CR217" s="57">
        <v>538.61</v>
      </c>
      <c r="CS217" s="57">
        <v>573.72</v>
      </c>
      <c r="CT217" s="57">
        <v>399.16</v>
      </c>
      <c r="CU217" s="57">
        <v>286.45</v>
      </c>
      <c r="CV217" s="57">
        <v>889.17</v>
      </c>
      <c r="CW217" s="57">
        <v>395.15</v>
      </c>
      <c r="CX217" s="57">
        <v>928.12</v>
      </c>
      <c r="CY217" s="57">
        <v>1011.6</v>
      </c>
      <c r="CZ217" s="57">
        <v>881.56</v>
      </c>
      <c r="DA217" s="57">
        <v>963.06</v>
      </c>
      <c r="DB217" s="57">
        <v>1397.48</v>
      </c>
      <c r="DC217" s="57">
        <v>1287.56</v>
      </c>
      <c r="DD217" s="57">
        <v>1532.74</v>
      </c>
      <c r="DE217" s="57">
        <v>1470.58</v>
      </c>
      <c r="DF217" s="57">
        <v>899.9</v>
      </c>
      <c r="DG217" s="57">
        <v>1062.3900000000001</v>
      </c>
      <c r="DH217" s="57">
        <v>681.23</v>
      </c>
      <c r="DI217" s="57">
        <v>662.45</v>
      </c>
      <c r="DJ217" s="57">
        <v>1379.85</v>
      </c>
      <c r="DK217" s="57">
        <v>1609</v>
      </c>
      <c r="DL217" s="57">
        <v>60.22</v>
      </c>
      <c r="DM217" s="57">
        <v>238.16</v>
      </c>
      <c r="DN217" s="57">
        <v>93.77</v>
      </c>
      <c r="DO217" s="57">
        <v>193.75</v>
      </c>
      <c r="DP217" s="57">
        <v>503.6</v>
      </c>
      <c r="DQ217" s="57">
        <v>1275.43</v>
      </c>
      <c r="DR217" s="57">
        <v>922.91</v>
      </c>
      <c r="DS217" s="57">
        <v>703.82</v>
      </c>
      <c r="DT217" s="57">
        <v>256.49</v>
      </c>
      <c r="DU217" s="57">
        <v>1302.82</v>
      </c>
      <c r="DV217" s="57">
        <v>748.01</v>
      </c>
      <c r="DW217" s="57">
        <v>578.04999999999995</v>
      </c>
      <c r="DX217" s="57">
        <v>530.38</v>
      </c>
      <c r="DY217" s="57">
        <v>1180.72</v>
      </c>
      <c r="DZ217" s="57">
        <v>1077.1300000000001</v>
      </c>
      <c r="EA217" s="57">
        <v>1157.45</v>
      </c>
      <c r="EB217" s="57">
        <v>1391.16</v>
      </c>
      <c r="EC217" s="57">
        <v>877.65</v>
      </c>
      <c r="ED217" s="57">
        <v>753.18</v>
      </c>
      <c r="EE217" s="57">
        <v>521.48</v>
      </c>
      <c r="EF217" s="57">
        <v>496.43</v>
      </c>
      <c r="EG217" s="57">
        <v>1632.76</v>
      </c>
      <c r="EH217" s="57">
        <v>955.11</v>
      </c>
      <c r="EI217" s="57">
        <v>1041.68</v>
      </c>
      <c r="EJ217" s="57">
        <v>491.31</v>
      </c>
      <c r="EK217" s="57">
        <v>706.34</v>
      </c>
      <c r="EL217" s="57">
        <v>5337.81</v>
      </c>
      <c r="EM217" s="57">
        <v>822.69</v>
      </c>
      <c r="EN217" s="57">
        <v>903.85</v>
      </c>
      <c r="EO217" s="57">
        <v>471.11</v>
      </c>
      <c r="EP217" s="57">
        <v>677.09</v>
      </c>
      <c r="EQ217" s="57">
        <v>1728.79</v>
      </c>
      <c r="ER217" s="57">
        <v>77.87</v>
      </c>
      <c r="ES217" s="57">
        <v>1027.6199999999999</v>
      </c>
      <c r="ET217" s="57">
        <v>1514.11</v>
      </c>
      <c r="EU217" s="57">
        <v>1542.92</v>
      </c>
      <c r="EV217" s="57">
        <v>1427.19</v>
      </c>
      <c r="EW217" s="57">
        <v>1287.92</v>
      </c>
      <c r="EX217" s="57">
        <v>1568.13</v>
      </c>
      <c r="EY217" s="57">
        <v>585.82000000000005</v>
      </c>
      <c r="EZ217" s="57">
        <v>1362.46</v>
      </c>
      <c r="FA217" s="57">
        <v>1296.8499999999999</v>
      </c>
      <c r="FB217" s="57">
        <v>1305.24</v>
      </c>
      <c r="FC217" s="57">
        <v>1540.94</v>
      </c>
      <c r="FD217" s="57">
        <v>1177.67</v>
      </c>
      <c r="FE217" s="57">
        <v>1627.46</v>
      </c>
      <c r="FF217" s="57">
        <v>239.6</v>
      </c>
      <c r="FG217" s="57">
        <v>1300.3499999999999</v>
      </c>
      <c r="FH217" s="57">
        <v>1194.45</v>
      </c>
      <c r="FI217" s="57">
        <v>1465.89</v>
      </c>
      <c r="FJ217" s="57">
        <v>1803.82</v>
      </c>
      <c r="FK217" s="57">
        <v>2102.37</v>
      </c>
      <c r="FL217" s="57">
        <v>1722.74</v>
      </c>
      <c r="FM217" s="57">
        <v>1395.19</v>
      </c>
      <c r="FN217" s="57">
        <v>941.08</v>
      </c>
      <c r="FO217" s="57">
        <v>1901.74</v>
      </c>
      <c r="FP217" s="57">
        <v>1244.9100000000001</v>
      </c>
      <c r="FQ217" s="57">
        <v>2004.54</v>
      </c>
      <c r="FR217" s="57">
        <v>2263.85</v>
      </c>
      <c r="FS217" s="57">
        <v>1194.46</v>
      </c>
      <c r="FT217" s="57">
        <v>917.11</v>
      </c>
      <c r="FU217" s="57">
        <v>1244.6600000000001</v>
      </c>
      <c r="FV217" s="57">
        <v>1013.97</v>
      </c>
      <c r="FW217" s="57">
        <v>633.79</v>
      </c>
      <c r="FX217" s="57">
        <v>1388.86</v>
      </c>
      <c r="FY217" s="57">
        <v>1439.31</v>
      </c>
      <c r="FZ217" s="57">
        <v>1069.3900000000001</v>
      </c>
      <c r="GA217" s="57">
        <v>1077.2</v>
      </c>
      <c r="GB217" s="57">
        <v>984.02</v>
      </c>
      <c r="GC217" s="57">
        <v>1150.07</v>
      </c>
      <c r="GD217" s="57">
        <v>1068.83</v>
      </c>
      <c r="GE217" s="57">
        <v>2444.79</v>
      </c>
      <c r="GF217" s="57">
        <v>1533.67</v>
      </c>
      <c r="GG217" s="57">
        <v>2394.64</v>
      </c>
      <c r="GH217" s="57">
        <v>1569.64</v>
      </c>
      <c r="GI217" s="57">
        <v>401.86</v>
      </c>
      <c r="GJ217" s="57">
        <v>282.83999999999997</v>
      </c>
      <c r="GK217" s="57">
        <v>329.96</v>
      </c>
      <c r="GL217" s="57">
        <v>494.86</v>
      </c>
      <c r="GM217" s="57">
        <v>631.25</v>
      </c>
      <c r="GN217" s="57">
        <v>1007.5</v>
      </c>
      <c r="GO217" s="57">
        <v>476.61</v>
      </c>
      <c r="GP217" s="57">
        <v>371.87</v>
      </c>
      <c r="GQ217" s="57">
        <v>409.24</v>
      </c>
      <c r="GR217" s="57">
        <v>1141.6500000000001</v>
      </c>
      <c r="GS217" s="57">
        <v>802.85</v>
      </c>
      <c r="GT217" s="57">
        <v>1400.12</v>
      </c>
      <c r="GU217" s="57">
        <v>771.75</v>
      </c>
      <c r="GV217" s="57">
        <v>1003.58</v>
      </c>
      <c r="GW217" s="57">
        <v>1304.94</v>
      </c>
      <c r="GX217" s="57">
        <v>1403.38</v>
      </c>
      <c r="GY217" s="57">
        <v>1520.35</v>
      </c>
      <c r="GZ217" s="57">
        <v>1433.41</v>
      </c>
      <c r="HA217" s="57">
        <v>1178.18</v>
      </c>
      <c r="HB217" s="57">
        <v>1198.81</v>
      </c>
      <c r="HC217" s="57">
        <v>854.92</v>
      </c>
      <c r="HD217" s="57">
        <v>865.81</v>
      </c>
      <c r="HE217" s="57">
        <v>675.15</v>
      </c>
      <c r="HF217" s="57">
        <v>816.49</v>
      </c>
      <c r="HG217" s="57">
        <v>1004.84</v>
      </c>
      <c r="HH217" s="57">
        <v>1063.73</v>
      </c>
      <c r="HI217" s="57">
        <v>435.11</v>
      </c>
      <c r="HJ217" s="57">
        <v>761.07</v>
      </c>
      <c r="HK217" s="57">
        <v>1354.42</v>
      </c>
      <c r="HL217" s="57">
        <v>840.35</v>
      </c>
      <c r="HM217" s="57">
        <v>953.89</v>
      </c>
      <c r="HN217" s="57">
        <v>970.03</v>
      </c>
      <c r="HO217" s="57">
        <v>563.63</v>
      </c>
      <c r="HP217" s="57">
        <v>1353.61</v>
      </c>
      <c r="HQ217" s="57">
        <v>565.72</v>
      </c>
      <c r="HR217" s="57">
        <v>1137.21</v>
      </c>
      <c r="HS217" s="57">
        <v>1019.55</v>
      </c>
      <c r="HT217" s="57">
        <v>933.5</v>
      </c>
      <c r="HU217" s="57">
        <v>538.61</v>
      </c>
      <c r="HV217" s="57">
        <v>573.72</v>
      </c>
      <c r="HW217" s="57">
        <v>337.14</v>
      </c>
      <c r="HX217" s="57">
        <v>494.86</v>
      </c>
      <c r="HY217" s="57">
        <v>286.45</v>
      </c>
      <c r="HZ217" s="57">
        <v>889.17</v>
      </c>
      <c r="IA217" s="57">
        <v>360.93</v>
      </c>
      <c r="IB217" s="57">
        <v>928.12</v>
      </c>
      <c r="IC217" s="57">
        <v>866.7</v>
      </c>
      <c r="ID217" s="57">
        <v>1056.72</v>
      </c>
      <c r="IE217" s="57">
        <v>881.56</v>
      </c>
      <c r="IF217" s="57">
        <v>963.06</v>
      </c>
      <c r="IG217" s="57">
        <v>1397.48</v>
      </c>
      <c r="IH217" s="57">
        <v>1287.56</v>
      </c>
      <c r="II217" s="57">
        <v>1532.74</v>
      </c>
      <c r="IJ217" s="57">
        <v>1470.58</v>
      </c>
      <c r="IK217" s="57">
        <v>996.2</v>
      </c>
      <c r="IL217" s="57">
        <v>698.68</v>
      </c>
      <c r="IM217" s="57">
        <v>954.62</v>
      </c>
      <c r="IN217" s="57">
        <v>1017.44</v>
      </c>
      <c r="IO217" s="57">
        <v>1415.6</v>
      </c>
      <c r="IP217" s="57">
        <v>681.23</v>
      </c>
      <c r="IQ217" s="57">
        <v>662.45</v>
      </c>
      <c r="IR217" s="57">
        <v>1379.85</v>
      </c>
      <c r="IS217" s="57">
        <v>1609</v>
      </c>
      <c r="IT217" s="57">
        <v>60.22</v>
      </c>
      <c r="IU217" s="57">
        <v>238.16</v>
      </c>
      <c r="IV217" s="57">
        <v>93.79</v>
      </c>
      <c r="IW217" s="57">
        <v>193.75</v>
      </c>
      <c r="IX217" s="57">
        <v>503.6</v>
      </c>
      <c r="IY217" s="57">
        <v>1275.43</v>
      </c>
      <c r="IZ217" s="57">
        <v>922.91</v>
      </c>
      <c r="JA217" s="57">
        <v>703.82</v>
      </c>
      <c r="JB217" s="57">
        <v>256.49</v>
      </c>
      <c r="JC217" s="57">
        <v>1302.82</v>
      </c>
      <c r="JD217" s="57">
        <v>748.01</v>
      </c>
      <c r="JE217" s="57">
        <v>1179.46</v>
      </c>
      <c r="JF217" s="57">
        <v>505.43</v>
      </c>
      <c r="JG217" s="57">
        <v>530.38</v>
      </c>
      <c r="JH217" s="57">
        <v>1180.72</v>
      </c>
      <c r="JI217" s="57">
        <v>1077.1300000000001</v>
      </c>
      <c r="JJ217" s="57">
        <v>1157.45</v>
      </c>
      <c r="JK217" s="57">
        <v>1391.16</v>
      </c>
      <c r="JL217" s="57">
        <v>877.65</v>
      </c>
      <c r="JM217" s="57">
        <v>753.18</v>
      </c>
      <c r="JN217" s="57">
        <v>521.48</v>
      </c>
      <c r="JO217" s="57">
        <v>496.43</v>
      </c>
      <c r="JP217" s="57">
        <v>1770.11</v>
      </c>
      <c r="JQ217" s="57">
        <v>1240.9000000000001</v>
      </c>
      <c r="JR217" s="57">
        <v>1027.54</v>
      </c>
      <c r="JS217" s="57">
        <v>732.06</v>
      </c>
      <c r="JT217" s="57">
        <v>1217.1300000000001</v>
      </c>
      <c r="JU217" s="57">
        <v>888.01</v>
      </c>
      <c r="JV217" s="57">
        <v>491.31</v>
      </c>
      <c r="JW217" s="57">
        <v>706.34</v>
      </c>
      <c r="JX217" s="57">
        <v>5337.81</v>
      </c>
      <c r="JY217" s="57">
        <v>690.91</v>
      </c>
      <c r="JZ217" s="57">
        <v>975.01</v>
      </c>
      <c r="KA217" s="57">
        <v>903.85</v>
      </c>
      <c r="KB217" s="57">
        <v>471.11</v>
      </c>
      <c r="KC217" s="57">
        <v>677.09</v>
      </c>
      <c r="KD217" s="57">
        <v>1728.79</v>
      </c>
      <c r="KE217" s="57">
        <v>77.87</v>
      </c>
      <c r="KF217" s="57">
        <v>1027.6199999999999</v>
      </c>
    </row>
    <row r="218" spans="1:292">
      <c r="A218" s="41">
        <v>2022</v>
      </c>
      <c r="B218" s="54" t="s">
        <v>993</v>
      </c>
      <c r="C218" s="50" t="s">
        <v>994</v>
      </c>
      <c r="D218" s="57">
        <v>1046.8900000000001</v>
      </c>
      <c r="E218" s="57">
        <v>1374.05</v>
      </c>
      <c r="F218" s="57">
        <v>1620.68</v>
      </c>
      <c r="G218" s="57">
        <v>379.63</v>
      </c>
      <c r="H218" s="57">
        <v>1149.98</v>
      </c>
      <c r="I218" s="57">
        <v>955.13</v>
      </c>
      <c r="J218" s="57">
        <v>557.49</v>
      </c>
      <c r="K218" s="57">
        <v>1230.73</v>
      </c>
      <c r="L218" s="57">
        <v>218.71</v>
      </c>
      <c r="M218" s="57">
        <v>566.04</v>
      </c>
      <c r="N218" s="57">
        <v>697.79</v>
      </c>
      <c r="O218" s="57">
        <v>1609.96</v>
      </c>
      <c r="P218" s="57">
        <v>1427.08</v>
      </c>
      <c r="Q218" s="57">
        <v>1393.47</v>
      </c>
      <c r="R218" s="57">
        <v>1117.46</v>
      </c>
      <c r="S218" s="57">
        <v>2424.11</v>
      </c>
      <c r="T218" s="57">
        <v>1572.54</v>
      </c>
      <c r="U218" s="57">
        <v>362.71</v>
      </c>
      <c r="V218" s="57">
        <v>433.7</v>
      </c>
      <c r="W218" s="57">
        <v>846.58</v>
      </c>
      <c r="X218" s="57">
        <v>1424.56</v>
      </c>
      <c r="Y218" s="57">
        <v>828.62</v>
      </c>
      <c r="Z218" s="57">
        <v>1482.95</v>
      </c>
      <c r="AA218" s="57">
        <v>1159.6400000000001</v>
      </c>
      <c r="AB218" s="57">
        <v>887.8</v>
      </c>
      <c r="AC218" s="57">
        <v>876.93</v>
      </c>
      <c r="AD218" s="57">
        <v>932.35</v>
      </c>
      <c r="AE218" s="57">
        <v>911.78</v>
      </c>
      <c r="AF218" s="57">
        <v>761.8</v>
      </c>
      <c r="AG218" s="57">
        <v>487.11</v>
      </c>
      <c r="AH218" s="57">
        <v>553.41</v>
      </c>
      <c r="AI218" s="57">
        <v>967.89</v>
      </c>
      <c r="AJ218" s="57">
        <v>1013.81</v>
      </c>
      <c r="AK218" s="57">
        <v>1340.48</v>
      </c>
      <c r="AL218" s="57">
        <v>1136.18</v>
      </c>
      <c r="AM218" s="57">
        <v>1609</v>
      </c>
      <c r="AN218" s="57">
        <v>62.79</v>
      </c>
      <c r="AO218" s="57">
        <v>245.4</v>
      </c>
      <c r="AP218" s="57">
        <v>152.44</v>
      </c>
      <c r="AQ218" s="57">
        <v>1356.82</v>
      </c>
      <c r="AR218" s="57">
        <v>996.19</v>
      </c>
      <c r="AS218" s="57">
        <v>665.02</v>
      </c>
      <c r="AT218" s="57">
        <v>1190.6400000000001</v>
      </c>
      <c r="AU218" s="57">
        <v>1437.73</v>
      </c>
      <c r="AV218" s="57">
        <v>892.49</v>
      </c>
      <c r="AW218" s="57">
        <v>763.2</v>
      </c>
      <c r="AX218" s="57">
        <v>639.86</v>
      </c>
      <c r="AY218" s="57">
        <v>512.25</v>
      </c>
      <c r="AZ218" s="57">
        <v>1676.13</v>
      </c>
      <c r="BA218" s="57">
        <v>959.8</v>
      </c>
      <c r="BB218" s="57">
        <v>824.69</v>
      </c>
      <c r="BC218" s="57">
        <v>3595.38</v>
      </c>
      <c r="BD218" s="57">
        <v>1010.98</v>
      </c>
      <c r="BE218" s="57">
        <v>1649.05</v>
      </c>
      <c r="BF218" s="57">
        <v>81.97</v>
      </c>
      <c r="BG218" s="57">
        <v>1029.3399999999999</v>
      </c>
      <c r="BH218" s="57">
        <v>1471.99</v>
      </c>
      <c r="BI218" s="57">
        <v>1360.99</v>
      </c>
      <c r="BJ218" s="57">
        <v>1356.58</v>
      </c>
      <c r="BK218" s="57">
        <v>1457.91</v>
      </c>
      <c r="BL218" s="57">
        <v>1497.94</v>
      </c>
      <c r="BM218" s="57">
        <v>1125.3399999999999</v>
      </c>
      <c r="BN218" s="57">
        <v>1435.46</v>
      </c>
      <c r="BO218" s="57">
        <v>1016.59</v>
      </c>
      <c r="BP218" s="57">
        <v>1470.81</v>
      </c>
      <c r="BQ218" s="57">
        <v>1161.31</v>
      </c>
      <c r="BR218" s="57">
        <v>1077.06</v>
      </c>
      <c r="BS218" s="57">
        <v>2453.94</v>
      </c>
      <c r="BT218" s="57">
        <v>1596.05</v>
      </c>
      <c r="BU218" s="57">
        <v>2387.37</v>
      </c>
      <c r="BV218" s="57">
        <v>1572.54</v>
      </c>
      <c r="BW218" s="57">
        <v>339.29</v>
      </c>
      <c r="BX218" s="57">
        <v>646.5</v>
      </c>
      <c r="BY218" s="57">
        <v>1046.46</v>
      </c>
      <c r="BZ218" s="57">
        <v>430.66</v>
      </c>
      <c r="CA218" s="57">
        <v>1188.33</v>
      </c>
      <c r="CB218" s="58">
        <v>846.58</v>
      </c>
      <c r="CC218" s="57">
        <v>1424.56</v>
      </c>
      <c r="CD218" s="57">
        <v>825.43</v>
      </c>
      <c r="CE218" s="57">
        <v>1204.31</v>
      </c>
      <c r="CF218" s="57">
        <v>1591.84</v>
      </c>
      <c r="CG218" s="57">
        <v>1626.42</v>
      </c>
      <c r="CH218" s="57">
        <v>1206.51</v>
      </c>
      <c r="CI218" s="57">
        <v>874</v>
      </c>
      <c r="CJ218" s="57">
        <v>887.8</v>
      </c>
      <c r="CK218" s="57">
        <v>829.32</v>
      </c>
      <c r="CL218" s="57">
        <v>777.94</v>
      </c>
      <c r="CM218" s="57">
        <v>1387.11</v>
      </c>
      <c r="CN218" s="57">
        <v>932.35</v>
      </c>
      <c r="CO218" s="57">
        <v>911.78</v>
      </c>
      <c r="CP218" s="57">
        <v>666.18</v>
      </c>
      <c r="CQ218" s="57">
        <v>1107.2</v>
      </c>
      <c r="CR218" s="57">
        <v>538.78</v>
      </c>
      <c r="CS218" s="57">
        <v>600.09</v>
      </c>
      <c r="CT218" s="57">
        <v>408.32</v>
      </c>
      <c r="CU218" s="57">
        <v>287.76</v>
      </c>
      <c r="CV218" s="57">
        <v>917.19</v>
      </c>
      <c r="CW218" s="57">
        <v>402.63</v>
      </c>
      <c r="CX218" s="57">
        <v>967.89</v>
      </c>
      <c r="CY218" s="57">
        <v>1016.08</v>
      </c>
      <c r="CZ218" s="57">
        <v>888.79</v>
      </c>
      <c r="DA218" s="57">
        <v>965.56</v>
      </c>
      <c r="DB218" s="57">
        <v>1419.57</v>
      </c>
      <c r="DC218" s="57">
        <v>1270.33</v>
      </c>
      <c r="DD218" s="57">
        <v>1543.06</v>
      </c>
      <c r="DE218" s="57">
        <v>1460.48</v>
      </c>
      <c r="DF218" s="57">
        <v>934.76</v>
      </c>
      <c r="DG218" s="57">
        <v>1134.0899999999999</v>
      </c>
      <c r="DH218" s="57">
        <v>758.54</v>
      </c>
      <c r="DI218" s="57">
        <v>662.55</v>
      </c>
      <c r="DJ218" s="57">
        <v>1427.21</v>
      </c>
      <c r="DK218" s="57">
        <v>1609</v>
      </c>
      <c r="DL218" s="57">
        <v>62.79</v>
      </c>
      <c r="DM218" s="57">
        <v>245.4</v>
      </c>
      <c r="DN218" s="57">
        <v>92.88</v>
      </c>
      <c r="DO218" s="57">
        <v>198.56</v>
      </c>
      <c r="DP218" s="57">
        <v>516.99</v>
      </c>
      <c r="DQ218" s="57">
        <v>1356.82</v>
      </c>
      <c r="DR218" s="57">
        <v>950.17</v>
      </c>
      <c r="DS218" s="57">
        <v>725.39</v>
      </c>
      <c r="DT218" s="57">
        <v>249.38</v>
      </c>
      <c r="DU218" s="57">
        <v>1336.62</v>
      </c>
      <c r="DV218" s="57">
        <v>772.75</v>
      </c>
      <c r="DW218" s="57">
        <v>589.74</v>
      </c>
      <c r="DX218" s="57">
        <v>530.38</v>
      </c>
      <c r="DY218" s="57">
        <v>1227.69</v>
      </c>
      <c r="DZ218" s="57">
        <v>1159.32</v>
      </c>
      <c r="EA218" s="57">
        <v>1214.8</v>
      </c>
      <c r="EB218" s="57">
        <v>1437.73</v>
      </c>
      <c r="EC218" s="57">
        <v>892.49</v>
      </c>
      <c r="ED218" s="57">
        <v>763.2</v>
      </c>
      <c r="EE218" s="57">
        <v>639.86</v>
      </c>
      <c r="EF218" s="57">
        <v>512.25</v>
      </c>
      <c r="EG218" s="57">
        <v>1676.13</v>
      </c>
      <c r="EH218" s="57">
        <v>959.8</v>
      </c>
      <c r="EI218" s="57">
        <v>1063.1500000000001</v>
      </c>
      <c r="EJ218" s="57">
        <v>564.9</v>
      </c>
      <c r="EK218" s="57">
        <v>740.94</v>
      </c>
      <c r="EL218" s="57">
        <v>5206.41</v>
      </c>
      <c r="EM218" s="57">
        <v>846.22</v>
      </c>
      <c r="EN218" s="57">
        <v>1010.98</v>
      </c>
      <c r="EO218" s="57">
        <v>469.3</v>
      </c>
      <c r="EP218" s="57">
        <v>683.08</v>
      </c>
      <c r="EQ218" s="57">
        <v>1917.11</v>
      </c>
      <c r="ER218" s="57">
        <v>81.97</v>
      </c>
      <c r="ES218" s="57">
        <v>1029.3399999999999</v>
      </c>
      <c r="ET218" s="57">
        <v>1631.41</v>
      </c>
      <c r="EU218" s="57">
        <v>1580.15</v>
      </c>
      <c r="EV218" s="57">
        <v>1441.96</v>
      </c>
      <c r="EW218" s="57">
        <v>1349.41</v>
      </c>
      <c r="EX218" s="57">
        <v>1638.99</v>
      </c>
      <c r="EY218" s="57">
        <v>593.78</v>
      </c>
      <c r="EZ218" s="57">
        <v>1329.27</v>
      </c>
      <c r="FA218" s="57">
        <v>1295.47</v>
      </c>
      <c r="FB218" s="57">
        <v>1385.3</v>
      </c>
      <c r="FC218" s="57">
        <v>1567.84</v>
      </c>
      <c r="FD218" s="57">
        <v>1186.45</v>
      </c>
      <c r="FE218" s="57">
        <v>1381.83</v>
      </c>
      <c r="FF218" s="57">
        <v>246.5</v>
      </c>
      <c r="FG218" s="57">
        <v>1325.9</v>
      </c>
      <c r="FH218" s="57">
        <v>1211.92</v>
      </c>
      <c r="FI218" s="57">
        <v>1459.5</v>
      </c>
      <c r="FJ218" s="57">
        <v>2019.56</v>
      </c>
      <c r="FK218" s="57">
        <v>2100.88</v>
      </c>
      <c r="FL218" s="57">
        <v>1682.69</v>
      </c>
      <c r="FM218" s="57">
        <v>1409.9</v>
      </c>
      <c r="FN218" s="57">
        <v>951.61</v>
      </c>
      <c r="FO218" s="57">
        <v>2031.11</v>
      </c>
      <c r="FP218" s="57">
        <v>1279.77</v>
      </c>
      <c r="FQ218" s="57">
        <v>1639.53</v>
      </c>
      <c r="FR218" s="57">
        <v>2280.21</v>
      </c>
      <c r="FS218" s="57">
        <v>1370.22</v>
      </c>
      <c r="FT218" s="57">
        <v>917.91</v>
      </c>
      <c r="FU218" s="57">
        <v>1429.08</v>
      </c>
      <c r="FV218" s="57">
        <v>1069.1099999999999</v>
      </c>
      <c r="FW218" s="57">
        <v>640.78</v>
      </c>
      <c r="FX218" s="57">
        <v>1470.81</v>
      </c>
      <c r="FY218" s="57">
        <v>1502.45</v>
      </c>
      <c r="FZ218" s="57">
        <v>1076.5999999999999</v>
      </c>
      <c r="GA218" s="57">
        <v>1073.55</v>
      </c>
      <c r="GB218" s="57">
        <v>1010.47</v>
      </c>
      <c r="GC218" s="57">
        <v>1166.8699999999999</v>
      </c>
      <c r="GD218" s="57">
        <v>1115.42</v>
      </c>
      <c r="GE218" s="57">
        <v>2453.94</v>
      </c>
      <c r="GF218" s="57">
        <v>1596.05</v>
      </c>
      <c r="GG218" s="57">
        <v>2387.37</v>
      </c>
      <c r="GH218" s="57">
        <v>1569.9</v>
      </c>
      <c r="GI218" s="57">
        <v>408.06</v>
      </c>
      <c r="GJ218" s="57">
        <v>285.45999999999998</v>
      </c>
      <c r="GK218" s="57">
        <v>331.9</v>
      </c>
      <c r="GL218" s="57">
        <v>502.65</v>
      </c>
      <c r="GM218" s="57">
        <v>646.5</v>
      </c>
      <c r="GN218" s="57">
        <v>1046.46</v>
      </c>
      <c r="GO218" s="57">
        <v>489.48</v>
      </c>
      <c r="GP218" s="57">
        <v>374.9</v>
      </c>
      <c r="GQ218" s="57">
        <v>422.93</v>
      </c>
      <c r="GR218" s="57">
        <v>1188.33</v>
      </c>
      <c r="GS218" s="57">
        <v>846.58</v>
      </c>
      <c r="GT218" s="57">
        <v>1424.56</v>
      </c>
      <c r="GU218" s="57">
        <v>825.43</v>
      </c>
      <c r="GV218" s="57">
        <v>1204.31</v>
      </c>
      <c r="GW218" s="57">
        <v>1576.1</v>
      </c>
      <c r="GX218" s="57">
        <v>1388.93</v>
      </c>
      <c r="GY218" s="57">
        <v>1626.42</v>
      </c>
      <c r="GZ218" s="57">
        <v>1483.8</v>
      </c>
      <c r="HA218" s="57">
        <v>1185.27</v>
      </c>
      <c r="HB218" s="57">
        <v>1168.02</v>
      </c>
      <c r="HC218" s="57">
        <v>874</v>
      </c>
      <c r="HD218" s="57">
        <v>887.8</v>
      </c>
      <c r="HE218" s="57">
        <v>683.53</v>
      </c>
      <c r="HF218" s="57">
        <v>823.62</v>
      </c>
      <c r="HG218" s="57">
        <v>1057.9000000000001</v>
      </c>
      <c r="HH218" s="57">
        <v>1089.8599999999999</v>
      </c>
      <c r="HI218" s="57">
        <v>473.79</v>
      </c>
      <c r="HJ218" s="57">
        <v>777.94</v>
      </c>
      <c r="HK218" s="57">
        <v>1387.11</v>
      </c>
      <c r="HL218" s="57">
        <v>875.54</v>
      </c>
      <c r="HM218" s="57">
        <v>990.39</v>
      </c>
      <c r="HN218" s="57">
        <v>979.72</v>
      </c>
      <c r="HO218" s="57">
        <v>588.87</v>
      </c>
      <c r="HP218" s="57">
        <v>1420.79</v>
      </c>
      <c r="HQ218" s="57">
        <v>592.1</v>
      </c>
      <c r="HR218" s="57">
        <v>1191.6400000000001</v>
      </c>
      <c r="HS218" s="57">
        <v>1048.97</v>
      </c>
      <c r="HT218" s="57">
        <v>963.46</v>
      </c>
      <c r="HU218" s="57">
        <v>538.78</v>
      </c>
      <c r="HV218" s="57">
        <v>600.09</v>
      </c>
      <c r="HW218" s="57">
        <v>342.97</v>
      </c>
      <c r="HX218" s="57">
        <v>511.68</v>
      </c>
      <c r="HY218" s="57">
        <v>287.76</v>
      </c>
      <c r="HZ218" s="57">
        <v>917.19</v>
      </c>
      <c r="IA218" s="57">
        <v>367.77</v>
      </c>
      <c r="IB218" s="57">
        <v>967.89</v>
      </c>
      <c r="IC218" s="57">
        <v>879.08</v>
      </c>
      <c r="ID218" s="57">
        <v>1058.21</v>
      </c>
      <c r="IE218" s="57">
        <v>888.79</v>
      </c>
      <c r="IF218" s="57">
        <v>965.56</v>
      </c>
      <c r="IG218" s="57">
        <v>1419.57</v>
      </c>
      <c r="IH218" s="57">
        <v>1270.33</v>
      </c>
      <c r="II218" s="57">
        <v>1543.06</v>
      </c>
      <c r="IJ218" s="57">
        <v>1460.48</v>
      </c>
      <c r="IK218" s="57">
        <v>997.84</v>
      </c>
      <c r="IL218" s="57">
        <v>729.11</v>
      </c>
      <c r="IM218" s="57">
        <v>1060.08</v>
      </c>
      <c r="IN218" s="57">
        <v>1045.93</v>
      </c>
      <c r="IO218" s="57">
        <v>1385.36</v>
      </c>
      <c r="IP218" s="57">
        <v>758.54</v>
      </c>
      <c r="IQ218" s="57">
        <v>662.55</v>
      </c>
      <c r="IR218" s="57">
        <v>1427.21</v>
      </c>
      <c r="IS218" s="57">
        <v>1609</v>
      </c>
      <c r="IT218" s="57">
        <v>62.79</v>
      </c>
      <c r="IU218" s="57">
        <v>245.4</v>
      </c>
      <c r="IV218" s="57">
        <v>92.9</v>
      </c>
      <c r="IW218" s="57">
        <v>198.56</v>
      </c>
      <c r="IX218" s="57">
        <v>516.99</v>
      </c>
      <c r="IY218" s="57">
        <v>1356.82</v>
      </c>
      <c r="IZ218" s="57">
        <v>950.17</v>
      </c>
      <c r="JA218" s="57">
        <v>725.39</v>
      </c>
      <c r="JB218" s="57">
        <v>249.38</v>
      </c>
      <c r="JC218" s="57">
        <v>1336.62</v>
      </c>
      <c r="JD218" s="57">
        <v>772.75</v>
      </c>
      <c r="JE218" s="57">
        <v>1215.81</v>
      </c>
      <c r="JF218" s="57">
        <v>514.59</v>
      </c>
      <c r="JG218" s="57">
        <v>530.38</v>
      </c>
      <c r="JH218" s="57">
        <v>1227.69</v>
      </c>
      <c r="JI218" s="57">
        <v>1159.32</v>
      </c>
      <c r="JJ218" s="57">
        <v>1214.8</v>
      </c>
      <c r="JK218" s="57">
        <v>1437.73</v>
      </c>
      <c r="JL218" s="57">
        <v>892.49</v>
      </c>
      <c r="JM218" s="57">
        <v>763.2</v>
      </c>
      <c r="JN218" s="57">
        <v>639.86</v>
      </c>
      <c r="JO218" s="57">
        <v>512.25</v>
      </c>
      <c r="JP218" s="57">
        <v>1820.09</v>
      </c>
      <c r="JQ218" s="57">
        <v>1263.96</v>
      </c>
      <c r="JR218" s="57">
        <v>1031.03</v>
      </c>
      <c r="JS218" s="57">
        <v>739.68</v>
      </c>
      <c r="JT218" s="57">
        <v>1236.6099999999999</v>
      </c>
      <c r="JU218" s="57">
        <v>909.89</v>
      </c>
      <c r="JV218" s="57">
        <v>564.9</v>
      </c>
      <c r="JW218" s="57">
        <v>740.94</v>
      </c>
      <c r="JX218" s="57">
        <v>5206.41</v>
      </c>
      <c r="JY218" s="57">
        <v>707.91</v>
      </c>
      <c r="JZ218" s="57">
        <v>1006.97</v>
      </c>
      <c r="KA218" s="57">
        <v>1010.98</v>
      </c>
      <c r="KB218" s="57">
        <v>469.3</v>
      </c>
      <c r="KC218" s="57">
        <v>683.08</v>
      </c>
      <c r="KD218" s="57">
        <v>1917.11</v>
      </c>
      <c r="KE218" s="57">
        <v>81.97</v>
      </c>
      <c r="KF218" s="57">
        <v>1029.3399999999999</v>
      </c>
    </row>
    <row r="219" spans="1:292">
      <c r="A219" s="41">
        <v>2022</v>
      </c>
      <c r="B219" s="54" t="s">
        <v>995</v>
      </c>
      <c r="C219" s="50" t="s">
        <v>996</v>
      </c>
      <c r="D219" s="57">
        <v>1084</v>
      </c>
      <c r="E219" s="57">
        <v>1443.99</v>
      </c>
      <c r="F219" s="57">
        <v>1674.14</v>
      </c>
      <c r="G219" s="57">
        <v>411.28</v>
      </c>
      <c r="H219" s="57">
        <v>1179.49</v>
      </c>
      <c r="I219" s="57">
        <v>997</v>
      </c>
      <c r="J219" s="57">
        <v>567.45000000000005</v>
      </c>
      <c r="K219" s="57">
        <v>1257.6400000000001</v>
      </c>
      <c r="L219" s="57">
        <v>224.39</v>
      </c>
      <c r="M219" s="57">
        <v>573.24</v>
      </c>
      <c r="N219" s="57">
        <v>700.33</v>
      </c>
      <c r="O219" s="57">
        <v>1652.46</v>
      </c>
      <c r="P219" s="57">
        <v>1462.34</v>
      </c>
      <c r="Q219" s="57">
        <v>1466.74</v>
      </c>
      <c r="R219" s="57">
        <v>1149.24</v>
      </c>
      <c r="S219" s="57">
        <v>2477</v>
      </c>
      <c r="T219" s="57">
        <v>1625.82</v>
      </c>
      <c r="U219" s="57">
        <v>395.97</v>
      </c>
      <c r="V219" s="57">
        <v>456.33</v>
      </c>
      <c r="W219" s="57">
        <v>887.82</v>
      </c>
      <c r="X219" s="57">
        <v>1444.05</v>
      </c>
      <c r="Y219" s="57">
        <v>888.01</v>
      </c>
      <c r="Z219" s="57">
        <v>1488.99</v>
      </c>
      <c r="AA219" s="57">
        <v>1173.3900000000001</v>
      </c>
      <c r="AB219" s="57">
        <v>930.39</v>
      </c>
      <c r="AC219" s="57">
        <v>935.13</v>
      </c>
      <c r="AD219" s="57">
        <v>968.8</v>
      </c>
      <c r="AE219" s="57">
        <v>956.22</v>
      </c>
      <c r="AF219" s="57">
        <v>803.42</v>
      </c>
      <c r="AG219" s="57">
        <v>490.93</v>
      </c>
      <c r="AH219" s="57">
        <v>564.29999999999995</v>
      </c>
      <c r="AI219" s="57">
        <v>998.37</v>
      </c>
      <c r="AJ219" s="57">
        <v>1027.6400000000001</v>
      </c>
      <c r="AK219" s="57">
        <v>1380.1</v>
      </c>
      <c r="AL219" s="57">
        <v>1158.57</v>
      </c>
      <c r="AM219" s="57">
        <v>1609</v>
      </c>
      <c r="AN219" s="57">
        <v>64.33</v>
      </c>
      <c r="AO219" s="57">
        <v>251.93</v>
      </c>
      <c r="AP219" s="57">
        <v>156.84</v>
      </c>
      <c r="AQ219" s="57">
        <v>1436.03</v>
      </c>
      <c r="AR219" s="57">
        <v>921.67</v>
      </c>
      <c r="AS219" s="57">
        <v>683.92</v>
      </c>
      <c r="AT219" s="57">
        <v>1259.6400000000001</v>
      </c>
      <c r="AU219" s="57">
        <v>1400.57</v>
      </c>
      <c r="AV219" s="57">
        <v>892.96</v>
      </c>
      <c r="AW219" s="57">
        <v>763.45</v>
      </c>
      <c r="AX219" s="57">
        <v>641.26</v>
      </c>
      <c r="AY219" s="57">
        <v>526.79999999999995</v>
      </c>
      <c r="AZ219" s="57">
        <v>1723.6</v>
      </c>
      <c r="BA219" s="57">
        <v>968.52</v>
      </c>
      <c r="BB219" s="57">
        <v>856.64</v>
      </c>
      <c r="BC219" s="57">
        <v>3606.94</v>
      </c>
      <c r="BD219" s="57">
        <v>1026.3800000000001</v>
      </c>
      <c r="BE219" s="57">
        <v>1698.73</v>
      </c>
      <c r="BF219" s="57">
        <v>81.97</v>
      </c>
      <c r="BG219" s="57">
        <v>1031.28</v>
      </c>
      <c r="BH219" s="57">
        <v>1514.5</v>
      </c>
      <c r="BI219" s="57">
        <v>1399.85</v>
      </c>
      <c r="BJ219" s="57">
        <v>1328.71</v>
      </c>
      <c r="BK219" s="57">
        <v>1547.41</v>
      </c>
      <c r="BL219" s="57">
        <v>1525.4</v>
      </c>
      <c r="BM219" s="57">
        <v>1168.02</v>
      </c>
      <c r="BN219" s="57">
        <v>1668.95</v>
      </c>
      <c r="BO219" s="57">
        <v>1036.5999999999999</v>
      </c>
      <c r="BP219" s="57">
        <v>1634.69</v>
      </c>
      <c r="BQ219" s="57">
        <v>1194.98</v>
      </c>
      <c r="BR219" s="57">
        <v>1107.19</v>
      </c>
      <c r="BS219" s="57">
        <v>2589.5500000000002</v>
      </c>
      <c r="BT219" s="57">
        <v>1619.7</v>
      </c>
      <c r="BU219" s="57">
        <v>2377.56</v>
      </c>
      <c r="BV219" s="57">
        <v>1625.82</v>
      </c>
      <c r="BW219" s="57">
        <v>372.6</v>
      </c>
      <c r="BX219" s="57">
        <v>652.92999999999995</v>
      </c>
      <c r="BY219" s="57">
        <v>1092.29</v>
      </c>
      <c r="BZ219" s="57">
        <v>453.21</v>
      </c>
      <c r="CA219" s="57">
        <v>1225.4100000000001</v>
      </c>
      <c r="CB219" s="58">
        <v>887.82</v>
      </c>
      <c r="CC219" s="57">
        <v>1444.05</v>
      </c>
      <c r="CD219" s="57">
        <v>884.59</v>
      </c>
      <c r="CE219" s="57">
        <v>1204.31</v>
      </c>
      <c r="CF219" s="57">
        <v>1593.48</v>
      </c>
      <c r="CG219" s="57">
        <v>1662.06</v>
      </c>
      <c r="CH219" s="57">
        <v>1215.93</v>
      </c>
      <c r="CI219" s="57">
        <v>933.12</v>
      </c>
      <c r="CJ219" s="57">
        <v>930.39</v>
      </c>
      <c r="CK219" s="57">
        <v>888.12</v>
      </c>
      <c r="CL219" s="57">
        <v>815.47</v>
      </c>
      <c r="CM219" s="57">
        <v>1425.6</v>
      </c>
      <c r="CN219" s="57">
        <v>968.8</v>
      </c>
      <c r="CO219" s="57">
        <v>956.22</v>
      </c>
      <c r="CP219" s="57">
        <v>708.91</v>
      </c>
      <c r="CQ219" s="57">
        <v>1136.5</v>
      </c>
      <c r="CR219" s="57">
        <v>538.9</v>
      </c>
      <c r="CS219" s="57">
        <v>618.97</v>
      </c>
      <c r="CT219" s="57">
        <v>418.58</v>
      </c>
      <c r="CU219" s="57">
        <v>289.35000000000002</v>
      </c>
      <c r="CV219" s="57">
        <v>935.59</v>
      </c>
      <c r="CW219" s="57">
        <v>414.56</v>
      </c>
      <c r="CX219" s="57">
        <v>998.37</v>
      </c>
      <c r="CY219" s="57">
        <v>1029.48</v>
      </c>
      <c r="CZ219" s="57">
        <v>909</v>
      </c>
      <c r="DA219" s="57">
        <v>989.06</v>
      </c>
      <c r="DB219" s="57">
        <v>1441.2</v>
      </c>
      <c r="DC219" s="57">
        <v>1310.29</v>
      </c>
      <c r="DD219" s="57">
        <v>1589.24</v>
      </c>
      <c r="DE219" s="57">
        <v>1460.37</v>
      </c>
      <c r="DF219" s="57">
        <v>971.5</v>
      </c>
      <c r="DG219" s="57">
        <v>1154.56</v>
      </c>
      <c r="DH219" s="57">
        <v>777.04</v>
      </c>
      <c r="DI219" s="57">
        <v>662.64</v>
      </c>
      <c r="DJ219" s="57">
        <v>1471.84</v>
      </c>
      <c r="DK219" s="57">
        <v>1609</v>
      </c>
      <c r="DL219" s="57">
        <v>64.33</v>
      </c>
      <c r="DM219" s="57">
        <v>251.93</v>
      </c>
      <c r="DN219" s="57">
        <v>95.42</v>
      </c>
      <c r="DO219" s="57">
        <v>205.87</v>
      </c>
      <c r="DP219" s="57">
        <v>525.33000000000004</v>
      </c>
      <c r="DQ219" s="57">
        <v>1436.03</v>
      </c>
      <c r="DR219" s="57">
        <v>967.06</v>
      </c>
      <c r="DS219" s="57">
        <v>740.01</v>
      </c>
      <c r="DT219" s="57">
        <v>200.94</v>
      </c>
      <c r="DU219" s="57">
        <v>1344.38</v>
      </c>
      <c r="DV219" s="57">
        <v>792.08</v>
      </c>
      <c r="DW219" s="57">
        <v>611.07000000000005</v>
      </c>
      <c r="DX219" s="57">
        <v>530.38</v>
      </c>
      <c r="DY219" s="57">
        <v>1252.3800000000001</v>
      </c>
      <c r="DZ219" s="57">
        <v>1248.23</v>
      </c>
      <c r="EA219" s="57">
        <v>1357.99</v>
      </c>
      <c r="EB219" s="57">
        <v>1400.57</v>
      </c>
      <c r="EC219" s="57">
        <v>892.96</v>
      </c>
      <c r="ED219" s="57">
        <v>763.45</v>
      </c>
      <c r="EE219" s="57">
        <v>641.26</v>
      </c>
      <c r="EF219" s="57">
        <v>526.79999999999995</v>
      </c>
      <c r="EG219" s="57">
        <v>1723.6</v>
      </c>
      <c r="EH219" s="57">
        <v>968.52</v>
      </c>
      <c r="EI219" s="57">
        <v>1084.8699999999999</v>
      </c>
      <c r="EJ219" s="57">
        <v>541.1</v>
      </c>
      <c r="EK219" s="57">
        <v>774.56</v>
      </c>
      <c r="EL219" s="57">
        <v>5209.1400000000003</v>
      </c>
      <c r="EM219" s="57">
        <v>855.96</v>
      </c>
      <c r="EN219" s="57">
        <v>1026.3800000000001</v>
      </c>
      <c r="EO219" s="57">
        <v>468.09</v>
      </c>
      <c r="EP219" s="57">
        <v>714.74</v>
      </c>
      <c r="EQ219" s="57">
        <v>1975.91</v>
      </c>
      <c r="ER219" s="57">
        <v>81.97</v>
      </c>
      <c r="ES219" s="57">
        <v>1031.28</v>
      </c>
      <c r="ET219" s="57">
        <v>1710.89</v>
      </c>
      <c r="EU219" s="57">
        <v>1587.62</v>
      </c>
      <c r="EV219" s="57">
        <v>1460.97</v>
      </c>
      <c r="EW219" s="57">
        <v>1411.98</v>
      </c>
      <c r="EX219" s="57">
        <v>1847.47</v>
      </c>
      <c r="EY219" s="57">
        <v>685.58</v>
      </c>
      <c r="EZ219" s="57">
        <v>1377.98</v>
      </c>
      <c r="FA219" s="57">
        <v>1310.0999999999999</v>
      </c>
      <c r="FB219" s="57">
        <v>1419.24</v>
      </c>
      <c r="FC219" s="57">
        <v>1621.09</v>
      </c>
      <c r="FD219" s="57">
        <v>1223.6400000000001</v>
      </c>
      <c r="FE219" s="57">
        <v>1350.29</v>
      </c>
      <c r="FF219" s="57">
        <v>248.46</v>
      </c>
      <c r="FG219" s="57">
        <v>1390.1</v>
      </c>
      <c r="FH219" s="57">
        <v>1281.43</v>
      </c>
      <c r="FI219" s="57">
        <v>1538.29</v>
      </c>
      <c r="FJ219" s="57">
        <v>2213.92</v>
      </c>
      <c r="FK219" s="57">
        <v>2200.2399999999998</v>
      </c>
      <c r="FL219" s="57">
        <v>1643.26</v>
      </c>
      <c r="FM219" s="57">
        <v>1429.22</v>
      </c>
      <c r="FN219" s="57">
        <v>968.89</v>
      </c>
      <c r="FO219" s="57">
        <v>2192.44</v>
      </c>
      <c r="FP219" s="57">
        <v>1615.45</v>
      </c>
      <c r="FQ219" s="57">
        <v>1652.8</v>
      </c>
      <c r="FR219" s="57">
        <v>2342.06</v>
      </c>
      <c r="FS219" s="57">
        <v>1430.19</v>
      </c>
      <c r="FT219" s="57">
        <v>922.57</v>
      </c>
      <c r="FU219" s="57">
        <v>1489.04</v>
      </c>
      <c r="FV219" s="57">
        <v>1099.77</v>
      </c>
      <c r="FW219" s="57">
        <v>633.17999999999995</v>
      </c>
      <c r="FX219" s="57">
        <v>1634.69</v>
      </c>
      <c r="FY219" s="57">
        <v>1577.69</v>
      </c>
      <c r="FZ219" s="57">
        <v>1099.95</v>
      </c>
      <c r="GA219" s="57">
        <v>1144.51</v>
      </c>
      <c r="GB219" s="57">
        <v>1039.1300000000001</v>
      </c>
      <c r="GC219" s="57">
        <v>1201.51</v>
      </c>
      <c r="GD219" s="57">
        <v>1140.6600000000001</v>
      </c>
      <c r="GE219" s="57">
        <v>2589.5500000000002</v>
      </c>
      <c r="GF219" s="57">
        <v>1619.7</v>
      </c>
      <c r="GG219" s="57">
        <v>2377.56</v>
      </c>
      <c r="GH219" s="57">
        <v>1623.09</v>
      </c>
      <c r="GI219" s="57">
        <v>446.43</v>
      </c>
      <c r="GJ219" s="57">
        <v>320.8</v>
      </c>
      <c r="GK219" s="57">
        <v>350.44</v>
      </c>
      <c r="GL219" s="57">
        <v>509.37</v>
      </c>
      <c r="GM219" s="57">
        <v>652.92999999999995</v>
      </c>
      <c r="GN219" s="57">
        <v>1092.29</v>
      </c>
      <c r="GO219" s="57">
        <v>504.53</v>
      </c>
      <c r="GP219" s="57">
        <v>399.25</v>
      </c>
      <c r="GQ219" s="57">
        <v>457.43</v>
      </c>
      <c r="GR219" s="57">
        <v>1225.4100000000001</v>
      </c>
      <c r="GS219" s="57">
        <v>887.82</v>
      </c>
      <c r="GT219" s="57">
        <v>1444.05</v>
      </c>
      <c r="GU219" s="57">
        <v>884.59</v>
      </c>
      <c r="GV219" s="57">
        <v>1204.31</v>
      </c>
      <c r="GW219" s="57">
        <v>1585.64</v>
      </c>
      <c r="GX219" s="57">
        <v>1365.48</v>
      </c>
      <c r="GY219" s="57">
        <v>1662.06</v>
      </c>
      <c r="GZ219" s="57">
        <v>1478.66</v>
      </c>
      <c r="HA219" s="57">
        <v>1188.95</v>
      </c>
      <c r="HB219" s="57">
        <v>1186.92</v>
      </c>
      <c r="HC219" s="57">
        <v>933.12</v>
      </c>
      <c r="HD219" s="57">
        <v>930.39</v>
      </c>
      <c r="HE219" s="57">
        <v>736.44</v>
      </c>
      <c r="HF219" s="57">
        <v>898.64</v>
      </c>
      <c r="HG219" s="57">
        <v>1145.19</v>
      </c>
      <c r="HH219" s="57">
        <v>1139.29</v>
      </c>
      <c r="HI219" s="57">
        <v>489.36</v>
      </c>
      <c r="HJ219" s="57">
        <v>815.47</v>
      </c>
      <c r="HK219" s="57">
        <v>1425.6</v>
      </c>
      <c r="HL219" s="57">
        <v>934.08</v>
      </c>
      <c r="HM219" s="57">
        <v>1025.3499999999999</v>
      </c>
      <c r="HN219" s="57">
        <v>1000.49</v>
      </c>
      <c r="HO219" s="57">
        <v>606.95000000000005</v>
      </c>
      <c r="HP219" s="57">
        <v>1518.83</v>
      </c>
      <c r="HQ219" s="57">
        <v>627.78</v>
      </c>
      <c r="HR219" s="57">
        <v>1281.3499999999999</v>
      </c>
      <c r="HS219" s="57">
        <v>1072.71</v>
      </c>
      <c r="HT219" s="57">
        <v>1003.38</v>
      </c>
      <c r="HU219" s="57">
        <v>538.9</v>
      </c>
      <c r="HV219" s="57">
        <v>618.97</v>
      </c>
      <c r="HW219" s="57">
        <v>353.75</v>
      </c>
      <c r="HX219" s="57">
        <v>518.36</v>
      </c>
      <c r="HY219" s="57">
        <v>289.35000000000002</v>
      </c>
      <c r="HZ219" s="57">
        <v>935.59</v>
      </c>
      <c r="IA219" s="57">
        <v>378.66</v>
      </c>
      <c r="IB219" s="57">
        <v>998.37</v>
      </c>
      <c r="IC219" s="57">
        <v>889.42</v>
      </c>
      <c r="ID219" s="57">
        <v>1072.6400000000001</v>
      </c>
      <c r="IE219" s="57">
        <v>909</v>
      </c>
      <c r="IF219" s="57">
        <v>989.06</v>
      </c>
      <c r="IG219" s="57">
        <v>1441.2</v>
      </c>
      <c r="IH219" s="57">
        <v>1310.29</v>
      </c>
      <c r="II219" s="57">
        <v>1589.24</v>
      </c>
      <c r="IJ219" s="57">
        <v>1460.37</v>
      </c>
      <c r="IK219" s="57">
        <v>1003.03</v>
      </c>
      <c r="IL219" s="57">
        <v>760.87</v>
      </c>
      <c r="IM219" s="57">
        <v>1099.8599999999999</v>
      </c>
      <c r="IN219" s="57">
        <v>1047.72</v>
      </c>
      <c r="IO219" s="57">
        <v>1345.18</v>
      </c>
      <c r="IP219" s="57">
        <v>777.04</v>
      </c>
      <c r="IQ219" s="57">
        <v>662.64</v>
      </c>
      <c r="IR219" s="57">
        <v>1471.84</v>
      </c>
      <c r="IS219" s="57">
        <v>1609</v>
      </c>
      <c r="IT219" s="57">
        <v>64.33</v>
      </c>
      <c r="IU219" s="57">
        <v>251.93</v>
      </c>
      <c r="IV219" s="57">
        <v>95.43</v>
      </c>
      <c r="IW219" s="57">
        <v>205.87</v>
      </c>
      <c r="IX219" s="57">
        <v>525.33000000000004</v>
      </c>
      <c r="IY219" s="57">
        <v>1436.03</v>
      </c>
      <c r="IZ219" s="57">
        <v>967.06</v>
      </c>
      <c r="JA219" s="57">
        <v>740.01</v>
      </c>
      <c r="JB219" s="57">
        <v>200.94</v>
      </c>
      <c r="JC219" s="57">
        <v>1344.38</v>
      </c>
      <c r="JD219" s="57">
        <v>792.08</v>
      </c>
      <c r="JE219" s="57">
        <v>1261.18</v>
      </c>
      <c r="JF219" s="57">
        <v>533.09</v>
      </c>
      <c r="JG219" s="57">
        <v>530.38</v>
      </c>
      <c r="JH219" s="57">
        <v>1252.3800000000001</v>
      </c>
      <c r="JI219" s="57">
        <v>1248.23</v>
      </c>
      <c r="JJ219" s="57">
        <v>1357.99</v>
      </c>
      <c r="JK219" s="57">
        <v>1400.57</v>
      </c>
      <c r="JL219" s="57">
        <v>892.96</v>
      </c>
      <c r="JM219" s="57">
        <v>763.45</v>
      </c>
      <c r="JN219" s="57">
        <v>641.26</v>
      </c>
      <c r="JO219" s="57">
        <v>526.79999999999995</v>
      </c>
      <c r="JP219" s="57">
        <v>1873.13</v>
      </c>
      <c r="JQ219" s="57">
        <v>1294.83</v>
      </c>
      <c r="JR219" s="57">
        <v>1042.58</v>
      </c>
      <c r="JS219" s="57">
        <v>740.73</v>
      </c>
      <c r="JT219" s="57">
        <v>1266.22</v>
      </c>
      <c r="JU219" s="57">
        <v>925.7</v>
      </c>
      <c r="JV219" s="57">
        <v>541.1</v>
      </c>
      <c r="JW219" s="57">
        <v>774.56</v>
      </c>
      <c r="JX219" s="57">
        <v>5209.1400000000003</v>
      </c>
      <c r="JY219" s="57">
        <v>707.53</v>
      </c>
      <c r="JZ219" s="57">
        <v>1031.0899999999999</v>
      </c>
      <c r="KA219" s="57">
        <v>1026.3800000000001</v>
      </c>
      <c r="KB219" s="57">
        <v>468.09</v>
      </c>
      <c r="KC219" s="57">
        <v>714.74</v>
      </c>
      <c r="KD219" s="57">
        <v>1975.91</v>
      </c>
      <c r="KE219" s="57">
        <v>81.97</v>
      </c>
      <c r="KF219" s="57">
        <v>1031.28</v>
      </c>
    </row>
    <row r="220" spans="1:292">
      <c r="A220" s="41">
        <v>2022</v>
      </c>
      <c r="B220" s="54" t="s">
        <v>997</v>
      </c>
      <c r="C220" s="50" t="s">
        <v>998</v>
      </c>
      <c r="D220" s="57">
        <v>1115.26</v>
      </c>
      <c r="E220" s="57">
        <v>1526.98</v>
      </c>
      <c r="F220" s="57">
        <v>1727.47</v>
      </c>
      <c r="G220" s="57">
        <v>405.43</v>
      </c>
      <c r="H220" s="57">
        <v>1201.03</v>
      </c>
      <c r="I220" s="57">
        <v>1027</v>
      </c>
      <c r="J220" s="57">
        <v>573.25</v>
      </c>
      <c r="K220" s="57">
        <v>1274.6500000000001</v>
      </c>
      <c r="L220" s="57">
        <v>229.73</v>
      </c>
      <c r="M220" s="57">
        <v>585.15</v>
      </c>
      <c r="N220" s="57">
        <v>702.09</v>
      </c>
      <c r="O220" s="57">
        <v>1704.95</v>
      </c>
      <c r="P220" s="57">
        <v>1500.57</v>
      </c>
      <c r="Q220" s="57">
        <v>1550.88</v>
      </c>
      <c r="R220" s="57">
        <v>1216.9000000000001</v>
      </c>
      <c r="S220" s="57">
        <v>2492.61</v>
      </c>
      <c r="T220" s="57">
        <v>1680.91</v>
      </c>
      <c r="U220" s="57">
        <v>387.73</v>
      </c>
      <c r="V220" s="57">
        <v>461.56</v>
      </c>
      <c r="W220" s="57">
        <v>917.36</v>
      </c>
      <c r="X220" s="57">
        <v>1461.67</v>
      </c>
      <c r="Y220" s="57">
        <v>917.6</v>
      </c>
      <c r="Z220" s="57">
        <v>1500</v>
      </c>
      <c r="AA220" s="57">
        <v>1207.31</v>
      </c>
      <c r="AB220" s="57">
        <v>941.47</v>
      </c>
      <c r="AC220" s="57">
        <v>970.5</v>
      </c>
      <c r="AD220" s="57">
        <v>976.04</v>
      </c>
      <c r="AE220" s="57">
        <v>970.44</v>
      </c>
      <c r="AF220" s="57">
        <v>831.8</v>
      </c>
      <c r="AG220" s="57">
        <v>493.35</v>
      </c>
      <c r="AH220" s="57">
        <v>571.82000000000005</v>
      </c>
      <c r="AI220" s="57">
        <v>1011.47</v>
      </c>
      <c r="AJ220" s="57">
        <v>1050.44</v>
      </c>
      <c r="AK220" s="57">
        <v>1396.96</v>
      </c>
      <c r="AL220" s="57">
        <v>1156.77</v>
      </c>
      <c r="AM220" s="57">
        <v>1609</v>
      </c>
      <c r="AN220" s="57">
        <v>64.98</v>
      </c>
      <c r="AO220" s="57">
        <v>259.39</v>
      </c>
      <c r="AP220" s="57">
        <v>156.97</v>
      </c>
      <c r="AQ220" s="57">
        <v>1480.76</v>
      </c>
      <c r="AR220" s="57">
        <v>971.12</v>
      </c>
      <c r="AS220" s="57">
        <v>697.83</v>
      </c>
      <c r="AT220" s="57">
        <v>1286.3</v>
      </c>
      <c r="AU220" s="57">
        <v>1411.14</v>
      </c>
      <c r="AV220" s="57">
        <v>892.96</v>
      </c>
      <c r="AW220" s="57">
        <v>763.45</v>
      </c>
      <c r="AX220" s="57">
        <v>641.26</v>
      </c>
      <c r="AY220" s="57">
        <v>540.14</v>
      </c>
      <c r="AZ220" s="57">
        <v>1783.05</v>
      </c>
      <c r="BA220" s="57">
        <v>975.15</v>
      </c>
      <c r="BB220" s="57">
        <v>883.79</v>
      </c>
      <c r="BC220" s="57">
        <v>3698.47</v>
      </c>
      <c r="BD220" s="57">
        <v>1033.82</v>
      </c>
      <c r="BE220" s="57">
        <v>1741.02</v>
      </c>
      <c r="BF220" s="57">
        <v>81.97</v>
      </c>
      <c r="BG220" s="57">
        <v>1032.3499999999999</v>
      </c>
      <c r="BH220" s="57">
        <v>1568.17</v>
      </c>
      <c r="BI220" s="57">
        <v>1417.16</v>
      </c>
      <c r="BJ220" s="57">
        <v>1284.4100000000001</v>
      </c>
      <c r="BK220" s="57">
        <v>1736.73</v>
      </c>
      <c r="BL220" s="57">
        <v>1609.58</v>
      </c>
      <c r="BM220" s="57">
        <v>1228.72</v>
      </c>
      <c r="BN220" s="57">
        <v>1853.37</v>
      </c>
      <c r="BO220" s="57">
        <v>1058.3699999999999</v>
      </c>
      <c r="BP220" s="57">
        <v>1718.02</v>
      </c>
      <c r="BQ220" s="57">
        <v>1246.47</v>
      </c>
      <c r="BR220" s="57">
        <v>1186.98</v>
      </c>
      <c r="BS220" s="57">
        <v>2583.9499999999998</v>
      </c>
      <c r="BT220" s="57">
        <v>1745.81</v>
      </c>
      <c r="BU220" s="57">
        <v>2377.9299999999998</v>
      </c>
      <c r="BV220" s="57">
        <v>1680.91</v>
      </c>
      <c r="BW220" s="57">
        <v>363.35</v>
      </c>
      <c r="BX220" s="57">
        <v>652.72</v>
      </c>
      <c r="BY220" s="57">
        <v>1137.7</v>
      </c>
      <c r="BZ220" s="57">
        <v>458.28</v>
      </c>
      <c r="CA220" s="57">
        <v>1277.52</v>
      </c>
      <c r="CB220" s="58">
        <v>917.36</v>
      </c>
      <c r="CC220" s="57">
        <v>1461.67</v>
      </c>
      <c r="CD220" s="57">
        <v>914.06</v>
      </c>
      <c r="CE220" s="57">
        <v>1204.31</v>
      </c>
      <c r="CF220" s="57">
        <v>1614.77</v>
      </c>
      <c r="CG220" s="57">
        <v>1677.53</v>
      </c>
      <c r="CH220" s="57">
        <v>1252.33</v>
      </c>
      <c r="CI220" s="57">
        <v>947.65</v>
      </c>
      <c r="CJ220" s="57">
        <v>941.47</v>
      </c>
      <c r="CK220" s="57">
        <v>921.78</v>
      </c>
      <c r="CL220" s="57">
        <v>840.82</v>
      </c>
      <c r="CM220" s="57">
        <v>1489.09</v>
      </c>
      <c r="CN220" s="57">
        <v>976.04</v>
      </c>
      <c r="CO220" s="57">
        <v>970.44</v>
      </c>
      <c r="CP220" s="57">
        <v>736.14</v>
      </c>
      <c r="CQ220" s="57">
        <v>1165.8</v>
      </c>
      <c r="CR220" s="57">
        <v>539.08000000000004</v>
      </c>
      <c r="CS220" s="57">
        <v>620.86</v>
      </c>
      <c r="CT220" s="57">
        <v>427.47</v>
      </c>
      <c r="CU220" s="57">
        <v>290.41000000000003</v>
      </c>
      <c r="CV220" s="57">
        <v>950.04</v>
      </c>
      <c r="CW220" s="57">
        <v>421.74</v>
      </c>
      <c r="CX220" s="57">
        <v>1011.47</v>
      </c>
      <c r="CY220" s="57">
        <v>1053.01</v>
      </c>
      <c r="CZ220" s="57">
        <v>912.62</v>
      </c>
      <c r="DA220" s="57">
        <v>1017.7</v>
      </c>
      <c r="DB220" s="57">
        <v>1467.04</v>
      </c>
      <c r="DC220" s="57">
        <v>1325.9</v>
      </c>
      <c r="DD220" s="57">
        <v>1611.8</v>
      </c>
      <c r="DE220" s="57">
        <v>1460.69</v>
      </c>
      <c r="DF220" s="57">
        <v>994.59</v>
      </c>
      <c r="DG220" s="57">
        <v>1150.3699999999999</v>
      </c>
      <c r="DH220" s="57">
        <v>776.04</v>
      </c>
      <c r="DI220" s="57">
        <v>662.64</v>
      </c>
      <c r="DJ220" s="57">
        <v>1502.59</v>
      </c>
      <c r="DK220" s="57">
        <v>1609</v>
      </c>
      <c r="DL220" s="57">
        <v>64.98</v>
      </c>
      <c r="DM220" s="57">
        <v>259.39</v>
      </c>
      <c r="DN220" s="57">
        <v>95.76</v>
      </c>
      <c r="DO220" s="57">
        <v>202.84</v>
      </c>
      <c r="DP220" s="57">
        <v>540.82000000000005</v>
      </c>
      <c r="DQ220" s="57">
        <v>1480.76</v>
      </c>
      <c r="DR220" s="57">
        <v>984.24</v>
      </c>
      <c r="DS220" s="57">
        <v>739.12</v>
      </c>
      <c r="DT220" s="57">
        <v>225.96</v>
      </c>
      <c r="DU220" s="57">
        <v>1354.85</v>
      </c>
      <c r="DV220" s="57">
        <v>809.31</v>
      </c>
      <c r="DW220" s="57">
        <v>623.17999999999995</v>
      </c>
      <c r="DX220" s="57">
        <v>530.38</v>
      </c>
      <c r="DY220" s="57">
        <v>1291.33</v>
      </c>
      <c r="DZ220" s="57">
        <v>1261.24</v>
      </c>
      <c r="EA220" s="57">
        <v>1368.89</v>
      </c>
      <c r="EB220" s="57">
        <v>1411.14</v>
      </c>
      <c r="EC220" s="57">
        <v>892.96</v>
      </c>
      <c r="ED220" s="57">
        <v>763.45</v>
      </c>
      <c r="EE220" s="57">
        <v>641.26</v>
      </c>
      <c r="EF220" s="57">
        <v>540.14</v>
      </c>
      <c r="EG220" s="57">
        <v>1783.05</v>
      </c>
      <c r="EH220" s="57">
        <v>975.15</v>
      </c>
      <c r="EI220" s="57">
        <v>1119.6600000000001</v>
      </c>
      <c r="EJ220" s="57">
        <v>554.42999999999995</v>
      </c>
      <c r="EK220" s="57">
        <v>799.14</v>
      </c>
      <c r="EL220" s="57">
        <v>5388.9</v>
      </c>
      <c r="EM220" s="57">
        <v>853.87</v>
      </c>
      <c r="EN220" s="57">
        <v>1033.82</v>
      </c>
      <c r="EO220" s="57">
        <v>469.2</v>
      </c>
      <c r="EP220" s="57">
        <v>744.61</v>
      </c>
      <c r="EQ220" s="57">
        <v>2025.15</v>
      </c>
      <c r="ER220" s="57">
        <v>81.97</v>
      </c>
      <c r="ES220" s="57">
        <v>1032.3499999999999</v>
      </c>
      <c r="ET220" s="57">
        <v>1896.82</v>
      </c>
      <c r="EU220" s="57">
        <v>1638.22</v>
      </c>
      <c r="EV220" s="57">
        <v>1485.55</v>
      </c>
      <c r="EW220" s="57">
        <v>1477.2</v>
      </c>
      <c r="EX220" s="57">
        <v>1991.51</v>
      </c>
      <c r="EY220" s="57">
        <v>702.94</v>
      </c>
      <c r="EZ220" s="57">
        <v>1380.25</v>
      </c>
      <c r="FA220" s="57">
        <v>1353.49</v>
      </c>
      <c r="FB220" s="57">
        <v>1424.53</v>
      </c>
      <c r="FC220" s="57">
        <v>1747.14</v>
      </c>
      <c r="FD220" s="57">
        <v>1264.45</v>
      </c>
      <c r="FE220" s="57">
        <v>1301.1300000000001</v>
      </c>
      <c r="FF220" s="57">
        <v>249.37</v>
      </c>
      <c r="FG220" s="57">
        <v>1608.52</v>
      </c>
      <c r="FH220" s="57">
        <v>1477.06</v>
      </c>
      <c r="FI220" s="57">
        <v>1769.75</v>
      </c>
      <c r="FJ220" s="57">
        <v>2209.56</v>
      </c>
      <c r="FK220" s="57">
        <v>2587.02</v>
      </c>
      <c r="FL220" s="57">
        <v>1666.68</v>
      </c>
      <c r="FM220" s="57">
        <v>1461.25</v>
      </c>
      <c r="FN220" s="57">
        <v>1023.28</v>
      </c>
      <c r="FO220" s="57">
        <v>2288.2800000000002</v>
      </c>
      <c r="FP220" s="57">
        <v>1829.59</v>
      </c>
      <c r="FQ220" s="57">
        <v>1789.62</v>
      </c>
      <c r="FR220" s="57">
        <v>2534.94</v>
      </c>
      <c r="FS220" s="57">
        <v>1530.81</v>
      </c>
      <c r="FT220" s="57">
        <v>914.4</v>
      </c>
      <c r="FU220" s="57">
        <v>1542.52</v>
      </c>
      <c r="FV220" s="57">
        <v>1150.49</v>
      </c>
      <c r="FW220" s="57">
        <v>628.44000000000005</v>
      </c>
      <c r="FX220" s="57">
        <v>1718.02</v>
      </c>
      <c r="FY220" s="57">
        <v>1685.83</v>
      </c>
      <c r="FZ220" s="57">
        <v>1138.2</v>
      </c>
      <c r="GA220" s="57">
        <v>1170.57</v>
      </c>
      <c r="GB220" s="57">
        <v>1069.18</v>
      </c>
      <c r="GC220" s="57">
        <v>1369.93</v>
      </c>
      <c r="GD220" s="57">
        <v>1164.6600000000001</v>
      </c>
      <c r="GE220" s="57">
        <v>2583.9499999999998</v>
      </c>
      <c r="GF220" s="57">
        <v>1745.81</v>
      </c>
      <c r="GG220" s="57">
        <v>2377.9299999999998</v>
      </c>
      <c r="GH220" s="57">
        <v>1678.09</v>
      </c>
      <c r="GI220" s="57">
        <v>439.02</v>
      </c>
      <c r="GJ220" s="57">
        <v>313.95</v>
      </c>
      <c r="GK220" s="57">
        <v>330.97</v>
      </c>
      <c r="GL220" s="57">
        <v>499.31</v>
      </c>
      <c r="GM220" s="57">
        <v>652.72</v>
      </c>
      <c r="GN220" s="57">
        <v>1137.7</v>
      </c>
      <c r="GO220" s="57">
        <v>515.87</v>
      </c>
      <c r="GP220" s="57">
        <v>400.44</v>
      </c>
      <c r="GQ220" s="57">
        <v>457.61</v>
      </c>
      <c r="GR220" s="57">
        <v>1277.52</v>
      </c>
      <c r="GS220" s="57">
        <v>917.36</v>
      </c>
      <c r="GT220" s="57">
        <v>1461.67</v>
      </c>
      <c r="GU220" s="57">
        <v>914.06</v>
      </c>
      <c r="GV220" s="57">
        <v>1204.31</v>
      </c>
      <c r="GW220" s="57">
        <v>1600.77</v>
      </c>
      <c r="GX220" s="57">
        <v>1402.77</v>
      </c>
      <c r="GY220" s="57">
        <v>1677.53</v>
      </c>
      <c r="GZ220" s="57">
        <v>1526.2</v>
      </c>
      <c r="HA220" s="57">
        <v>1216.97</v>
      </c>
      <c r="HB220" s="57">
        <v>1227.0899999999999</v>
      </c>
      <c r="HC220" s="57">
        <v>947.65</v>
      </c>
      <c r="HD220" s="57">
        <v>941.47</v>
      </c>
      <c r="HE220" s="57">
        <v>771.77</v>
      </c>
      <c r="HF220" s="57">
        <v>936.93</v>
      </c>
      <c r="HG220" s="57">
        <v>1195.5999999999999</v>
      </c>
      <c r="HH220" s="57">
        <v>1166.5</v>
      </c>
      <c r="HI220" s="57">
        <v>495.98</v>
      </c>
      <c r="HJ220" s="57">
        <v>840.82</v>
      </c>
      <c r="HK220" s="57">
        <v>1489.09</v>
      </c>
      <c r="HL220" s="57">
        <v>964.26</v>
      </c>
      <c r="HM220" s="57">
        <v>1032.3900000000001</v>
      </c>
      <c r="HN220" s="57">
        <v>990.82</v>
      </c>
      <c r="HO220" s="57">
        <v>609.01</v>
      </c>
      <c r="HP220" s="57">
        <v>1560.3</v>
      </c>
      <c r="HQ220" s="57">
        <v>655.77</v>
      </c>
      <c r="HR220" s="57">
        <v>1308.1600000000001</v>
      </c>
      <c r="HS220" s="57">
        <v>1100.8399999999999</v>
      </c>
      <c r="HT220" s="57">
        <v>1027.55</v>
      </c>
      <c r="HU220" s="57">
        <v>539.08000000000004</v>
      </c>
      <c r="HV220" s="57">
        <v>620.86</v>
      </c>
      <c r="HW220" s="57">
        <v>360.32</v>
      </c>
      <c r="HX220" s="57">
        <v>532.04</v>
      </c>
      <c r="HY220" s="57">
        <v>290.41000000000003</v>
      </c>
      <c r="HZ220" s="57">
        <v>950.04</v>
      </c>
      <c r="IA220" s="57">
        <v>385.22</v>
      </c>
      <c r="IB220" s="57">
        <v>1011.47</v>
      </c>
      <c r="IC220" s="57">
        <v>908.52</v>
      </c>
      <c r="ID220" s="57">
        <v>1097.5999999999999</v>
      </c>
      <c r="IE220" s="57">
        <v>912.62</v>
      </c>
      <c r="IF220" s="57">
        <v>1017.7</v>
      </c>
      <c r="IG220" s="57">
        <v>1467.04</v>
      </c>
      <c r="IH220" s="57">
        <v>1325.9</v>
      </c>
      <c r="II220" s="57">
        <v>1611.8</v>
      </c>
      <c r="IJ220" s="57">
        <v>1460.69</v>
      </c>
      <c r="IK220" s="57">
        <v>1004.08</v>
      </c>
      <c r="IL220" s="57">
        <v>781.03</v>
      </c>
      <c r="IM220" s="57">
        <v>1100.78</v>
      </c>
      <c r="IN220" s="57">
        <v>1054.73</v>
      </c>
      <c r="IO220" s="57">
        <v>1315.82</v>
      </c>
      <c r="IP220" s="57">
        <v>776.04</v>
      </c>
      <c r="IQ220" s="57">
        <v>662.64</v>
      </c>
      <c r="IR220" s="57">
        <v>1502.59</v>
      </c>
      <c r="IS220" s="57">
        <v>1609</v>
      </c>
      <c r="IT220" s="57">
        <v>64.98</v>
      </c>
      <c r="IU220" s="57">
        <v>259.39</v>
      </c>
      <c r="IV220" s="57">
        <v>95.77</v>
      </c>
      <c r="IW220" s="57">
        <v>202.84</v>
      </c>
      <c r="IX220" s="57">
        <v>540.82000000000005</v>
      </c>
      <c r="IY220" s="57">
        <v>1480.76</v>
      </c>
      <c r="IZ220" s="57">
        <v>984.24</v>
      </c>
      <c r="JA220" s="57">
        <v>739.12</v>
      </c>
      <c r="JB220" s="57">
        <v>225.96</v>
      </c>
      <c r="JC220" s="57">
        <v>1354.85</v>
      </c>
      <c r="JD220" s="57">
        <v>809.31</v>
      </c>
      <c r="JE220" s="57">
        <v>1289.48</v>
      </c>
      <c r="JF220" s="57">
        <v>543.37</v>
      </c>
      <c r="JG220" s="57">
        <v>530.38</v>
      </c>
      <c r="JH220" s="57">
        <v>1291.33</v>
      </c>
      <c r="JI220" s="57">
        <v>1261.24</v>
      </c>
      <c r="JJ220" s="57">
        <v>1368.89</v>
      </c>
      <c r="JK220" s="57">
        <v>1411.14</v>
      </c>
      <c r="JL220" s="57">
        <v>892.96</v>
      </c>
      <c r="JM220" s="57">
        <v>763.45</v>
      </c>
      <c r="JN220" s="57">
        <v>641.26</v>
      </c>
      <c r="JO220" s="57">
        <v>540.14</v>
      </c>
      <c r="JP220" s="57">
        <v>1941.12</v>
      </c>
      <c r="JQ220" s="57">
        <v>1328.18</v>
      </c>
      <c r="JR220" s="57">
        <v>1051.68</v>
      </c>
      <c r="JS220" s="57">
        <v>740.69</v>
      </c>
      <c r="JT220" s="57">
        <v>1308.45</v>
      </c>
      <c r="JU220" s="57">
        <v>954.35</v>
      </c>
      <c r="JV220" s="57">
        <v>554.42999999999995</v>
      </c>
      <c r="JW220" s="57">
        <v>799.14</v>
      </c>
      <c r="JX220" s="57">
        <v>5388.9</v>
      </c>
      <c r="JY220" s="57">
        <v>690.21</v>
      </c>
      <c r="JZ220" s="57">
        <v>1051.51</v>
      </c>
      <c r="KA220" s="57">
        <v>1033.82</v>
      </c>
      <c r="KB220" s="57">
        <v>469.2</v>
      </c>
      <c r="KC220" s="57">
        <v>744.61</v>
      </c>
      <c r="KD220" s="57">
        <v>2025.15</v>
      </c>
      <c r="KE220" s="57">
        <v>81.97</v>
      </c>
      <c r="KF220" s="57">
        <v>1032.3499999999999</v>
      </c>
    </row>
    <row r="221" spans="1:292">
      <c r="A221" s="41">
        <v>2022</v>
      </c>
      <c r="B221" s="54" t="s">
        <v>999</v>
      </c>
      <c r="C221" s="50" t="s">
        <v>1000</v>
      </c>
      <c r="D221" s="57">
        <v>1128.45</v>
      </c>
      <c r="E221" s="57">
        <v>1555.31</v>
      </c>
      <c r="F221" s="57">
        <v>1728.66</v>
      </c>
      <c r="G221" s="57">
        <v>399.98</v>
      </c>
      <c r="H221" s="57">
        <v>1235.0999999999999</v>
      </c>
      <c r="I221" s="57">
        <v>1073.8399999999999</v>
      </c>
      <c r="J221" s="57">
        <v>607.14</v>
      </c>
      <c r="K221" s="57">
        <v>1221.8699999999999</v>
      </c>
      <c r="L221" s="57">
        <v>232.35</v>
      </c>
      <c r="M221" s="57">
        <v>599.62</v>
      </c>
      <c r="N221" s="57">
        <v>703.46</v>
      </c>
      <c r="O221" s="57">
        <v>1749.45</v>
      </c>
      <c r="P221" s="57">
        <v>1536.72</v>
      </c>
      <c r="Q221" s="57">
        <v>1581.46</v>
      </c>
      <c r="R221" s="57">
        <v>1220.21</v>
      </c>
      <c r="S221" s="57">
        <v>2516.63</v>
      </c>
      <c r="T221" s="57">
        <v>1680.91</v>
      </c>
      <c r="U221" s="57">
        <v>382.95</v>
      </c>
      <c r="V221" s="57">
        <v>453.38</v>
      </c>
      <c r="W221" s="57">
        <v>945.76</v>
      </c>
      <c r="X221" s="57">
        <v>1476.77</v>
      </c>
      <c r="Y221" s="57">
        <v>1013.2</v>
      </c>
      <c r="Z221" s="57">
        <v>1511.9</v>
      </c>
      <c r="AA221" s="57">
        <v>1268.26</v>
      </c>
      <c r="AB221" s="57">
        <v>966.45</v>
      </c>
      <c r="AC221" s="57">
        <v>1036.82</v>
      </c>
      <c r="AD221" s="57">
        <v>999.72</v>
      </c>
      <c r="AE221" s="57">
        <v>988.02</v>
      </c>
      <c r="AF221" s="57">
        <v>849.05</v>
      </c>
      <c r="AG221" s="57">
        <v>561.54999999999995</v>
      </c>
      <c r="AH221" s="57">
        <v>577.79999999999995</v>
      </c>
      <c r="AI221" s="57">
        <v>1033.18</v>
      </c>
      <c r="AJ221" s="57">
        <v>1033.5899999999999</v>
      </c>
      <c r="AK221" s="57">
        <v>1290.5899999999999</v>
      </c>
      <c r="AL221" s="57">
        <v>1150.72</v>
      </c>
      <c r="AM221" s="57">
        <v>1609</v>
      </c>
      <c r="AN221" s="57">
        <v>66</v>
      </c>
      <c r="AO221" s="57">
        <v>261.89</v>
      </c>
      <c r="AP221" s="57">
        <v>160.16</v>
      </c>
      <c r="AQ221" s="57">
        <v>1500.88</v>
      </c>
      <c r="AR221" s="57">
        <v>996.67</v>
      </c>
      <c r="AS221" s="57">
        <v>717.33</v>
      </c>
      <c r="AT221" s="57">
        <v>1328.82</v>
      </c>
      <c r="AU221" s="57">
        <v>1410.12</v>
      </c>
      <c r="AV221" s="57">
        <v>892.96</v>
      </c>
      <c r="AW221" s="57">
        <v>763.45</v>
      </c>
      <c r="AX221" s="57">
        <v>641.26</v>
      </c>
      <c r="AY221" s="57">
        <v>550.47</v>
      </c>
      <c r="AZ221" s="57">
        <v>1836.5</v>
      </c>
      <c r="BA221" s="57">
        <v>965.05</v>
      </c>
      <c r="BB221" s="57">
        <v>905.11</v>
      </c>
      <c r="BC221" s="57">
        <v>3810.45</v>
      </c>
      <c r="BD221" s="57">
        <v>1036.8699999999999</v>
      </c>
      <c r="BE221" s="57">
        <v>1808.02</v>
      </c>
      <c r="BF221" s="57">
        <v>81.97</v>
      </c>
      <c r="BG221" s="57">
        <v>1033.04</v>
      </c>
      <c r="BH221" s="57">
        <v>1609.76</v>
      </c>
      <c r="BI221" s="57">
        <v>1476.64</v>
      </c>
      <c r="BJ221" s="57">
        <v>1317.41</v>
      </c>
      <c r="BK221" s="57">
        <v>1772.18</v>
      </c>
      <c r="BL221" s="57">
        <v>1676.92</v>
      </c>
      <c r="BM221" s="57">
        <v>1215.56</v>
      </c>
      <c r="BN221" s="57">
        <v>1845.67</v>
      </c>
      <c r="BO221" s="57">
        <v>1074.6300000000001</v>
      </c>
      <c r="BP221" s="57">
        <v>1740.75</v>
      </c>
      <c r="BQ221" s="57">
        <v>1231.8499999999999</v>
      </c>
      <c r="BR221" s="57">
        <v>1204.1500000000001</v>
      </c>
      <c r="BS221" s="57">
        <v>2611.5500000000002</v>
      </c>
      <c r="BT221" s="57">
        <v>1786.6</v>
      </c>
      <c r="BU221" s="57">
        <v>2392.1</v>
      </c>
      <c r="BV221" s="57">
        <v>1680.91</v>
      </c>
      <c r="BW221" s="57">
        <v>357.66</v>
      </c>
      <c r="BX221" s="57">
        <v>662.85</v>
      </c>
      <c r="BY221" s="57">
        <v>1179.07</v>
      </c>
      <c r="BZ221" s="57">
        <v>449.89</v>
      </c>
      <c r="CA221" s="57">
        <v>1336.63</v>
      </c>
      <c r="CB221" s="58">
        <v>945.76</v>
      </c>
      <c r="CC221" s="57">
        <v>1476.77</v>
      </c>
      <c r="CD221" s="57">
        <v>1009.29</v>
      </c>
      <c r="CE221" s="57">
        <v>1204.31</v>
      </c>
      <c r="CF221" s="57">
        <v>1640.98</v>
      </c>
      <c r="CG221" s="57">
        <v>1685.59</v>
      </c>
      <c r="CH221" s="57">
        <v>1316.95</v>
      </c>
      <c r="CI221" s="57">
        <v>981.51</v>
      </c>
      <c r="CJ221" s="57">
        <v>966.45</v>
      </c>
      <c r="CK221" s="57">
        <v>987.18</v>
      </c>
      <c r="CL221" s="57">
        <v>890.42</v>
      </c>
      <c r="CM221" s="57">
        <v>1554.29</v>
      </c>
      <c r="CN221" s="57">
        <v>999.72</v>
      </c>
      <c r="CO221" s="57">
        <v>988.02</v>
      </c>
      <c r="CP221" s="57">
        <v>752.71</v>
      </c>
      <c r="CQ221" s="57">
        <v>1183.53</v>
      </c>
      <c r="CR221" s="57">
        <v>637.49</v>
      </c>
      <c r="CS221" s="57">
        <v>639.41999999999996</v>
      </c>
      <c r="CT221" s="57">
        <v>441.55</v>
      </c>
      <c r="CU221" s="57">
        <v>291.13</v>
      </c>
      <c r="CV221" s="57">
        <v>961.76</v>
      </c>
      <c r="CW221" s="57">
        <v>427.43</v>
      </c>
      <c r="CX221" s="57">
        <v>1033.18</v>
      </c>
      <c r="CY221" s="57">
        <v>1035.02</v>
      </c>
      <c r="CZ221" s="57">
        <v>913.94</v>
      </c>
      <c r="DA221" s="57">
        <v>1042.8900000000001</v>
      </c>
      <c r="DB221" s="57">
        <v>1529.01</v>
      </c>
      <c r="DC221" s="57">
        <v>1187.3800000000001</v>
      </c>
      <c r="DD221" s="57">
        <v>1646.59</v>
      </c>
      <c r="DE221" s="57">
        <v>1523.17</v>
      </c>
      <c r="DF221" s="57">
        <v>994.71</v>
      </c>
      <c r="DG221" s="57">
        <v>1143.01</v>
      </c>
      <c r="DH221" s="57">
        <v>769.59</v>
      </c>
      <c r="DI221" s="57">
        <v>690.02</v>
      </c>
      <c r="DJ221" s="57">
        <v>1520.54</v>
      </c>
      <c r="DK221" s="57">
        <v>1609</v>
      </c>
      <c r="DL221" s="57">
        <v>66</v>
      </c>
      <c r="DM221" s="57">
        <v>261.89</v>
      </c>
      <c r="DN221" s="57">
        <v>98.68</v>
      </c>
      <c r="DO221" s="57">
        <v>201.48</v>
      </c>
      <c r="DP221" s="57">
        <v>551.48</v>
      </c>
      <c r="DQ221" s="57">
        <v>1500.88</v>
      </c>
      <c r="DR221" s="57">
        <v>975.18</v>
      </c>
      <c r="DS221" s="57">
        <v>733.56</v>
      </c>
      <c r="DT221" s="57">
        <v>242.59</v>
      </c>
      <c r="DU221" s="57">
        <v>1382.02</v>
      </c>
      <c r="DV221" s="57">
        <v>823.26</v>
      </c>
      <c r="DW221" s="57">
        <v>652.35</v>
      </c>
      <c r="DX221" s="57">
        <v>530.38</v>
      </c>
      <c r="DY221" s="57">
        <v>1330.12</v>
      </c>
      <c r="DZ221" s="57">
        <v>1346.25</v>
      </c>
      <c r="EA221" s="57">
        <v>1411.16</v>
      </c>
      <c r="EB221" s="57">
        <v>1410.12</v>
      </c>
      <c r="EC221" s="57">
        <v>892.96</v>
      </c>
      <c r="ED221" s="57">
        <v>763.45</v>
      </c>
      <c r="EE221" s="57">
        <v>641.26</v>
      </c>
      <c r="EF221" s="57">
        <v>550.47</v>
      </c>
      <c r="EG221" s="57">
        <v>1836.5</v>
      </c>
      <c r="EH221" s="57">
        <v>965.05</v>
      </c>
      <c r="EI221" s="57">
        <v>1154.06</v>
      </c>
      <c r="EJ221" s="57">
        <v>577.35</v>
      </c>
      <c r="EK221" s="57">
        <v>816.79</v>
      </c>
      <c r="EL221" s="57">
        <v>5622.41</v>
      </c>
      <c r="EM221" s="57">
        <v>844.52</v>
      </c>
      <c r="EN221" s="57">
        <v>1036.8699999999999</v>
      </c>
      <c r="EO221" s="57">
        <v>841.07</v>
      </c>
      <c r="EP221" s="57">
        <v>850.82</v>
      </c>
      <c r="EQ221" s="57">
        <v>2030.13</v>
      </c>
      <c r="ER221" s="57">
        <v>81.97</v>
      </c>
      <c r="ES221" s="57">
        <v>1033.04</v>
      </c>
      <c r="ET221" s="57">
        <v>1973.29</v>
      </c>
      <c r="EU221" s="57">
        <v>1637.95</v>
      </c>
      <c r="EV221" s="57">
        <v>1528.94</v>
      </c>
      <c r="EW221" s="57">
        <v>1521.54</v>
      </c>
      <c r="EX221" s="57">
        <v>2057.77</v>
      </c>
      <c r="EY221" s="57">
        <v>751.43</v>
      </c>
      <c r="EZ221" s="57">
        <v>1437.56</v>
      </c>
      <c r="FA221" s="57">
        <v>1465.14</v>
      </c>
      <c r="FB221" s="57">
        <v>1474.18</v>
      </c>
      <c r="FC221" s="57">
        <v>1867.11</v>
      </c>
      <c r="FD221" s="57">
        <v>1270.81</v>
      </c>
      <c r="FE221" s="57">
        <v>1332.52</v>
      </c>
      <c r="FF221" s="57">
        <v>260.31</v>
      </c>
      <c r="FG221" s="57">
        <v>1640.46</v>
      </c>
      <c r="FH221" s="57">
        <v>1482.27</v>
      </c>
      <c r="FI221" s="57">
        <v>1815.5</v>
      </c>
      <c r="FJ221" s="57">
        <v>2266.23</v>
      </c>
      <c r="FK221" s="57">
        <v>2659.69</v>
      </c>
      <c r="FL221" s="57">
        <v>1751.56</v>
      </c>
      <c r="FM221" s="57">
        <v>1528.19</v>
      </c>
      <c r="FN221" s="57">
        <v>990.19</v>
      </c>
      <c r="FO221" s="57">
        <v>2362.87</v>
      </c>
      <c r="FP221" s="57">
        <v>1768.2</v>
      </c>
      <c r="FQ221" s="57">
        <v>1897.71</v>
      </c>
      <c r="FR221" s="57">
        <v>2634.86</v>
      </c>
      <c r="FS221" s="57">
        <v>1594.37</v>
      </c>
      <c r="FT221" s="57">
        <v>902.06</v>
      </c>
      <c r="FU221" s="57">
        <v>1561.72</v>
      </c>
      <c r="FV221" s="57">
        <v>1198.79</v>
      </c>
      <c r="FW221" s="57">
        <v>635.65</v>
      </c>
      <c r="FX221" s="57">
        <v>1740.75</v>
      </c>
      <c r="FY221" s="57">
        <v>1660.04</v>
      </c>
      <c r="FZ221" s="57">
        <v>1126.04</v>
      </c>
      <c r="GA221" s="57">
        <v>1176.31</v>
      </c>
      <c r="GB221" s="57">
        <v>1081.77</v>
      </c>
      <c r="GC221" s="57">
        <v>1396.87</v>
      </c>
      <c r="GD221" s="57">
        <v>1173.29</v>
      </c>
      <c r="GE221" s="57">
        <v>2611.5500000000002</v>
      </c>
      <c r="GF221" s="57">
        <v>1786.6</v>
      </c>
      <c r="GG221" s="57">
        <v>2392.1</v>
      </c>
      <c r="GH221" s="57">
        <v>1678.09</v>
      </c>
      <c r="GI221" s="57">
        <v>430.65</v>
      </c>
      <c r="GJ221" s="57">
        <v>313.66000000000003</v>
      </c>
      <c r="GK221" s="57">
        <v>314.95999999999998</v>
      </c>
      <c r="GL221" s="57">
        <v>493.8</v>
      </c>
      <c r="GM221" s="57">
        <v>662.85</v>
      </c>
      <c r="GN221" s="57">
        <v>1179.07</v>
      </c>
      <c r="GO221" s="57">
        <v>508.45</v>
      </c>
      <c r="GP221" s="57">
        <v>392.38</v>
      </c>
      <c r="GQ221" s="57">
        <v>446.46</v>
      </c>
      <c r="GR221" s="57">
        <v>1336.63</v>
      </c>
      <c r="GS221" s="57">
        <v>945.76</v>
      </c>
      <c r="GT221" s="57">
        <v>1476.77</v>
      </c>
      <c r="GU221" s="57">
        <v>1009.29</v>
      </c>
      <c r="GV221" s="57">
        <v>1204.31</v>
      </c>
      <c r="GW221" s="57">
        <v>1629.93</v>
      </c>
      <c r="GX221" s="57">
        <v>1415.55</v>
      </c>
      <c r="GY221" s="57">
        <v>1685.59</v>
      </c>
      <c r="GZ221" s="57">
        <v>1600.58</v>
      </c>
      <c r="HA221" s="57">
        <v>1278.45</v>
      </c>
      <c r="HB221" s="57">
        <v>1292.8599999999999</v>
      </c>
      <c r="HC221" s="57">
        <v>981.51</v>
      </c>
      <c r="HD221" s="57">
        <v>966.45</v>
      </c>
      <c r="HE221" s="57">
        <v>825.51</v>
      </c>
      <c r="HF221" s="57">
        <v>1007.23</v>
      </c>
      <c r="HG221" s="57">
        <v>1291.1300000000001</v>
      </c>
      <c r="HH221" s="57">
        <v>1218.97</v>
      </c>
      <c r="HI221" s="57">
        <v>546.78</v>
      </c>
      <c r="HJ221" s="57">
        <v>890.42</v>
      </c>
      <c r="HK221" s="57">
        <v>1554.29</v>
      </c>
      <c r="HL221" s="57">
        <v>997.87</v>
      </c>
      <c r="HM221" s="57">
        <v>1044.99</v>
      </c>
      <c r="HN221" s="57">
        <v>1008.94</v>
      </c>
      <c r="HO221" s="57">
        <v>621.73</v>
      </c>
      <c r="HP221" s="57">
        <v>1584</v>
      </c>
      <c r="HQ221" s="57">
        <v>669.35</v>
      </c>
      <c r="HR221" s="57">
        <v>1344.46</v>
      </c>
      <c r="HS221" s="57">
        <v>1116.83</v>
      </c>
      <c r="HT221" s="57">
        <v>1045.8699999999999</v>
      </c>
      <c r="HU221" s="57">
        <v>637.49</v>
      </c>
      <c r="HV221" s="57">
        <v>639.41999999999996</v>
      </c>
      <c r="HW221" s="57">
        <v>370.72</v>
      </c>
      <c r="HX221" s="57">
        <v>553.77</v>
      </c>
      <c r="HY221" s="57">
        <v>291.13</v>
      </c>
      <c r="HZ221" s="57">
        <v>961.76</v>
      </c>
      <c r="IA221" s="57">
        <v>390.42</v>
      </c>
      <c r="IB221" s="57">
        <v>1033.18</v>
      </c>
      <c r="IC221" s="57">
        <v>924.27</v>
      </c>
      <c r="ID221" s="57">
        <v>1067.19</v>
      </c>
      <c r="IE221" s="57">
        <v>913.94</v>
      </c>
      <c r="IF221" s="57">
        <v>1042.8900000000001</v>
      </c>
      <c r="IG221" s="57">
        <v>1529.01</v>
      </c>
      <c r="IH221" s="57">
        <v>1187.3800000000001</v>
      </c>
      <c r="II221" s="57">
        <v>1646.59</v>
      </c>
      <c r="IJ221" s="57">
        <v>1523.17</v>
      </c>
      <c r="IK221" s="57">
        <v>1005.24</v>
      </c>
      <c r="IL221" s="57">
        <v>781.03</v>
      </c>
      <c r="IM221" s="57">
        <v>1102.23</v>
      </c>
      <c r="IN221" s="57">
        <v>1060.6500000000001</v>
      </c>
      <c r="IO221" s="57">
        <v>1268.73</v>
      </c>
      <c r="IP221" s="57">
        <v>769.59</v>
      </c>
      <c r="IQ221" s="57">
        <v>690.02</v>
      </c>
      <c r="IR221" s="57">
        <v>1520.54</v>
      </c>
      <c r="IS221" s="57">
        <v>1609</v>
      </c>
      <c r="IT221" s="57">
        <v>66</v>
      </c>
      <c r="IU221" s="57">
        <v>261.89</v>
      </c>
      <c r="IV221" s="57">
        <v>98.7</v>
      </c>
      <c r="IW221" s="57">
        <v>201.48</v>
      </c>
      <c r="IX221" s="57">
        <v>551.48</v>
      </c>
      <c r="IY221" s="57">
        <v>1500.88</v>
      </c>
      <c r="IZ221" s="57">
        <v>975.18</v>
      </c>
      <c r="JA221" s="57">
        <v>733.56</v>
      </c>
      <c r="JB221" s="57">
        <v>242.59</v>
      </c>
      <c r="JC221" s="57">
        <v>1382.02</v>
      </c>
      <c r="JD221" s="57">
        <v>823.26</v>
      </c>
      <c r="JE221" s="57">
        <v>1323.61</v>
      </c>
      <c r="JF221" s="57">
        <v>571.04</v>
      </c>
      <c r="JG221" s="57">
        <v>530.38</v>
      </c>
      <c r="JH221" s="57">
        <v>1330.12</v>
      </c>
      <c r="JI221" s="57">
        <v>1346.25</v>
      </c>
      <c r="JJ221" s="57">
        <v>1411.16</v>
      </c>
      <c r="JK221" s="57">
        <v>1410.12</v>
      </c>
      <c r="JL221" s="57">
        <v>892.96</v>
      </c>
      <c r="JM221" s="57">
        <v>763.45</v>
      </c>
      <c r="JN221" s="57">
        <v>641.26</v>
      </c>
      <c r="JO221" s="57">
        <v>550.47</v>
      </c>
      <c r="JP221" s="57">
        <v>2002.82</v>
      </c>
      <c r="JQ221" s="57">
        <v>1356.29</v>
      </c>
      <c r="JR221" s="57">
        <v>1037.8800000000001</v>
      </c>
      <c r="JS221" s="57">
        <v>740.61</v>
      </c>
      <c r="JT221" s="57">
        <v>1343.33</v>
      </c>
      <c r="JU221" s="57">
        <v>987.07</v>
      </c>
      <c r="JV221" s="57">
        <v>577.35</v>
      </c>
      <c r="JW221" s="57">
        <v>816.79</v>
      </c>
      <c r="JX221" s="57">
        <v>5622.41</v>
      </c>
      <c r="JY221" s="57">
        <v>664.19</v>
      </c>
      <c r="JZ221" s="57">
        <v>1067.17</v>
      </c>
      <c r="KA221" s="57">
        <v>1036.8699999999999</v>
      </c>
      <c r="KB221" s="57">
        <v>841.07</v>
      </c>
      <c r="KC221" s="57">
        <v>850.82</v>
      </c>
      <c r="KD221" s="57">
        <v>2030.13</v>
      </c>
      <c r="KE221" s="57">
        <v>81.97</v>
      </c>
      <c r="KF221" s="57">
        <v>1033.04</v>
      </c>
    </row>
    <row r="222" spans="1:292">
      <c r="A222" s="41">
        <v>2023</v>
      </c>
      <c r="B222" s="54" t="s">
        <v>977</v>
      </c>
      <c r="C222" s="50" t="s">
        <v>978</v>
      </c>
      <c r="D222" s="57">
        <v>1203.48</v>
      </c>
      <c r="E222" s="57">
        <v>1658.23</v>
      </c>
      <c r="F222" s="57">
        <v>1922.07</v>
      </c>
      <c r="G222" s="57">
        <v>393.88</v>
      </c>
      <c r="H222" s="57">
        <v>1275.95</v>
      </c>
      <c r="I222" s="57">
        <v>1133.71</v>
      </c>
      <c r="J222" s="57">
        <v>718.58</v>
      </c>
      <c r="K222" s="57">
        <v>1298.68</v>
      </c>
      <c r="L222" s="57">
        <v>246.83</v>
      </c>
      <c r="M222" s="57">
        <v>651.77</v>
      </c>
      <c r="N222" s="57">
        <v>734.81</v>
      </c>
      <c r="O222" s="57">
        <v>1972.21</v>
      </c>
      <c r="P222" s="57">
        <v>1694.5</v>
      </c>
      <c r="Q222" s="57">
        <v>1690.88</v>
      </c>
      <c r="R222" s="57">
        <v>1248.98</v>
      </c>
      <c r="S222" s="57">
        <v>2929.56</v>
      </c>
      <c r="T222" s="57">
        <v>1860.8</v>
      </c>
      <c r="U222" s="57">
        <v>376.21</v>
      </c>
      <c r="V222" s="57">
        <v>450.19</v>
      </c>
      <c r="W222" s="57">
        <v>1037.93</v>
      </c>
      <c r="X222" s="57">
        <v>1516.42</v>
      </c>
      <c r="Y222" s="57">
        <v>1116.8399999999999</v>
      </c>
      <c r="Z222" s="57">
        <v>1482.18</v>
      </c>
      <c r="AA222" s="57">
        <v>1365.84</v>
      </c>
      <c r="AB222" s="57">
        <v>992.76</v>
      </c>
      <c r="AC222" s="57">
        <v>1108</v>
      </c>
      <c r="AD222" s="57">
        <v>1023.55</v>
      </c>
      <c r="AE222" s="57">
        <v>1012.42</v>
      </c>
      <c r="AF222" s="57">
        <v>881.6</v>
      </c>
      <c r="AG222" s="57">
        <v>643.34</v>
      </c>
      <c r="AH222" s="57">
        <v>679.12</v>
      </c>
      <c r="AI222" s="57">
        <v>1316.93</v>
      </c>
      <c r="AJ222" s="57">
        <v>1071.56</v>
      </c>
      <c r="AK222" s="57">
        <v>1383.78</v>
      </c>
      <c r="AL222" s="57">
        <v>1268.46</v>
      </c>
      <c r="AM222" s="57">
        <v>1892.69</v>
      </c>
      <c r="AN222" s="57">
        <v>67.73</v>
      </c>
      <c r="AO222" s="57">
        <v>283.18</v>
      </c>
      <c r="AP222" s="57">
        <v>167.41</v>
      </c>
      <c r="AQ222" s="57">
        <v>1535.8</v>
      </c>
      <c r="AR222" s="57">
        <v>1131.8800000000001</v>
      </c>
      <c r="AS222" s="57">
        <v>824.33</v>
      </c>
      <c r="AT222" s="57">
        <v>1372.46</v>
      </c>
      <c r="AU222" s="57">
        <v>1443</v>
      </c>
      <c r="AV222" s="57">
        <v>940.08</v>
      </c>
      <c r="AW222" s="57">
        <v>802.81</v>
      </c>
      <c r="AX222" s="57">
        <v>641.26</v>
      </c>
      <c r="AY222" s="57">
        <v>624.07000000000005</v>
      </c>
      <c r="AZ222" s="57">
        <v>2073.89</v>
      </c>
      <c r="BA222" s="57">
        <v>1071.82</v>
      </c>
      <c r="BB222" s="57">
        <v>940.91</v>
      </c>
      <c r="BC222" s="57">
        <v>3975.44</v>
      </c>
      <c r="BD222" s="57">
        <v>1168.1500000000001</v>
      </c>
      <c r="BE222" s="57">
        <v>1893.87</v>
      </c>
      <c r="BF222" s="57">
        <v>124.41</v>
      </c>
      <c r="BG222" s="57">
        <v>1762.51</v>
      </c>
      <c r="BH222" s="57">
        <v>1703.25</v>
      </c>
      <c r="BI222" s="57">
        <v>1717.57</v>
      </c>
      <c r="BJ222" s="57">
        <v>1383.57</v>
      </c>
      <c r="BK222" s="57">
        <v>1853.81</v>
      </c>
      <c r="BL222" s="57">
        <v>1692.65</v>
      </c>
      <c r="BM222" s="57">
        <v>1239.94</v>
      </c>
      <c r="BN222" s="57">
        <v>1985.88</v>
      </c>
      <c r="BO222" s="57">
        <v>1115.32</v>
      </c>
      <c r="BP222" s="57">
        <v>1782.84</v>
      </c>
      <c r="BQ222" s="57">
        <v>1247.49</v>
      </c>
      <c r="BR222" s="57">
        <v>1243.94</v>
      </c>
      <c r="BS222" s="57">
        <v>2867.05</v>
      </c>
      <c r="BT222" s="57">
        <v>1882.53</v>
      </c>
      <c r="BU222" s="57">
        <v>2994.09</v>
      </c>
      <c r="BV222" s="57">
        <v>1860.8</v>
      </c>
      <c r="BW222" s="57">
        <v>349.6</v>
      </c>
      <c r="BX222" s="57">
        <v>680.31</v>
      </c>
      <c r="BY222" s="57">
        <v>1312.19</v>
      </c>
      <c r="BZ222" s="57">
        <v>446.43</v>
      </c>
      <c r="CA222" s="57">
        <v>1476.4</v>
      </c>
      <c r="CB222" s="58">
        <v>1037.93</v>
      </c>
      <c r="CC222" s="57">
        <v>1516.42</v>
      </c>
      <c r="CD222" s="57">
        <v>1112.53</v>
      </c>
      <c r="CE222" s="57">
        <v>1204.31</v>
      </c>
      <c r="CF222" s="57">
        <v>1562.96</v>
      </c>
      <c r="CG222" s="57">
        <v>1691.92</v>
      </c>
      <c r="CH222" s="57">
        <v>1421.86</v>
      </c>
      <c r="CI222" s="57">
        <v>1030.06</v>
      </c>
      <c r="CJ222" s="57">
        <v>992.76</v>
      </c>
      <c r="CK222" s="57">
        <v>1049.79</v>
      </c>
      <c r="CL222" s="57">
        <v>967.09</v>
      </c>
      <c r="CM222" s="57">
        <v>1749.21</v>
      </c>
      <c r="CN222" s="57">
        <v>1023.55</v>
      </c>
      <c r="CO222" s="57">
        <v>1012.42</v>
      </c>
      <c r="CP222" s="57">
        <v>757.69</v>
      </c>
      <c r="CQ222" s="57">
        <v>1366.08</v>
      </c>
      <c r="CR222" s="57">
        <v>751.96</v>
      </c>
      <c r="CS222" s="57">
        <v>652.44000000000005</v>
      </c>
      <c r="CT222" s="57">
        <v>491.43</v>
      </c>
      <c r="CU222" s="57">
        <v>299.61</v>
      </c>
      <c r="CV222" s="57">
        <v>1170.9100000000001</v>
      </c>
      <c r="CW222" s="57">
        <v>544.96</v>
      </c>
      <c r="CX222" s="57">
        <v>1316.93</v>
      </c>
      <c r="CY222" s="57">
        <v>1074.3</v>
      </c>
      <c r="CZ222" s="57">
        <v>915.34</v>
      </c>
      <c r="DA222" s="57">
        <v>1120.2</v>
      </c>
      <c r="DB222" s="57">
        <v>1593.01</v>
      </c>
      <c r="DC222" s="57">
        <v>1237.72</v>
      </c>
      <c r="DD222" s="57">
        <v>1874.93</v>
      </c>
      <c r="DE222" s="57">
        <v>2010.9</v>
      </c>
      <c r="DF222" s="57">
        <v>1154.49</v>
      </c>
      <c r="DG222" s="57">
        <v>1244.27</v>
      </c>
      <c r="DH222" s="57">
        <v>869</v>
      </c>
      <c r="DI222" s="57">
        <v>1054.4100000000001</v>
      </c>
      <c r="DJ222" s="57">
        <v>1726.56</v>
      </c>
      <c r="DK222" s="57">
        <v>1892.69</v>
      </c>
      <c r="DL222" s="57">
        <v>67.73</v>
      </c>
      <c r="DM222" s="57">
        <v>283.18</v>
      </c>
      <c r="DN222" s="57">
        <v>103.08</v>
      </c>
      <c r="DO222" s="57">
        <v>205.7</v>
      </c>
      <c r="DP222" s="57">
        <v>640.65</v>
      </c>
      <c r="DQ222" s="57">
        <v>1535.8</v>
      </c>
      <c r="DR222" s="57">
        <v>1070.77</v>
      </c>
      <c r="DS222" s="57">
        <v>746.79</v>
      </c>
      <c r="DT222" s="57">
        <v>296.44</v>
      </c>
      <c r="DU222" s="57">
        <v>1823.84</v>
      </c>
      <c r="DV222" s="57">
        <v>913.38</v>
      </c>
      <c r="DW222" s="57">
        <v>794.27</v>
      </c>
      <c r="DX222" s="57">
        <v>559.38</v>
      </c>
      <c r="DY222" s="57">
        <v>1352.55</v>
      </c>
      <c r="DZ222" s="57">
        <v>1495.95</v>
      </c>
      <c r="EA222" s="57">
        <v>1470.82</v>
      </c>
      <c r="EB222" s="57">
        <v>1443</v>
      </c>
      <c r="EC222" s="57">
        <v>940.08</v>
      </c>
      <c r="ED222" s="57">
        <v>802.81</v>
      </c>
      <c r="EE222" s="57">
        <v>641.26</v>
      </c>
      <c r="EF222" s="57">
        <v>624.07000000000005</v>
      </c>
      <c r="EG222" s="57">
        <v>2073.89</v>
      </c>
      <c r="EH222" s="57">
        <v>1071.82</v>
      </c>
      <c r="EI222" s="57">
        <v>1291.94</v>
      </c>
      <c r="EJ222" s="57">
        <v>615.53</v>
      </c>
      <c r="EK222" s="57">
        <v>832.58</v>
      </c>
      <c r="EL222" s="57">
        <v>5944.3</v>
      </c>
      <c r="EM222" s="57">
        <v>866.59</v>
      </c>
      <c r="EN222" s="57">
        <v>1168.1500000000001</v>
      </c>
      <c r="EO222" s="57">
        <v>856.23</v>
      </c>
      <c r="EP222" s="57">
        <v>1050.07</v>
      </c>
      <c r="EQ222" s="57">
        <v>2089.37</v>
      </c>
      <c r="ER222" s="57">
        <v>124.41</v>
      </c>
      <c r="ES222" s="57">
        <v>1762.51</v>
      </c>
      <c r="ET222" s="57">
        <v>1986.96</v>
      </c>
      <c r="EU222" s="57">
        <v>1662.35</v>
      </c>
      <c r="EV222" s="57">
        <v>1637.51</v>
      </c>
      <c r="EW222" s="57">
        <v>1642.25</v>
      </c>
      <c r="EX222" s="57">
        <v>2077</v>
      </c>
      <c r="EY222" s="57">
        <v>827.7</v>
      </c>
      <c r="EZ222" s="57">
        <v>1730.19</v>
      </c>
      <c r="FA222" s="57">
        <v>1685.74</v>
      </c>
      <c r="FB222" s="57">
        <v>1680.03</v>
      </c>
      <c r="FC222" s="57">
        <v>2104.35</v>
      </c>
      <c r="FD222" s="57">
        <v>1388.09</v>
      </c>
      <c r="FE222" s="57">
        <v>1400.94</v>
      </c>
      <c r="FF222" s="57">
        <v>270.66000000000003</v>
      </c>
      <c r="FG222" s="57">
        <v>1749.11</v>
      </c>
      <c r="FH222" s="57">
        <v>1570.78</v>
      </c>
      <c r="FI222" s="57">
        <v>1910.77</v>
      </c>
      <c r="FJ222" s="57">
        <v>2242.98</v>
      </c>
      <c r="FK222" s="57">
        <v>2803.61</v>
      </c>
      <c r="FL222" s="57">
        <v>1747.67</v>
      </c>
      <c r="FM222" s="57">
        <v>1521.15</v>
      </c>
      <c r="FN222" s="57">
        <v>1004.31</v>
      </c>
      <c r="FO222" s="57">
        <v>2441.39</v>
      </c>
      <c r="FP222" s="57">
        <v>1963.88</v>
      </c>
      <c r="FQ222" s="57">
        <v>1840.16</v>
      </c>
      <c r="FR222" s="57">
        <v>2738.55</v>
      </c>
      <c r="FS222" s="57">
        <v>1647.73</v>
      </c>
      <c r="FT222" s="57">
        <v>887.27</v>
      </c>
      <c r="FU222" s="57">
        <v>1633.12</v>
      </c>
      <c r="FV222" s="57">
        <v>1255.31</v>
      </c>
      <c r="FW222" s="57">
        <v>733.59</v>
      </c>
      <c r="FX222" s="57">
        <v>1782.84</v>
      </c>
      <c r="FY222" s="57">
        <v>1709.94</v>
      </c>
      <c r="FZ222" s="57">
        <v>1134.25</v>
      </c>
      <c r="GA222" s="57">
        <v>1181.03</v>
      </c>
      <c r="GB222" s="57">
        <v>1125.1400000000001</v>
      </c>
      <c r="GC222" s="57">
        <v>1443.22</v>
      </c>
      <c r="GD222" s="57">
        <v>1183.52</v>
      </c>
      <c r="GE222" s="57">
        <v>2867.05</v>
      </c>
      <c r="GF222" s="57">
        <v>1882.53</v>
      </c>
      <c r="GG222" s="57">
        <v>2994.09</v>
      </c>
      <c r="GH222" s="57">
        <v>1857.68</v>
      </c>
      <c r="GI222" s="57">
        <v>426.6</v>
      </c>
      <c r="GJ222" s="57">
        <v>305.7</v>
      </c>
      <c r="GK222" s="57">
        <v>300.33999999999997</v>
      </c>
      <c r="GL222" s="57">
        <v>485.98</v>
      </c>
      <c r="GM222" s="57">
        <v>680.31</v>
      </c>
      <c r="GN222" s="57">
        <v>1312.19</v>
      </c>
      <c r="GO222" s="57">
        <v>508.74</v>
      </c>
      <c r="GP222" s="57">
        <v>388.65</v>
      </c>
      <c r="GQ222" s="57">
        <v>436.45</v>
      </c>
      <c r="GR222" s="57">
        <v>1476.4</v>
      </c>
      <c r="GS222" s="57">
        <v>1037.93</v>
      </c>
      <c r="GT222" s="57">
        <v>1516.42</v>
      </c>
      <c r="GU222" s="57">
        <v>1112.53</v>
      </c>
      <c r="GV222" s="57">
        <v>1204.31</v>
      </c>
      <c r="GW222" s="57">
        <v>1523.25</v>
      </c>
      <c r="GX222" s="57">
        <v>1463.66</v>
      </c>
      <c r="GY222" s="57">
        <v>1691.92</v>
      </c>
      <c r="GZ222" s="57">
        <v>1734.22</v>
      </c>
      <c r="HA222" s="57">
        <v>1387.95</v>
      </c>
      <c r="HB222" s="57">
        <v>1387.95</v>
      </c>
      <c r="HC222" s="57">
        <v>1030.06</v>
      </c>
      <c r="HD222" s="57">
        <v>992.76</v>
      </c>
      <c r="HE222" s="57">
        <v>886</v>
      </c>
      <c r="HF222" s="57">
        <v>1059.4000000000001</v>
      </c>
      <c r="HG222" s="57">
        <v>1343.26</v>
      </c>
      <c r="HH222" s="57">
        <v>1305.24</v>
      </c>
      <c r="HI222" s="57">
        <v>586.14</v>
      </c>
      <c r="HJ222" s="57">
        <v>967.09</v>
      </c>
      <c r="HK222" s="57">
        <v>1749.21</v>
      </c>
      <c r="HL222" s="57">
        <v>1027.52</v>
      </c>
      <c r="HM222" s="57">
        <v>1079.6600000000001</v>
      </c>
      <c r="HN222" s="57">
        <v>1027.17</v>
      </c>
      <c r="HO222" s="57">
        <v>634.35</v>
      </c>
      <c r="HP222" s="57">
        <v>1632.74</v>
      </c>
      <c r="HQ222" s="57">
        <v>674.89</v>
      </c>
      <c r="HR222" s="57">
        <v>1344.51</v>
      </c>
      <c r="HS222" s="57">
        <v>1294.3800000000001</v>
      </c>
      <c r="HT222" s="57">
        <v>1181.82</v>
      </c>
      <c r="HU222" s="57">
        <v>751.96</v>
      </c>
      <c r="HV222" s="57">
        <v>652.44000000000005</v>
      </c>
      <c r="HW222" s="57">
        <v>423.77</v>
      </c>
      <c r="HX222" s="57">
        <v>578.54999999999995</v>
      </c>
      <c r="HY222" s="57">
        <v>299.61</v>
      </c>
      <c r="HZ222" s="57">
        <v>1170.9100000000001</v>
      </c>
      <c r="IA222" s="57">
        <v>497.77</v>
      </c>
      <c r="IB222" s="57">
        <v>1316.93</v>
      </c>
      <c r="IC222" s="57">
        <v>954</v>
      </c>
      <c r="ID222" s="57">
        <v>1109</v>
      </c>
      <c r="IE222" s="57">
        <v>915.34</v>
      </c>
      <c r="IF222" s="57">
        <v>1120.2</v>
      </c>
      <c r="IG222" s="57">
        <v>1593.01</v>
      </c>
      <c r="IH222" s="57">
        <v>1237.72</v>
      </c>
      <c r="II222" s="57">
        <v>1874.93</v>
      </c>
      <c r="IJ222" s="57">
        <v>2010.9</v>
      </c>
      <c r="IK222" s="57">
        <v>1190.04</v>
      </c>
      <c r="IL222" s="57">
        <v>904.37</v>
      </c>
      <c r="IM222" s="57">
        <v>1188.05</v>
      </c>
      <c r="IN222" s="57">
        <v>1313.37</v>
      </c>
      <c r="IO222" s="57">
        <v>1317.36</v>
      </c>
      <c r="IP222" s="57">
        <v>869</v>
      </c>
      <c r="IQ222" s="57">
        <v>1054.4100000000001</v>
      </c>
      <c r="IR222" s="57">
        <v>1726.56</v>
      </c>
      <c r="IS222" s="57">
        <v>1892.69</v>
      </c>
      <c r="IT222" s="57">
        <v>67.73</v>
      </c>
      <c r="IU222" s="57">
        <v>283.18</v>
      </c>
      <c r="IV222" s="57">
        <v>103.1</v>
      </c>
      <c r="IW222" s="57">
        <v>205.7</v>
      </c>
      <c r="IX222" s="57">
        <v>640.65</v>
      </c>
      <c r="IY222" s="57">
        <v>1535.8</v>
      </c>
      <c r="IZ222" s="57">
        <v>1070.77</v>
      </c>
      <c r="JA222" s="57">
        <v>746.79</v>
      </c>
      <c r="JB222" s="57">
        <v>296.44</v>
      </c>
      <c r="JC222" s="57">
        <v>1823.84</v>
      </c>
      <c r="JD222" s="57">
        <v>913.38</v>
      </c>
      <c r="JE222" s="57">
        <v>1576.59</v>
      </c>
      <c r="JF222" s="57">
        <v>697.36</v>
      </c>
      <c r="JG222" s="57">
        <v>559.38</v>
      </c>
      <c r="JH222" s="57">
        <v>1352.55</v>
      </c>
      <c r="JI222" s="57">
        <v>1495.95</v>
      </c>
      <c r="JJ222" s="57">
        <v>1470.82</v>
      </c>
      <c r="JK222" s="57">
        <v>1443</v>
      </c>
      <c r="JL222" s="57">
        <v>940.08</v>
      </c>
      <c r="JM222" s="57">
        <v>802.81</v>
      </c>
      <c r="JN222" s="57">
        <v>641.26</v>
      </c>
      <c r="JO222" s="57">
        <v>624.07000000000005</v>
      </c>
      <c r="JP222" s="57">
        <v>2265.94</v>
      </c>
      <c r="JQ222" s="57">
        <v>1518.97</v>
      </c>
      <c r="JR222" s="57">
        <v>1191.93</v>
      </c>
      <c r="JS222" s="57">
        <v>741.1</v>
      </c>
      <c r="JT222" s="57">
        <v>1497.13</v>
      </c>
      <c r="JU222" s="57">
        <v>1108.95</v>
      </c>
      <c r="JV222" s="57">
        <v>615.53</v>
      </c>
      <c r="JW222" s="57">
        <v>832.58</v>
      </c>
      <c r="JX222" s="57">
        <v>5944.3</v>
      </c>
      <c r="JY222" s="57">
        <v>668.04</v>
      </c>
      <c r="JZ222" s="57">
        <v>1117.27</v>
      </c>
      <c r="KA222" s="57">
        <v>1168.1500000000001</v>
      </c>
      <c r="KB222" s="57">
        <v>856.23</v>
      </c>
      <c r="KC222" s="57">
        <v>1050.07</v>
      </c>
      <c r="KD222" s="57">
        <v>2089.37</v>
      </c>
      <c r="KE222" s="57">
        <v>124.41</v>
      </c>
      <c r="KF222" s="57">
        <v>1762.51</v>
      </c>
    </row>
    <row r="223" spans="1:292">
      <c r="A223" s="41">
        <v>2023</v>
      </c>
      <c r="B223" s="54" t="s">
        <v>979</v>
      </c>
      <c r="C223" s="50" t="s">
        <v>980</v>
      </c>
      <c r="D223" s="57">
        <v>1241.33</v>
      </c>
      <c r="E223" s="57">
        <v>1780.2</v>
      </c>
      <c r="F223" s="57">
        <v>1913.86</v>
      </c>
      <c r="G223" s="57">
        <v>386.93</v>
      </c>
      <c r="H223" s="57">
        <v>1292.22</v>
      </c>
      <c r="I223" s="57">
        <v>1154.73</v>
      </c>
      <c r="J223" s="57">
        <v>733.72</v>
      </c>
      <c r="K223" s="57">
        <v>1332.38</v>
      </c>
      <c r="L223" s="57">
        <v>248.16</v>
      </c>
      <c r="M223" s="57">
        <v>657.84</v>
      </c>
      <c r="N223" s="57">
        <v>776.63</v>
      </c>
      <c r="O223" s="57">
        <v>2052.5100000000002</v>
      </c>
      <c r="P223" s="57">
        <v>1722.54</v>
      </c>
      <c r="Q223" s="57">
        <v>1818.73</v>
      </c>
      <c r="R223" s="57">
        <v>1302.8399999999999</v>
      </c>
      <c r="S223" s="57">
        <v>3110.4</v>
      </c>
      <c r="T223" s="57">
        <v>1840.82</v>
      </c>
      <c r="U223" s="57">
        <v>367.92</v>
      </c>
      <c r="V223" s="57">
        <v>449.02</v>
      </c>
      <c r="W223" s="57">
        <v>1065.53</v>
      </c>
      <c r="X223" s="57">
        <v>1537.71</v>
      </c>
      <c r="Y223" s="57">
        <v>1122.07</v>
      </c>
      <c r="Z223" s="57">
        <v>1491.81</v>
      </c>
      <c r="AA223" s="57">
        <v>1406.1</v>
      </c>
      <c r="AB223" s="57">
        <v>990.25</v>
      </c>
      <c r="AC223" s="57">
        <v>1119.8699999999999</v>
      </c>
      <c r="AD223" s="57">
        <v>1044.21</v>
      </c>
      <c r="AE223" s="57">
        <v>1028.3900000000001</v>
      </c>
      <c r="AF223" s="57">
        <v>902.68</v>
      </c>
      <c r="AG223" s="57">
        <v>650.74</v>
      </c>
      <c r="AH223" s="57">
        <v>697.21</v>
      </c>
      <c r="AI223" s="57">
        <v>1348.35</v>
      </c>
      <c r="AJ223" s="57">
        <v>1113.8699999999999</v>
      </c>
      <c r="AK223" s="57">
        <v>1409.43</v>
      </c>
      <c r="AL223" s="57">
        <v>1283.22</v>
      </c>
      <c r="AM223" s="57">
        <v>2226.41</v>
      </c>
      <c r="AN223" s="57">
        <v>67.23</v>
      </c>
      <c r="AO223" s="57">
        <v>286.48</v>
      </c>
      <c r="AP223" s="57">
        <v>167.2</v>
      </c>
      <c r="AQ223" s="57">
        <v>1552.63</v>
      </c>
      <c r="AR223" s="57">
        <v>1114.95</v>
      </c>
      <c r="AS223" s="57">
        <v>841.3</v>
      </c>
      <c r="AT223" s="57">
        <v>1398.3</v>
      </c>
      <c r="AU223" s="57">
        <v>1474.44</v>
      </c>
      <c r="AV223" s="57">
        <v>1030.3</v>
      </c>
      <c r="AW223" s="57">
        <v>867.55</v>
      </c>
      <c r="AX223" s="57">
        <v>641.26</v>
      </c>
      <c r="AY223" s="57">
        <v>651.83000000000004</v>
      </c>
      <c r="AZ223" s="57">
        <v>2166.7399999999998</v>
      </c>
      <c r="BA223" s="57">
        <v>1077.3</v>
      </c>
      <c r="BB223" s="57">
        <v>959.45</v>
      </c>
      <c r="BC223" s="57">
        <v>3982.27</v>
      </c>
      <c r="BD223" s="57">
        <v>1244.1300000000001</v>
      </c>
      <c r="BE223" s="57">
        <v>1934.47</v>
      </c>
      <c r="BF223" s="57">
        <v>135.13999999999999</v>
      </c>
      <c r="BG223" s="57">
        <v>1767.08</v>
      </c>
      <c r="BH223" s="57">
        <v>1751.62</v>
      </c>
      <c r="BI223" s="57">
        <v>1865.88</v>
      </c>
      <c r="BJ223" s="57">
        <v>1455.57</v>
      </c>
      <c r="BK223" s="57">
        <v>2006.17</v>
      </c>
      <c r="BL223" s="57">
        <v>1728.48</v>
      </c>
      <c r="BM223" s="57">
        <v>1343.3</v>
      </c>
      <c r="BN223" s="57">
        <v>2332.62</v>
      </c>
      <c r="BO223" s="57">
        <v>1126.43</v>
      </c>
      <c r="BP223" s="57">
        <v>1842.62</v>
      </c>
      <c r="BQ223" s="57">
        <v>1267.69</v>
      </c>
      <c r="BR223" s="57">
        <v>1326.15</v>
      </c>
      <c r="BS223" s="57">
        <v>2967.05</v>
      </c>
      <c r="BT223" s="57">
        <v>2155.0100000000002</v>
      </c>
      <c r="BU223" s="57">
        <v>3202.85</v>
      </c>
      <c r="BV223" s="57">
        <v>1840.82</v>
      </c>
      <c r="BW223" s="57">
        <v>340.7</v>
      </c>
      <c r="BX223" s="57">
        <v>688.89</v>
      </c>
      <c r="BY223" s="57">
        <v>1373.47</v>
      </c>
      <c r="BZ223" s="57">
        <v>445.15</v>
      </c>
      <c r="CA223" s="57">
        <v>1532.45</v>
      </c>
      <c r="CB223" s="58">
        <v>1065.53</v>
      </c>
      <c r="CC223" s="57">
        <v>1537.71</v>
      </c>
      <c r="CD223" s="57">
        <v>1117.74</v>
      </c>
      <c r="CE223" s="57">
        <v>1204.31</v>
      </c>
      <c r="CF223" s="57">
        <v>1589.15</v>
      </c>
      <c r="CG223" s="57">
        <v>1687.12</v>
      </c>
      <c r="CH223" s="57">
        <v>1466.15</v>
      </c>
      <c r="CI223" s="57">
        <v>1042.49</v>
      </c>
      <c r="CJ223" s="57">
        <v>990.25</v>
      </c>
      <c r="CK223" s="57">
        <v>1056.33</v>
      </c>
      <c r="CL223" s="57">
        <v>991.77</v>
      </c>
      <c r="CM223" s="57">
        <v>1848.63</v>
      </c>
      <c r="CN223" s="57">
        <v>1044.21</v>
      </c>
      <c r="CO223" s="57">
        <v>1028.3900000000001</v>
      </c>
      <c r="CP223" s="57">
        <v>772.7</v>
      </c>
      <c r="CQ223" s="57">
        <v>1416.67</v>
      </c>
      <c r="CR223" s="57">
        <v>752.47</v>
      </c>
      <c r="CS223" s="57">
        <v>662.15</v>
      </c>
      <c r="CT223" s="57">
        <v>508.43</v>
      </c>
      <c r="CU223" s="57">
        <v>301.60000000000002</v>
      </c>
      <c r="CV223" s="57">
        <v>1207.27</v>
      </c>
      <c r="CW223" s="57">
        <v>565.84</v>
      </c>
      <c r="CX223" s="57">
        <v>1348.35</v>
      </c>
      <c r="CY223" s="57">
        <v>1118.4000000000001</v>
      </c>
      <c r="CZ223" s="57">
        <v>919.18</v>
      </c>
      <c r="DA223" s="57">
        <v>1157.47</v>
      </c>
      <c r="DB223" s="57">
        <v>1633.92</v>
      </c>
      <c r="DC223" s="57">
        <v>1246.67</v>
      </c>
      <c r="DD223" s="57">
        <v>1970.91</v>
      </c>
      <c r="DE223" s="57">
        <v>2043.9</v>
      </c>
      <c r="DF223" s="57">
        <v>1164.03</v>
      </c>
      <c r="DG223" s="57">
        <v>1287.1300000000001</v>
      </c>
      <c r="DH223" s="57">
        <v>739.1</v>
      </c>
      <c r="DI223" s="57">
        <v>912.91</v>
      </c>
      <c r="DJ223" s="57">
        <v>1814.06</v>
      </c>
      <c r="DK223" s="57">
        <v>2226.41</v>
      </c>
      <c r="DL223" s="57">
        <v>67.23</v>
      </c>
      <c r="DM223" s="57">
        <v>286.48</v>
      </c>
      <c r="DN223" s="57">
        <v>103.04</v>
      </c>
      <c r="DO223" s="57">
        <v>201.38</v>
      </c>
      <c r="DP223" s="57">
        <v>684.67</v>
      </c>
      <c r="DQ223" s="57">
        <v>1552.63</v>
      </c>
      <c r="DR223" s="57">
        <v>1113.96</v>
      </c>
      <c r="DS223" s="57">
        <v>739.45</v>
      </c>
      <c r="DT223" s="57">
        <v>273.45</v>
      </c>
      <c r="DU223" s="57">
        <v>1913.61</v>
      </c>
      <c r="DV223" s="57">
        <v>937.27</v>
      </c>
      <c r="DW223" s="57">
        <v>805.73</v>
      </c>
      <c r="DX223" s="57">
        <v>559.03</v>
      </c>
      <c r="DY223" s="57">
        <v>1380.58</v>
      </c>
      <c r="DZ223" s="57">
        <v>1577.14</v>
      </c>
      <c r="EA223" s="57">
        <v>1485.29</v>
      </c>
      <c r="EB223" s="57">
        <v>1474.44</v>
      </c>
      <c r="EC223" s="57">
        <v>1030.3</v>
      </c>
      <c r="ED223" s="57">
        <v>867.55</v>
      </c>
      <c r="EE223" s="57">
        <v>641.26</v>
      </c>
      <c r="EF223" s="57">
        <v>651.83000000000004</v>
      </c>
      <c r="EG223" s="57">
        <v>2166.7399999999998</v>
      </c>
      <c r="EH223" s="57">
        <v>1077.3</v>
      </c>
      <c r="EI223" s="57">
        <v>1372.62</v>
      </c>
      <c r="EJ223" s="57">
        <v>615.1</v>
      </c>
      <c r="EK223" s="57">
        <v>839.61</v>
      </c>
      <c r="EL223" s="57">
        <v>5869.88</v>
      </c>
      <c r="EM223" s="57">
        <v>883.72</v>
      </c>
      <c r="EN223" s="57">
        <v>1244.1300000000001</v>
      </c>
      <c r="EO223" s="57">
        <v>854.37</v>
      </c>
      <c r="EP223" s="57">
        <v>1052.92</v>
      </c>
      <c r="EQ223" s="57">
        <v>2144.9699999999998</v>
      </c>
      <c r="ER223" s="57">
        <v>135.13999999999999</v>
      </c>
      <c r="ES223" s="57">
        <v>1767.08</v>
      </c>
      <c r="ET223" s="57">
        <v>2068.66</v>
      </c>
      <c r="EU223" s="57">
        <v>1688.23</v>
      </c>
      <c r="EV223" s="57">
        <v>1681.9</v>
      </c>
      <c r="EW223" s="57">
        <v>1705.43</v>
      </c>
      <c r="EX223" s="57">
        <v>2074.2199999999998</v>
      </c>
      <c r="EY223" s="57">
        <v>853.76</v>
      </c>
      <c r="EZ223" s="57">
        <v>1908.63</v>
      </c>
      <c r="FA223" s="57">
        <v>1870.55</v>
      </c>
      <c r="FB223" s="57">
        <v>1760.33</v>
      </c>
      <c r="FC223" s="57">
        <v>2274.29</v>
      </c>
      <c r="FD223" s="57">
        <v>1481.26</v>
      </c>
      <c r="FE223" s="57">
        <v>1480.71</v>
      </c>
      <c r="FF223" s="57">
        <v>272.26</v>
      </c>
      <c r="FG223" s="57">
        <v>1884.2</v>
      </c>
      <c r="FH223" s="57">
        <v>1704.84</v>
      </c>
      <c r="FI223" s="57">
        <v>2106.5500000000002</v>
      </c>
      <c r="FJ223" s="57">
        <v>2303.21</v>
      </c>
      <c r="FK223" s="57">
        <v>3034.74</v>
      </c>
      <c r="FL223" s="57">
        <v>1764.78</v>
      </c>
      <c r="FM223" s="57">
        <v>1521.89</v>
      </c>
      <c r="FN223" s="57">
        <v>1109.42</v>
      </c>
      <c r="FO223" s="57">
        <v>2528.92</v>
      </c>
      <c r="FP223" s="57">
        <v>2446.12</v>
      </c>
      <c r="FQ223" s="57">
        <v>1887.59</v>
      </c>
      <c r="FR223" s="57">
        <v>2763.37</v>
      </c>
      <c r="FS223" s="57">
        <v>1778.89</v>
      </c>
      <c r="FT223" s="57">
        <v>883.85</v>
      </c>
      <c r="FU223" s="57">
        <v>1657.63</v>
      </c>
      <c r="FV223" s="57">
        <v>1267.69</v>
      </c>
      <c r="FW223" s="57">
        <v>762.68</v>
      </c>
      <c r="FX223" s="57">
        <v>1842.62</v>
      </c>
      <c r="FY223" s="57">
        <v>1781.99</v>
      </c>
      <c r="FZ223" s="57">
        <v>1142.7</v>
      </c>
      <c r="GA223" s="57">
        <v>1251.68</v>
      </c>
      <c r="GB223" s="57">
        <v>1170.0899999999999</v>
      </c>
      <c r="GC223" s="57">
        <v>1592.65</v>
      </c>
      <c r="GD223" s="57">
        <v>1216.8900000000001</v>
      </c>
      <c r="GE223" s="57">
        <v>2967.05</v>
      </c>
      <c r="GF223" s="57">
        <v>2155.0100000000002</v>
      </c>
      <c r="GG223" s="57">
        <v>3202.85</v>
      </c>
      <c r="GH223" s="57">
        <v>1837.73</v>
      </c>
      <c r="GI223" s="57">
        <v>423.56</v>
      </c>
      <c r="GJ223" s="57">
        <v>292.25</v>
      </c>
      <c r="GK223" s="57">
        <v>294.57</v>
      </c>
      <c r="GL223" s="57">
        <v>484.97</v>
      </c>
      <c r="GM223" s="57">
        <v>688.89</v>
      </c>
      <c r="GN223" s="57">
        <v>1373.47</v>
      </c>
      <c r="GO223" s="57">
        <v>509.19</v>
      </c>
      <c r="GP223" s="57">
        <v>388.09</v>
      </c>
      <c r="GQ223" s="57">
        <v>430.17</v>
      </c>
      <c r="GR223" s="57">
        <v>1532.45</v>
      </c>
      <c r="GS223" s="57">
        <v>1065.53</v>
      </c>
      <c r="GT223" s="57">
        <v>1537.71</v>
      </c>
      <c r="GU223" s="57">
        <v>1117.74</v>
      </c>
      <c r="GV223" s="57">
        <v>1204.31</v>
      </c>
      <c r="GW223" s="57">
        <v>1525.75</v>
      </c>
      <c r="GX223" s="57">
        <v>1579.18</v>
      </c>
      <c r="GY223" s="57">
        <v>1687.12</v>
      </c>
      <c r="GZ223" s="57">
        <v>1784.6</v>
      </c>
      <c r="HA223" s="57">
        <v>1444.72</v>
      </c>
      <c r="HB223" s="57">
        <v>1422.1</v>
      </c>
      <c r="HC223" s="57">
        <v>1042.49</v>
      </c>
      <c r="HD223" s="57">
        <v>990.25</v>
      </c>
      <c r="HE223" s="57">
        <v>887.21</v>
      </c>
      <c r="HF223" s="57">
        <v>1057.5899999999999</v>
      </c>
      <c r="HG223" s="57">
        <v>1348.09</v>
      </c>
      <c r="HH223" s="57">
        <v>1334.73</v>
      </c>
      <c r="HI223" s="57">
        <v>599.33000000000004</v>
      </c>
      <c r="HJ223" s="57">
        <v>991.77</v>
      </c>
      <c r="HK223" s="57">
        <v>1848.63</v>
      </c>
      <c r="HL223" s="57">
        <v>1044.3599999999999</v>
      </c>
      <c r="HM223" s="57">
        <v>1116.76</v>
      </c>
      <c r="HN223" s="57">
        <v>1049.0999999999999</v>
      </c>
      <c r="HO223" s="57">
        <v>642.11</v>
      </c>
      <c r="HP223" s="57">
        <v>1666.41</v>
      </c>
      <c r="HQ223" s="57">
        <v>689.57</v>
      </c>
      <c r="HR223" s="57">
        <v>1360.68</v>
      </c>
      <c r="HS223" s="57">
        <v>1336.62</v>
      </c>
      <c r="HT223" s="57">
        <v>1252.8800000000001</v>
      </c>
      <c r="HU223" s="57">
        <v>752.47</v>
      </c>
      <c r="HV223" s="57">
        <v>662.15</v>
      </c>
      <c r="HW223" s="57">
        <v>441.34</v>
      </c>
      <c r="HX223" s="57">
        <v>588.72</v>
      </c>
      <c r="HY223" s="57">
        <v>301.60000000000002</v>
      </c>
      <c r="HZ223" s="57">
        <v>1207.27</v>
      </c>
      <c r="IA223" s="57">
        <v>516.85</v>
      </c>
      <c r="IB223" s="57">
        <v>1348.35</v>
      </c>
      <c r="IC223" s="57">
        <v>1005.9</v>
      </c>
      <c r="ID223" s="57">
        <v>1151.4100000000001</v>
      </c>
      <c r="IE223" s="57">
        <v>919.18</v>
      </c>
      <c r="IF223" s="57">
        <v>1157.47</v>
      </c>
      <c r="IG223" s="57">
        <v>1633.92</v>
      </c>
      <c r="IH223" s="57">
        <v>1246.67</v>
      </c>
      <c r="II223" s="57">
        <v>1970.91</v>
      </c>
      <c r="IJ223" s="57">
        <v>2043.9</v>
      </c>
      <c r="IK223" s="57">
        <v>1282</v>
      </c>
      <c r="IL223" s="57">
        <v>904.37</v>
      </c>
      <c r="IM223" s="57">
        <v>1228.22</v>
      </c>
      <c r="IN223" s="57">
        <v>1364.8</v>
      </c>
      <c r="IO223" s="57">
        <v>1361.62</v>
      </c>
      <c r="IP223" s="57">
        <v>739.1</v>
      </c>
      <c r="IQ223" s="57">
        <v>912.91</v>
      </c>
      <c r="IR223" s="57">
        <v>1814.06</v>
      </c>
      <c r="IS223" s="57">
        <v>2226.41</v>
      </c>
      <c r="IT223" s="57">
        <v>67.23</v>
      </c>
      <c r="IU223" s="57">
        <v>286.48</v>
      </c>
      <c r="IV223" s="57">
        <v>103.06</v>
      </c>
      <c r="IW223" s="57">
        <v>201.38</v>
      </c>
      <c r="IX223" s="57">
        <v>684.67</v>
      </c>
      <c r="IY223" s="57">
        <v>1552.63</v>
      </c>
      <c r="IZ223" s="57">
        <v>1113.96</v>
      </c>
      <c r="JA223" s="57">
        <v>739.45</v>
      </c>
      <c r="JB223" s="57">
        <v>273.45</v>
      </c>
      <c r="JC223" s="57">
        <v>1913.61</v>
      </c>
      <c r="JD223" s="57">
        <v>937.27</v>
      </c>
      <c r="JE223" s="57">
        <v>1661.33</v>
      </c>
      <c r="JF223" s="57">
        <v>703.72</v>
      </c>
      <c r="JG223" s="57">
        <v>559.03</v>
      </c>
      <c r="JH223" s="57">
        <v>1380.58</v>
      </c>
      <c r="JI223" s="57">
        <v>1577.14</v>
      </c>
      <c r="JJ223" s="57">
        <v>1485.29</v>
      </c>
      <c r="JK223" s="57">
        <v>1474.44</v>
      </c>
      <c r="JL223" s="57">
        <v>1030.3</v>
      </c>
      <c r="JM223" s="57">
        <v>867.55</v>
      </c>
      <c r="JN223" s="57">
        <v>641.26</v>
      </c>
      <c r="JO223" s="57">
        <v>651.83000000000004</v>
      </c>
      <c r="JP223" s="57">
        <v>2370.04</v>
      </c>
      <c r="JQ223" s="57">
        <v>1579.03</v>
      </c>
      <c r="JR223" s="57">
        <v>1199.83</v>
      </c>
      <c r="JS223" s="57">
        <v>741.16</v>
      </c>
      <c r="JT223" s="57">
        <v>1578.89</v>
      </c>
      <c r="JU223" s="57">
        <v>1185.1300000000001</v>
      </c>
      <c r="JV223" s="57">
        <v>615.1</v>
      </c>
      <c r="JW223" s="57">
        <v>839.61</v>
      </c>
      <c r="JX223" s="57">
        <v>5869.88</v>
      </c>
      <c r="JY223" s="57">
        <v>682.03</v>
      </c>
      <c r="JZ223" s="57">
        <v>1138.07</v>
      </c>
      <c r="KA223" s="57">
        <v>1244.1300000000001</v>
      </c>
      <c r="KB223" s="57">
        <v>854.37</v>
      </c>
      <c r="KC223" s="57">
        <v>1052.92</v>
      </c>
      <c r="KD223" s="57">
        <v>2144.9699999999998</v>
      </c>
      <c r="KE223" s="57">
        <v>135.13999999999999</v>
      </c>
      <c r="KF223" s="57">
        <v>1767.08</v>
      </c>
    </row>
    <row r="224" spans="1:292">
      <c r="A224" s="41">
        <v>2023</v>
      </c>
      <c r="B224" s="54" t="s">
        <v>981</v>
      </c>
      <c r="C224" s="50" t="s">
        <v>982</v>
      </c>
      <c r="D224" s="57">
        <v>1269.75</v>
      </c>
      <c r="E224" s="57">
        <v>1848.51</v>
      </c>
      <c r="F224" s="57">
        <v>1914.9</v>
      </c>
      <c r="G224" s="57">
        <v>379.52</v>
      </c>
      <c r="H224" s="57">
        <v>1317.8</v>
      </c>
      <c r="I224" s="57">
        <v>1186.24</v>
      </c>
      <c r="J224" s="57">
        <v>748.28</v>
      </c>
      <c r="K224" s="57">
        <v>1340.79</v>
      </c>
      <c r="L224" s="57">
        <v>249.61</v>
      </c>
      <c r="M224" s="57">
        <v>676.66</v>
      </c>
      <c r="N224" s="57">
        <v>825.57</v>
      </c>
      <c r="O224" s="57">
        <v>2131.5100000000002</v>
      </c>
      <c r="P224" s="57">
        <v>1768.7</v>
      </c>
      <c r="Q224" s="57">
        <v>1889.31</v>
      </c>
      <c r="R224" s="57">
        <v>1344.27</v>
      </c>
      <c r="S224" s="57">
        <v>3128.21</v>
      </c>
      <c r="T224" s="57">
        <v>1840.82</v>
      </c>
      <c r="U224" s="57">
        <v>359.07</v>
      </c>
      <c r="V224" s="57">
        <v>447.88</v>
      </c>
      <c r="W224" s="57">
        <v>1117.68</v>
      </c>
      <c r="X224" s="57">
        <v>1561.11</v>
      </c>
      <c r="Y224" s="57">
        <v>1144.21</v>
      </c>
      <c r="Z224" s="57">
        <v>1495.58</v>
      </c>
      <c r="AA224" s="57">
        <v>1468.59</v>
      </c>
      <c r="AB224" s="57">
        <v>1001.16</v>
      </c>
      <c r="AC224" s="57">
        <v>1137.8399999999999</v>
      </c>
      <c r="AD224" s="57">
        <v>1056.1199999999999</v>
      </c>
      <c r="AE224" s="57">
        <v>1045.22</v>
      </c>
      <c r="AF224" s="57">
        <v>934.47</v>
      </c>
      <c r="AG224" s="57">
        <v>678.54</v>
      </c>
      <c r="AH224" s="57">
        <v>706.14</v>
      </c>
      <c r="AI224" s="57">
        <v>1346.86</v>
      </c>
      <c r="AJ224" s="57">
        <v>1128.48</v>
      </c>
      <c r="AK224" s="57">
        <v>1404.25</v>
      </c>
      <c r="AL224" s="57">
        <v>1296.24</v>
      </c>
      <c r="AM224" s="57">
        <v>2226.41</v>
      </c>
      <c r="AN224" s="57">
        <v>67</v>
      </c>
      <c r="AO224" s="57">
        <v>289.45999999999998</v>
      </c>
      <c r="AP224" s="57">
        <v>167</v>
      </c>
      <c r="AQ224" s="57">
        <v>1562.6</v>
      </c>
      <c r="AR224" s="57">
        <v>1169.23</v>
      </c>
      <c r="AS224" s="57">
        <v>855.49</v>
      </c>
      <c r="AT224" s="57">
        <v>1441.87</v>
      </c>
      <c r="AU224" s="57">
        <v>1634.9</v>
      </c>
      <c r="AV224" s="57">
        <v>1130.69</v>
      </c>
      <c r="AW224" s="57">
        <v>949.13</v>
      </c>
      <c r="AX224" s="57">
        <v>641.26</v>
      </c>
      <c r="AY224" s="57">
        <v>674.77</v>
      </c>
      <c r="AZ224" s="57">
        <v>2259.58</v>
      </c>
      <c r="BA224" s="57">
        <v>1075.96</v>
      </c>
      <c r="BB224" s="57">
        <v>983.91</v>
      </c>
      <c r="BC224" s="57">
        <v>4044.7</v>
      </c>
      <c r="BD224" s="57">
        <v>1277.96</v>
      </c>
      <c r="BE224" s="57">
        <v>1945.46</v>
      </c>
      <c r="BF224" s="57">
        <v>135.13999999999999</v>
      </c>
      <c r="BG224" s="57">
        <v>1866.87</v>
      </c>
      <c r="BH224" s="57">
        <v>1792.08</v>
      </c>
      <c r="BI224" s="57">
        <v>2147.9299999999998</v>
      </c>
      <c r="BJ224" s="57">
        <v>1521.22</v>
      </c>
      <c r="BK224" s="57">
        <v>2033.87</v>
      </c>
      <c r="BL224" s="57">
        <v>1707.77</v>
      </c>
      <c r="BM224" s="57">
        <v>1358.57</v>
      </c>
      <c r="BN224" s="57">
        <v>2272.9899999999998</v>
      </c>
      <c r="BO224" s="57">
        <v>1165.8399999999999</v>
      </c>
      <c r="BP224" s="57">
        <v>1938.38</v>
      </c>
      <c r="BQ224" s="57">
        <v>1292.6600000000001</v>
      </c>
      <c r="BR224" s="57">
        <v>1381.37</v>
      </c>
      <c r="BS224" s="57">
        <v>2974.43</v>
      </c>
      <c r="BT224" s="57">
        <v>2179.8200000000002</v>
      </c>
      <c r="BU224" s="57">
        <v>3226.19</v>
      </c>
      <c r="BV224" s="57">
        <v>1840.82</v>
      </c>
      <c r="BW224" s="57">
        <v>331.25</v>
      </c>
      <c r="BX224" s="57">
        <v>700.92</v>
      </c>
      <c r="BY224" s="57">
        <v>1419.84</v>
      </c>
      <c r="BZ224" s="57">
        <v>443.95</v>
      </c>
      <c r="CA224" s="57">
        <v>1564.85</v>
      </c>
      <c r="CB224" s="58">
        <v>1117.68</v>
      </c>
      <c r="CC224" s="57">
        <v>1561.11</v>
      </c>
      <c r="CD224" s="57">
        <v>1139.8</v>
      </c>
      <c r="CE224" s="57">
        <v>1204.31</v>
      </c>
      <c r="CF224" s="57">
        <v>1604.09</v>
      </c>
      <c r="CG224" s="57">
        <v>1670.97</v>
      </c>
      <c r="CH224" s="57">
        <v>1542.68</v>
      </c>
      <c r="CI224" s="57">
        <v>1003.19</v>
      </c>
      <c r="CJ224" s="57">
        <v>1001.16</v>
      </c>
      <c r="CK224" s="57">
        <v>1072.69</v>
      </c>
      <c r="CL224" s="57">
        <v>1009.34</v>
      </c>
      <c r="CM224" s="57">
        <v>1888.34</v>
      </c>
      <c r="CN224" s="57">
        <v>1056.1199999999999</v>
      </c>
      <c r="CO224" s="57">
        <v>1045.22</v>
      </c>
      <c r="CP224" s="57">
        <v>801.86</v>
      </c>
      <c r="CQ224" s="57">
        <v>1455.38</v>
      </c>
      <c r="CR224" s="57">
        <v>792.93</v>
      </c>
      <c r="CS224" s="57">
        <v>670.45</v>
      </c>
      <c r="CT224" s="57">
        <v>522.32000000000005</v>
      </c>
      <c r="CU224" s="57">
        <v>301.99</v>
      </c>
      <c r="CV224" s="57">
        <v>1234.75</v>
      </c>
      <c r="CW224" s="57">
        <v>570.62</v>
      </c>
      <c r="CX224" s="57">
        <v>1346.86</v>
      </c>
      <c r="CY224" s="57">
        <v>1133.46</v>
      </c>
      <c r="CZ224" s="57">
        <v>921.19</v>
      </c>
      <c r="DA224" s="57">
        <v>1185.23</v>
      </c>
      <c r="DB224" s="57">
        <v>1653.5</v>
      </c>
      <c r="DC224" s="57">
        <v>1242.54</v>
      </c>
      <c r="DD224" s="57">
        <v>1944.6</v>
      </c>
      <c r="DE224" s="57">
        <v>2077.52</v>
      </c>
      <c r="DF224" s="57">
        <v>1165.07</v>
      </c>
      <c r="DG224" s="57">
        <v>1293.73</v>
      </c>
      <c r="DH224" s="57">
        <v>743.14</v>
      </c>
      <c r="DI224" s="57">
        <v>947.95</v>
      </c>
      <c r="DJ224" s="57">
        <v>1967.83</v>
      </c>
      <c r="DK224" s="57">
        <v>2226.41</v>
      </c>
      <c r="DL224" s="57">
        <v>67</v>
      </c>
      <c r="DM224" s="57">
        <v>289.45999999999998</v>
      </c>
      <c r="DN224" s="57">
        <v>101.85</v>
      </c>
      <c r="DO224" s="57">
        <v>202.49</v>
      </c>
      <c r="DP224" s="57">
        <v>724.97</v>
      </c>
      <c r="DQ224" s="57">
        <v>1562.6</v>
      </c>
      <c r="DR224" s="57">
        <v>1131.6199999999999</v>
      </c>
      <c r="DS224" s="57">
        <v>739.21</v>
      </c>
      <c r="DT224" s="57">
        <v>304.89999999999998</v>
      </c>
      <c r="DU224" s="57">
        <v>1937.91</v>
      </c>
      <c r="DV224" s="57">
        <v>959.93</v>
      </c>
      <c r="DW224" s="57">
        <v>812.04</v>
      </c>
      <c r="DX224" s="57">
        <v>559.03</v>
      </c>
      <c r="DY224" s="57">
        <v>1410.27</v>
      </c>
      <c r="DZ224" s="57">
        <v>1628.51</v>
      </c>
      <c r="EA224" s="57">
        <v>1551.19</v>
      </c>
      <c r="EB224" s="57">
        <v>1634.9</v>
      </c>
      <c r="EC224" s="57">
        <v>1130.69</v>
      </c>
      <c r="ED224" s="57">
        <v>949.13</v>
      </c>
      <c r="EE224" s="57">
        <v>641.26</v>
      </c>
      <c r="EF224" s="57">
        <v>674.77</v>
      </c>
      <c r="EG224" s="57">
        <v>2259.58</v>
      </c>
      <c r="EH224" s="57">
        <v>1075.96</v>
      </c>
      <c r="EI224" s="57">
        <v>1429.54</v>
      </c>
      <c r="EJ224" s="57">
        <v>612.67999999999995</v>
      </c>
      <c r="EK224" s="57">
        <v>857.6</v>
      </c>
      <c r="EL224" s="57">
        <v>6024.73</v>
      </c>
      <c r="EM224" s="57">
        <v>885.97</v>
      </c>
      <c r="EN224" s="57">
        <v>1277.96</v>
      </c>
      <c r="EO224" s="57">
        <v>859.58</v>
      </c>
      <c r="EP224" s="57">
        <v>1146.8399999999999</v>
      </c>
      <c r="EQ224" s="57">
        <v>2132.83</v>
      </c>
      <c r="ER224" s="57">
        <v>135.13999999999999</v>
      </c>
      <c r="ES224" s="57">
        <v>1866.87</v>
      </c>
      <c r="ET224" s="57">
        <v>2104.54</v>
      </c>
      <c r="EU224" s="57">
        <v>1694.08</v>
      </c>
      <c r="EV224" s="57">
        <v>1700.37</v>
      </c>
      <c r="EW224" s="57">
        <v>1794.03</v>
      </c>
      <c r="EX224" s="57">
        <v>2177.17</v>
      </c>
      <c r="EY224" s="57">
        <v>870.63</v>
      </c>
      <c r="EZ224" s="57">
        <v>2288.39</v>
      </c>
      <c r="FA224" s="57">
        <v>2143.33</v>
      </c>
      <c r="FB224" s="57">
        <v>1864.08</v>
      </c>
      <c r="FC224" s="57">
        <v>2537.37</v>
      </c>
      <c r="FD224" s="57">
        <v>1705.87</v>
      </c>
      <c r="FE224" s="57">
        <v>1552.38</v>
      </c>
      <c r="FF224" s="57">
        <v>275.64999999999998</v>
      </c>
      <c r="FG224" s="57">
        <v>1859.83</v>
      </c>
      <c r="FH224" s="57">
        <v>1712.84</v>
      </c>
      <c r="FI224" s="57">
        <v>2101.7600000000002</v>
      </c>
      <c r="FJ224" s="57">
        <v>2560.15</v>
      </c>
      <c r="FK224" s="57">
        <v>3055.18</v>
      </c>
      <c r="FL224" s="57">
        <v>1743.8</v>
      </c>
      <c r="FM224" s="57">
        <v>1492.87</v>
      </c>
      <c r="FN224" s="57">
        <v>1113.4100000000001</v>
      </c>
      <c r="FO224" s="57">
        <v>2604.44</v>
      </c>
      <c r="FP224" s="57">
        <v>2323.5700000000002</v>
      </c>
      <c r="FQ224" s="57">
        <v>1916.71</v>
      </c>
      <c r="FR224" s="57">
        <v>2796.87</v>
      </c>
      <c r="FS224" s="57">
        <v>1827.48</v>
      </c>
      <c r="FT224" s="57">
        <v>880.1</v>
      </c>
      <c r="FU224" s="57">
        <v>1725.42</v>
      </c>
      <c r="FV224" s="57">
        <v>1333.81</v>
      </c>
      <c r="FW224" s="57">
        <v>802.51</v>
      </c>
      <c r="FX224" s="57">
        <v>1938.38</v>
      </c>
      <c r="FY224" s="57">
        <v>1892.37</v>
      </c>
      <c r="FZ224" s="57">
        <v>1148.9100000000001</v>
      </c>
      <c r="GA224" s="57">
        <v>1297.45</v>
      </c>
      <c r="GB224" s="57">
        <v>1203.6500000000001</v>
      </c>
      <c r="GC224" s="57">
        <v>1669.68</v>
      </c>
      <c r="GD224" s="57">
        <v>1292.9000000000001</v>
      </c>
      <c r="GE224" s="57">
        <v>2974.43</v>
      </c>
      <c r="GF224" s="57">
        <v>2179.8200000000002</v>
      </c>
      <c r="GG224" s="57">
        <v>3226.19</v>
      </c>
      <c r="GH224" s="57">
        <v>1837.73</v>
      </c>
      <c r="GI224" s="57">
        <v>414.46</v>
      </c>
      <c r="GJ224" s="57">
        <v>281.16000000000003</v>
      </c>
      <c r="GK224" s="57">
        <v>289.73</v>
      </c>
      <c r="GL224" s="57">
        <v>480.13</v>
      </c>
      <c r="GM224" s="57">
        <v>700.92</v>
      </c>
      <c r="GN224" s="57">
        <v>1419.84</v>
      </c>
      <c r="GO224" s="57">
        <v>508.84</v>
      </c>
      <c r="GP224" s="57">
        <v>384.63</v>
      </c>
      <c r="GQ224" s="57">
        <v>432.58</v>
      </c>
      <c r="GR224" s="57">
        <v>1564.85</v>
      </c>
      <c r="GS224" s="57">
        <v>1117.68</v>
      </c>
      <c r="GT224" s="57">
        <v>1561.11</v>
      </c>
      <c r="GU224" s="57">
        <v>1139.8</v>
      </c>
      <c r="GV224" s="57">
        <v>1204.31</v>
      </c>
      <c r="GW224" s="57">
        <v>1539.97</v>
      </c>
      <c r="GX224" s="57">
        <v>1594.51</v>
      </c>
      <c r="GY224" s="57">
        <v>1670.97</v>
      </c>
      <c r="GZ224" s="57">
        <v>1865.61</v>
      </c>
      <c r="HA224" s="57">
        <v>1498.64</v>
      </c>
      <c r="HB224" s="57">
        <v>1516.78</v>
      </c>
      <c r="HC224" s="57">
        <v>1003.19</v>
      </c>
      <c r="HD224" s="57">
        <v>1001.16</v>
      </c>
      <c r="HE224" s="57">
        <v>896.07</v>
      </c>
      <c r="HF224" s="57">
        <v>1077.9000000000001</v>
      </c>
      <c r="HG224" s="57">
        <v>1356.85</v>
      </c>
      <c r="HH224" s="57">
        <v>1360.28</v>
      </c>
      <c r="HI224" s="57">
        <v>612.55999999999995</v>
      </c>
      <c r="HJ224" s="57">
        <v>1009.34</v>
      </c>
      <c r="HK224" s="57">
        <v>1888.34</v>
      </c>
      <c r="HL224" s="57">
        <v>1049.8900000000001</v>
      </c>
      <c r="HM224" s="57">
        <v>1128.79</v>
      </c>
      <c r="HN224" s="57">
        <v>1066.17</v>
      </c>
      <c r="HO224" s="57">
        <v>650.53</v>
      </c>
      <c r="HP224" s="57">
        <v>1701.04</v>
      </c>
      <c r="HQ224" s="57">
        <v>720.41</v>
      </c>
      <c r="HR224" s="57">
        <v>1373.76</v>
      </c>
      <c r="HS224" s="57">
        <v>1373.93</v>
      </c>
      <c r="HT224" s="57">
        <v>1283.3399999999999</v>
      </c>
      <c r="HU224" s="57">
        <v>792.93</v>
      </c>
      <c r="HV224" s="57">
        <v>670.45</v>
      </c>
      <c r="HW224" s="57">
        <v>454.18</v>
      </c>
      <c r="HX224" s="57">
        <v>602.15</v>
      </c>
      <c r="HY224" s="57">
        <v>301.99</v>
      </c>
      <c r="HZ224" s="57">
        <v>1234.75</v>
      </c>
      <c r="IA224" s="57">
        <v>521.21</v>
      </c>
      <c r="IB224" s="57">
        <v>1346.86</v>
      </c>
      <c r="IC224" s="57">
        <v>1045.8599999999999</v>
      </c>
      <c r="ID224" s="57">
        <v>1160.42</v>
      </c>
      <c r="IE224" s="57">
        <v>921.19</v>
      </c>
      <c r="IF224" s="57">
        <v>1185.23</v>
      </c>
      <c r="IG224" s="57">
        <v>1653.5</v>
      </c>
      <c r="IH224" s="57">
        <v>1242.54</v>
      </c>
      <c r="II224" s="57">
        <v>1944.6</v>
      </c>
      <c r="IJ224" s="57">
        <v>2077.52</v>
      </c>
      <c r="IK224" s="57">
        <v>1292.02</v>
      </c>
      <c r="IL224" s="57">
        <v>904.37</v>
      </c>
      <c r="IM224" s="57">
        <v>1252.71</v>
      </c>
      <c r="IN224" s="57">
        <v>1381.8</v>
      </c>
      <c r="IO224" s="57">
        <v>1276.55</v>
      </c>
      <c r="IP224" s="57">
        <v>743.14</v>
      </c>
      <c r="IQ224" s="57">
        <v>947.95</v>
      </c>
      <c r="IR224" s="57">
        <v>1967.83</v>
      </c>
      <c r="IS224" s="57">
        <v>2226.41</v>
      </c>
      <c r="IT224" s="57">
        <v>67</v>
      </c>
      <c r="IU224" s="57">
        <v>289.45999999999998</v>
      </c>
      <c r="IV224" s="57">
        <v>101.88</v>
      </c>
      <c r="IW224" s="57">
        <v>202.49</v>
      </c>
      <c r="IX224" s="57">
        <v>724.97</v>
      </c>
      <c r="IY224" s="57">
        <v>1562.6</v>
      </c>
      <c r="IZ224" s="57">
        <v>1131.6199999999999</v>
      </c>
      <c r="JA224" s="57">
        <v>739.21</v>
      </c>
      <c r="JB224" s="57">
        <v>304.89999999999998</v>
      </c>
      <c r="JC224" s="57">
        <v>1937.91</v>
      </c>
      <c r="JD224" s="57">
        <v>959.93</v>
      </c>
      <c r="JE224" s="57">
        <v>1722.25</v>
      </c>
      <c r="JF224" s="57">
        <v>706.38</v>
      </c>
      <c r="JG224" s="57">
        <v>559.03</v>
      </c>
      <c r="JH224" s="57">
        <v>1410.27</v>
      </c>
      <c r="JI224" s="57">
        <v>1628.51</v>
      </c>
      <c r="JJ224" s="57">
        <v>1551.19</v>
      </c>
      <c r="JK224" s="57">
        <v>1634.9</v>
      </c>
      <c r="JL224" s="57">
        <v>1130.69</v>
      </c>
      <c r="JM224" s="57">
        <v>949.13</v>
      </c>
      <c r="JN224" s="57">
        <v>641.26</v>
      </c>
      <c r="JO224" s="57">
        <v>674.77</v>
      </c>
      <c r="JP224" s="57">
        <v>2485.2800000000002</v>
      </c>
      <c r="JQ224" s="57">
        <v>1605.7</v>
      </c>
      <c r="JR224" s="57">
        <v>1197.8800000000001</v>
      </c>
      <c r="JS224" s="57">
        <v>741.16</v>
      </c>
      <c r="JT224" s="57">
        <v>1656.14</v>
      </c>
      <c r="JU224" s="57">
        <v>1227.33</v>
      </c>
      <c r="JV224" s="57">
        <v>612.67999999999995</v>
      </c>
      <c r="JW224" s="57">
        <v>857.6</v>
      </c>
      <c r="JX224" s="57">
        <v>6024.73</v>
      </c>
      <c r="JY224" s="57">
        <v>685.21</v>
      </c>
      <c r="JZ224" s="57">
        <v>1138.58</v>
      </c>
      <c r="KA224" s="57">
        <v>1277.96</v>
      </c>
      <c r="KB224" s="57">
        <v>859.58</v>
      </c>
      <c r="KC224" s="57">
        <v>1146.8399999999999</v>
      </c>
      <c r="KD224" s="57">
        <v>2132.83</v>
      </c>
      <c r="KE224" s="57">
        <v>135.13999999999999</v>
      </c>
      <c r="KF224" s="57">
        <v>1866.87</v>
      </c>
    </row>
    <row r="225" spans="1:292">
      <c r="A225" s="41">
        <v>2023</v>
      </c>
      <c r="B225" s="54" t="s">
        <v>983</v>
      </c>
      <c r="C225" s="50" t="s">
        <v>984</v>
      </c>
      <c r="D225" s="57">
        <v>1300.04</v>
      </c>
      <c r="E225" s="57">
        <v>1921.46</v>
      </c>
      <c r="F225" s="57">
        <v>1915.13</v>
      </c>
      <c r="G225" s="57">
        <v>394.01</v>
      </c>
      <c r="H225" s="57">
        <v>1298.4100000000001</v>
      </c>
      <c r="I225" s="57">
        <v>1204.43</v>
      </c>
      <c r="J225" s="57">
        <v>767.02</v>
      </c>
      <c r="K225" s="57">
        <v>1374.88</v>
      </c>
      <c r="L225" s="57">
        <v>264.41000000000003</v>
      </c>
      <c r="M225" s="57">
        <v>693.78</v>
      </c>
      <c r="N225" s="57">
        <v>851.01</v>
      </c>
      <c r="O225" s="57">
        <v>2221.87</v>
      </c>
      <c r="P225" s="57">
        <v>1793.74</v>
      </c>
      <c r="Q225" s="57">
        <v>1967.33</v>
      </c>
      <c r="R225" s="57">
        <v>1359.44</v>
      </c>
      <c r="S225" s="57">
        <v>3132.1</v>
      </c>
      <c r="T225" s="57">
        <v>1840.82</v>
      </c>
      <c r="U225" s="57">
        <v>372.87</v>
      </c>
      <c r="V225" s="57">
        <v>464.55</v>
      </c>
      <c r="W225" s="57">
        <v>1166.53</v>
      </c>
      <c r="X225" s="57">
        <v>1583.73</v>
      </c>
      <c r="Y225" s="57">
        <v>1164.0999999999999</v>
      </c>
      <c r="Z225" s="57">
        <v>1392.96</v>
      </c>
      <c r="AA225" s="57">
        <v>1489.12</v>
      </c>
      <c r="AB225" s="57">
        <v>1019.78</v>
      </c>
      <c r="AC225" s="57">
        <v>1167.28</v>
      </c>
      <c r="AD225" s="57">
        <v>1085.28</v>
      </c>
      <c r="AE225" s="57">
        <v>1057.99</v>
      </c>
      <c r="AF225" s="57">
        <v>932.9</v>
      </c>
      <c r="AG225" s="57">
        <v>706.48</v>
      </c>
      <c r="AH225" s="57">
        <v>713.34</v>
      </c>
      <c r="AI225" s="57">
        <v>1391.29</v>
      </c>
      <c r="AJ225" s="57">
        <v>1175.67</v>
      </c>
      <c r="AK225" s="57">
        <v>1408.59</v>
      </c>
      <c r="AL225" s="57">
        <v>1336.17</v>
      </c>
      <c r="AM225" s="57">
        <v>2226.41</v>
      </c>
      <c r="AN225" s="57">
        <v>68.08</v>
      </c>
      <c r="AO225" s="57">
        <v>312.7</v>
      </c>
      <c r="AP225" s="57">
        <v>169.74</v>
      </c>
      <c r="AQ225" s="57">
        <v>1569.15</v>
      </c>
      <c r="AR225" s="57">
        <v>1176.3</v>
      </c>
      <c r="AS225" s="57">
        <v>878.95</v>
      </c>
      <c r="AT225" s="57">
        <v>1455.89</v>
      </c>
      <c r="AU225" s="57">
        <v>1799.62</v>
      </c>
      <c r="AV225" s="57">
        <v>1175.77</v>
      </c>
      <c r="AW225" s="57">
        <v>990.64</v>
      </c>
      <c r="AX225" s="57">
        <v>641.26</v>
      </c>
      <c r="AY225" s="57">
        <v>698.52</v>
      </c>
      <c r="AZ225" s="57">
        <v>2361.5100000000002</v>
      </c>
      <c r="BA225" s="57">
        <v>1093.72</v>
      </c>
      <c r="BB225" s="57">
        <v>992.96</v>
      </c>
      <c r="BC225" s="57">
        <v>4220.59</v>
      </c>
      <c r="BD225" s="57">
        <v>1293.6400000000001</v>
      </c>
      <c r="BE225" s="57">
        <v>1977.99</v>
      </c>
      <c r="BF225" s="57">
        <v>135.13999999999999</v>
      </c>
      <c r="BG225" s="57">
        <v>1868.92</v>
      </c>
      <c r="BH225" s="57">
        <v>1806.73</v>
      </c>
      <c r="BI225" s="57">
        <v>2436.96</v>
      </c>
      <c r="BJ225" s="57">
        <v>1562.2</v>
      </c>
      <c r="BK225" s="57">
        <v>2032.24</v>
      </c>
      <c r="BL225" s="57">
        <v>1688</v>
      </c>
      <c r="BM225" s="57">
        <v>1427.71</v>
      </c>
      <c r="BN225" s="57">
        <v>2300.96</v>
      </c>
      <c r="BO225" s="57">
        <v>1180</v>
      </c>
      <c r="BP225" s="57">
        <v>1958.1</v>
      </c>
      <c r="BQ225" s="57">
        <v>1305.44</v>
      </c>
      <c r="BR225" s="57">
        <v>1398.51</v>
      </c>
      <c r="BS225" s="57">
        <v>2997.25</v>
      </c>
      <c r="BT225" s="57">
        <v>2154.9699999999998</v>
      </c>
      <c r="BU225" s="57">
        <v>3221.05</v>
      </c>
      <c r="BV225" s="57">
        <v>1840.82</v>
      </c>
      <c r="BW225" s="57">
        <v>344.25</v>
      </c>
      <c r="BX225" s="57">
        <v>714.62</v>
      </c>
      <c r="BY225" s="57">
        <v>1484.62</v>
      </c>
      <c r="BZ225" s="57">
        <v>460.51</v>
      </c>
      <c r="CA225" s="57">
        <v>1606.18</v>
      </c>
      <c r="CB225" s="58">
        <v>1166.53</v>
      </c>
      <c r="CC225" s="57">
        <v>1583.73</v>
      </c>
      <c r="CD225" s="57">
        <v>1159.6099999999999</v>
      </c>
      <c r="CE225" s="57">
        <v>1023.65</v>
      </c>
      <c r="CF225" s="57">
        <v>1594.47</v>
      </c>
      <c r="CG225" s="57">
        <v>1664.17</v>
      </c>
      <c r="CH225" s="57">
        <v>1568.85</v>
      </c>
      <c r="CI225" s="57">
        <v>982.65</v>
      </c>
      <c r="CJ225" s="57">
        <v>1019.78</v>
      </c>
      <c r="CK225" s="57">
        <v>1103.72</v>
      </c>
      <c r="CL225" s="57">
        <v>1013.05</v>
      </c>
      <c r="CM225" s="57">
        <v>1912.22</v>
      </c>
      <c r="CN225" s="57">
        <v>1085.28</v>
      </c>
      <c r="CO225" s="57">
        <v>1057.99</v>
      </c>
      <c r="CP225" s="57">
        <v>792.19</v>
      </c>
      <c r="CQ225" s="57">
        <v>1500.73</v>
      </c>
      <c r="CR225" s="57">
        <v>835.46</v>
      </c>
      <c r="CS225" s="57">
        <v>683.17</v>
      </c>
      <c r="CT225" s="57">
        <v>532.66</v>
      </c>
      <c r="CU225" s="57">
        <v>302.63</v>
      </c>
      <c r="CV225" s="57">
        <v>1251.46</v>
      </c>
      <c r="CW225" s="57">
        <v>577.66999999999996</v>
      </c>
      <c r="CX225" s="57">
        <v>1391.29</v>
      </c>
      <c r="CY225" s="57">
        <v>1182.47</v>
      </c>
      <c r="CZ225" s="57">
        <v>926.47</v>
      </c>
      <c r="DA225" s="57">
        <v>1240.48</v>
      </c>
      <c r="DB225" s="57">
        <v>1689.27</v>
      </c>
      <c r="DC225" s="57">
        <v>1227.19</v>
      </c>
      <c r="DD225" s="57">
        <v>2019.96</v>
      </c>
      <c r="DE225" s="57">
        <v>2127.1</v>
      </c>
      <c r="DF225" s="57">
        <v>1166.19</v>
      </c>
      <c r="DG225" s="57">
        <v>1333.42</v>
      </c>
      <c r="DH225" s="57">
        <v>761.57</v>
      </c>
      <c r="DI225" s="57">
        <v>981.31</v>
      </c>
      <c r="DJ225" s="57">
        <v>2070.17</v>
      </c>
      <c r="DK225" s="57">
        <v>2226.41</v>
      </c>
      <c r="DL225" s="57">
        <v>68.08</v>
      </c>
      <c r="DM225" s="57">
        <v>312.7</v>
      </c>
      <c r="DN225" s="57">
        <v>104.2</v>
      </c>
      <c r="DO225" s="57">
        <v>201.41</v>
      </c>
      <c r="DP225" s="57">
        <v>754.58</v>
      </c>
      <c r="DQ225" s="57">
        <v>1569.15</v>
      </c>
      <c r="DR225" s="57">
        <v>1112.1099999999999</v>
      </c>
      <c r="DS225" s="57">
        <v>758.55</v>
      </c>
      <c r="DT225" s="57">
        <v>310.57</v>
      </c>
      <c r="DU225" s="57">
        <v>1947.85</v>
      </c>
      <c r="DV225" s="57">
        <v>975.88</v>
      </c>
      <c r="DW225" s="57">
        <v>848.41</v>
      </c>
      <c r="DX225" s="57">
        <v>559.03</v>
      </c>
      <c r="DY225" s="57">
        <v>1448.23</v>
      </c>
      <c r="DZ225" s="57">
        <v>1789.74</v>
      </c>
      <c r="EA225" s="57">
        <v>1504.25</v>
      </c>
      <c r="EB225" s="57">
        <v>1799.62</v>
      </c>
      <c r="EC225" s="57">
        <v>1175.77</v>
      </c>
      <c r="ED225" s="57">
        <v>990.64</v>
      </c>
      <c r="EE225" s="57">
        <v>641.26</v>
      </c>
      <c r="EF225" s="57">
        <v>698.52</v>
      </c>
      <c r="EG225" s="57">
        <v>2361.5100000000002</v>
      </c>
      <c r="EH225" s="57">
        <v>1093.72</v>
      </c>
      <c r="EI225" s="57">
        <v>1474.34</v>
      </c>
      <c r="EJ225" s="57">
        <v>636.55999999999995</v>
      </c>
      <c r="EK225" s="57">
        <v>859.52</v>
      </c>
      <c r="EL225" s="57">
        <v>6453.98</v>
      </c>
      <c r="EM225" s="57">
        <v>893.58</v>
      </c>
      <c r="EN225" s="57">
        <v>1293.6400000000001</v>
      </c>
      <c r="EO225" s="57">
        <v>864.01</v>
      </c>
      <c r="EP225" s="57">
        <v>1147.29</v>
      </c>
      <c r="EQ225" s="57">
        <v>2176.3200000000002</v>
      </c>
      <c r="ER225" s="57">
        <v>135.13999999999999</v>
      </c>
      <c r="ES225" s="57">
        <v>1868.92</v>
      </c>
      <c r="ET225" s="57">
        <v>2109.29</v>
      </c>
      <c r="EU225" s="57">
        <v>1690.98</v>
      </c>
      <c r="EV225" s="57">
        <v>1706.28</v>
      </c>
      <c r="EW225" s="57">
        <v>1832.7</v>
      </c>
      <c r="EX225" s="57">
        <v>2210.48</v>
      </c>
      <c r="EY225" s="57">
        <v>874.05</v>
      </c>
      <c r="EZ225" s="57">
        <v>2593.73</v>
      </c>
      <c r="FA225" s="57">
        <v>2603.54</v>
      </c>
      <c r="FB225" s="57">
        <v>2050</v>
      </c>
      <c r="FC225" s="57">
        <v>2698.66</v>
      </c>
      <c r="FD225" s="57">
        <v>1867.6</v>
      </c>
      <c r="FE225" s="57">
        <v>1592.55</v>
      </c>
      <c r="FF225" s="57">
        <v>286.07</v>
      </c>
      <c r="FG225" s="57">
        <v>1857.65</v>
      </c>
      <c r="FH225" s="57">
        <v>1692.51</v>
      </c>
      <c r="FI225" s="57">
        <v>2109.59</v>
      </c>
      <c r="FJ225" s="57">
        <v>2556.7600000000002</v>
      </c>
      <c r="FK225" s="57">
        <v>3042.32</v>
      </c>
      <c r="FL225" s="57">
        <v>1693.49</v>
      </c>
      <c r="FM225" s="57">
        <v>1473.11</v>
      </c>
      <c r="FN225" s="57">
        <v>1185.5</v>
      </c>
      <c r="FO225" s="57">
        <v>2653.31</v>
      </c>
      <c r="FP225" s="57">
        <v>2341.6799999999998</v>
      </c>
      <c r="FQ225" s="57">
        <v>2141.5300000000002</v>
      </c>
      <c r="FR225" s="57">
        <v>2768.01</v>
      </c>
      <c r="FS225" s="57">
        <v>1834.98</v>
      </c>
      <c r="FT225" s="57">
        <v>880.41</v>
      </c>
      <c r="FU225" s="57">
        <v>1734.1</v>
      </c>
      <c r="FV225" s="57">
        <v>1365.11</v>
      </c>
      <c r="FW225" s="57">
        <v>806.46</v>
      </c>
      <c r="FX225" s="57">
        <v>1958.1</v>
      </c>
      <c r="FY225" s="57">
        <v>1978.86</v>
      </c>
      <c r="FZ225" s="57">
        <v>1146.02</v>
      </c>
      <c r="GA225" s="57">
        <v>1276.17</v>
      </c>
      <c r="GB225" s="57">
        <v>1220.57</v>
      </c>
      <c r="GC225" s="57">
        <v>1676.57</v>
      </c>
      <c r="GD225" s="57">
        <v>1340.7</v>
      </c>
      <c r="GE225" s="57">
        <v>2997.25</v>
      </c>
      <c r="GF225" s="57">
        <v>2154.9699999999998</v>
      </c>
      <c r="GG225" s="57">
        <v>3221.05</v>
      </c>
      <c r="GH225" s="57">
        <v>1837.73</v>
      </c>
      <c r="GI225" s="57">
        <v>430.23</v>
      </c>
      <c r="GJ225" s="57">
        <v>294</v>
      </c>
      <c r="GK225" s="57">
        <v>299.93</v>
      </c>
      <c r="GL225" s="57">
        <v>464.82</v>
      </c>
      <c r="GM225" s="57">
        <v>714.62</v>
      </c>
      <c r="GN225" s="57">
        <v>1484.62</v>
      </c>
      <c r="GO225" s="57">
        <v>525.39</v>
      </c>
      <c r="GP225" s="57">
        <v>398.69</v>
      </c>
      <c r="GQ225" s="57">
        <v>454.11</v>
      </c>
      <c r="GR225" s="57">
        <v>1606.18</v>
      </c>
      <c r="GS225" s="57">
        <v>1166.53</v>
      </c>
      <c r="GT225" s="57">
        <v>1583.73</v>
      </c>
      <c r="GU225" s="57">
        <v>1159.6099999999999</v>
      </c>
      <c r="GV225" s="57">
        <v>1023.65</v>
      </c>
      <c r="GW225" s="57">
        <v>1547.12</v>
      </c>
      <c r="GX225" s="57">
        <v>1520.16</v>
      </c>
      <c r="GY225" s="57">
        <v>1664.17</v>
      </c>
      <c r="GZ225" s="57">
        <v>1878.13</v>
      </c>
      <c r="HA225" s="57">
        <v>1518.6</v>
      </c>
      <c r="HB225" s="57">
        <v>1553.07</v>
      </c>
      <c r="HC225" s="57">
        <v>982.65</v>
      </c>
      <c r="HD225" s="57">
        <v>1019.78</v>
      </c>
      <c r="HE225" s="57">
        <v>933.3</v>
      </c>
      <c r="HF225" s="57">
        <v>1106.72</v>
      </c>
      <c r="HG225" s="57">
        <v>1415.23</v>
      </c>
      <c r="HH225" s="57">
        <v>1377.89</v>
      </c>
      <c r="HI225" s="57">
        <v>619.59</v>
      </c>
      <c r="HJ225" s="57">
        <v>1013.05</v>
      </c>
      <c r="HK225" s="57">
        <v>1912.22</v>
      </c>
      <c r="HL225" s="57">
        <v>1067.5</v>
      </c>
      <c r="HM225" s="57">
        <v>1157.82</v>
      </c>
      <c r="HN225" s="57">
        <v>1104.83</v>
      </c>
      <c r="HO225" s="57">
        <v>655.54</v>
      </c>
      <c r="HP225" s="57">
        <v>1732.13</v>
      </c>
      <c r="HQ225" s="57">
        <v>712.12</v>
      </c>
      <c r="HR225" s="57">
        <v>1354.1</v>
      </c>
      <c r="HS225" s="57">
        <v>1417.87</v>
      </c>
      <c r="HT225" s="57">
        <v>1317.91</v>
      </c>
      <c r="HU225" s="57">
        <v>835.46</v>
      </c>
      <c r="HV225" s="57">
        <v>683.17</v>
      </c>
      <c r="HW225" s="57">
        <v>463.71</v>
      </c>
      <c r="HX225" s="57">
        <v>612.25</v>
      </c>
      <c r="HY225" s="57">
        <v>302.63</v>
      </c>
      <c r="HZ225" s="57">
        <v>1251.46</v>
      </c>
      <c r="IA225" s="57">
        <v>527.65</v>
      </c>
      <c r="IB225" s="57">
        <v>1391.29</v>
      </c>
      <c r="IC225" s="57">
        <v>1076.1099999999999</v>
      </c>
      <c r="ID225" s="57">
        <v>1214.28</v>
      </c>
      <c r="IE225" s="57">
        <v>926.47</v>
      </c>
      <c r="IF225" s="57">
        <v>1240.48</v>
      </c>
      <c r="IG225" s="57">
        <v>1689.27</v>
      </c>
      <c r="IH225" s="57">
        <v>1227.19</v>
      </c>
      <c r="II225" s="57">
        <v>2019.96</v>
      </c>
      <c r="IJ225" s="57">
        <v>2127.1</v>
      </c>
      <c r="IK225" s="57">
        <v>1302.8900000000001</v>
      </c>
      <c r="IL225" s="57">
        <v>904.37</v>
      </c>
      <c r="IM225" s="57">
        <v>1269.7</v>
      </c>
      <c r="IN225" s="57">
        <v>1404.2</v>
      </c>
      <c r="IO225" s="57">
        <v>1430.33</v>
      </c>
      <c r="IP225" s="57">
        <v>761.57</v>
      </c>
      <c r="IQ225" s="57">
        <v>981.31</v>
      </c>
      <c r="IR225" s="57">
        <v>2070.17</v>
      </c>
      <c r="IS225" s="57">
        <v>2226.41</v>
      </c>
      <c r="IT225" s="57">
        <v>68.08</v>
      </c>
      <c r="IU225" s="57">
        <v>312.7</v>
      </c>
      <c r="IV225" s="57">
        <v>104.22</v>
      </c>
      <c r="IW225" s="57">
        <v>201.41</v>
      </c>
      <c r="IX225" s="57">
        <v>754.58</v>
      </c>
      <c r="IY225" s="57">
        <v>1569.15</v>
      </c>
      <c r="IZ225" s="57">
        <v>1112.1099999999999</v>
      </c>
      <c r="JA225" s="57">
        <v>758.55</v>
      </c>
      <c r="JB225" s="57">
        <v>310.57</v>
      </c>
      <c r="JC225" s="57">
        <v>1947.85</v>
      </c>
      <c r="JD225" s="57">
        <v>975.88</v>
      </c>
      <c r="JE225" s="57">
        <v>1779.19</v>
      </c>
      <c r="JF225" s="57">
        <v>739.22</v>
      </c>
      <c r="JG225" s="57">
        <v>559.03</v>
      </c>
      <c r="JH225" s="57">
        <v>1448.23</v>
      </c>
      <c r="JI225" s="57">
        <v>1789.74</v>
      </c>
      <c r="JJ225" s="57">
        <v>1504.25</v>
      </c>
      <c r="JK225" s="57">
        <v>1799.62</v>
      </c>
      <c r="JL225" s="57">
        <v>1175.77</v>
      </c>
      <c r="JM225" s="57">
        <v>990.64</v>
      </c>
      <c r="JN225" s="57">
        <v>641.26</v>
      </c>
      <c r="JO225" s="57">
        <v>698.52</v>
      </c>
      <c r="JP225" s="57">
        <v>2612.83</v>
      </c>
      <c r="JQ225" s="57">
        <v>1631.93</v>
      </c>
      <c r="JR225" s="57">
        <v>1223.5899999999999</v>
      </c>
      <c r="JS225" s="57">
        <v>741.07</v>
      </c>
      <c r="JT225" s="57">
        <v>1715.18</v>
      </c>
      <c r="JU225" s="57">
        <v>1261.58</v>
      </c>
      <c r="JV225" s="57">
        <v>636.55999999999995</v>
      </c>
      <c r="JW225" s="57">
        <v>859.52</v>
      </c>
      <c r="JX225" s="57">
        <v>6453.98</v>
      </c>
      <c r="JY225" s="57">
        <v>686.19</v>
      </c>
      <c r="JZ225" s="57">
        <v>1156.45</v>
      </c>
      <c r="KA225" s="57">
        <v>1293.6400000000001</v>
      </c>
      <c r="KB225" s="57">
        <v>864.01</v>
      </c>
      <c r="KC225" s="57">
        <v>1147.29</v>
      </c>
      <c r="KD225" s="57">
        <v>2176.3200000000002</v>
      </c>
      <c r="KE225" s="57">
        <v>135.13999999999999</v>
      </c>
      <c r="KF225" s="57">
        <v>1868.92</v>
      </c>
    </row>
    <row r="226" spans="1:292">
      <c r="A226" s="41">
        <v>2023</v>
      </c>
      <c r="B226" s="54" t="s">
        <v>985</v>
      </c>
      <c r="C226" s="50" t="s">
        <v>986</v>
      </c>
      <c r="D226" s="57">
        <v>1300.5999999999999</v>
      </c>
      <c r="E226" s="57">
        <v>1935.1</v>
      </c>
      <c r="F226" s="57">
        <v>1920.5</v>
      </c>
      <c r="G226" s="57">
        <v>432.83</v>
      </c>
      <c r="H226" s="57">
        <v>1119.3599999999999</v>
      </c>
      <c r="I226" s="57">
        <v>1216.3499999999999</v>
      </c>
      <c r="J226" s="57">
        <v>780.86</v>
      </c>
      <c r="K226" s="57">
        <v>1400.79</v>
      </c>
      <c r="L226" s="57">
        <v>268.95999999999998</v>
      </c>
      <c r="M226" s="57">
        <v>718.88</v>
      </c>
      <c r="N226" s="57">
        <v>894.78</v>
      </c>
      <c r="O226" s="57">
        <v>2379.5500000000002</v>
      </c>
      <c r="P226" s="57">
        <v>1825.27</v>
      </c>
      <c r="Q226" s="57">
        <v>1980.42</v>
      </c>
      <c r="R226" s="57">
        <v>1378.71</v>
      </c>
      <c r="S226" s="57">
        <v>3223.77</v>
      </c>
      <c r="T226" s="57">
        <v>1840.82</v>
      </c>
      <c r="U226" s="57">
        <v>420.02</v>
      </c>
      <c r="V226" s="57">
        <v>467.46</v>
      </c>
      <c r="W226" s="57">
        <v>1226.5899999999999</v>
      </c>
      <c r="X226" s="57">
        <v>1614.49</v>
      </c>
      <c r="Y226" s="57">
        <v>1172.02</v>
      </c>
      <c r="Z226" s="57">
        <v>892.07</v>
      </c>
      <c r="AA226" s="57">
        <v>1501.59</v>
      </c>
      <c r="AB226" s="57">
        <v>1038.31</v>
      </c>
      <c r="AC226" s="57">
        <v>1181.3</v>
      </c>
      <c r="AD226" s="57">
        <v>1079.1600000000001</v>
      </c>
      <c r="AE226" s="57">
        <v>1073.45</v>
      </c>
      <c r="AF226" s="57">
        <v>942.86</v>
      </c>
      <c r="AG226" s="57">
        <v>711.5</v>
      </c>
      <c r="AH226" s="57">
        <v>724.42</v>
      </c>
      <c r="AI226" s="57">
        <v>1450.92</v>
      </c>
      <c r="AJ226" s="57">
        <v>1248.1300000000001</v>
      </c>
      <c r="AK226" s="57">
        <v>1370.85</v>
      </c>
      <c r="AL226" s="57">
        <v>1345.79</v>
      </c>
      <c r="AM226" s="57">
        <v>2226.41</v>
      </c>
      <c r="AN226" s="57">
        <v>67.38</v>
      </c>
      <c r="AO226" s="57">
        <v>322.02</v>
      </c>
      <c r="AP226" s="57">
        <v>172.85</v>
      </c>
      <c r="AQ226" s="57">
        <v>1577.74</v>
      </c>
      <c r="AR226" s="57">
        <v>1208.1300000000001</v>
      </c>
      <c r="AS226" s="57">
        <v>912.6</v>
      </c>
      <c r="AT226" s="57">
        <v>1522.54</v>
      </c>
      <c r="AU226" s="57">
        <v>1926.83</v>
      </c>
      <c r="AV226" s="57">
        <v>1246.8499999999999</v>
      </c>
      <c r="AW226" s="57">
        <v>1058.72</v>
      </c>
      <c r="AX226" s="57">
        <v>641.26</v>
      </c>
      <c r="AY226" s="57">
        <v>757.44</v>
      </c>
      <c r="AZ226" s="57">
        <v>2526.6</v>
      </c>
      <c r="BA226" s="57">
        <v>1182.68</v>
      </c>
      <c r="BB226" s="57">
        <v>1003.8</v>
      </c>
      <c r="BC226" s="57">
        <v>4339.57</v>
      </c>
      <c r="BD226" s="57">
        <v>1333.71</v>
      </c>
      <c r="BE226" s="57">
        <v>2137.41</v>
      </c>
      <c r="BF226" s="57">
        <v>135.13999999999999</v>
      </c>
      <c r="BG226" s="57">
        <v>1870.65</v>
      </c>
      <c r="BH226" s="57">
        <v>1826.05</v>
      </c>
      <c r="BI226" s="57">
        <v>2520.9899999999998</v>
      </c>
      <c r="BJ226" s="57">
        <v>1512.88</v>
      </c>
      <c r="BK226" s="57">
        <v>2014.34</v>
      </c>
      <c r="BL226" s="57">
        <v>1683.83</v>
      </c>
      <c r="BM226" s="57">
        <v>1539.1</v>
      </c>
      <c r="BN226" s="57">
        <v>2101.52</v>
      </c>
      <c r="BO226" s="57">
        <v>1198.97</v>
      </c>
      <c r="BP226" s="57">
        <v>2016.34</v>
      </c>
      <c r="BQ226" s="57">
        <v>1333.15</v>
      </c>
      <c r="BR226" s="57">
        <v>1410.49</v>
      </c>
      <c r="BS226" s="57">
        <v>3192.5</v>
      </c>
      <c r="BT226" s="57">
        <v>2225.2800000000002</v>
      </c>
      <c r="BU226" s="57">
        <v>3217.86</v>
      </c>
      <c r="BV226" s="57">
        <v>1840.82</v>
      </c>
      <c r="BW226" s="57">
        <v>390.56</v>
      </c>
      <c r="BX226" s="57">
        <v>724.08</v>
      </c>
      <c r="BY226" s="57">
        <v>1559.91</v>
      </c>
      <c r="BZ226" s="57">
        <v>463.25</v>
      </c>
      <c r="CA226" s="57">
        <v>1689.6</v>
      </c>
      <c r="CB226" s="58">
        <v>1226.5899999999999</v>
      </c>
      <c r="CC226" s="57">
        <v>1614.49</v>
      </c>
      <c r="CD226" s="57">
        <v>1167.5</v>
      </c>
      <c r="CE226" s="57">
        <v>1023.65</v>
      </c>
      <c r="CF226" s="57">
        <v>316.22000000000003</v>
      </c>
      <c r="CG226" s="57">
        <v>1659.43</v>
      </c>
      <c r="CH226" s="57">
        <v>1577.44</v>
      </c>
      <c r="CI226" s="57">
        <v>1024.99</v>
      </c>
      <c r="CJ226" s="57">
        <v>1038.31</v>
      </c>
      <c r="CK226" s="57">
        <v>1119.72</v>
      </c>
      <c r="CL226" s="57">
        <v>994.62</v>
      </c>
      <c r="CM226" s="57">
        <v>1943.61</v>
      </c>
      <c r="CN226" s="57">
        <v>1079.1600000000001</v>
      </c>
      <c r="CO226" s="57">
        <v>1073.45</v>
      </c>
      <c r="CP226" s="57">
        <v>793.84</v>
      </c>
      <c r="CQ226" s="57">
        <v>1555.85</v>
      </c>
      <c r="CR226" s="57">
        <v>835.55</v>
      </c>
      <c r="CS226" s="57">
        <v>700.91</v>
      </c>
      <c r="CT226" s="57">
        <v>542.17999999999995</v>
      </c>
      <c r="CU226" s="57">
        <v>303.37</v>
      </c>
      <c r="CV226" s="57">
        <v>1284.4000000000001</v>
      </c>
      <c r="CW226" s="57">
        <v>583.97</v>
      </c>
      <c r="CX226" s="57">
        <v>1450.92</v>
      </c>
      <c r="CY226" s="57">
        <v>1257.76</v>
      </c>
      <c r="CZ226" s="57">
        <v>942.56</v>
      </c>
      <c r="DA226" s="57">
        <v>1278.76</v>
      </c>
      <c r="DB226" s="57">
        <v>1734.53</v>
      </c>
      <c r="DC226" s="57">
        <v>1150.82</v>
      </c>
      <c r="DD226" s="57">
        <v>2105.62</v>
      </c>
      <c r="DE226" s="57">
        <v>2219.4299999999998</v>
      </c>
      <c r="DF226" s="57">
        <v>1166.19</v>
      </c>
      <c r="DG226" s="57">
        <v>1327.56</v>
      </c>
      <c r="DH226" s="57">
        <v>810.57</v>
      </c>
      <c r="DI226" s="57">
        <v>1072.04</v>
      </c>
      <c r="DJ226" s="57">
        <v>2183.96</v>
      </c>
      <c r="DK226" s="57">
        <v>2226.41</v>
      </c>
      <c r="DL226" s="57">
        <v>67.38</v>
      </c>
      <c r="DM226" s="57">
        <v>322.02</v>
      </c>
      <c r="DN226" s="57">
        <v>106.39</v>
      </c>
      <c r="DO226" s="57">
        <v>203.43</v>
      </c>
      <c r="DP226" s="57">
        <v>774.35</v>
      </c>
      <c r="DQ226" s="57">
        <v>1577.74</v>
      </c>
      <c r="DR226" s="57">
        <v>1162.6500000000001</v>
      </c>
      <c r="DS226" s="57">
        <v>765.58</v>
      </c>
      <c r="DT226" s="57">
        <v>317.31</v>
      </c>
      <c r="DU226" s="57">
        <v>1960.63</v>
      </c>
      <c r="DV226" s="57">
        <v>1034.53</v>
      </c>
      <c r="DW226" s="57">
        <v>857.47</v>
      </c>
      <c r="DX226" s="57">
        <v>559.03</v>
      </c>
      <c r="DY226" s="57">
        <v>1483.75</v>
      </c>
      <c r="DZ226" s="57">
        <v>1960.94</v>
      </c>
      <c r="EA226" s="57">
        <v>1603.58</v>
      </c>
      <c r="EB226" s="57">
        <v>1926.83</v>
      </c>
      <c r="EC226" s="57">
        <v>1246.8499999999999</v>
      </c>
      <c r="ED226" s="57">
        <v>1058.72</v>
      </c>
      <c r="EE226" s="57">
        <v>641.26</v>
      </c>
      <c r="EF226" s="57">
        <v>757.44</v>
      </c>
      <c r="EG226" s="57">
        <v>2526.6</v>
      </c>
      <c r="EH226" s="57">
        <v>1182.68</v>
      </c>
      <c r="EI226" s="57">
        <v>1535.84</v>
      </c>
      <c r="EJ226" s="57">
        <v>633.23</v>
      </c>
      <c r="EK226" s="57">
        <v>861.19</v>
      </c>
      <c r="EL226" s="57">
        <v>6702.73</v>
      </c>
      <c r="EM226" s="57">
        <v>906.43</v>
      </c>
      <c r="EN226" s="57">
        <v>1333.71</v>
      </c>
      <c r="EO226" s="57">
        <v>865.19</v>
      </c>
      <c r="EP226" s="57">
        <v>1144.08</v>
      </c>
      <c r="EQ226" s="57">
        <v>2396.36</v>
      </c>
      <c r="ER226" s="57">
        <v>135.13999999999999</v>
      </c>
      <c r="ES226" s="57">
        <v>1870.65</v>
      </c>
      <c r="ET226" s="57">
        <v>2213.41</v>
      </c>
      <c r="EU226" s="57">
        <v>1746.1</v>
      </c>
      <c r="EV226" s="57">
        <v>1708.39</v>
      </c>
      <c r="EW226" s="57">
        <v>1849.45</v>
      </c>
      <c r="EX226" s="57">
        <v>2205.83</v>
      </c>
      <c r="EY226" s="57">
        <v>876.16</v>
      </c>
      <c r="EZ226" s="57">
        <v>2628.65</v>
      </c>
      <c r="FA226" s="57">
        <v>2712.02</v>
      </c>
      <c r="FB226" s="57">
        <v>2176.48</v>
      </c>
      <c r="FC226" s="57">
        <v>2769.84</v>
      </c>
      <c r="FD226" s="57">
        <v>1985.23</v>
      </c>
      <c r="FE226" s="57">
        <v>1528.46</v>
      </c>
      <c r="FF226" s="57">
        <v>302.14999999999998</v>
      </c>
      <c r="FG226" s="57">
        <v>1838.38</v>
      </c>
      <c r="FH226" s="57">
        <v>1702.29</v>
      </c>
      <c r="FI226" s="57">
        <v>2122.7399999999998</v>
      </c>
      <c r="FJ226" s="57">
        <v>2393.1</v>
      </c>
      <c r="FK226" s="57">
        <v>3022.68</v>
      </c>
      <c r="FL226" s="57">
        <v>1697.66</v>
      </c>
      <c r="FM226" s="57">
        <v>1471.27</v>
      </c>
      <c r="FN226" s="57">
        <v>1304.55</v>
      </c>
      <c r="FO226" s="57">
        <v>2716.35</v>
      </c>
      <c r="FP226" s="57">
        <v>1926.72</v>
      </c>
      <c r="FQ226" s="57">
        <v>2936.02</v>
      </c>
      <c r="FR226" s="57">
        <v>2835.24</v>
      </c>
      <c r="FS226" s="57">
        <v>1844.92</v>
      </c>
      <c r="FT226" s="57">
        <v>885.77</v>
      </c>
      <c r="FU226" s="57">
        <v>1779.86</v>
      </c>
      <c r="FV226" s="57">
        <v>1386.14</v>
      </c>
      <c r="FW226" s="57">
        <v>826.41</v>
      </c>
      <c r="FX226" s="57">
        <v>2016.34</v>
      </c>
      <c r="FY226" s="57">
        <v>2053.96</v>
      </c>
      <c r="FZ226" s="57">
        <v>1163</v>
      </c>
      <c r="GA226" s="57">
        <v>1335.19</v>
      </c>
      <c r="GB226" s="57">
        <v>1228.3699999999999</v>
      </c>
      <c r="GC226" s="57">
        <v>1695.42</v>
      </c>
      <c r="GD226" s="57">
        <v>1349.35</v>
      </c>
      <c r="GE226" s="57">
        <v>3192.5</v>
      </c>
      <c r="GF226" s="57">
        <v>2225.2800000000002</v>
      </c>
      <c r="GG226" s="57">
        <v>3217.86</v>
      </c>
      <c r="GH226" s="57">
        <v>1837.73</v>
      </c>
      <c r="GI226" s="57">
        <v>496.94</v>
      </c>
      <c r="GJ226" s="57">
        <v>325.04000000000002</v>
      </c>
      <c r="GK226" s="57">
        <v>356.54</v>
      </c>
      <c r="GL226" s="57">
        <v>455.88</v>
      </c>
      <c r="GM226" s="57">
        <v>724.08</v>
      </c>
      <c r="GN226" s="57">
        <v>1559.91</v>
      </c>
      <c r="GO226" s="57">
        <v>533.82000000000005</v>
      </c>
      <c r="GP226" s="57">
        <v>398.52</v>
      </c>
      <c r="GQ226" s="57">
        <v>452.25</v>
      </c>
      <c r="GR226" s="57">
        <v>1689.6</v>
      </c>
      <c r="GS226" s="57">
        <v>1226.5899999999999</v>
      </c>
      <c r="GT226" s="57">
        <v>1614.49</v>
      </c>
      <c r="GU226" s="57">
        <v>1167.5</v>
      </c>
      <c r="GV226" s="57">
        <v>1023.65</v>
      </c>
      <c r="GW226" s="57">
        <v>0.03</v>
      </c>
      <c r="GX226" s="57">
        <v>1514.5</v>
      </c>
      <c r="GY226" s="57">
        <v>1659.43</v>
      </c>
      <c r="GZ226" s="57">
        <v>1911.07</v>
      </c>
      <c r="HA226" s="57">
        <v>1492.51</v>
      </c>
      <c r="HB226" s="57">
        <v>1580.22</v>
      </c>
      <c r="HC226" s="57">
        <v>1024.99</v>
      </c>
      <c r="HD226" s="57">
        <v>1038.31</v>
      </c>
      <c r="HE226" s="57">
        <v>949.39</v>
      </c>
      <c r="HF226" s="57">
        <v>1129.53</v>
      </c>
      <c r="HG226" s="57">
        <v>1425.84</v>
      </c>
      <c r="HH226" s="57">
        <v>1394.58</v>
      </c>
      <c r="HI226" s="57">
        <v>617.16999999999996</v>
      </c>
      <c r="HJ226" s="57">
        <v>994.62</v>
      </c>
      <c r="HK226" s="57">
        <v>1943.61</v>
      </c>
      <c r="HL226" s="57">
        <v>1075.47</v>
      </c>
      <c r="HM226" s="57">
        <v>1181.82</v>
      </c>
      <c r="HN226" s="57">
        <v>1083.8399999999999</v>
      </c>
      <c r="HO226" s="57">
        <v>662.2</v>
      </c>
      <c r="HP226" s="57">
        <v>1767.73</v>
      </c>
      <c r="HQ226" s="57">
        <v>714.97</v>
      </c>
      <c r="HR226" s="57">
        <v>1346.05</v>
      </c>
      <c r="HS226" s="57">
        <v>1468.76</v>
      </c>
      <c r="HT226" s="57">
        <v>1372.04</v>
      </c>
      <c r="HU226" s="57">
        <v>835.55</v>
      </c>
      <c r="HV226" s="57">
        <v>700.91</v>
      </c>
      <c r="HW226" s="57">
        <v>471.44</v>
      </c>
      <c r="HX226" s="57">
        <v>625.11</v>
      </c>
      <c r="HY226" s="57">
        <v>303.37</v>
      </c>
      <c r="HZ226" s="57">
        <v>1284.4000000000001</v>
      </c>
      <c r="IA226" s="57">
        <v>533.4</v>
      </c>
      <c r="IB226" s="57">
        <v>1450.92</v>
      </c>
      <c r="IC226" s="57">
        <v>1133.42</v>
      </c>
      <c r="ID226" s="57">
        <v>1294.3399999999999</v>
      </c>
      <c r="IE226" s="57">
        <v>942.56</v>
      </c>
      <c r="IF226" s="57">
        <v>1278.76</v>
      </c>
      <c r="IG226" s="57">
        <v>1734.53</v>
      </c>
      <c r="IH226" s="57">
        <v>1150.82</v>
      </c>
      <c r="II226" s="57">
        <v>2105.62</v>
      </c>
      <c r="IJ226" s="57">
        <v>2219.4299999999998</v>
      </c>
      <c r="IK226" s="57">
        <v>1302.8900000000001</v>
      </c>
      <c r="IL226" s="57">
        <v>904.37</v>
      </c>
      <c r="IM226" s="57">
        <v>1272.93</v>
      </c>
      <c r="IN226" s="57">
        <v>1407.91</v>
      </c>
      <c r="IO226" s="57">
        <v>1375.7</v>
      </c>
      <c r="IP226" s="57">
        <v>810.57</v>
      </c>
      <c r="IQ226" s="57">
        <v>1072.04</v>
      </c>
      <c r="IR226" s="57">
        <v>2183.96</v>
      </c>
      <c r="IS226" s="57">
        <v>2226.41</v>
      </c>
      <c r="IT226" s="57">
        <v>67.38</v>
      </c>
      <c r="IU226" s="57">
        <v>322.02</v>
      </c>
      <c r="IV226" s="57">
        <v>106.41</v>
      </c>
      <c r="IW226" s="57">
        <v>203.43</v>
      </c>
      <c r="IX226" s="57">
        <v>774.35</v>
      </c>
      <c r="IY226" s="57">
        <v>1577.74</v>
      </c>
      <c r="IZ226" s="57">
        <v>1162.6500000000001</v>
      </c>
      <c r="JA226" s="57">
        <v>765.58</v>
      </c>
      <c r="JB226" s="57">
        <v>317.31</v>
      </c>
      <c r="JC226" s="57">
        <v>1960.63</v>
      </c>
      <c r="JD226" s="57">
        <v>1034.53</v>
      </c>
      <c r="JE226" s="57">
        <v>1841.17</v>
      </c>
      <c r="JF226" s="57">
        <v>744.55</v>
      </c>
      <c r="JG226" s="57">
        <v>559.03</v>
      </c>
      <c r="JH226" s="57">
        <v>1483.75</v>
      </c>
      <c r="JI226" s="57">
        <v>1960.94</v>
      </c>
      <c r="JJ226" s="57">
        <v>1603.58</v>
      </c>
      <c r="JK226" s="57">
        <v>1926.83</v>
      </c>
      <c r="JL226" s="57">
        <v>1246.8499999999999</v>
      </c>
      <c r="JM226" s="57">
        <v>1058.72</v>
      </c>
      <c r="JN226" s="57">
        <v>641.26</v>
      </c>
      <c r="JO226" s="57">
        <v>757.44</v>
      </c>
      <c r="JP226" s="57">
        <v>2809.79</v>
      </c>
      <c r="JQ226" s="57">
        <v>1703.19</v>
      </c>
      <c r="JR226" s="57">
        <v>1352.02</v>
      </c>
      <c r="JS226" s="57">
        <v>741.34</v>
      </c>
      <c r="JT226" s="57">
        <v>1782.21</v>
      </c>
      <c r="JU226" s="57">
        <v>1316.86</v>
      </c>
      <c r="JV226" s="57">
        <v>633.23</v>
      </c>
      <c r="JW226" s="57">
        <v>861.19</v>
      </c>
      <c r="JX226" s="57">
        <v>6702.73</v>
      </c>
      <c r="JY226" s="57">
        <v>685.63</v>
      </c>
      <c r="JZ226" s="57">
        <v>1190.22</v>
      </c>
      <c r="KA226" s="57">
        <v>1333.71</v>
      </c>
      <c r="KB226" s="57">
        <v>865.19</v>
      </c>
      <c r="KC226" s="57">
        <v>1144.08</v>
      </c>
      <c r="KD226" s="57">
        <v>2396.36</v>
      </c>
      <c r="KE226" s="57">
        <v>135.13999999999999</v>
      </c>
      <c r="KF226" s="57">
        <v>1870.65</v>
      </c>
    </row>
    <row r="227" spans="1:292">
      <c r="A227" s="41">
        <v>2023</v>
      </c>
      <c r="B227" s="54" t="s">
        <v>987</v>
      </c>
      <c r="C227" s="50" t="s">
        <v>988</v>
      </c>
      <c r="D227" s="57">
        <v>1351.59</v>
      </c>
      <c r="E227" s="57">
        <v>1993.6</v>
      </c>
      <c r="F227" s="57">
        <v>2134.25</v>
      </c>
      <c r="G227" s="57">
        <v>439.11</v>
      </c>
      <c r="H227" s="57">
        <v>1152.79</v>
      </c>
      <c r="I227" s="57">
        <v>1248.05</v>
      </c>
      <c r="J227" s="57">
        <v>790.29</v>
      </c>
      <c r="K227" s="57">
        <v>1512.3</v>
      </c>
      <c r="L227" s="57">
        <v>279.47000000000003</v>
      </c>
      <c r="M227" s="57">
        <v>734.15</v>
      </c>
      <c r="N227" s="57">
        <v>915.55</v>
      </c>
      <c r="O227" s="57">
        <v>2482.39</v>
      </c>
      <c r="P227" s="57">
        <v>1872.13</v>
      </c>
      <c r="Q227" s="57">
        <v>2035.39</v>
      </c>
      <c r="R227" s="57">
        <v>1473.78</v>
      </c>
      <c r="S227" s="57">
        <v>3238.41</v>
      </c>
      <c r="T227" s="57">
        <v>2067.12</v>
      </c>
      <c r="U227" s="57">
        <v>427.57</v>
      </c>
      <c r="V227" s="57">
        <v>468.27</v>
      </c>
      <c r="W227" s="57">
        <v>1297.74</v>
      </c>
      <c r="X227" s="57">
        <v>1666.59</v>
      </c>
      <c r="Y227" s="57">
        <v>1184.8800000000001</v>
      </c>
      <c r="Z227" s="57">
        <v>896.76</v>
      </c>
      <c r="AA227" s="57">
        <v>1525.04</v>
      </c>
      <c r="AB227" s="57">
        <v>1073.52</v>
      </c>
      <c r="AC227" s="57">
        <v>1221.49</v>
      </c>
      <c r="AD227" s="57">
        <v>1097.1500000000001</v>
      </c>
      <c r="AE227" s="57">
        <v>1081.95</v>
      </c>
      <c r="AF227" s="57">
        <v>969.52</v>
      </c>
      <c r="AG227" s="57">
        <v>714.52</v>
      </c>
      <c r="AH227" s="57">
        <v>736.67</v>
      </c>
      <c r="AI227" s="57">
        <v>1471.41</v>
      </c>
      <c r="AJ227" s="57">
        <v>1374.11</v>
      </c>
      <c r="AK227" s="57">
        <v>1487.6</v>
      </c>
      <c r="AL227" s="57">
        <v>1376.04</v>
      </c>
      <c r="AM227" s="57">
        <v>2226.41</v>
      </c>
      <c r="AN227" s="57">
        <v>71.75</v>
      </c>
      <c r="AO227" s="57">
        <v>330.98</v>
      </c>
      <c r="AP227" s="57">
        <v>178.5</v>
      </c>
      <c r="AQ227" s="57">
        <v>1590.28</v>
      </c>
      <c r="AR227" s="57">
        <v>1201.69</v>
      </c>
      <c r="AS227" s="57">
        <v>935.64</v>
      </c>
      <c r="AT227" s="57">
        <v>1564.65</v>
      </c>
      <c r="AU227" s="57">
        <v>1962.41</v>
      </c>
      <c r="AV227" s="57">
        <v>1285.5</v>
      </c>
      <c r="AW227" s="57">
        <v>1075.04</v>
      </c>
      <c r="AX227" s="57">
        <v>641.26</v>
      </c>
      <c r="AY227" s="57">
        <v>823.93</v>
      </c>
      <c r="AZ227" s="57">
        <v>2621.5</v>
      </c>
      <c r="BA227" s="57">
        <v>1298.68</v>
      </c>
      <c r="BB227" s="57">
        <v>1027.1099999999999</v>
      </c>
      <c r="BC227" s="57">
        <v>4529.18</v>
      </c>
      <c r="BD227" s="57">
        <v>1418.32</v>
      </c>
      <c r="BE227" s="57">
        <v>2190.91</v>
      </c>
      <c r="BF227" s="57">
        <v>135.13999999999999</v>
      </c>
      <c r="BG227" s="57">
        <v>1874.58</v>
      </c>
      <c r="BH227" s="57">
        <v>1853.37</v>
      </c>
      <c r="BI227" s="57">
        <v>2609.8000000000002</v>
      </c>
      <c r="BJ227" s="57">
        <v>1522</v>
      </c>
      <c r="BK227" s="57">
        <v>1984.23</v>
      </c>
      <c r="BL227" s="57">
        <v>1727.33</v>
      </c>
      <c r="BM227" s="57">
        <v>1682.5</v>
      </c>
      <c r="BN227" s="57">
        <v>2151.2600000000002</v>
      </c>
      <c r="BO227" s="57">
        <v>1218.5899999999999</v>
      </c>
      <c r="BP227" s="57">
        <v>2087.7199999999998</v>
      </c>
      <c r="BQ227" s="57">
        <v>1478.81</v>
      </c>
      <c r="BR227" s="57">
        <v>1462.06</v>
      </c>
      <c r="BS227" s="57">
        <v>3218.82</v>
      </c>
      <c r="BT227" s="57">
        <v>2249.2399999999998</v>
      </c>
      <c r="BU227" s="57">
        <v>3218.04</v>
      </c>
      <c r="BV227" s="57">
        <v>2067.12</v>
      </c>
      <c r="BW227" s="57">
        <v>396.68</v>
      </c>
      <c r="BX227" s="57">
        <v>758.62</v>
      </c>
      <c r="BY227" s="57">
        <v>1641.11</v>
      </c>
      <c r="BZ227" s="57">
        <v>463.91</v>
      </c>
      <c r="CA227" s="57">
        <v>1762.38</v>
      </c>
      <c r="CB227" s="58">
        <v>1297.74</v>
      </c>
      <c r="CC227" s="57">
        <v>1666.59</v>
      </c>
      <c r="CD227" s="57">
        <v>1180.31</v>
      </c>
      <c r="CE227" s="57">
        <v>1023.65</v>
      </c>
      <c r="CF227" s="57">
        <v>325.39</v>
      </c>
      <c r="CG227" s="57">
        <v>1667.98</v>
      </c>
      <c r="CH227" s="57">
        <v>1600.65</v>
      </c>
      <c r="CI227" s="57">
        <v>1051.79</v>
      </c>
      <c r="CJ227" s="57">
        <v>1073.52</v>
      </c>
      <c r="CK227" s="57">
        <v>1158.8599999999999</v>
      </c>
      <c r="CL227" s="57">
        <v>1035.28</v>
      </c>
      <c r="CM227" s="57">
        <v>1967.17</v>
      </c>
      <c r="CN227" s="57">
        <v>1097.1500000000001</v>
      </c>
      <c r="CO227" s="57">
        <v>1081.95</v>
      </c>
      <c r="CP227" s="57">
        <v>815.08</v>
      </c>
      <c r="CQ227" s="57">
        <v>1606.82</v>
      </c>
      <c r="CR227" s="57">
        <v>835.79</v>
      </c>
      <c r="CS227" s="57">
        <v>693.57</v>
      </c>
      <c r="CT227" s="57">
        <v>551.48</v>
      </c>
      <c r="CU227" s="57">
        <v>304.35000000000002</v>
      </c>
      <c r="CV227" s="57">
        <v>1315.57</v>
      </c>
      <c r="CW227" s="57">
        <v>594.24</v>
      </c>
      <c r="CX227" s="57">
        <v>1471.41</v>
      </c>
      <c r="CY227" s="57">
        <v>1387.06</v>
      </c>
      <c r="CZ227" s="57">
        <v>1010.91</v>
      </c>
      <c r="DA227" s="57">
        <v>1297.5</v>
      </c>
      <c r="DB227" s="57">
        <v>1786.76</v>
      </c>
      <c r="DC227" s="57">
        <v>1281.1400000000001</v>
      </c>
      <c r="DD227" s="57">
        <v>2182.02</v>
      </c>
      <c r="DE227" s="57">
        <v>2347.27</v>
      </c>
      <c r="DF227" s="57">
        <v>1166.19</v>
      </c>
      <c r="DG227" s="57">
        <v>1336.85</v>
      </c>
      <c r="DH227" s="57">
        <v>905.64</v>
      </c>
      <c r="DI227" s="57">
        <v>1061.1300000000001</v>
      </c>
      <c r="DJ227" s="57">
        <v>2367.69</v>
      </c>
      <c r="DK227" s="57">
        <v>2226.41</v>
      </c>
      <c r="DL227" s="57">
        <v>71.75</v>
      </c>
      <c r="DM227" s="57">
        <v>330.98</v>
      </c>
      <c r="DN227" s="57">
        <v>107.78</v>
      </c>
      <c r="DO227" s="57">
        <v>219.09</v>
      </c>
      <c r="DP227" s="57">
        <v>800.81</v>
      </c>
      <c r="DQ227" s="57">
        <v>1590.28</v>
      </c>
      <c r="DR227" s="57">
        <v>1166.8900000000001</v>
      </c>
      <c r="DS227" s="57">
        <v>756.67</v>
      </c>
      <c r="DT227" s="57">
        <v>313.38</v>
      </c>
      <c r="DU227" s="57">
        <v>1973.96</v>
      </c>
      <c r="DV227" s="57">
        <v>1084.94</v>
      </c>
      <c r="DW227" s="57">
        <v>848.52</v>
      </c>
      <c r="DX227" s="57">
        <v>585.94000000000005</v>
      </c>
      <c r="DY227" s="57">
        <v>1531.45</v>
      </c>
      <c r="DZ227" s="57">
        <v>2034.59</v>
      </c>
      <c r="EA227" s="57">
        <v>1634.52</v>
      </c>
      <c r="EB227" s="57">
        <v>1962.41</v>
      </c>
      <c r="EC227" s="57">
        <v>1285.5</v>
      </c>
      <c r="ED227" s="57">
        <v>1075.04</v>
      </c>
      <c r="EE227" s="57">
        <v>641.26</v>
      </c>
      <c r="EF227" s="57">
        <v>823.93</v>
      </c>
      <c r="EG227" s="57">
        <v>2621.5</v>
      </c>
      <c r="EH227" s="57">
        <v>1298.68</v>
      </c>
      <c r="EI227" s="57">
        <v>1618.36</v>
      </c>
      <c r="EJ227" s="57">
        <v>659.99</v>
      </c>
      <c r="EK227" s="57">
        <v>872.7</v>
      </c>
      <c r="EL227" s="57">
        <v>7160.37</v>
      </c>
      <c r="EM227" s="57">
        <v>915.58</v>
      </c>
      <c r="EN227" s="57">
        <v>1418.32</v>
      </c>
      <c r="EO227" s="57">
        <v>863.51</v>
      </c>
      <c r="EP227" s="57">
        <v>1154.3499999999999</v>
      </c>
      <c r="EQ227" s="57">
        <v>2467.62</v>
      </c>
      <c r="ER227" s="57">
        <v>135.13999999999999</v>
      </c>
      <c r="ES227" s="57">
        <v>1874.58</v>
      </c>
      <c r="ET227" s="57">
        <v>2269.02</v>
      </c>
      <c r="EU227" s="57">
        <v>1741.04</v>
      </c>
      <c r="EV227" s="57">
        <v>1736.76</v>
      </c>
      <c r="EW227" s="57">
        <v>1884.53</v>
      </c>
      <c r="EX227" s="57">
        <v>2210.39</v>
      </c>
      <c r="EY227" s="57">
        <v>906.41</v>
      </c>
      <c r="EZ227" s="57">
        <v>2824.19</v>
      </c>
      <c r="FA227" s="57">
        <v>2685.76</v>
      </c>
      <c r="FB227" s="57">
        <v>2172.02</v>
      </c>
      <c r="FC227" s="57">
        <v>3002.41</v>
      </c>
      <c r="FD227" s="57">
        <v>2005.31</v>
      </c>
      <c r="FE227" s="57">
        <v>1537.07</v>
      </c>
      <c r="FF227" s="57">
        <v>305.07</v>
      </c>
      <c r="FG227" s="57">
        <v>1828.69</v>
      </c>
      <c r="FH227" s="57">
        <v>1706.08</v>
      </c>
      <c r="FI227" s="57">
        <v>2101.36</v>
      </c>
      <c r="FJ227" s="57">
        <v>2246.09</v>
      </c>
      <c r="FK227" s="57">
        <v>3068.46</v>
      </c>
      <c r="FL227" s="57">
        <v>1708.91</v>
      </c>
      <c r="FM227" s="57">
        <v>1517.38</v>
      </c>
      <c r="FN227" s="57">
        <v>1457.67</v>
      </c>
      <c r="FO227" s="57">
        <v>2798.19</v>
      </c>
      <c r="FP227" s="57">
        <v>1985.69</v>
      </c>
      <c r="FQ227" s="57">
        <v>2949.48</v>
      </c>
      <c r="FR227" s="57">
        <v>2839.92</v>
      </c>
      <c r="FS227" s="57">
        <v>1884.35</v>
      </c>
      <c r="FT227" s="57">
        <v>893.75</v>
      </c>
      <c r="FU227" s="57">
        <v>1826.39</v>
      </c>
      <c r="FV227" s="57">
        <v>1414.79</v>
      </c>
      <c r="FW227" s="57">
        <v>823.03</v>
      </c>
      <c r="FX227" s="57">
        <v>2087.7199999999998</v>
      </c>
      <c r="FY227" s="57">
        <v>2065.6</v>
      </c>
      <c r="FZ227" s="57">
        <v>1336.67</v>
      </c>
      <c r="GA227" s="57">
        <v>1352.67</v>
      </c>
      <c r="GB227" s="57">
        <v>1264.44</v>
      </c>
      <c r="GC227" s="57">
        <v>1782.67</v>
      </c>
      <c r="GD227" s="57">
        <v>1359.69</v>
      </c>
      <c r="GE227" s="57">
        <v>3218.82</v>
      </c>
      <c r="GF227" s="57">
        <v>2249.2399999999998</v>
      </c>
      <c r="GG227" s="57">
        <v>3218.04</v>
      </c>
      <c r="GH227" s="57">
        <v>2063.65</v>
      </c>
      <c r="GI227" s="57">
        <v>514.99</v>
      </c>
      <c r="GJ227" s="57">
        <v>327.17</v>
      </c>
      <c r="GK227" s="57">
        <v>353.3</v>
      </c>
      <c r="GL227" s="57">
        <v>459.37</v>
      </c>
      <c r="GM227" s="57">
        <v>758.62</v>
      </c>
      <c r="GN227" s="57">
        <v>1641.11</v>
      </c>
      <c r="GO227" s="57">
        <v>538.44000000000005</v>
      </c>
      <c r="GP227" s="57">
        <v>399.64</v>
      </c>
      <c r="GQ227" s="57">
        <v>444.07</v>
      </c>
      <c r="GR227" s="57">
        <v>1762.38</v>
      </c>
      <c r="GS227" s="57">
        <v>1297.74</v>
      </c>
      <c r="GT227" s="57">
        <v>1666.59</v>
      </c>
      <c r="GU227" s="57">
        <v>1180.31</v>
      </c>
      <c r="GV227" s="57">
        <v>1023.65</v>
      </c>
      <c r="GW227" s="57">
        <v>1.21</v>
      </c>
      <c r="GX227" s="57">
        <v>1553.75</v>
      </c>
      <c r="GY227" s="57">
        <v>1667.98</v>
      </c>
      <c r="GZ227" s="57">
        <v>1908.24</v>
      </c>
      <c r="HA227" s="57">
        <v>1478.32</v>
      </c>
      <c r="HB227" s="57">
        <v>1641.39</v>
      </c>
      <c r="HC227" s="57">
        <v>1051.79</v>
      </c>
      <c r="HD227" s="57">
        <v>1073.52</v>
      </c>
      <c r="HE227" s="57">
        <v>979.55</v>
      </c>
      <c r="HF227" s="57">
        <v>1182.74</v>
      </c>
      <c r="HG227" s="57">
        <v>1461.38</v>
      </c>
      <c r="HH227" s="57">
        <v>1426.74</v>
      </c>
      <c r="HI227" s="57">
        <v>637.59</v>
      </c>
      <c r="HJ227" s="57">
        <v>1035.28</v>
      </c>
      <c r="HK227" s="57">
        <v>1967.17</v>
      </c>
      <c r="HL227" s="57">
        <v>1097.5899999999999</v>
      </c>
      <c r="HM227" s="57">
        <v>1213.1099999999999</v>
      </c>
      <c r="HN227" s="57">
        <v>1097.17</v>
      </c>
      <c r="HO227" s="57">
        <v>660.52</v>
      </c>
      <c r="HP227" s="57">
        <v>1806.1</v>
      </c>
      <c r="HQ227" s="57">
        <v>739.2</v>
      </c>
      <c r="HR227" s="57">
        <v>1341.53</v>
      </c>
      <c r="HS227" s="57">
        <v>1517.73</v>
      </c>
      <c r="HT227" s="57">
        <v>1412.89</v>
      </c>
      <c r="HU227" s="57">
        <v>835.79</v>
      </c>
      <c r="HV227" s="57">
        <v>693.57</v>
      </c>
      <c r="HW227" s="57">
        <v>480.45</v>
      </c>
      <c r="HX227" s="57">
        <v>632.67999999999995</v>
      </c>
      <c r="HY227" s="57">
        <v>304.35000000000002</v>
      </c>
      <c r="HZ227" s="57">
        <v>1315.57</v>
      </c>
      <c r="IA227" s="57">
        <v>542.79</v>
      </c>
      <c r="IB227" s="57">
        <v>1471.41</v>
      </c>
      <c r="IC227" s="57">
        <v>1238.6199999999999</v>
      </c>
      <c r="ID227" s="57">
        <v>1430.18</v>
      </c>
      <c r="IE227" s="57">
        <v>1010.91</v>
      </c>
      <c r="IF227" s="57">
        <v>1297.5</v>
      </c>
      <c r="IG227" s="57">
        <v>1786.76</v>
      </c>
      <c r="IH227" s="57">
        <v>1281.1400000000001</v>
      </c>
      <c r="II227" s="57">
        <v>2182.02</v>
      </c>
      <c r="IJ227" s="57">
        <v>2347.27</v>
      </c>
      <c r="IK227" s="57">
        <v>1302.8900000000001</v>
      </c>
      <c r="IL227" s="57">
        <v>904.37</v>
      </c>
      <c r="IM227" s="57">
        <v>1279.49</v>
      </c>
      <c r="IN227" s="57">
        <v>1418.8</v>
      </c>
      <c r="IO227" s="57">
        <v>1395.42</v>
      </c>
      <c r="IP227" s="57">
        <v>905.64</v>
      </c>
      <c r="IQ227" s="57">
        <v>1061.1300000000001</v>
      </c>
      <c r="IR227" s="57">
        <v>2367.69</v>
      </c>
      <c r="IS227" s="57">
        <v>2226.41</v>
      </c>
      <c r="IT227" s="57">
        <v>71.75</v>
      </c>
      <c r="IU227" s="57">
        <v>330.98</v>
      </c>
      <c r="IV227" s="57">
        <v>107.8</v>
      </c>
      <c r="IW227" s="57">
        <v>219.09</v>
      </c>
      <c r="IX227" s="57">
        <v>800.81</v>
      </c>
      <c r="IY227" s="57">
        <v>1590.28</v>
      </c>
      <c r="IZ227" s="57">
        <v>1166.8900000000001</v>
      </c>
      <c r="JA227" s="57">
        <v>756.67</v>
      </c>
      <c r="JB227" s="57">
        <v>313.38</v>
      </c>
      <c r="JC227" s="57">
        <v>1973.96</v>
      </c>
      <c r="JD227" s="57">
        <v>1084.94</v>
      </c>
      <c r="JE227" s="57">
        <v>1930.2</v>
      </c>
      <c r="JF227" s="57">
        <v>730.31</v>
      </c>
      <c r="JG227" s="57">
        <v>585.94000000000005</v>
      </c>
      <c r="JH227" s="57">
        <v>1531.45</v>
      </c>
      <c r="JI227" s="57">
        <v>2034.59</v>
      </c>
      <c r="JJ227" s="57">
        <v>1634.52</v>
      </c>
      <c r="JK227" s="57">
        <v>1962.41</v>
      </c>
      <c r="JL227" s="57">
        <v>1285.5</v>
      </c>
      <c r="JM227" s="57">
        <v>1075.04</v>
      </c>
      <c r="JN227" s="57">
        <v>641.26</v>
      </c>
      <c r="JO227" s="57">
        <v>823.93</v>
      </c>
      <c r="JP227" s="57">
        <v>2915.77</v>
      </c>
      <c r="JQ227" s="57">
        <v>1765.82</v>
      </c>
      <c r="JR227" s="57">
        <v>1519.28</v>
      </c>
      <c r="JS227" s="57">
        <v>742.1</v>
      </c>
      <c r="JT227" s="57">
        <v>1846.31</v>
      </c>
      <c r="JU227" s="57">
        <v>1406.31</v>
      </c>
      <c r="JV227" s="57">
        <v>659.99</v>
      </c>
      <c r="JW227" s="57">
        <v>872.7</v>
      </c>
      <c r="JX227" s="57">
        <v>7160.37</v>
      </c>
      <c r="JY227" s="57">
        <v>672.75</v>
      </c>
      <c r="JZ227" s="57">
        <v>1234.8399999999999</v>
      </c>
      <c r="KA227" s="57">
        <v>1418.32</v>
      </c>
      <c r="KB227" s="57">
        <v>863.51</v>
      </c>
      <c r="KC227" s="57">
        <v>1154.3499999999999</v>
      </c>
      <c r="KD227" s="57">
        <v>2467.62</v>
      </c>
      <c r="KE227" s="57">
        <v>135.13999999999999</v>
      </c>
      <c r="KF227" s="57">
        <v>1874.58</v>
      </c>
    </row>
    <row r="228" spans="1:292">
      <c r="A228" s="41">
        <v>2023</v>
      </c>
      <c r="B228" s="54" t="s">
        <v>989</v>
      </c>
      <c r="C228" s="50" t="s">
        <v>990</v>
      </c>
      <c r="D228" s="57">
        <v>1479.84</v>
      </c>
      <c r="E228" s="57">
        <v>2147.27</v>
      </c>
      <c r="F228" s="57">
        <v>2372.5700000000002</v>
      </c>
      <c r="G228" s="57">
        <v>453.1</v>
      </c>
      <c r="H228" s="57">
        <v>1222.27</v>
      </c>
      <c r="I228" s="57">
        <v>1359.26</v>
      </c>
      <c r="J228" s="57">
        <v>897.81</v>
      </c>
      <c r="K228" s="57">
        <v>1780.8</v>
      </c>
      <c r="L228" s="57">
        <v>296.86</v>
      </c>
      <c r="M228" s="57">
        <v>779.22</v>
      </c>
      <c r="N228" s="57">
        <v>940.04</v>
      </c>
      <c r="O228" s="57">
        <v>2778.32</v>
      </c>
      <c r="P228" s="57">
        <v>2034.78</v>
      </c>
      <c r="Q228" s="57">
        <v>2189.08</v>
      </c>
      <c r="R228" s="57">
        <v>1622.33</v>
      </c>
      <c r="S228" s="57">
        <v>3644.66</v>
      </c>
      <c r="T228" s="57">
        <v>2295.17</v>
      </c>
      <c r="U228" s="57">
        <v>442.06</v>
      </c>
      <c r="V228" s="57">
        <v>479.57</v>
      </c>
      <c r="W228" s="57">
        <v>1397.23</v>
      </c>
      <c r="X228" s="57">
        <v>1829.26</v>
      </c>
      <c r="Y228" s="57">
        <v>1256.32</v>
      </c>
      <c r="Z228" s="57">
        <v>920.25</v>
      </c>
      <c r="AA228" s="57">
        <v>1659.67</v>
      </c>
      <c r="AB228" s="57">
        <v>1196</v>
      </c>
      <c r="AC228" s="57">
        <v>1316.95</v>
      </c>
      <c r="AD228" s="57">
        <v>1168.8599999999999</v>
      </c>
      <c r="AE228" s="57">
        <v>1180.03</v>
      </c>
      <c r="AF228" s="57">
        <v>1071.3599999999999</v>
      </c>
      <c r="AG228" s="57">
        <v>808.55</v>
      </c>
      <c r="AH228" s="57">
        <v>831.5</v>
      </c>
      <c r="AI228" s="57">
        <v>1707.08</v>
      </c>
      <c r="AJ228" s="57">
        <v>1593.81</v>
      </c>
      <c r="AK228" s="57">
        <v>1851.66</v>
      </c>
      <c r="AL228" s="57">
        <v>1514.09</v>
      </c>
      <c r="AM228" s="57">
        <v>2226.41</v>
      </c>
      <c r="AN228" s="57">
        <v>80.13</v>
      </c>
      <c r="AO228" s="57">
        <v>343.37</v>
      </c>
      <c r="AP228" s="57">
        <v>192.13</v>
      </c>
      <c r="AQ228" s="57">
        <v>1631.59</v>
      </c>
      <c r="AR228" s="57">
        <v>1264.6300000000001</v>
      </c>
      <c r="AS228" s="57">
        <v>993.86</v>
      </c>
      <c r="AT228" s="57">
        <v>1656.09</v>
      </c>
      <c r="AU228" s="57">
        <v>2067.04</v>
      </c>
      <c r="AV228" s="57">
        <v>1310.6400000000001</v>
      </c>
      <c r="AW228" s="57">
        <v>1096.75</v>
      </c>
      <c r="AX228" s="57">
        <v>641.26</v>
      </c>
      <c r="AY228" s="57">
        <v>922.24</v>
      </c>
      <c r="AZ228" s="57">
        <v>2924.58</v>
      </c>
      <c r="BA228" s="57">
        <v>1496.26</v>
      </c>
      <c r="BB228" s="57">
        <v>1111.8900000000001</v>
      </c>
      <c r="BC228" s="57">
        <v>5089.1499999999996</v>
      </c>
      <c r="BD228" s="57">
        <v>1605.51</v>
      </c>
      <c r="BE228" s="57">
        <v>2335.61</v>
      </c>
      <c r="BF228" s="57">
        <v>135.13999999999999</v>
      </c>
      <c r="BG228" s="57">
        <v>1976.24</v>
      </c>
      <c r="BH228" s="57">
        <v>2034.42</v>
      </c>
      <c r="BI228" s="57">
        <v>2720.56</v>
      </c>
      <c r="BJ228" s="57">
        <v>1723.39</v>
      </c>
      <c r="BK228" s="57">
        <v>2026.91</v>
      </c>
      <c r="BL228" s="57">
        <v>1775.29</v>
      </c>
      <c r="BM228" s="57">
        <v>1910.16</v>
      </c>
      <c r="BN228" s="57">
        <v>2457.16</v>
      </c>
      <c r="BO228" s="57">
        <v>1257.32</v>
      </c>
      <c r="BP228" s="57">
        <v>2161.98</v>
      </c>
      <c r="BQ228" s="57">
        <v>1677.14</v>
      </c>
      <c r="BR228" s="57">
        <v>1567.53</v>
      </c>
      <c r="BS228" s="57">
        <v>3727.31</v>
      </c>
      <c r="BT228" s="57">
        <v>2391.61</v>
      </c>
      <c r="BU228" s="57">
        <v>3568.54</v>
      </c>
      <c r="BV228" s="57">
        <v>2295.17</v>
      </c>
      <c r="BW228" s="57">
        <v>408.15</v>
      </c>
      <c r="BX228" s="57">
        <v>823.19</v>
      </c>
      <c r="BY228" s="57">
        <v>1846.41</v>
      </c>
      <c r="BZ228" s="57">
        <v>474.94</v>
      </c>
      <c r="CA228" s="57">
        <v>1891.39</v>
      </c>
      <c r="CB228" s="58">
        <v>1397.23</v>
      </c>
      <c r="CC228" s="57">
        <v>1829.26</v>
      </c>
      <c r="CD228" s="57">
        <v>1251.47</v>
      </c>
      <c r="CE228" s="57">
        <v>1023.65</v>
      </c>
      <c r="CF228" s="57">
        <v>372.27</v>
      </c>
      <c r="CG228" s="57">
        <v>1708.07</v>
      </c>
      <c r="CH228" s="57">
        <v>1735.99</v>
      </c>
      <c r="CI228" s="57">
        <v>1189.6099999999999</v>
      </c>
      <c r="CJ228" s="57">
        <v>1196</v>
      </c>
      <c r="CK228" s="57">
        <v>1251.3800000000001</v>
      </c>
      <c r="CL228" s="57">
        <v>1069.47</v>
      </c>
      <c r="CM228" s="57">
        <v>2188.2399999999998</v>
      </c>
      <c r="CN228" s="57">
        <v>1168.8599999999999</v>
      </c>
      <c r="CO228" s="57">
        <v>1180.03</v>
      </c>
      <c r="CP228" s="57">
        <v>891.8</v>
      </c>
      <c r="CQ228" s="57">
        <v>1826.72</v>
      </c>
      <c r="CR228" s="57">
        <v>968.93</v>
      </c>
      <c r="CS228" s="57">
        <v>741.67</v>
      </c>
      <c r="CT228" s="57">
        <v>599.59</v>
      </c>
      <c r="CU228" s="57">
        <v>310.97000000000003</v>
      </c>
      <c r="CV228" s="57">
        <v>1514.88</v>
      </c>
      <c r="CW228" s="57">
        <v>704.01</v>
      </c>
      <c r="CX228" s="57">
        <v>1707.08</v>
      </c>
      <c r="CY228" s="57">
        <v>1611.24</v>
      </c>
      <c r="CZ228" s="57">
        <v>1148.83</v>
      </c>
      <c r="DA228" s="57">
        <v>1373.97</v>
      </c>
      <c r="DB228" s="57">
        <v>1970.79</v>
      </c>
      <c r="DC228" s="57">
        <v>1653.18</v>
      </c>
      <c r="DD228" s="57">
        <v>2592.02</v>
      </c>
      <c r="DE228" s="57">
        <v>2634.03</v>
      </c>
      <c r="DF228" s="57">
        <v>1527.68</v>
      </c>
      <c r="DG228" s="57">
        <v>1425.12</v>
      </c>
      <c r="DH228" s="57">
        <v>1112.04</v>
      </c>
      <c r="DI228" s="57">
        <v>1056.23</v>
      </c>
      <c r="DJ228" s="57">
        <v>2938.39</v>
      </c>
      <c r="DK228" s="57">
        <v>2226.41</v>
      </c>
      <c r="DL228" s="57">
        <v>80.13</v>
      </c>
      <c r="DM228" s="57">
        <v>343.37</v>
      </c>
      <c r="DN228" s="57">
        <v>116.53</v>
      </c>
      <c r="DO228" s="57">
        <v>229.84</v>
      </c>
      <c r="DP228" s="57">
        <v>907.48</v>
      </c>
      <c r="DQ228" s="57">
        <v>1631.59</v>
      </c>
      <c r="DR228" s="57">
        <v>1223.02</v>
      </c>
      <c r="DS228" s="57">
        <v>789.7</v>
      </c>
      <c r="DT228" s="57">
        <v>323.44</v>
      </c>
      <c r="DU228" s="57">
        <v>2479.27</v>
      </c>
      <c r="DV228" s="57">
        <v>1172.5899999999999</v>
      </c>
      <c r="DW228" s="57">
        <v>880.82</v>
      </c>
      <c r="DX228" s="57">
        <v>586.29999999999995</v>
      </c>
      <c r="DY228" s="57">
        <v>1617.81</v>
      </c>
      <c r="DZ228" s="57">
        <v>2296.84</v>
      </c>
      <c r="EA228" s="57">
        <v>1709.48</v>
      </c>
      <c r="EB228" s="57">
        <v>2067.04</v>
      </c>
      <c r="EC228" s="57">
        <v>1310.6400000000001</v>
      </c>
      <c r="ED228" s="57">
        <v>1096.75</v>
      </c>
      <c r="EE228" s="57">
        <v>641.26</v>
      </c>
      <c r="EF228" s="57">
        <v>922.24</v>
      </c>
      <c r="EG228" s="57">
        <v>2924.58</v>
      </c>
      <c r="EH228" s="57">
        <v>1496.26</v>
      </c>
      <c r="EI228" s="57">
        <v>1791.93</v>
      </c>
      <c r="EJ228" s="57">
        <v>680.39</v>
      </c>
      <c r="EK228" s="57">
        <v>938.51</v>
      </c>
      <c r="EL228" s="57">
        <v>8425.83</v>
      </c>
      <c r="EM228" s="57">
        <v>958.53</v>
      </c>
      <c r="EN228" s="57">
        <v>1605.51</v>
      </c>
      <c r="EO228" s="57">
        <v>869.35</v>
      </c>
      <c r="EP228" s="57">
        <v>1165.92</v>
      </c>
      <c r="EQ228" s="57">
        <v>2662.1</v>
      </c>
      <c r="ER228" s="57">
        <v>135.13999999999999</v>
      </c>
      <c r="ES228" s="57">
        <v>1976.24</v>
      </c>
      <c r="ET228" s="57">
        <v>2365.73</v>
      </c>
      <c r="EU228" s="57">
        <v>1803.17</v>
      </c>
      <c r="EV228" s="57">
        <v>1986.88</v>
      </c>
      <c r="EW228" s="57">
        <v>2026.35</v>
      </c>
      <c r="EX228" s="57">
        <v>2263.5500000000002</v>
      </c>
      <c r="EY228" s="57">
        <v>963.73</v>
      </c>
      <c r="EZ228" s="57">
        <v>2986.43</v>
      </c>
      <c r="FA228" s="57">
        <v>2749.02</v>
      </c>
      <c r="FB228" s="57">
        <v>2232.73</v>
      </c>
      <c r="FC228" s="57">
        <v>3097.3</v>
      </c>
      <c r="FD228" s="57">
        <v>2073.31</v>
      </c>
      <c r="FE228" s="57">
        <v>1742.98</v>
      </c>
      <c r="FF228" s="57">
        <v>340.84</v>
      </c>
      <c r="FG228" s="57">
        <v>1870.07</v>
      </c>
      <c r="FH228" s="57">
        <v>1713.97</v>
      </c>
      <c r="FI228" s="57">
        <v>2148.8200000000002</v>
      </c>
      <c r="FJ228" s="57">
        <v>2328.38</v>
      </c>
      <c r="FK228" s="57">
        <v>3029.64</v>
      </c>
      <c r="FL228" s="57">
        <v>1875.71</v>
      </c>
      <c r="FM228" s="57">
        <v>1575.92</v>
      </c>
      <c r="FN228" s="57">
        <v>1685.86</v>
      </c>
      <c r="FO228" s="57">
        <v>3009.07</v>
      </c>
      <c r="FP228" s="57">
        <v>2384.94</v>
      </c>
      <c r="FQ228" s="57">
        <v>3361.53</v>
      </c>
      <c r="FR228" s="57">
        <v>2880.63</v>
      </c>
      <c r="FS228" s="57">
        <v>1963.01</v>
      </c>
      <c r="FT228" s="57">
        <v>962.99</v>
      </c>
      <c r="FU228" s="57">
        <v>1877.75</v>
      </c>
      <c r="FV228" s="57">
        <v>1434.54</v>
      </c>
      <c r="FW228" s="57">
        <v>828.13</v>
      </c>
      <c r="FX228" s="57">
        <v>2161.98</v>
      </c>
      <c r="FY228" s="57">
        <v>2225.42</v>
      </c>
      <c r="FZ228" s="57">
        <v>1542.72</v>
      </c>
      <c r="GA228" s="57">
        <v>1323.14</v>
      </c>
      <c r="GB228" s="57">
        <v>1390.71</v>
      </c>
      <c r="GC228" s="57">
        <v>1878.77</v>
      </c>
      <c r="GD228" s="57">
        <v>1420.94</v>
      </c>
      <c r="GE228" s="57">
        <v>3727.31</v>
      </c>
      <c r="GF228" s="57">
        <v>2391.61</v>
      </c>
      <c r="GG228" s="57">
        <v>3568.54</v>
      </c>
      <c r="GH228" s="57">
        <v>2291.3200000000002</v>
      </c>
      <c r="GI228" s="57">
        <v>535.94000000000005</v>
      </c>
      <c r="GJ228" s="57">
        <v>335.23</v>
      </c>
      <c r="GK228" s="57">
        <v>357.62</v>
      </c>
      <c r="GL228" s="57">
        <v>467.09</v>
      </c>
      <c r="GM228" s="57">
        <v>823.19</v>
      </c>
      <c r="GN228" s="57">
        <v>1846.41</v>
      </c>
      <c r="GO228" s="57">
        <v>558.6</v>
      </c>
      <c r="GP228" s="57">
        <v>407.04</v>
      </c>
      <c r="GQ228" s="57">
        <v>445.02</v>
      </c>
      <c r="GR228" s="57">
        <v>1891.39</v>
      </c>
      <c r="GS228" s="57">
        <v>1397.23</v>
      </c>
      <c r="GT228" s="57">
        <v>1829.26</v>
      </c>
      <c r="GU228" s="57">
        <v>1251.47</v>
      </c>
      <c r="GV228" s="57">
        <v>1023.65</v>
      </c>
      <c r="GW228" s="57">
        <v>0.03</v>
      </c>
      <c r="GX228" s="57">
        <v>1783.01</v>
      </c>
      <c r="GY228" s="57">
        <v>1708.07</v>
      </c>
      <c r="GZ228" s="57">
        <v>2114.52</v>
      </c>
      <c r="HA228" s="57">
        <v>1644.31</v>
      </c>
      <c r="HB228" s="57">
        <v>1733.86</v>
      </c>
      <c r="HC228" s="57">
        <v>1189.6099999999999</v>
      </c>
      <c r="HD228" s="57">
        <v>1196</v>
      </c>
      <c r="HE228" s="57">
        <v>1049.82</v>
      </c>
      <c r="HF228" s="57">
        <v>1303.0899999999999</v>
      </c>
      <c r="HG228" s="57">
        <v>1615.25</v>
      </c>
      <c r="HH228" s="57">
        <v>1515.46</v>
      </c>
      <c r="HI228" s="57">
        <v>668.86</v>
      </c>
      <c r="HJ228" s="57">
        <v>1069.47</v>
      </c>
      <c r="HK228" s="57">
        <v>2188.2399999999998</v>
      </c>
      <c r="HL228" s="57">
        <v>1158.6500000000001</v>
      </c>
      <c r="HM228" s="57">
        <v>1278.06</v>
      </c>
      <c r="HN228" s="57">
        <v>1179.06</v>
      </c>
      <c r="HO228" s="57">
        <v>741.24</v>
      </c>
      <c r="HP228" s="57">
        <v>1896.47</v>
      </c>
      <c r="HQ228" s="57">
        <v>810.06</v>
      </c>
      <c r="HR228" s="57">
        <v>1457.6</v>
      </c>
      <c r="HS228" s="57">
        <v>1721.81</v>
      </c>
      <c r="HT228" s="57">
        <v>1623.66</v>
      </c>
      <c r="HU228" s="57">
        <v>968.93</v>
      </c>
      <c r="HV228" s="57">
        <v>741.67</v>
      </c>
      <c r="HW228" s="57">
        <v>526.73</v>
      </c>
      <c r="HX228" s="57">
        <v>673.12</v>
      </c>
      <c r="HY228" s="57">
        <v>310.97000000000003</v>
      </c>
      <c r="HZ228" s="57">
        <v>1514.88</v>
      </c>
      <c r="IA228" s="57">
        <v>643.05999999999995</v>
      </c>
      <c r="IB228" s="57">
        <v>1707.08</v>
      </c>
      <c r="IC228" s="57">
        <v>1409.3</v>
      </c>
      <c r="ID228" s="57">
        <v>1668.56</v>
      </c>
      <c r="IE228" s="57">
        <v>1148.83</v>
      </c>
      <c r="IF228" s="57">
        <v>1373.97</v>
      </c>
      <c r="IG228" s="57">
        <v>1970.79</v>
      </c>
      <c r="IH228" s="57">
        <v>1653.18</v>
      </c>
      <c r="II228" s="57">
        <v>2592.02</v>
      </c>
      <c r="IJ228" s="57">
        <v>2634.03</v>
      </c>
      <c r="IK228" s="57">
        <v>1533.27</v>
      </c>
      <c r="IL228" s="57">
        <v>1200.47</v>
      </c>
      <c r="IM228" s="57">
        <v>1349.18</v>
      </c>
      <c r="IN228" s="57">
        <v>1511.49</v>
      </c>
      <c r="IO228" s="57">
        <v>1557.03</v>
      </c>
      <c r="IP228" s="57">
        <v>1112.04</v>
      </c>
      <c r="IQ228" s="57">
        <v>1056.23</v>
      </c>
      <c r="IR228" s="57">
        <v>2938.39</v>
      </c>
      <c r="IS228" s="57">
        <v>2226.41</v>
      </c>
      <c r="IT228" s="57">
        <v>80.13</v>
      </c>
      <c r="IU228" s="57">
        <v>343.37</v>
      </c>
      <c r="IV228" s="57">
        <v>116.56</v>
      </c>
      <c r="IW228" s="57">
        <v>229.84</v>
      </c>
      <c r="IX228" s="57">
        <v>907.48</v>
      </c>
      <c r="IY228" s="57">
        <v>1631.59</v>
      </c>
      <c r="IZ228" s="57">
        <v>1223.02</v>
      </c>
      <c r="JA228" s="57">
        <v>789.7</v>
      </c>
      <c r="JB228" s="57">
        <v>323.44</v>
      </c>
      <c r="JC228" s="57">
        <v>2479.27</v>
      </c>
      <c r="JD228" s="57">
        <v>1172.5899999999999</v>
      </c>
      <c r="JE228" s="57">
        <v>2282.7800000000002</v>
      </c>
      <c r="JF228" s="57">
        <v>741.45</v>
      </c>
      <c r="JG228" s="57">
        <v>586.29999999999995</v>
      </c>
      <c r="JH228" s="57">
        <v>1617.81</v>
      </c>
      <c r="JI228" s="57">
        <v>2296.84</v>
      </c>
      <c r="JJ228" s="57">
        <v>1709.48</v>
      </c>
      <c r="JK228" s="57">
        <v>2067.04</v>
      </c>
      <c r="JL228" s="57">
        <v>1310.6400000000001</v>
      </c>
      <c r="JM228" s="57">
        <v>1096.75</v>
      </c>
      <c r="JN228" s="57">
        <v>641.26</v>
      </c>
      <c r="JO228" s="57">
        <v>922.24</v>
      </c>
      <c r="JP228" s="57">
        <v>3242.78</v>
      </c>
      <c r="JQ228" s="57">
        <v>2000.2</v>
      </c>
      <c r="JR228" s="57">
        <v>1803.6</v>
      </c>
      <c r="JS228" s="57">
        <v>744.59</v>
      </c>
      <c r="JT228" s="57">
        <v>2037.83</v>
      </c>
      <c r="JU228" s="57">
        <v>1560.97</v>
      </c>
      <c r="JV228" s="57">
        <v>680.39</v>
      </c>
      <c r="JW228" s="57">
        <v>938.51</v>
      </c>
      <c r="JX228" s="57">
        <v>8425.83</v>
      </c>
      <c r="JY228" s="57">
        <v>687.62</v>
      </c>
      <c r="JZ228" s="57">
        <v>1320.21</v>
      </c>
      <c r="KA228" s="57">
        <v>1605.51</v>
      </c>
      <c r="KB228" s="57">
        <v>869.35</v>
      </c>
      <c r="KC228" s="57">
        <v>1165.92</v>
      </c>
      <c r="KD228" s="57">
        <v>2662.1</v>
      </c>
      <c r="KE228" s="57">
        <v>135.13999999999999</v>
      </c>
      <c r="KF228" s="57">
        <v>1976.24</v>
      </c>
    </row>
    <row r="229" spans="1:292">
      <c r="A229" s="41">
        <v>2023</v>
      </c>
      <c r="B229" s="54" t="s">
        <v>991</v>
      </c>
      <c r="C229" s="50" t="s">
        <v>992</v>
      </c>
      <c r="D229" s="57">
        <v>1614.31</v>
      </c>
      <c r="E229" s="57">
        <v>2329.27</v>
      </c>
      <c r="F229" s="57">
        <v>2462.06</v>
      </c>
      <c r="G229" s="57">
        <v>490.5</v>
      </c>
      <c r="H229" s="57">
        <v>1306.51</v>
      </c>
      <c r="I229" s="57">
        <v>1486.5</v>
      </c>
      <c r="J229" s="57">
        <v>969.45</v>
      </c>
      <c r="K229" s="57">
        <v>2076.5100000000002</v>
      </c>
      <c r="L229" s="57">
        <v>309.57</v>
      </c>
      <c r="M229" s="57">
        <v>840.61</v>
      </c>
      <c r="N229" s="57">
        <v>969.31</v>
      </c>
      <c r="O229" s="57">
        <v>2975.44</v>
      </c>
      <c r="P229" s="57">
        <v>2188.36</v>
      </c>
      <c r="Q229" s="57">
        <v>2372.9699999999998</v>
      </c>
      <c r="R229" s="57">
        <v>1777.94</v>
      </c>
      <c r="S229" s="57">
        <v>3865.02</v>
      </c>
      <c r="T229" s="57">
        <v>2376.58</v>
      </c>
      <c r="U229" s="57">
        <v>476.8</v>
      </c>
      <c r="V229" s="57">
        <v>526.37</v>
      </c>
      <c r="W229" s="57">
        <v>1507.6</v>
      </c>
      <c r="X229" s="57">
        <v>1945.74</v>
      </c>
      <c r="Y229" s="57">
        <v>1349.65</v>
      </c>
      <c r="Z229" s="57">
        <v>970.49</v>
      </c>
      <c r="AA229" s="57">
        <v>1755.09</v>
      </c>
      <c r="AB229" s="57">
        <v>1282.56</v>
      </c>
      <c r="AC229" s="57">
        <v>1440.57</v>
      </c>
      <c r="AD229" s="57">
        <v>1255.29</v>
      </c>
      <c r="AE229" s="57">
        <v>1281.24</v>
      </c>
      <c r="AF229" s="57">
        <v>1224.44</v>
      </c>
      <c r="AG229" s="57">
        <v>902.87</v>
      </c>
      <c r="AH229" s="57">
        <v>877.77</v>
      </c>
      <c r="AI229" s="57">
        <v>1833.82</v>
      </c>
      <c r="AJ229" s="57">
        <v>1733.03</v>
      </c>
      <c r="AK229" s="57">
        <v>2241.87</v>
      </c>
      <c r="AL229" s="57">
        <v>1932.31</v>
      </c>
      <c r="AM229" s="57">
        <v>3348.97</v>
      </c>
      <c r="AN229" s="57">
        <v>82.16</v>
      </c>
      <c r="AO229" s="57">
        <v>360.86</v>
      </c>
      <c r="AP229" s="57">
        <v>203.11</v>
      </c>
      <c r="AQ229" s="57">
        <v>1767.26</v>
      </c>
      <c r="AR229" s="57">
        <v>1346.31</v>
      </c>
      <c r="AS229" s="57">
        <v>1098.96</v>
      </c>
      <c r="AT229" s="57">
        <v>1796.39</v>
      </c>
      <c r="AU229" s="57">
        <v>2172.16</v>
      </c>
      <c r="AV229" s="57">
        <v>1333.52</v>
      </c>
      <c r="AW229" s="57">
        <v>1118.8900000000001</v>
      </c>
      <c r="AX229" s="57">
        <v>641.26</v>
      </c>
      <c r="AY229" s="57">
        <v>1059.99</v>
      </c>
      <c r="AZ229" s="57">
        <v>3139.52</v>
      </c>
      <c r="BA229" s="57">
        <v>1568.66</v>
      </c>
      <c r="BB229" s="57">
        <v>1226.82</v>
      </c>
      <c r="BC229" s="57">
        <v>5292.25</v>
      </c>
      <c r="BD229" s="57">
        <v>1758.16</v>
      </c>
      <c r="BE229" s="57">
        <v>2367.31</v>
      </c>
      <c r="BF229" s="57">
        <v>135.13999999999999</v>
      </c>
      <c r="BG229" s="57">
        <v>2015.42</v>
      </c>
      <c r="BH229" s="57">
        <v>2289.5700000000002</v>
      </c>
      <c r="BI229" s="57">
        <v>2773.59</v>
      </c>
      <c r="BJ229" s="57">
        <v>1833.42</v>
      </c>
      <c r="BK229" s="57">
        <v>2280.44</v>
      </c>
      <c r="BL229" s="57">
        <v>2008.89</v>
      </c>
      <c r="BM229" s="57">
        <v>2185.5700000000002</v>
      </c>
      <c r="BN229" s="57">
        <v>2524.86</v>
      </c>
      <c r="BO229" s="57">
        <v>1361.43</v>
      </c>
      <c r="BP229" s="57">
        <v>2410.2800000000002</v>
      </c>
      <c r="BQ229" s="57">
        <v>1788.28</v>
      </c>
      <c r="BR229" s="57">
        <v>1760.17</v>
      </c>
      <c r="BS229" s="57">
        <v>3894.62</v>
      </c>
      <c r="BT229" s="57">
        <v>2650.86</v>
      </c>
      <c r="BU229" s="57">
        <v>3803.26</v>
      </c>
      <c r="BV229" s="57">
        <v>2376.58</v>
      </c>
      <c r="BW229" s="57">
        <v>439.97</v>
      </c>
      <c r="BX229" s="57">
        <v>895.82</v>
      </c>
      <c r="BY229" s="57">
        <v>2000.24</v>
      </c>
      <c r="BZ229" s="57">
        <v>521.25</v>
      </c>
      <c r="CA229" s="57">
        <v>2090.84</v>
      </c>
      <c r="CB229" s="58">
        <v>1507.6</v>
      </c>
      <c r="CC229" s="57">
        <v>1945.74</v>
      </c>
      <c r="CD229" s="57">
        <v>1344.45</v>
      </c>
      <c r="CE229" s="57">
        <v>1042.6400000000001</v>
      </c>
      <c r="CF229" s="57">
        <v>461.34</v>
      </c>
      <c r="CG229" s="57">
        <v>1747.67</v>
      </c>
      <c r="CH229" s="57">
        <v>1837.57</v>
      </c>
      <c r="CI229" s="57">
        <v>1244.54</v>
      </c>
      <c r="CJ229" s="57">
        <v>1282.56</v>
      </c>
      <c r="CK229" s="57">
        <v>1370.09</v>
      </c>
      <c r="CL229" s="57">
        <v>1167.19</v>
      </c>
      <c r="CM229" s="57">
        <v>2369.96</v>
      </c>
      <c r="CN229" s="57">
        <v>1255.29</v>
      </c>
      <c r="CO229" s="57">
        <v>1281.24</v>
      </c>
      <c r="CP229" s="57">
        <v>1035.1300000000001</v>
      </c>
      <c r="CQ229" s="57">
        <v>1996.31</v>
      </c>
      <c r="CR229" s="57">
        <v>1102.93</v>
      </c>
      <c r="CS229" s="57">
        <v>763.2</v>
      </c>
      <c r="CT229" s="57">
        <v>652.85</v>
      </c>
      <c r="CU229" s="57">
        <v>314.14</v>
      </c>
      <c r="CV229" s="57">
        <v>1623.03</v>
      </c>
      <c r="CW229" s="57">
        <v>750.28</v>
      </c>
      <c r="CX229" s="57">
        <v>1833.82</v>
      </c>
      <c r="CY229" s="57">
        <v>1752.87</v>
      </c>
      <c r="CZ229" s="57">
        <v>1240.1099999999999</v>
      </c>
      <c r="DA229" s="57">
        <v>1446.52</v>
      </c>
      <c r="DB229" s="57">
        <v>2119.2800000000002</v>
      </c>
      <c r="DC229" s="57">
        <v>2084.81</v>
      </c>
      <c r="DD229" s="57">
        <v>2921.25</v>
      </c>
      <c r="DE229" s="57">
        <v>2814.2</v>
      </c>
      <c r="DF229" s="57">
        <v>1585.8</v>
      </c>
      <c r="DG229" s="57">
        <v>1838.81</v>
      </c>
      <c r="DH229" s="57">
        <v>1515.1</v>
      </c>
      <c r="DI229" s="57">
        <v>1149.05</v>
      </c>
      <c r="DJ229" s="57">
        <v>3317.23</v>
      </c>
      <c r="DK229" s="57">
        <v>3348.97</v>
      </c>
      <c r="DL229" s="57">
        <v>82.16</v>
      </c>
      <c r="DM229" s="57">
        <v>360.86</v>
      </c>
      <c r="DN229" s="57">
        <v>124.75</v>
      </c>
      <c r="DO229" s="57">
        <v>234.16</v>
      </c>
      <c r="DP229" s="57">
        <v>984.26</v>
      </c>
      <c r="DQ229" s="57">
        <v>1767.26</v>
      </c>
      <c r="DR229" s="57">
        <v>1340.04</v>
      </c>
      <c r="DS229" s="57">
        <v>803.51</v>
      </c>
      <c r="DT229" s="57">
        <v>342.53</v>
      </c>
      <c r="DU229" s="57">
        <v>2614.7800000000002</v>
      </c>
      <c r="DV229" s="57">
        <v>1269.98</v>
      </c>
      <c r="DW229" s="57">
        <v>966.79</v>
      </c>
      <c r="DX229" s="57">
        <v>1024.0999999999999</v>
      </c>
      <c r="DY229" s="57">
        <v>1761.26</v>
      </c>
      <c r="DZ229" s="57">
        <v>2559.54</v>
      </c>
      <c r="EA229" s="57">
        <v>1832.69</v>
      </c>
      <c r="EB229" s="57">
        <v>2172.16</v>
      </c>
      <c r="EC229" s="57">
        <v>1333.52</v>
      </c>
      <c r="ED229" s="57">
        <v>1118.8900000000001</v>
      </c>
      <c r="EE229" s="57">
        <v>641.26</v>
      </c>
      <c r="EF229" s="57">
        <v>1059.99</v>
      </c>
      <c r="EG229" s="57">
        <v>3139.52</v>
      </c>
      <c r="EH229" s="57">
        <v>1568.66</v>
      </c>
      <c r="EI229" s="57">
        <v>1979.44</v>
      </c>
      <c r="EJ229" s="57">
        <v>727.16</v>
      </c>
      <c r="EK229" s="57">
        <v>1035.6600000000001</v>
      </c>
      <c r="EL229" s="57">
        <v>8604.43</v>
      </c>
      <c r="EM229" s="57">
        <v>1025.92</v>
      </c>
      <c r="EN229" s="57">
        <v>1758.16</v>
      </c>
      <c r="EO229" s="57">
        <v>873.81</v>
      </c>
      <c r="EP229" s="57">
        <v>1205.52</v>
      </c>
      <c r="EQ229" s="57">
        <v>2693.64</v>
      </c>
      <c r="ER229" s="57">
        <v>135.13999999999999</v>
      </c>
      <c r="ES229" s="57">
        <v>2015.42</v>
      </c>
      <c r="ET229" s="57">
        <v>2486.59</v>
      </c>
      <c r="EU229" s="57">
        <v>1934.31</v>
      </c>
      <c r="EV229" s="57">
        <v>2353.5300000000002</v>
      </c>
      <c r="EW229" s="57">
        <v>2173.5700000000002</v>
      </c>
      <c r="EX229" s="57">
        <v>2407.6799999999998</v>
      </c>
      <c r="EY229" s="57">
        <v>1039.03</v>
      </c>
      <c r="EZ229" s="57">
        <v>3019.52</v>
      </c>
      <c r="FA229" s="57">
        <v>2763.17</v>
      </c>
      <c r="FB229" s="57">
        <v>2296.67</v>
      </c>
      <c r="FC229" s="57">
        <v>3264.09</v>
      </c>
      <c r="FD229" s="57">
        <v>2190.6999999999998</v>
      </c>
      <c r="FE229" s="57">
        <v>1845.02</v>
      </c>
      <c r="FF229" s="57">
        <v>379.4</v>
      </c>
      <c r="FG229" s="57">
        <v>2081.66</v>
      </c>
      <c r="FH229" s="57">
        <v>1913.72</v>
      </c>
      <c r="FI229" s="57">
        <v>2417.5500000000002</v>
      </c>
      <c r="FJ229" s="57">
        <v>2680.88</v>
      </c>
      <c r="FK229" s="57">
        <v>3509.36</v>
      </c>
      <c r="FL229" s="57">
        <v>2315.86</v>
      </c>
      <c r="FM229" s="57">
        <v>1756.31</v>
      </c>
      <c r="FN229" s="57">
        <v>1947.02</v>
      </c>
      <c r="FO229" s="57">
        <v>3344.82</v>
      </c>
      <c r="FP229" s="57">
        <v>2432.06</v>
      </c>
      <c r="FQ229" s="57">
        <v>3270.24</v>
      </c>
      <c r="FR229" s="57">
        <v>2913.69</v>
      </c>
      <c r="FS229" s="57">
        <v>2111.8200000000002</v>
      </c>
      <c r="FT229" s="57">
        <v>1048.78</v>
      </c>
      <c r="FU229" s="57">
        <v>1991.73</v>
      </c>
      <c r="FV229" s="57">
        <v>1579.23</v>
      </c>
      <c r="FW229" s="57">
        <v>849.12</v>
      </c>
      <c r="FX229" s="57">
        <v>2410.2800000000002</v>
      </c>
      <c r="FY229" s="57">
        <v>2327.5100000000002</v>
      </c>
      <c r="FZ229" s="57">
        <v>1653.36</v>
      </c>
      <c r="GA229" s="57">
        <v>1576.7</v>
      </c>
      <c r="GB229" s="57">
        <v>1588.26</v>
      </c>
      <c r="GC229" s="57">
        <v>2089.7600000000002</v>
      </c>
      <c r="GD229" s="57">
        <v>1554.08</v>
      </c>
      <c r="GE229" s="57">
        <v>3894.62</v>
      </c>
      <c r="GF229" s="57">
        <v>2650.86</v>
      </c>
      <c r="GG229" s="57">
        <v>3803.26</v>
      </c>
      <c r="GH229" s="57">
        <v>2372.59</v>
      </c>
      <c r="GI229" s="57">
        <v>577.04999999999995</v>
      </c>
      <c r="GJ229" s="57">
        <v>361.93</v>
      </c>
      <c r="GK229" s="57">
        <v>385.97</v>
      </c>
      <c r="GL229" s="57">
        <v>493.49</v>
      </c>
      <c r="GM229" s="57">
        <v>895.82</v>
      </c>
      <c r="GN229" s="57">
        <v>2000.24</v>
      </c>
      <c r="GO229" s="57">
        <v>616.83000000000004</v>
      </c>
      <c r="GP229" s="57">
        <v>445.05</v>
      </c>
      <c r="GQ229" s="57">
        <v>484.9</v>
      </c>
      <c r="GR229" s="57">
        <v>2090.84</v>
      </c>
      <c r="GS229" s="57">
        <v>1507.6</v>
      </c>
      <c r="GT229" s="57">
        <v>1945.74</v>
      </c>
      <c r="GU229" s="57">
        <v>1344.45</v>
      </c>
      <c r="GV229" s="57">
        <v>1042.6400000000001</v>
      </c>
      <c r="GW229" s="57">
        <v>0.03</v>
      </c>
      <c r="GX229" s="57">
        <v>2209.6</v>
      </c>
      <c r="GY229" s="57">
        <v>1747.67</v>
      </c>
      <c r="GZ229" s="57">
        <v>2309.19</v>
      </c>
      <c r="HA229" s="57">
        <v>1760.83</v>
      </c>
      <c r="HB229" s="57">
        <v>1796.1</v>
      </c>
      <c r="HC229" s="57">
        <v>1244.54</v>
      </c>
      <c r="HD229" s="57">
        <v>1282.56</v>
      </c>
      <c r="HE229" s="57">
        <v>1139.52</v>
      </c>
      <c r="HF229" s="57">
        <v>1424.97</v>
      </c>
      <c r="HG229" s="57">
        <v>1755.94</v>
      </c>
      <c r="HH229" s="57">
        <v>1690.71</v>
      </c>
      <c r="HI229" s="57">
        <v>738.44</v>
      </c>
      <c r="HJ229" s="57">
        <v>1167.19</v>
      </c>
      <c r="HK229" s="57">
        <v>2369.96</v>
      </c>
      <c r="HL229" s="57">
        <v>1242.22</v>
      </c>
      <c r="HM229" s="57">
        <v>1397.26</v>
      </c>
      <c r="HN229" s="57">
        <v>1264.8699999999999</v>
      </c>
      <c r="HO229" s="57">
        <v>822.61</v>
      </c>
      <c r="HP229" s="57">
        <v>1996.5</v>
      </c>
      <c r="HQ229" s="57">
        <v>946.77</v>
      </c>
      <c r="HR229" s="57">
        <v>1640.11</v>
      </c>
      <c r="HS229" s="57">
        <v>1871.25</v>
      </c>
      <c r="HT229" s="57">
        <v>1824.34</v>
      </c>
      <c r="HU229" s="57">
        <v>1102.93</v>
      </c>
      <c r="HV229" s="57">
        <v>763.2</v>
      </c>
      <c r="HW229" s="57">
        <v>573.51</v>
      </c>
      <c r="HX229" s="57">
        <v>732.94</v>
      </c>
      <c r="HY229" s="57">
        <v>314.14</v>
      </c>
      <c r="HZ229" s="57">
        <v>1623.03</v>
      </c>
      <c r="IA229" s="57">
        <v>685.31</v>
      </c>
      <c r="IB229" s="57">
        <v>1833.82</v>
      </c>
      <c r="IC229" s="57">
        <v>1547.46</v>
      </c>
      <c r="ID229" s="57">
        <v>1811.73</v>
      </c>
      <c r="IE229" s="57">
        <v>1240.1099999999999</v>
      </c>
      <c r="IF229" s="57">
        <v>1446.52</v>
      </c>
      <c r="IG229" s="57">
        <v>2119.2800000000002</v>
      </c>
      <c r="IH229" s="57">
        <v>2084.81</v>
      </c>
      <c r="II229" s="57">
        <v>2921.25</v>
      </c>
      <c r="IJ229" s="57">
        <v>2814.2</v>
      </c>
      <c r="IK229" s="57">
        <v>2093.9299999999998</v>
      </c>
      <c r="IL229" s="57">
        <v>1200.47</v>
      </c>
      <c r="IM229" s="57">
        <v>1636.72</v>
      </c>
      <c r="IN229" s="57">
        <v>2317.84</v>
      </c>
      <c r="IO229" s="57">
        <v>2217.86</v>
      </c>
      <c r="IP229" s="57">
        <v>1515.1</v>
      </c>
      <c r="IQ229" s="57">
        <v>1149.05</v>
      </c>
      <c r="IR229" s="57">
        <v>3317.23</v>
      </c>
      <c r="IS229" s="57">
        <v>3348.97</v>
      </c>
      <c r="IT229" s="57">
        <v>82.16</v>
      </c>
      <c r="IU229" s="57">
        <v>360.86</v>
      </c>
      <c r="IV229" s="57">
        <v>124.78</v>
      </c>
      <c r="IW229" s="57">
        <v>234.16</v>
      </c>
      <c r="IX229" s="57">
        <v>984.26</v>
      </c>
      <c r="IY229" s="57">
        <v>1767.26</v>
      </c>
      <c r="IZ229" s="57">
        <v>1340.04</v>
      </c>
      <c r="JA229" s="57">
        <v>803.51</v>
      </c>
      <c r="JB229" s="57">
        <v>342.53</v>
      </c>
      <c r="JC229" s="57">
        <v>2614.7800000000002</v>
      </c>
      <c r="JD229" s="57">
        <v>1269.98</v>
      </c>
      <c r="JE229" s="57">
        <v>2549.4499999999998</v>
      </c>
      <c r="JF229" s="57">
        <v>811.2</v>
      </c>
      <c r="JG229" s="57">
        <v>1024.0999999999999</v>
      </c>
      <c r="JH229" s="57">
        <v>1761.26</v>
      </c>
      <c r="JI229" s="57">
        <v>2559.54</v>
      </c>
      <c r="JJ229" s="57">
        <v>1832.69</v>
      </c>
      <c r="JK229" s="57">
        <v>2172.16</v>
      </c>
      <c r="JL229" s="57">
        <v>1333.52</v>
      </c>
      <c r="JM229" s="57">
        <v>1118.8900000000001</v>
      </c>
      <c r="JN229" s="57">
        <v>641.26</v>
      </c>
      <c r="JO229" s="57">
        <v>1059.99</v>
      </c>
      <c r="JP229" s="57">
        <v>3479.64</v>
      </c>
      <c r="JQ229" s="57">
        <v>2151.58</v>
      </c>
      <c r="JR229" s="57">
        <v>1903.64</v>
      </c>
      <c r="JS229" s="57">
        <v>754.1</v>
      </c>
      <c r="JT229" s="57">
        <v>2251.56</v>
      </c>
      <c r="JU229" s="57">
        <v>1724.03</v>
      </c>
      <c r="JV229" s="57">
        <v>727.16</v>
      </c>
      <c r="JW229" s="57">
        <v>1035.6600000000001</v>
      </c>
      <c r="JX229" s="57">
        <v>8604.43</v>
      </c>
      <c r="JY229" s="57">
        <v>732.81</v>
      </c>
      <c r="JZ229" s="57">
        <v>1418.2</v>
      </c>
      <c r="KA229" s="57">
        <v>1758.16</v>
      </c>
      <c r="KB229" s="57">
        <v>873.81</v>
      </c>
      <c r="KC229" s="57">
        <v>1205.52</v>
      </c>
      <c r="KD229" s="57">
        <v>2693.64</v>
      </c>
      <c r="KE229" s="57">
        <v>135.13999999999999</v>
      </c>
      <c r="KF229" s="57">
        <v>2015.42</v>
      </c>
    </row>
    <row r="230" spans="1:292">
      <c r="A230" s="41">
        <v>2023</v>
      </c>
      <c r="B230" s="54" t="s">
        <v>993</v>
      </c>
      <c r="C230" s="50" t="s">
        <v>994</v>
      </c>
      <c r="D230" s="57">
        <v>1691.04</v>
      </c>
      <c r="E230" s="57">
        <v>2406.5</v>
      </c>
      <c r="F230" s="57">
        <v>2709.08</v>
      </c>
      <c r="G230" s="57">
        <v>503.18</v>
      </c>
      <c r="H230" s="57">
        <v>1381.78</v>
      </c>
      <c r="I230" s="57">
        <v>1564.03</v>
      </c>
      <c r="J230" s="57">
        <v>1002.32</v>
      </c>
      <c r="K230" s="57">
        <v>2166.85</v>
      </c>
      <c r="L230" s="57">
        <v>320.61</v>
      </c>
      <c r="M230" s="57">
        <v>879.82</v>
      </c>
      <c r="N230" s="57">
        <v>1262.74</v>
      </c>
      <c r="O230" s="57">
        <v>3098.92</v>
      </c>
      <c r="P230" s="57">
        <v>2274.48</v>
      </c>
      <c r="Q230" s="57">
        <v>2448.59</v>
      </c>
      <c r="R230" s="57">
        <v>1870.22</v>
      </c>
      <c r="S230" s="57">
        <v>3854.36</v>
      </c>
      <c r="T230" s="57">
        <v>2639.83</v>
      </c>
      <c r="U230" s="57">
        <v>488.05</v>
      </c>
      <c r="V230" s="57">
        <v>544.42999999999995</v>
      </c>
      <c r="W230" s="57">
        <v>1651.08</v>
      </c>
      <c r="X230" s="57">
        <v>2002.54</v>
      </c>
      <c r="Y230" s="57">
        <v>1409.25</v>
      </c>
      <c r="Z230" s="57">
        <v>994.9</v>
      </c>
      <c r="AA230" s="57">
        <v>1865.28</v>
      </c>
      <c r="AB230" s="57">
        <v>1306.94</v>
      </c>
      <c r="AC230" s="57">
        <v>1545.02</v>
      </c>
      <c r="AD230" s="57">
        <v>1291.3800000000001</v>
      </c>
      <c r="AE230" s="57">
        <v>1303.1199999999999</v>
      </c>
      <c r="AF230" s="57">
        <v>1265.6600000000001</v>
      </c>
      <c r="AG230" s="57">
        <v>917.52</v>
      </c>
      <c r="AH230" s="57">
        <v>907.03</v>
      </c>
      <c r="AI230" s="57">
        <v>1952.62</v>
      </c>
      <c r="AJ230" s="57">
        <v>1738.81</v>
      </c>
      <c r="AK230" s="57">
        <v>2313.9699999999998</v>
      </c>
      <c r="AL230" s="57">
        <v>2226.61</v>
      </c>
      <c r="AM230" s="57">
        <v>3348.97</v>
      </c>
      <c r="AN230" s="57">
        <v>81.95</v>
      </c>
      <c r="AO230" s="57">
        <v>380.34</v>
      </c>
      <c r="AP230" s="57">
        <v>207.51</v>
      </c>
      <c r="AQ230" s="57">
        <v>1828.41</v>
      </c>
      <c r="AR230" s="57">
        <v>1402.41</v>
      </c>
      <c r="AS230" s="57">
        <v>1152.6099999999999</v>
      </c>
      <c r="AT230" s="57">
        <v>1878.72</v>
      </c>
      <c r="AU230" s="57">
        <v>2390.98</v>
      </c>
      <c r="AV230" s="57">
        <v>1353.36</v>
      </c>
      <c r="AW230" s="57">
        <v>1143.3800000000001</v>
      </c>
      <c r="AX230" s="57">
        <v>1460.3</v>
      </c>
      <c r="AY230" s="57">
        <v>1158</v>
      </c>
      <c r="AZ230" s="57">
        <v>3269.45</v>
      </c>
      <c r="BA230" s="57">
        <v>1635.35</v>
      </c>
      <c r="BB230" s="57">
        <v>1265.19</v>
      </c>
      <c r="BC230" s="57">
        <v>5396.1</v>
      </c>
      <c r="BD230" s="57">
        <v>2159.23</v>
      </c>
      <c r="BE230" s="57">
        <v>2309.73</v>
      </c>
      <c r="BF230" s="57">
        <v>135.13999999999999</v>
      </c>
      <c r="BG230" s="57">
        <v>2145.3200000000002</v>
      </c>
      <c r="BH230" s="57">
        <v>2353.4699999999998</v>
      </c>
      <c r="BI230" s="57">
        <v>2852.54</v>
      </c>
      <c r="BJ230" s="57">
        <v>1927.39</v>
      </c>
      <c r="BK230" s="57">
        <v>2413.09</v>
      </c>
      <c r="BL230" s="57">
        <v>2100.6999999999998</v>
      </c>
      <c r="BM230" s="57">
        <v>2276.5100000000002</v>
      </c>
      <c r="BN230" s="57">
        <v>2495.73</v>
      </c>
      <c r="BO230" s="57">
        <v>1440.94</v>
      </c>
      <c r="BP230" s="57">
        <v>2515.5</v>
      </c>
      <c r="BQ230" s="57">
        <v>1885</v>
      </c>
      <c r="BR230" s="57">
        <v>1848.21</v>
      </c>
      <c r="BS230" s="57">
        <v>3880.46</v>
      </c>
      <c r="BT230" s="57">
        <v>2650.5</v>
      </c>
      <c r="BU230" s="57">
        <v>3793.83</v>
      </c>
      <c r="BV230" s="57">
        <v>2639.83</v>
      </c>
      <c r="BW230" s="57">
        <v>449.33</v>
      </c>
      <c r="BX230" s="57">
        <v>939.74</v>
      </c>
      <c r="BY230" s="57">
        <v>2113.81</v>
      </c>
      <c r="BZ230" s="57">
        <v>539.04999999999995</v>
      </c>
      <c r="CA230" s="57">
        <v>2205.92</v>
      </c>
      <c r="CB230" s="58">
        <v>1651.08</v>
      </c>
      <c r="CC230" s="57">
        <v>2002.54</v>
      </c>
      <c r="CD230" s="57">
        <v>1403.81</v>
      </c>
      <c r="CE230" s="57">
        <v>1042.6400000000001</v>
      </c>
      <c r="CF230" s="57">
        <v>488.68</v>
      </c>
      <c r="CG230" s="57">
        <v>1854.38</v>
      </c>
      <c r="CH230" s="57">
        <v>1955.47</v>
      </c>
      <c r="CI230" s="57">
        <v>1303.6600000000001</v>
      </c>
      <c r="CJ230" s="57">
        <v>1306.94</v>
      </c>
      <c r="CK230" s="57">
        <v>1473.38</v>
      </c>
      <c r="CL230" s="57">
        <v>1235.31</v>
      </c>
      <c r="CM230" s="57">
        <v>2485.5700000000002</v>
      </c>
      <c r="CN230" s="57">
        <v>1291.3800000000001</v>
      </c>
      <c r="CO230" s="57">
        <v>1303.1199999999999</v>
      </c>
      <c r="CP230" s="57">
        <v>1059.74</v>
      </c>
      <c r="CQ230" s="57">
        <v>2122.35</v>
      </c>
      <c r="CR230" s="57">
        <v>1103.29</v>
      </c>
      <c r="CS230" s="57">
        <v>813.94</v>
      </c>
      <c r="CT230" s="57">
        <v>680.77</v>
      </c>
      <c r="CU230" s="57">
        <v>315.95</v>
      </c>
      <c r="CV230" s="57">
        <v>1684.38</v>
      </c>
      <c r="CW230" s="57">
        <v>784.61</v>
      </c>
      <c r="CX230" s="57">
        <v>1952.62</v>
      </c>
      <c r="CY230" s="57">
        <v>1756.91</v>
      </c>
      <c r="CZ230" s="57">
        <v>1274.45</v>
      </c>
      <c r="DA230" s="57">
        <v>1483.08</v>
      </c>
      <c r="DB230" s="57">
        <v>2179.6999999999998</v>
      </c>
      <c r="DC230" s="57">
        <v>2181.0500000000002</v>
      </c>
      <c r="DD230" s="57">
        <v>2883.27</v>
      </c>
      <c r="DE230" s="57">
        <v>2905.33</v>
      </c>
      <c r="DF230" s="57">
        <v>1828.67</v>
      </c>
      <c r="DG230" s="57">
        <v>2176.11</v>
      </c>
      <c r="DH230" s="57">
        <v>1545.2</v>
      </c>
      <c r="DI230" s="57">
        <v>1167.82</v>
      </c>
      <c r="DJ230" s="57">
        <v>3560.89</v>
      </c>
      <c r="DK230" s="57">
        <v>3348.97</v>
      </c>
      <c r="DL230" s="57">
        <v>81.95</v>
      </c>
      <c r="DM230" s="57">
        <v>380.34</v>
      </c>
      <c r="DN230" s="57">
        <v>127.33</v>
      </c>
      <c r="DO230" s="57">
        <v>238.1</v>
      </c>
      <c r="DP230" s="57">
        <v>1025.73</v>
      </c>
      <c r="DQ230" s="57">
        <v>1828.41</v>
      </c>
      <c r="DR230" s="57">
        <v>1387.58</v>
      </c>
      <c r="DS230" s="57">
        <v>819.5</v>
      </c>
      <c r="DT230" s="57">
        <v>363.19</v>
      </c>
      <c r="DU230" s="57">
        <v>2689.17</v>
      </c>
      <c r="DV230" s="57">
        <v>1332.62</v>
      </c>
      <c r="DW230" s="57">
        <v>1017.18</v>
      </c>
      <c r="DX230" s="57">
        <v>1036.21</v>
      </c>
      <c r="DY230" s="57">
        <v>1884.73</v>
      </c>
      <c r="DZ230" s="57">
        <v>2616.91</v>
      </c>
      <c r="EA230" s="57">
        <v>1863.11</v>
      </c>
      <c r="EB230" s="57">
        <v>2390.98</v>
      </c>
      <c r="EC230" s="57">
        <v>1353.36</v>
      </c>
      <c r="ED230" s="57">
        <v>1143.3800000000001</v>
      </c>
      <c r="EE230" s="57">
        <v>1460.3</v>
      </c>
      <c r="EF230" s="57">
        <v>1158</v>
      </c>
      <c r="EG230" s="57">
        <v>3269.45</v>
      </c>
      <c r="EH230" s="57">
        <v>1635.35</v>
      </c>
      <c r="EI230" s="57">
        <v>2080.5700000000002</v>
      </c>
      <c r="EJ230" s="57">
        <v>746.07</v>
      </c>
      <c r="EK230" s="57">
        <v>1061.27</v>
      </c>
      <c r="EL230" s="57">
        <v>8653.32</v>
      </c>
      <c r="EM230" s="57">
        <v>1068.22</v>
      </c>
      <c r="EN230" s="57">
        <v>2159.23</v>
      </c>
      <c r="EO230" s="57">
        <v>875.12</v>
      </c>
      <c r="EP230" s="57">
        <v>1146.75</v>
      </c>
      <c r="EQ230" s="57">
        <v>2630.2</v>
      </c>
      <c r="ER230" s="57">
        <v>135.13999999999999</v>
      </c>
      <c r="ES230" s="57">
        <v>2145.3200000000002</v>
      </c>
      <c r="ET230" s="57">
        <v>2528.67</v>
      </c>
      <c r="EU230" s="57">
        <v>2003.3</v>
      </c>
      <c r="EV230" s="57">
        <v>2403.29</v>
      </c>
      <c r="EW230" s="57">
        <v>2258.48</v>
      </c>
      <c r="EX230" s="57">
        <v>2518.09</v>
      </c>
      <c r="EY230" s="57">
        <v>1042.75</v>
      </c>
      <c r="EZ230" s="57">
        <v>3083.14</v>
      </c>
      <c r="FA230" s="57">
        <v>2949.34</v>
      </c>
      <c r="FB230" s="57">
        <v>2365.86</v>
      </c>
      <c r="FC230" s="57">
        <v>3362.47</v>
      </c>
      <c r="FD230" s="57">
        <v>2194.85</v>
      </c>
      <c r="FE230" s="57">
        <v>1942.13</v>
      </c>
      <c r="FF230" s="57">
        <v>394.22</v>
      </c>
      <c r="FG230" s="57">
        <v>2242.65</v>
      </c>
      <c r="FH230" s="57">
        <v>1971.78</v>
      </c>
      <c r="FI230" s="57">
        <v>2533.34</v>
      </c>
      <c r="FJ230" s="57">
        <v>2936.18</v>
      </c>
      <c r="FK230" s="57">
        <v>3569.51</v>
      </c>
      <c r="FL230" s="57">
        <v>2333.13</v>
      </c>
      <c r="FM230" s="57">
        <v>1860.91</v>
      </c>
      <c r="FN230" s="57">
        <v>2012.68</v>
      </c>
      <c r="FO230" s="57">
        <v>3567.24</v>
      </c>
      <c r="FP230" s="57">
        <v>2335.15</v>
      </c>
      <c r="FQ230" s="57">
        <v>3129.21</v>
      </c>
      <c r="FR230" s="57">
        <v>3017.46</v>
      </c>
      <c r="FS230" s="57">
        <v>2239.44</v>
      </c>
      <c r="FT230" s="57">
        <v>1130.0999999999999</v>
      </c>
      <c r="FU230" s="57">
        <v>2176.6799999999998</v>
      </c>
      <c r="FV230" s="57">
        <v>1642.49</v>
      </c>
      <c r="FW230" s="57">
        <v>868.22</v>
      </c>
      <c r="FX230" s="57">
        <v>2515.5</v>
      </c>
      <c r="FY230" s="57">
        <v>2520.94</v>
      </c>
      <c r="FZ230" s="57">
        <v>1728.35</v>
      </c>
      <c r="GA230" s="57">
        <v>1658.41</v>
      </c>
      <c r="GB230" s="57">
        <v>1691.8</v>
      </c>
      <c r="GC230" s="57">
        <v>2160.0500000000002</v>
      </c>
      <c r="GD230" s="57">
        <v>1640.18</v>
      </c>
      <c r="GE230" s="57">
        <v>3880.46</v>
      </c>
      <c r="GF230" s="57">
        <v>2650.5</v>
      </c>
      <c r="GG230" s="57">
        <v>3793.83</v>
      </c>
      <c r="GH230" s="57">
        <v>2635.4</v>
      </c>
      <c r="GI230" s="57">
        <v>586.69000000000005</v>
      </c>
      <c r="GJ230" s="57">
        <v>372.52</v>
      </c>
      <c r="GK230" s="57">
        <v>389.14</v>
      </c>
      <c r="GL230" s="57">
        <v>516.67999999999995</v>
      </c>
      <c r="GM230" s="57">
        <v>939.74</v>
      </c>
      <c r="GN230" s="57">
        <v>2113.81</v>
      </c>
      <c r="GO230" s="57">
        <v>634.94000000000005</v>
      </c>
      <c r="GP230" s="57">
        <v>459.05</v>
      </c>
      <c r="GQ230" s="57">
        <v>510.02</v>
      </c>
      <c r="GR230" s="57">
        <v>2205.92</v>
      </c>
      <c r="GS230" s="57">
        <v>1651.08</v>
      </c>
      <c r="GT230" s="57">
        <v>2002.54</v>
      </c>
      <c r="GU230" s="57">
        <v>1403.81</v>
      </c>
      <c r="GV230" s="57">
        <v>1042.6400000000001</v>
      </c>
      <c r="GW230" s="57">
        <v>0.03</v>
      </c>
      <c r="GX230" s="57">
        <v>2340.6</v>
      </c>
      <c r="GY230" s="57">
        <v>1854.38</v>
      </c>
      <c r="GZ230" s="57">
        <v>2351.58</v>
      </c>
      <c r="HA230" s="57">
        <v>1825.57</v>
      </c>
      <c r="HB230" s="57">
        <v>1983.52</v>
      </c>
      <c r="HC230" s="57">
        <v>1303.6600000000001</v>
      </c>
      <c r="HD230" s="57">
        <v>1306.94</v>
      </c>
      <c r="HE230" s="57">
        <v>1229.21</v>
      </c>
      <c r="HF230" s="57">
        <v>1522.72</v>
      </c>
      <c r="HG230" s="57">
        <v>1905.56</v>
      </c>
      <c r="HH230" s="57">
        <v>1818.48</v>
      </c>
      <c r="HI230" s="57">
        <v>796.98</v>
      </c>
      <c r="HJ230" s="57">
        <v>1235.31</v>
      </c>
      <c r="HK230" s="57">
        <v>2485.5700000000002</v>
      </c>
      <c r="HL230" s="57">
        <v>1284.9100000000001</v>
      </c>
      <c r="HM230" s="57">
        <v>1435.61</v>
      </c>
      <c r="HN230" s="57">
        <v>1295.96</v>
      </c>
      <c r="HO230" s="57">
        <v>820.36</v>
      </c>
      <c r="HP230" s="57">
        <v>2087.9299999999998</v>
      </c>
      <c r="HQ230" s="57">
        <v>971.81</v>
      </c>
      <c r="HR230" s="57">
        <v>1658.92</v>
      </c>
      <c r="HS230" s="57">
        <v>1985.22</v>
      </c>
      <c r="HT230" s="57">
        <v>1959.59</v>
      </c>
      <c r="HU230" s="57">
        <v>1103.29</v>
      </c>
      <c r="HV230" s="57">
        <v>813.94</v>
      </c>
      <c r="HW230" s="57">
        <v>596.6</v>
      </c>
      <c r="HX230" s="57">
        <v>769.13</v>
      </c>
      <c r="HY230" s="57">
        <v>315.95</v>
      </c>
      <c r="HZ230" s="57">
        <v>1684.38</v>
      </c>
      <c r="IA230" s="57">
        <v>716.67</v>
      </c>
      <c r="IB230" s="57">
        <v>1952.62</v>
      </c>
      <c r="IC230" s="57">
        <v>1551.06</v>
      </c>
      <c r="ID230" s="57">
        <v>1815.89</v>
      </c>
      <c r="IE230" s="57">
        <v>1274.45</v>
      </c>
      <c r="IF230" s="57">
        <v>1483.08</v>
      </c>
      <c r="IG230" s="57">
        <v>2179.6999999999998</v>
      </c>
      <c r="IH230" s="57">
        <v>2181.0500000000002</v>
      </c>
      <c r="II230" s="57">
        <v>2883.27</v>
      </c>
      <c r="IJ230" s="57">
        <v>2905.33</v>
      </c>
      <c r="IK230" s="57">
        <v>2095.81</v>
      </c>
      <c r="IL230" s="57">
        <v>1413.31</v>
      </c>
      <c r="IM230" s="57">
        <v>2076.94</v>
      </c>
      <c r="IN230" s="57">
        <v>2386.3200000000002</v>
      </c>
      <c r="IO230" s="57">
        <v>2241</v>
      </c>
      <c r="IP230" s="57">
        <v>1545.2</v>
      </c>
      <c r="IQ230" s="57">
        <v>1167.82</v>
      </c>
      <c r="IR230" s="57">
        <v>3560.89</v>
      </c>
      <c r="IS230" s="57">
        <v>3348.97</v>
      </c>
      <c r="IT230" s="57">
        <v>81.95</v>
      </c>
      <c r="IU230" s="57">
        <v>380.34</v>
      </c>
      <c r="IV230" s="57">
        <v>127.36</v>
      </c>
      <c r="IW230" s="57">
        <v>238.1</v>
      </c>
      <c r="IX230" s="57">
        <v>1025.73</v>
      </c>
      <c r="IY230" s="57">
        <v>1828.41</v>
      </c>
      <c r="IZ230" s="57">
        <v>1387.58</v>
      </c>
      <c r="JA230" s="57">
        <v>819.5</v>
      </c>
      <c r="JB230" s="57">
        <v>363.19</v>
      </c>
      <c r="JC230" s="57">
        <v>2689.17</v>
      </c>
      <c r="JD230" s="57">
        <v>1332.62</v>
      </c>
      <c r="JE230" s="57">
        <v>2653.32</v>
      </c>
      <c r="JF230" s="57">
        <v>855.21</v>
      </c>
      <c r="JG230" s="57">
        <v>1036.21</v>
      </c>
      <c r="JH230" s="57">
        <v>1884.73</v>
      </c>
      <c r="JI230" s="57">
        <v>2616.91</v>
      </c>
      <c r="JJ230" s="57">
        <v>1863.11</v>
      </c>
      <c r="JK230" s="57">
        <v>2390.98</v>
      </c>
      <c r="JL230" s="57">
        <v>1353.36</v>
      </c>
      <c r="JM230" s="57">
        <v>1143.3800000000001</v>
      </c>
      <c r="JN230" s="57">
        <v>1460.3</v>
      </c>
      <c r="JO230" s="57">
        <v>1158</v>
      </c>
      <c r="JP230" s="57">
        <v>3631.98</v>
      </c>
      <c r="JQ230" s="57">
        <v>2215.6799999999998</v>
      </c>
      <c r="JR230" s="57">
        <v>1890.3</v>
      </c>
      <c r="JS230" s="57">
        <v>981.9</v>
      </c>
      <c r="JT230" s="57">
        <v>2368.86</v>
      </c>
      <c r="JU230" s="57">
        <v>1810.77</v>
      </c>
      <c r="JV230" s="57">
        <v>746.07</v>
      </c>
      <c r="JW230" s="57">
        <v>1061.27</v>
      </c>
      <c r="JX230" s="57">
        <v>8653.32</v>
      </c>
      <c r="JY230" s="57">
        <v>757.34</v>
      </c>
      <c r="JZ230" s="57">
        <v>1486.03</v>
      </c>
      <c r="KA230" s="57">
        <v>2159.23</v>
      </c>
      <c r="KB230" s="57">
        <v>875.12</v>
      </c>
      <c r="KC230" s="57">
        <v>1146.75</v>
      </c>
      <c r="KD230" s="57">
        <v>2630.2</v>
      </c>
      <c r="KE230" s="57">
        <v>135.13999999999999</v>
      </c>
      <c r="KF230" s="57">
        <v>2145.3200000000002</v>
      </c>
    </row>
    <row r="231" spans="1:292">
      <c r="A231" s="41">
        <v>2023</v>
      </c>
      <c r="B231" s="54" t="s">
        <v>995</v>
      </c>
      <c r="C231" s="50" t="s">
        <v>996</v>
      </c>
      <c r="D231" s="57">
        <v>1749.11</v>
      </c>
      <c r="E231" s="57">
        <v>2483.58</v>
      </c>
      <c r="F231" s="57">
        <v>2711.63</v>
      </c>
      <c r="G231" s="57">
        <v>572.29</v>
      </c>
      <c r="H231" s="57">
        <v>1485.92</v>
      </c>
      <c r="I231" s="57">
        <v>1604.74</v>
      </c>
      <c r="J231" s="57">
        <v>1028.8</v>
      </c>
      <c r="K231" s="57">
        <v>2162.9699999999998</v>
      </c>
      <c r="L231" s="57">
        <v>329.18</v>
      </c>
      <c r="M231" s="57">
        <v>899.73</v>
      </c>
      <c r="N231" s="57">
        <v>1266.3900000000001</v>
      </c>
      <c r="O231" s="57">
        <v>3207.76</v>
      </c>
      <c r="P231" s="57">
        <v>2344.59</v>
      </c>
      <c r="Q231" s="57">
        <v>2523.75</v>
      </c>
      <c r="R231" s="57">
        <v>1965.88</v>
      </c>
      <c r="S231" s="57">
        <v>3897.81</v>
      </c>
      <c r="T231" s="57">
        <v>2639.83</v>
      </c>
      <c r="U231" s="57">
        <v>556.48</v>
      </c>
      <c r="V231" s="57">
        <v>613.41</v>
      </c>
      <c r="W231" s="57">
        <v>1781.61</v>
      </c>
      <c r="X231" s="57">
        <v>2059.5700000000002</v>
      </c>
      <c r="Y231" s="57">
        <v>1520.89</v>
      </c>
      <c r="Z231" s="57">
        <v>1080.4000000000001</v>
      </c>
      <c r="AA231" s="57">
        <v>1884.97</v>
      </c>
      <c r="AB231" s="57">
        <v>1340.68</v>
      </c>
      <c r="AC231" s="57">
        <v>1573.78</v>
      </c>
      <c r="AD231" s="57">
        <v>1323.29</v>
      </c>
      <c r="AE231" s="57">
        <v>1368.69</v>
      </c>
      <c r="AF231" s="57">
        <v>1328.56</v>
      </c>
      <c r="AG231" s="57">
        <v>929.18</v>
      </c>
      <c r="AH231" s="57">
        <v>933.24</v>
      </c>
      <c r="AI231" s="57">
        <v>2036.7</v>
      </c>
      <c r="AJ231" s="57">
        <v>1732.51</v>
      </c>
      <c r="AK231" s="57">
        <v>2293.56</v>
      </c>
      <c r="AL231" s="57">
        <v>2257.17</v>
      </c>
      <c r="AM231" s="57">
        <v>3348.97</v>
      </c>
      <c r="AN231" s="57">
        <v>81.58</v>
      </c>
      <c r="AO231" s="57">
        <v>395.89</v>
      </c>
      <c r="AP231" s="57">
        <v>213.31</v>
      </c>
      <c r="AQ231" s="57">
        <v>1886.47</v>
      </c>
      <c r="AR231" s="57">
        <v>1356.54</v>
      </c>
      <c r="AS231" s="57">
        <v>1215.8800000000001</v>
      </c>
      <c r="AT231" s="57">
        <v>1918.34</v>
      </c>
      <c r="AU231" s="57">
        <v>2369.62</v>
      </c>
      <c r="AV231" s="57">
        <v>1354.59</v>
      </c>
      <c r="AW231" s="57">
        <v>1144.4000000000001</v>
      </c>
      <c r="AX231" s="57">
        <v>1460.3</v>
      </c>
      <c r="AY231" s="57">
        <v>1182.2</v>
      </c>
      <c r="AZ231" s="57">
        <v>3404.65</v>
      </c>
      <c r="BA231" s="57">
        <v>1600.43</v>
      </c>
      <c r="BB231" s="57">
        <v>1296.8699999999999</v>
      </c>
      <c r="BC231" s="57">
        <v>5552.8</v>
      </c>
      <c r="BD231" s="57">
        <v>2293.1799999999998</v>
      </c>
      <c r="BE231" s="57">
        <v>2304.39</v>
      </c>
      <c r="BF231" s="57">
        <v>135.13999999999999</v>
      </c>
      <c r="BG231" s="57">
        <v>2280.0100000000002</v>
      </c>
      <c r="BH231" s="57">
        <v>2390.92</v>
      </c>
      <c r="BI231" s="57">
        <v>3007.51</v>
      </c>
      <c r="BJ231" s="57">
        <v>2000.62</v>
      </c>
      <c r="BK231" s="57">
        <v>2458.75</v>
      </c>
      <c r="BL231" s="57">
        <v>2172.56</v>
      </c>
      <c r="BM231" s="57">
        <v>2227.02</v>
      </c>
      <c r="BN231" s="57">
        <v>2667.29</v>
      </c>
      <c r="BO231" s="57">
        <v>1518.87</v>
      </c>
      <c r="BP231" s="57">
        <v>2623.99</v>
      </c>
      <c r="BQ231" s="57">
        <v>2013.46</v>
      </c>
      <c r="BR231" s="57">
        <v>1915.49</v>
      </c>
      <c r="BS231" s="57">
        <v>3980.75</v>
      </c>
      <c r="BT231" s="57">
        <v>2691.91</v>
      </c>
      <c r="BU231" s="57">
        <v>3783.14</v>
      </c>
      <c r="BV231" s="57">
        <v>2639.83</v>
      </c>
      <c r="BW231" s="57">
        <v>516.02</v>
      </c>
      <c r="BX231" s="57">
        <v>981.95</v>
      </c>
      <c r="BY231" s="57">
        <v>2195.1799999999998</v>
      </c>
      <c r="BZ231" s="57">
        <v>607.73</v>
      </c>
      <c r="CA231" s="57">
        <v>2294.0100000000002</v>
      </c>
      <c r="CB231" s="58">
        <v>1781.61</v>
      </c>
      <c r="CC231" s="57">
        <v>2059.5700000000002</v>
      </c>
      <c r="CD231" s="57">
        <v>1515.02</v>
      </c>
      <c r="CE231" s="57">
        <v>1042.6400000000001</v>
      </c>
      <c r="CF231" s="57">
        <v>665.11</v>
      </c>
      <c r="CG231" s="57">
        <v>1982.53</v>
      </c>
      <c r="CH231" s="57">
        <v>1966.7</v>
      </c>
      <c r="CI231" s="57">
        <v>1388.31</v>
      </c>
      <c r="CJ231" s="57">
        <v>1340.68</v>
      </c>
      <c r="CK231" s="57">
        <v>1494.98</v>
      </c>
      <c r="CL231" s="57">
        <v>1266.1199999999999</v>
      </c>
      <c r="CM231" s="57">
        <v>2655.51</v>
      </c>
      <c r="CN231" s="57">
        <v>1323.29</v>
      </c>
      <c r="CO231" s="57">
        <v>1368.69</v>
      </c>
      <c r="CP231" s="57">
        <v>1115.02</v>
      </c>
      <c r="CQ231" s="57">
        <v>2212.81</v>
      </c>
      <c r="CR231" s="57">
        <v>1103.6600000000001</v>
      </c>
      <c r="CS231" s="57">
        <v>818.34</v>
      </c>
      <c r="CT231" s="57">
        <v>710.5</v>
      </c>
      <c r="CU231" s="57">
        <v>317.10000000000002</v>
      </c>
      <c r="CV231" s="57">
        <v>1744.19</v>
      </c>
      <c r="CW231" s="57">
        <v>812.85</v>
      </c>
      <c r="CX231" s="57">
        <v>2036.7</v>
      </c>
      <c r="CY231" s="57">
        <v>1749.11</v>
      </c>
      <c r="CZ231" s="57">
        <v>1290.4000000000001</v>
      </c>
      <c r="DA231" s="57">
        <v>1521.44</v>
      </c>
      <c r="DB231" s="57">
        <v>2247.9899999999998</v>
      </c>
      <c r="DC231" s="57">
        <v>2134.06</v>
      </c>
      <c r="DD231" s="57">
        <v>2951.55</v>
      </c>
      <c r="DE231" s="57">
        <v>2892.88</v>
      </c>
      <c r="DF231" s="57">
        <v>2114.6</v>
      </c>
      <c r="DG231" s="57">
        <v>2237.3200000000002</v>
      </c>
      <c r="DH231" s="57">
        <v>1344.75</v>
      </c>
      <c r="DI231" s="57">
        <v>1186.9100000000001</v>
      </c>
      <c r="DJ231" s="57">
        <v>3689.7</v>
      </c>
      <c r="DK231" s="57">
        <v>3348.97</v>
      </c>
      <c r="DL231" s="57">
        <v>81.58</v>
      </c>
      <c r="DM231" s="57">
        <v>395.89</v>
      </c>
      <c r="DN231" s="57">
        <v>128.72</v>
      </c>
      <c r="DO231" s="57">
        <v>249.96</v>
      </c>
      <c r="DP231" s="57">
        <v>1107.3</v>
      </c>
      <c r="DQ231" s="57">
        <v>1886.47</v>
      </c>
      <c r="DR231" s="57">
        <v>1438.41</v>
      </c>
      <c r="DS231" s="57">
        <v>860.91</v>
      </c>
      <c r="DT231" s="57">
        <v>309.56</v>
      </c>
      <c r="DU231" s="57">
        <v>2757.77</v>
      </c>
      <c r="DV231" s="57">
        <v>1400.82</v>
      </c>
      <c r="DW231" s="57">
        <v>1084.92</v>
      </c>
      <c r="DX231" s="57">
        <v>1036.21</v>
      </c>
      <c r="DY231" s="57">
        <v>1939.84</v>
      </c>
      <c r="DZ231" s="57">
        <v>2634.25</v>
      </c>
      <c r="EA231" s="57">
        <v>1885.98</v>
      </c>
      <c r="EB231" s="57">
        <v>2369.62</v>
      </c>
      <c r="EC231" s="57">
        <v>1354.59</v>
      </c>
      <c r="ED231" s="57">
        <v>1144.4000000000001</v>
      </c>
      <c r="EE231" s="57">
        <v>1460.3</v>
      </c>
      <c r="EF231" s="57">
        <v>1182.2</v>
      </c>
      <c r="EG231" s="57">
        <v>3404.65</v>
      </c>
      <c r="EH231" s="57">
        <v>1600.43</v>
      </c>
      <c r="EI231" s="57">
        <v>2154.64</v>
      </c>
      <c r="EJ231" s="57">
        <v>768.84</v>
      </c>
      <c r="EK231" s="57">
        <v>1083.9000000000001</v>
      </c>
      <c r="EL231" s="57">
        <v>8829.08</v>
      </c>
      <c r="EM231" s="57">
        <v>1113.19</v>
      </c>
      <c r="EN231" s="57">
        <v>2293.1799999999998</v>
      </c>
      <c r="EO231" s="57">
        <v>876.76</v>
      </c>
      <c r="EP231" s="57">
        <v>1168.9000000000001</v>
      </c>
      <c r="EQ231" s="57">
        <v>2616.3200000000002</v>
      </c>
      <c r="ER231" s="57">
        <v>135.13999999999999</v>
      </c>
      <c r="ES231" s="57">
        <v>2280.0100000000002</v>
      </c>
      <c r="ET231" s="57">
        <v>2638.58</v>
      </c>
      <c r="EU231" s="57">
        <v>2050.8000000000002</v>
      </c>
      <c r="EV231" s="57">
        <v>2413.9</v>
      </c>
      <c r="EW231" s="57">
        <v>2316.4699999999998</v>
      </c>
      <c r="EX231" s="57">
        <v>2638.62</v>
      </c>
      <c r="EY231" s="57">
        <v>982.88</v>
      </c>
      <c r="EZ231" s="57">
        <v>3232.69</v>
      </c>
      <c r="FA231" s="57">
        <v>3209.75</v>
      </c>
      <c r="FB231" s="57">
        <v>2483.44</v>
      </c>
      <c r="FC231" s="57">
        <v>3655.33</v>
      </c>
      <c r="FD231" s="57">
        <v>2266.86</v>
      </c>
      <c r="FE231" s="57">
        <v>2022.69</v>
      </c>
      <c r="FF231" s="57">
        <v>396.92</v>
      </c>
      <c r="FG231" s="57">
        <v>2264.34</v>
      </c>
      <c r="FH231" s="57">
        <v>1984.31</v>
      </c>
      <c r="FI231" s="57">
        <v>2526.0700000000002</v>
      </c>
      <c r="FJ231" s="57">
        <v>3252.8</v>
      </c>
      <c r="FK231" s="57">
        <v>3681.65</v>
      </c>
      <c r="FL231" s="57">
        <v>2442.37</v>
      </c>
      <c r="FM231" s="57">
        <v>1924.71</v>
      </c>
      <c r="FN231" s="57">
        <v>1898.25</v>
      </c>
      <c r="FO231" s="57">
        <v>3872.92</v>
      </c>
      <c r="FP231" s="57">
        <v>2548.88</v>
      </c>
      <c r="FQ231" s="57">
        <v>3214.71</v>
      </c>
      <c r="FR231" s="57">
        <v>3324.36</v>
      </c>
      <c r="FS231" s="57">
        <v>2290.08</v>
      </c>
      <c r="FT231" s="57">
        <v>1134.77</v>
      </c>
      <c r="FU231" s="57">
        <v>2271.86</v>
      </c>
      <c r="FV231" s="57">
        <v>1798.04</v>
      </c>
      <c r="FW231" s="57">
        <v>885.84</v>
      </c>
      <c r="FX231" s="57">
        <v>2623.99</v>
      </c>
      <c r="FY231" s="57">
        <v>2597.4299999999998</v>
      </c>
      <c r="FZ231" s="57">
        <v>1866.13</v>
      </c>
      <c r="GA231" s="57">
        <v>1823.79</v>
      </c>
      <c r="GB231" s="57">
        <v>1764.56</v>
      </c>
      <c r="GC231" s="57">
        <v>2231.7199999999998</v>
      </c>
      <c r="GD231" s="57">
        <v>1678.5</v>
      </c>
      <c r="GE231" s="57">
        <v>3980.75</v>
      </c>
      <c r="GF231" s="57">
        <v>2691.91</v>
      </c>
      <c r="GG231" s="57">
        <v>3783.14</v>
      </c>
      <c r="GH231" s="57">
        <v>2635.4</v>
      </c>
      <c r="GI231" s="57">
        <v>646.52</v>
      </c>
      <c r="GJ231" s="57">
        <v>435.25</v>
      </c>
      <c r="GK231" s="57">
        <v>476.31</v>
      </c>
      <c r="GL231" s="57">
        <v>552.49</v>
      </c>
      <c r="GM231" s="57">
        <v>981.95</v>
      </c>
      <c r="GN231" s="57">
        <v>2195.1799999999998</v>
      </c>
      <c r="GO231" s="57">
        <v>689.71</v>
      </c>
      <c r="GP231" s="57">
        <v>533.16</v>
      </c>
      <c r="GQ231" s="57">
        <v>590.32000000000005</v>
      </c>
      <c r="GR231" s="57">
        <v>2294.0100000000002</v>
      </c>
      <c r="GS231" s="57">
        <v>1781.61</v>
      </c>
      <c r="GT231" s="57">
        <v>2059.5700000000002</v>
      </c>
      <c r="GU231" s="57">
        <v>1515.02</v>
      </c>
      <c r="GV231" s="57">
        <v>1042.6400000000001</v>
      </c>
      <c r="GW231" s="57">
        <v>186.14</v>
      </c>
      <c r="GX231" s="57">
        <v>2449.8000000000002</v>
      </c>
      <c r="GY231" s="57">
        <v>1982.53</v>
      </c>
      <c r="GZ231" s="57">
        <v>2348.61</v>
      </c>
      <c r="HA231" s="57">
        <v>1845.42</v>
      </c>
      <c r="HB231" s="57">
        <v>1993.29</v>
      </c>
      <c r="HC231" s="57">
        <v>1388.31</v>
      </c>
      <c r="HD231" s="57">
        <v>1340.68</v>
      </c>
      <c r="HE231" s="57">
        <v>1239.52</v>
      </c>
      <c r="HF231" s="57">
        <v>1545.06</v>
      </c>
      <c r="HG231" s="57">
        <v>1935.35</v>
      </c>
      <c r="HH231" s="57">
        <v>1855.74</v>
      </c>
      <c r="HI231" s="57">
        <v>817.16</v>
      </c>
      <c r="HJ231" s="57">
        <v>1266.1199999999999</v>
      </c>
      <c r="HK231" s="57">
        <v>2655.51</v>
      </c>
      <c r="HL231" s="57">
        <v>1304.0999999999999</v>
      </c>
      <c r="HM231" s="57">
        <v>1497.35</v>
      </c>
      <c r="HN231" s="57">
        <v>1334.65</v>
      </c>
      <c r="HO231" s="57">
        <v>837.38</v>
      </c>
      <c r="HP231" s="57">
        <v>2278.39</v>
      </c>
      <c r="HQ231" s="57">
        <v>1032.97</v>
      </c>
      <c r="HR231" s="57">
        <v>1662.37</v>
      </c>
      <c r="HS231" s="57">
        <v>2070.06</v>
      </c>
      <c r="HT231" s="57">
        <v>2041.98</v>
      </c>
      <c r="HU231" s="57">
        <v>1103.6600000000001</v>
      </c>
      <c r="HV231" s="57">
        <v>818.34</v>
      </c>
      <c r="HW231" s="57">
        <v>623.64</v>
      </c>
      <c r="HX231" s="57">
        <v>799.39</v>
      </c>
      <c r="HY231" s="57">
        <v>317.10000000000002</v>
      </c>
      <c r="HZ231" s="57">
        <v>1744.19</v>
      </c>
      <c r="IA231" s="57">
        <v>742.47</v>
      </c>
      <c r="IB231" s="57">
        <v>2036.7</v>
      </c>
      <c r="IC231" s="57">
        <v>1560.98</v>
      </c>
      <c r="ID231" s="57">
        <v>1803.71</v>
      </c>
      <c r="IE231" s="57">
        <v>1290.4000000000001</v>
      </c>
      <c r="IF231" s="57">
        <v>1521.44</v>
      </c>
      <c r="IG231" s="57">
        <v>2247.9899999999998</v>
      </c>
      <c r="IH231" s="57">
        <v>2134.06</v>
      </c>
      <c r="II231" s="57">
        <v>2951.55</v>
      </c>
      <c r="IJ231" s="57">
        <v>2892.88</v>
      </c>
      <c r="IK231" s="57">
        <v>2098.06</v>
      </c>
      <c r="IL231" s="57">
        <v>1663.89</v>
      </c>
      <c r="IM231" s="57">
        <v>2177.8000000000002</v>
      </c>
      <c r="IN231" s="57">
        <v>2411.1</v>
      </c>
      <c r="IO231" s="57">
        <v>2138.56</v>
      </c>
      <c r="IP231" s="57">
        <v>1344.75</v>
      </c>
      <c r="IQ231" s="57">
        <v>1186.9100000000001</v>
      </c>
      <c r="IR231" s="57">
        <v>3689.7</v>
      </c>
      <c r="IS231" s="57">
        <v>3348.97</v>
      </c>
      <c r="IT231" s="57">
        <v>81.58</v>
      </c>
      <c r="IU231" s="57">
        <v>395.89</v>
      </c>
      <c r="IV231" s="57">
        <v>128.75</v>
      </c>
      <c r="IW231" s="57">
        <v>249.96</v>
      </c>
      <c r="IX231" s="57">
        <v>1107.3</v>
      </c>
      <c r="IY231" s="57">
        <v>1886.47</v>
      </c>
      <c r="IZ231" s="57">
        <v>1438.41</v>
      </c>
      <c r="JA231" s="57">
        <v>860.91</v>
      </c>
      <c r="JB231" s="57">
        <v>309.56</v>
      </c>
      <c r="JC231" s="57">
        <v>2757.77</v>
      </c>
      <c r="JD231" s="57">
        <v>1400.82</v>
      </c>
      <c r="JE231" s="57">
        <v>2739.41</v>
      </c>
      <c r="JF231" s="57">
        <v>917.57</v>
      </c>
      <c r="JG231" s="57">
        <v>1036.21</v>
      </c>
      <c r="JH231" s="57">
        <v>1939.84</v>
      </c>
      <c r="JI231" s="57">
        <v>2634.25</v>
      </c>
      <c r="JJ231" s="57">
        <v>1885.98</v>
      </c>
      <c r="JK231" s="57">
        <v>2369.62</v>
      </c>
      <c r="JL231" s="57">
        <v>1354.59</v>
      </c>
      <c r="JM231" s="57">
        <v>1144.4000000000001</v>
      </c>
      <c r="JN231" s="57">
        <v>1460.3</v>
      </c>
      <c r="JO231" s="57">
        <v>1182.2</v>
      </c>
      <c r="JP231" s="57">
        <v>3786.47</v>
      </c>
      <c r="JQ231" s="57">
        <v>2294.42</v>
      </c>
      <c r="JR231" s="57">
        <v>1831.66</v>
      </c>
      <c r="JS231" s="57">
        <v>998.9</v>
      </c>
      <c r="JT231" s="57">
        <v>2465.1799999999998</v>
      </c>
      <c r="JU231" s="57">
        <v>1868.16</v>
      </c>
      <c r="JV231" s="57">
        <v>768.84</v>
      </c>
      <c r="JW231" s="57">
        <v>1083.9000000000001</v>
      </c>
      <c r="JX231" s="57">
        <v>8829.08</v>
      </c>
      <c r="JY231" s="57">
        <v>781.47</v>
      </c>
      <c r="JZ231" s="57">
        <v>1561.35</v>
      </c>
      <c r="KA231" s="57">
        <v>2293.1799999999998</v>
      </c>
      <c r="KB231" s="57">
        <v>876.76</v>
      </c>
      <c r="KC231" s="57">
        <v>1168.9000000000001</v>
      </c>
      <c r="KD231" s="57">
        <v>2616.3200000000002</v>
      </c>
      <c r="KE231" s="57">
        <v>135.13999999999999</v>
      </c>
      <c r="KF231" s="57">
        <v>2280.0100000000002</v>
      </c>
    </row>
    <row r="232" spans="1:292">
      <c r="A232" s="41">
        <v>2023</v>
      </c>
      <c r="B232" s="54" t="s">
        <v>997</v>
      </c>
      <c r="C232" s="50" t="s">
        <v>998</v>
      </c>
      <c r="D232" s="57">
        <v>1806.5</v>
      </c>
      <c r="E232" s="57">
        <v>2552.5100000000002</v>
      </c>
      <c r="F232" s="57">
        <v>2960.04</v>
      </c>
      <c r="G232" s="57">
        <v>570.51</v>
      </c>
      <c r="H232" s="57">
        <v>1651.9</v>
      </c>
      <c r="I232" s="57">
        <v>1641.76</v>
      </c>
      <c r="J232" s="57">
        <v>1044.07</v>
      </c>
      <c r="K232" s="57">
        <v>2167.41</v>
      </c>
      <c r="L232" s="57">
        <v>340.46</v>
      </c>
      <c r="M232" s="57">
        <v>918.23</v>
      </c>
      <c r="N232" s="57">
        <v>1274.22</v>
      </c>
      <c r="O232" s="57">
        <v>3288.15</v>
      </c>
      <c r="P232" s="57">
        <v>2397.5500000000002</v>
      </c>
      <c r="Q232" s="57">
        <v>2594.35</v>
      </c>
      <c r="R232" s="57">
        <v>2014.3</v>
      </c>
      <c r="S232" s="57">
        <v>3889.43</v>
      </c>
      <c r="T232" s="57">
        <v>2904.41</v>
      </c>
      <c r="U232" s="57">
        <v>555.37</v>
      </c>
      <c r="V232" s="57">
        <v>608.95000000000005</v>
      </c>
      <c r="W232" s="57">
        <v>1888.02</v>
      </c>
      <c r="X232" s="57">
        <v>2095.5</v>
      </c>
      <c r="Y232" s="57">
        <v>1565.01</v>
      </c>
      <c r="Z232" s="57">
        <v>1370</v>
      </c>
      <c r="AA232" s="57">
        <v>1920.27</v>
      </c>
      <c r="AB232" s="57">
        <v>1367.85</v>
      </c>
      <c r="AC232" s="57">
        <v>1573.05</v>
      </c>
      <c r="AD232" s="57">
        <v>1331.51</v>
      </c>
      <c r="AE232" s="57">
        <v>1413.71</v>
      </c>
      <c r="AF232" s="57">
        <v>1411.23</v>
      </c>
      <c r="AG232" s="57">
        <v>935.4</v>
      </c>
      <c r="AH232" s="57">
        <v>951.09</v>
      </c>
      <c r="AI232" s="57">
        <v>2074.4299999999998</v>
      </c>
      <c r="AJ232" s="57">
        <v>1745.49</v>
      </c>
      <c r="AK232" s="57">
        <v>2285.33</v>
      </c>
      <c r="AL232" s="57">
        <v>2260.34</v>
      </c>
      <c r="AM232" s="57">
        <v>3348.97</v>
      </c>
      <c r="AN232" s="57">
        <v>81.02</v>
      </c>
      <c r="AO232" s="57">
        <v>416.52</v>
      </c>
      <c r="AP232" s="57">
        <v>214.57</v>
      </c>
      <c r="AQ232" s="57">
        <v>1932.49</v>
      </c>
      <c r="AR232" s="57">
        <v>1419.99</v>
      </c>
      <c r="AS232" s="57">
        <v>1239.42</v>
      </c>
      <c r="AT232" s="57">
        <v>1938.79</v>
      </c>
      <c r="AU232" s="57">
        <v>2447.39</v>
      </c>
      <c r="AV232" s="57">
        <v>1354.59</v>
      </c>
      <c r="AW232" s="57">
        <v>1144.4000000000001</v>
      </c>
      <c r="AX232" s="57">
        <v>1466.3</v>
      </c>
      <c r="AY232" s="57">
        <v>1228.26</v>
      </c>
      <c r="AZ232" s="57">
        <v>3504.2</v>
      </c>
      <c r="BA232" s="57">
        <v>1576</v>
      </c>
      <c r="BB232" s="57">
        <v>1334.6</v>
      </c>
      <c r="BC232" s="57">
        <v>5679.83</v>
      </c>
      <c r="BD232" s="57">
        <v>2320.61</v>
      </c>
      <c r="BE232" s="57">
        <v>2330.58</v>
      </c>
      <c r="BF232" s="57">
        <v>135.13999999999999</v>
      </c>
      <c r="BG232" s="57">
        <v>2283.5</v>
      </c>
      <c r="BH232" s="57">
        <v>2462.9</v>
      </c>
      <c r="BI232" s="57">
        <v>3079.83</v>
      </c>
      <c r="BJ232" s="57">
        <v>2008.34</v>
      </c>
      <c r="BK232" s="57">
        <v>2652.54</v>
      </c>
      <c r="BL232" s="57">
        <v>2264.77</v>
      </c>
      <c r="BM232" s="57">
        <v>2167.5300000000002</v>
      </c>
      <c r="BN232" s="57">
        <v>2763.71</v>
      </c>
      <c r="BO232" s="57">
        <v>1542.2</v>
      </c>
      <c r="BP232" s="57">
        <v>2758.16</v>
      </c>
      <c r="BQ232" s="57">
        <v>2087.4899999999998</v>
      </c>
      <c r="BR232" s="57">
        <v>1941.88</v>
      </c>
      <c r="BS232" s="57">
        <v>3997.62</v>
      </c>
      <c r="BT232" s="57">
        <v>2679.43</v>
      </c>
      <c r="BU232" s="57">
        <v>3754.35</v>
      </c>
      <c r="BV232" s="57">
        <v>2904.41</v>
      </c>
      <c r="BW232" s="57">
        <v>514.04</v>
      </c>
      <c r="BX232" s="57">
        <v>1001.78</v>
      </c>
      <c r="BY232" s="57">
        <v>2250.94</v>
      </c>
      <c r="BZ232" s="57">
        <v>603.04</v>
      </c>
      <c r="CA232" s="57">
        <v>2414.0100000000002</v>
      </c>
      <c r="CB232" s="58">
        <v>1888.02</v>
      </c>
      <c r="CC232" s="57">
        <v>2095.5</v>
      </c>
      <c r="CD232" s="57">
        <v>1558.97</v>
      </c>
      <c r="CE232" s="57">
        <v>1042.6400000000001</v>
      </c>
      <c r="CF232" s="57">
        <v>1392.39</v>
      </c>
      <c r="CG232" s="57">
        <v>2021.14</v>
      </c>
      <c r="CH232" s="57">
        <v>2001.86</v>
      </c>
      <c r="CI232" s="57">
        <v>1426.88</v>
      </c>
      <c r="CJ232" s="57">
        <v>1367.85</v>
      </c>
      <c r="CK232" s="57">
        <v>1490.35</v>
      </c>
      <c r="CL232" s="57">
        <v>1237.56</v>
      </c>
      <c r="CM232" s="57">
        <v>2820.51</v>
      </c>
      <c r="CN232" s="57">
        <v>1331.51</v>
      </c>
      <c r="CO232" s="57">
        <v>1413.71</v>
      </c>
      <c r="CP232" s="57">
        <v>1191.56</v>
      </c>
      <c r="CQ232" s="57">
        <v>2309.37</v>
      </c>
      <c r="CR232" s="57">
        <v>1103.74</v>
      </c>
      <c r="CS232" s="57">
        <v>828.21</v>
      </c>
      <c r="CT232" s="57">
        <v>724.93</v>
      </c>
      <c r="CU232" s="57">
        <v>317.91000000000003</v>
      </c>
      <c r="CV232" s="57">
        <v>1785.3</v>
      </c>
      <c r="CW232" s="57">
        <v>831.8</v>
      </c>
      <c r="CX232" s="57">
        <v>2074.4299999999998</v>
      </c>
      <c r="CY232" s="57">
        <v>1760.73</v>
      </c>
      <c r="CZ232" s="57">
        <v>1325.93</v>
      </c>
      <c r="DA232" s="57">
        <v>1552.27</v>
      </c>
      <c r="DB232" s="57">
        <v>2294.52</v>
      </c>
      <c r="DC232" s="57">
        <v>2111.39</v>
      </c>
      <c r="DD232" s="57">
        <v>2987.49</v>
      </c>
      <c r="DE232" s="57">
        <v>2898.21</v>
      </c>
      <c r="DF232" s="57">
        <v>2119.56</v>
      </c>
      <c r="DG232" s="57">
        <v>2238.79</v>
      </c>
      <c r="DH232" s="57">
        <v>1332.71</v>
      </c>
      <c r="DI232" s="57">
        <v>1191.17</v>
      </c>
      <c r="DJ232" s="57">
        <v>3779.76</v>
      </c>
      <c r="DK232" s="57">
        <v>3348.97</v>
      </c>
      <c r="DL232" s="57">
        <v>81.02</v>
      </c>
      <c r="DM232" s="57">
        <v>416.52</v>
      </c>
      <c r="DN232" s="57">
        <v>130.44999999999999</v>
      </c>
      <c r="DO232" s="57">
        <v>246.01</v>
      </c>
      <c r="DP232" s="57">
        <v>1128.93</v>
      </c>
      <c r="DQ232" s="57">
        <v>1932.49</v>
      </c>
      <c r="DR232" s="57">
        <v>1464.62</v>
      </c>
      <c r="DS232" s="57">
        <v>881.3</v>
      </c>
      <c r="DT232" s="57">
        <v>341.29</v>
      </c>
      <c r="DU232" s="57">
        <v>2762.99</v>
      </c>
      <c r="DV232" s="57">
        <v>1466.68</v>
      </c>
      <c r="DW232" s="57">
        <v>1061.3399999999999</v>
      </c>
      <c r="DX232" s="57">
        <v>1036.21</v>
      </c>
      <c r="DY232" s="57">
        <v>1965.55</v>
      </c>
      <c r="DZ232" s="57">
        <v>2647.17</v>
      </c>
      <c r="EA232" s="57">
        <v>1901.23</v>
      </c>
      <c r="EB232" s="57">
        <v>2447.39</v>
      </c>
      <c r="EC232" s="57">
        <v>1354.59</v>
      </c>
      <c r="ED232" s="57">
        <v>1144.4000000000001</v>
      </c>
      <c r="EE232" s="57">
        <v>1466.3</v>
      </c>
      <c r="EF232" s="57">
        <v>1228.26</v>
      </c>
      <c r="EG232" s="57">
        <v>3504.2</v>
      </c>
      <c r="EH232" s="57">
        <v>1576</v>
      </c>
      <c r="EI232" s="57">
        <v>2219.73</v>
      </c>
      <c r="EJ232" s="57">
        <v>777.71</v>
      </c>
      <c r="EK232" s="57">
        <v>1115.3399999999999</v>
      </c>
      <c r="EL232" s="57">
        <v>9223.93</v>
      </c>
      <c r="EM232" s="57">
        <v>1103.02</v>
      </c>
      <c r="EN232" s="57">
        <v>2320.61</v>
      </c>
      <c r="EO232" s="57">
        <v>879</v>
      </c>
      <c r="EP232" s="57">
        <v>1245.1400000000001</v>
      </c>
      <c r="EQ232" s="57">
        <v>2630.76</v>
      </c>
      <c r="ER232" s="57">
        <v>135.13999999999999</v>
      </c>
      <c r="ES232" s="57">
        <v>2283.5</v>
      </c>
      <c r="ET232" s="57">
        <v>2769.65</v>
      </c>
      <c r="EU232" s="57">
        <v>2121.9699999999998</v>
      </c>
      <c r="EV232" s="57">
        <v>2460.83</v>
      </c>
      <c r="EW232" s="57">
        <v>2419.9299999999998</v>
      </c>
      <c r="EX232" s="57">
        <v>2634</v>
      </c>
      <c r="EY232" s="57">
        <v>1124.8</v>
      </c>
      <c r="EZ232" s="57">
        <v>3269.65</v>
      </c>
      <c r="FA232" s="57">
        <v>3196.76</v>
      </c>
      <c r="FB232" s="57">
        <v>2624.42</v>
      </c>
      <c r="FC232" s="57">
        <v>4270.96</v>
      </c>
      <c r="FD232" s="57">
        <v>2378.21</v>
      </c>
      <c r="FE232" s="57">
        <v>2025.53</v>
      </c>
      <c r="FF232" s="57">
        <v>407.46</v>
      </c>
      <c r="FG232" s="57">
        <v>2497.6</v>
      </c>
      <c r="FH232" s="57">
        <v>2158.11</v>
      </c>
      <c r="FI232" s="57">
        <v>2777.27</v>
      </c>
      <c r="FJ232" s="57">
        <v>3211.97</v>
      </c>
      <c r="FK232" s="57">
        <v>4183.28</v>
      </c>
      <c r="FL232" s="57">
        <v>2513.5500000000002</v>
      </c>
      <c r="FM232" s="57">
        <v>1942.74</v>
      </c>
      <c r="FN232" s="57">
        <v>1804.03</v>
      </c>
      <c r="FO232" s="57">
        <v>4005.35</v>
      </c>
      <c r="FP232" s="57">
        <v>2554.5300000000002</v>
      </c>
      <c r="FQ232" s="57">
        <v>3178.74</v>
      </c>
      <c r="FR232" s="57">
        <v>3649.16</v>
      </c>
      <c r="FS232" s="57">
        <v>2563.4699999999998</v>
      </c>
      <c r="FT232" s="57">
        <v>1147.24</v>
      </c>
      <c r="FU232" s="57">
        <v>2298.5100000000002</v>
      </c>
      <c r="FV232" s="57">
        <v>1834.87</v>
      </c>
      <c r="FW232" s="57">
        <v>893.36</v>
      </c>
      <c r="FX232" s="57">
        <v>2758.16</v>
      </c>
      <c r="FY232" s="57">
        <v>2662.07</v>
      </c>
      <c r="FZ232" s="57">
        <v>1941.4</v>
      </c>
      <c r="GA232" s="57">
        <v>1884.98</v>
      </c>
      <c r="GB232" s="57">
        <v>1780.91</v>
      </c>
      <c r="GC232" s="57">
        <v>2265.71</v>
      </c>
      <c r="GD232" s="57">
        <v>1721.7</v>
      </c>
      <c r="GE232" s="57">
        <v>3997.62</v>
      </c>
      <c r="GF232" s="57">
        <v>2679.43</v>
      </c>
      <c r="GG232" s="57">
        <v>3754.35</v>
      </c>
      <c r="GH232" s="57">
        <v>2899.54</v>
      </c>
      <c r="GI232" s="57">
        <v>647.87</v>
      </c>
      <c r="GJ232" s="57">
        <v>433.22</v>
      </c>
      <c r="GK232" s="57">
        <v>468.1</v>
      </c>
      <c r="GL232" s="57">
        <v>558.84</v>
      </c>
      <c r="GM232" s="57">
        <v>1001.78</v>
      </c>
      <c r="GN232" s="57">
        <v>2250.94</v>
      </c>
      <c r="GO232" s="57">
        <v>680.14</v>
      </c>
      <c r="GP232" s="57">
        <v>534.92999999999995</v>
      </c>
      <c r="GQ232" s="57">
        <v>580.57000000000005</v>
      </c>
      <c r="GR232" s="57">
        <v>2414.0100000000002</v>
      </c>
      <c r="GS232" s="57">
        <v>1888.02</v>
      </c>
      <c r="GT232" s="57">
        <v>2095.5</v>
      </c>
      <c r="GU232" s="57">
        <v>1558.97</v>
      </c>
      <c r="GV232" s="57">
        <v>1042.6400000000001</v>
      </c>
      <c r="GW232" s="57">
        <v>1066.1300000000001</v>
      </c>
      <c r="GX232" s="57">
        <v>2454.0100000000002</v>
      </c>
      <c r="GY232" s="57">
        <v>2021.14</v>
      </c>
      <c r="GZ232" s="57">
        <v>2404.38</v>
      </c>
      <c r="HA232" s="57">
        <v>1907.83</v>
      </c>
      <c r="HB232" s="57">
        <v>2001.89</v>
      </c>
      <c r="HC232" s="57">
        <v>1426.88</v>
      </c>
      <c r="HD232" s="57">
        <v>1367.85</v>
      </c>
      <c r="HE232" s="57">
        <v>1241.26</v>
      </c>
      <c r="HF232" s="57">
        <v>1539.79</v>
      </c>
      <c r="HG232" s="57">
        <v>1934.35</v>
      </c>
      <c r="HH232" s="57">
        <v>1867.18</v>
      </c>
      <c r="HI232" s="57">
        <v>791.13</v>
      </c>
      <c r="HJ232" s="57">
        <v>1237.56</v>
      </c>
      <c r="HK232" s="57">
        <v>2820.51</v>
      </c>
      <c r="HL232" s="57">
        <v>1317.98</v>
      </c>
      <c r="HM232" s="57">
        <v>1530.23</v>
      </c>
      <c r="HN232" s="57">
        <v>1335.51</v>
      </c>
      <c r="HO232" s="57">
        <v>863.95</v>
      </c>
      <c r="HP232" s="57">
        <v>2356.77</v>
      </c>
      <c r="HQ232" s="57">
        <v>1114.78</v>
      </c>
      <c r="HR232" s="57">
        <v>1689.84</v>
      </c>
      <c r="HS232" s="57">
        <v>2166.0300000000002</v>
      </c>
      <c r="HT232" s="57">
        <v>2104.0500000000002</v>
      </c>
      <c r="HU232" s="57">
        <v>1103.74</v>
      </c>
      <c r="HV232" s="57">
        <v>828.21</v>
      </c>
      <c r="HW232" s="57">
        <v>634.96</v>
      </c>
      <c r="HX232" s="57">
        <v>820.17</v>
      </c>
      <c r="HY232" s="57">
        <v>317.91000000000003</v>
      </c>
      <c r="HZ232" s="57">
        <v>1785.3</v>
      </c>
      <c r="IA232" s="57">
        <v>759.77</v>
      </c>
      <c r="IB232" s="57">
        <v>2074.4299999999998</v>
      </c>
      <c r="IC232" s="57">
        <v>1583.58</v>
      </c>
      <c r="ID232" s="57">
        <v>1812.7</v>
      </c>
      <c r="IE232" s="57">
        <v>1325.93</v>
      </c>
      <c r="IF232" s="57">
        <v>1552.27</v>
      </c>
      <c r="IG232" s="57">
        <v>2294.52</v>
      </c>
      <c r="IH232" s="57">
        <v>2111.39</v>
      </c>
      <c r="II232" s="57">
        <v>2987.49</v>
      </c>
      <c r="IJ232" s="57">
        <v>2898.21</v>
      </c>
      <c r="IK232" s="57">
        <v>2145.96</v>
      </c>
      <c r="IL232" s="57">
        <v>1663.89</v>
      </c>
      <c r="IM232" s="57">
        <v>2189.5700000000002</v>
      </c>
      <c r="IN232" s="57">
        <v>2414.5</v>
      </c>
      <c r="IO232" s="57">
        <v>2090.4899999999998</v>
      </c>
      <c r="IP232" s="57">
        <v>1332.71</v>
      </c>
      <c r="IQ232" s="57">
        <v>1191.17</v>
      </c>
      <c r="IR232" s="57">
        <v>3779.76</v>
      </c>
      <c r="IS232" s="57">
        <v>3348.97</v>
      </c>
      <c r="IT232" s="57">
        <v>81.02</v>
      </c>
      <c r="IU232" s="57">
        <v>416.52</v>
      </c>
      <c r="IV232" s="57">
        <v>130.47</v>
      </c>
      <c r="IW232" s="57">
        <v>246.01</v>
      </c>
      <c r="IX232" s="57">
        <v>1128.93</v>
      </c>
      <c r="IY232" s="57">
        <v>1932.49</v>
      </c>
      <c r="IZ232" s="57">
        <v>1464.62</v>
      </c>
      <c r="JA232" s="57">
        <v>881.3</v>
      </c>
      <c r="JB232" s="57">
        <v>341.29</v>
      </c>
      <c r="JC232" s="57">
        <v>2762.99</v>
      </c>
      <c r="JD232" s="57">
        <v>1466.68</v>
      </c>
      <c r="JE232" s="57">
        <v>2813.42</v>
      </c>
      <c r="JF232" s="57">
        <v>889.66</v>
      </c>
      <c r="JG232" s="57">
        <v>1036.21</v>
      </c>
      <c r="JH232" s="57">
        <v>1965.55</v>
      </c>
      <c r="JI232" s="57">
        <v>2647.17</v>
      </c>
      <c r="JJ232" s="57">
        <v>1901.23</v>
      </c>
      <c r="JK232" s="57">
        <v>2447.39</v>
      </c>
      <c r="JL232" s="57">
        <v>1354.59</v>
      </c>
      <c r="JM232" s="57">
        <v>1144.4000000000001</v>
      </c>
      <c r="JN232" s="57">
        <v>1466.3</v>
      </c>
      <c r="JO232" s="57">
        <v>1228.26</v>
      </c>
      <c r="JP232" s="57">
        <v>3898.46</v>
      </c>
      <c r="JQ232" s="57">
        <v>2357.6999999999998</v>
      </c>
      <c r="JR232" s="57">
        <v>1795.82</v>
      </c>
      <c r="JS232" s="57">
        <v>999.99</v>
      </c>
      <c r="JT232" s="57">
        <v>2560.7199999999998</v>
      </c>
      <c r="JU232" s="57">
        <v>1912.15</v>
      </c>
      <c r="JV232" s="57">
        <v>777.71</v>
      </c>
      <c r="JW232" s="57">
        <v>1115.3399999999999</v>
      </c>
      <c r="JX232" s="57">
        <v>9223.93</v>
      </c>
      <c r="JY232" s="57">
        <v>795.15</v>
      </c>
      <c r="JZ232" s="57">
        <v>1512.83</v>
      </c>
      <c r="KA232" s="57">
        <v>2320.61</v>
      </c>
      <c r="KB232" s="57">
        <v>879</v>
      </c>
      <c r="KC232" s="57">
        <v>1245.1400000000001</v>
      </c>
      <c r="KD232" s="57">
        <v>2630.76</v>
      </c>
      <c r="KE232" s="57">
        <v>135.13999999999999</v>
      </c>
      <c r="KF232" s="57">
        <v>2283.5</v>
      </c>
    </row>
    <row r="233" spans="1:292">
      <c r="A233" s="41">
        <v>2023</v>
      </c>
      <c r="B233" s="54" t="s">
        <v>999</v>
      </c>
      <c r="C233" s="50" t="s">
        <v>1000</v>
      </c>
      <c r="D233" s="57">
        <v>1859.38</v>
      </c>
      <c r="E233" s="57">
        <v>2675.31</v>
      </c>
      <c r="F233" s="57">
        <v>2960.44</v>
      </c>
      <c r="G233" s="57">
        <v>562.92999999999995</v>
      </c>
      <c r="H233" s="57">
        <v>1733.98</v>
      </c>
      <c r="I233" s="57">
        <v>1701.63</v>
      </c>
      <c r="J233" s="57">
        <v>1090.3900000000001</v>
      </c>
      <c r="K233" s="57">
        <v>2164.4</v>
      </c>
      <c r="L233" s="57">
        <v>350.9</v>
      </c>
      <c r="M233" s="57">
        <v>966.93</v>
      </c>
      <c r="N233" s="57">
        <v>1280.69</v>
      </c>
      <c r="O233" s="57">
        <v>3380.6</v>
      </c>
      <c r="P233" s="57">
        <v>2442.9499999999998</v>
      </c>
      <c r="Q233" s="57">
        <v>2723.09</v>
      </c>
      <c r="R233" s="57">
        <v>2068.36</v>
      </c>
      <c r="S233" s="57">
        <v>3896.28</v>
      </c>
      <c r="T233" s="57">
        <v>2904.41</v>
      </c>
      <c r="U233" s="57">
        <v>546.79999999999995</v>
      </c>
      <c r="V233" s="57">
        <v>605.79999999999995</v>
      </c>
      <c r="W233" s="57">
        <v>1972.63</v>
      </c>
      <c r="X233" s="57">
        <v>2155.1999999999998</v>
      </c>
      <c r="Y233" s="57">
        <v>1621.74</v>
      </c>
      <c r="Z233" s="57">
        <v>1463.12</v>
      </c>
      <c r="AA233" s="57">
        <v>1962.13</v>
      </c>
      <c r="AB233" s="57">
        <v>1398.81</v>
      </c>
      <c r="AC233" s="57">
        <v>1670.81</v>
      </c>
      <c r="AD233" s="57">
        <v>1383.28</v>
      </c>
      <c r="AE233" s="57">
        <v>1466.09</v>
      </c>
      <c r="AF233" s="57">
        <v>1440.96</v>
      </c>
      <c r="AG233" s="57">
        <v>1034.07</v>
      </c>
      <c r="AH233" s="57">
        <v>962.33</v>
      </c>
      <c r="AI233" s="57">
        <v>2113.56</v>
      </c>
      <c r="AJ233" s="57">
        <v>1768.2</v>
      </c>
      <c r="AK233" s="57">
        <v>2271.21</v>
      </c>
      <c r="AL233" s="57">
        <v>2214.5</v>
      </c>
      <c r="AM233" s="57">
        <v>3348.97</v>
      </c>
      <c r="AN233" s="57">
        <v>83.56</v>
      </c>
      <c r="AO233" s="57">
        <v>429.2</v>
      </c>
      <c r="AP233" s="57">
        <v>226.74</v>
      </c>
      <c r="AQ233" s="57">
        <v>1920.23</v>
      </c>
      <c r="AR233" s="57">
        <v>1501.22</v>
      </c>
      <c r="AS233" s="57">
        <v>1304.5999999999999</v>
      </c>
      <c r="AT233" s="57">
        <v>1977.84</v>
      </c>
      <c r="AU233" s="57">
        <v>2697.38</v>
      </c>
      <c r="AV233" s="57">
        <v>1354.59</v>
      </c>
      <c r="AW233" s="57">
        <v>1144.4000000000001</v>
      </c>
      <c r="AX233" s="57">
        <v>1466.3</v>
      </c>
      <c r="AY233" s="57">
        <v>1279.1099999999999</v>
      </c>
      <c r="AZ233" s="57">
        <v>3615.4</v>
      </c>
      <c r="BA233" s="57">
        <v>1562.8</v>
      </c>
      <c r="BB233" s="57">
        <v>1360.8</v>
      </c>
      <c r="BC233" s="57">
        <v>5879.22</v>
      </c>
      <c r="BD233" s="57">
        <v>2337.21</v>
      </c>
      <c r="BE233" s="57">
        <v>2364.42</v>
      </c>
      <c r="BF233" s="57">
        <v>135.13999999999999</v>
      </c>
      <c r="BG233" s="57">
        <v>2286.9699999999998</v>
      </c>
      <c r="BH233" s="57">
        <v>2532.52</v>
      </c>
      <c r="BI233" s="57">
        <v>3239.71</v>
      </c>
      <c r="BJ233" s="57">
        <v>2028.7</v>
      </c>
      <c r="BK233" s="57">
        <v>2706.28</v>
      </c>
      <c r="BL233" s="57">
        <v>2366.67</v>
      </c>
      <c r="BM233" s="57">
        <v>2154.79</v>
      </c>
      <c r="BN233" s="57">
        <v>3256.11</v>
      </c>
      <c r="BO233" s="57">
        <v>1595.17</v>
      </c>
      <c r="BP233" s="57">
        <v>2816.67</v>
      </c>
      <c r="BQ233" s="57">
        <v>2159.5100000000002</v>
      </c>
      <c r="BR233" s="57">
        <v>1980.39</v>
      </c>
      <c r="BS233" s="57">
        <v>3991.4</v>
      </c>
      <c r="BT233" s="57">
        <v>2676.07</v>
      </c>
      <c r="BU233" s="57">
        <v>3775.02</v>
      </c>
      <c r="BV233" s="57">
        <v>2904.41</v>
      </c>
      <c r="BW233" s="57">
        <v>504.39</v>
      </c>
      <c r="BX233" s="57">
        <v>1022.96</v>
      </c>
      <c r="BY233" s="57">
        <v>2333.67</v>
      </c>
      <c r="BZ233" s="57">
        <v>599.75</v>
      </c>
      <c r="CA233" s="57">
        <v>2490.64</v>
      </c>
      <c r="CB233" s="58">
        <v>1972.63</v>
      </c>
      <c r="CC233" s="57">
        <v>2155.1999999999998</v>
      </c>
      <c r="CD233" s="57">
        <v>1615.48</v>
      </c>
      <c r="CE233" s="57">
        <v>1042.6400000000001</v>
      </c>
      <c r="CF233" s="57">
        <v>1616.78</v>
      </c>
      <c r="CG233" s="57">
        <v>2062.4299999999998</v>
      </c>
      <c r="CH233" s="57">
        <v>2044</v>
      </c>
      <c r="CI233" s="57">
        <v>1469.21</v>
      </c>
      <c r="CJ233" s="57">
        <v>1398.81</v>
      </c>
      <c r="CK233" s="57">
        <v>1587.77</v>
      </c>
      <c r="CL233" s="57">
        <v>1308.72</v>
      </c>
      <c r="CM233" s="57">
        <v>2891.77</v>
      </c>
      <c r="CN233" s="57">
        <v>1383.28</v>
      </c>
      <c r="CO233" s="57">
        <v>1466.09</v>
      </c>
      <c r="CP233" s="57">
        <v>1214.19</v>
      </c>
      <c r="CQ233" s="57">
        <v>2372.1999999999998</v>
      </c>
      <c r="CR233" s="57">
        <v>1263.4000000000001</v>
      </c>
      <c r="CS233" s="57">
        <v>847.32</v>
      </c>
      <c r="CT233" s="57">
        <v>753.1</v>
      </c>
      <c r="CU233" s="57">
        <v>318.36</v>
      </c>
      <c r="CV233" s="57">
        <v>1805.58</v>
      </c>
      <c r="CW233" s="57">
        <v>847.62</v>
      </c>
      <c r="CX233" s="57">
        <v>2113.56</v>
      </c>
      <c r="CY233" s="57">
        <v>1782.72</v>
      </c>
      <c r="CZ233" s="57">
        <v>1352.17</v>
      </c>
      <c r="DA233" s="57">
        <v>1624.44</v>
      </c>
      <c r="DB233" s="57">
        <v>2411.5300000000002</v>
      </c>
      <c r="DC233" s="57">
        <v>2064.9299999999998</v>
      </c>
      <c r="DD233" s="57">
        <v>3068.17</v>
      </c>
      <c r="DE233" s="57">
        <v>2919.62</v>
      </c>
      <c r="DF233" s="57">
        <v>2119.56</v>
      </c>
      <c r="DG233" s="57">
        <v>2222.33</v>
      </c>
      <c r="DH233" s="57">
        <v>1119.9000000000001</v>
      </c>
      <c r="DI233" s="57">
        <v>1191.17</v>
      </c>
      <c r="DJ233" s="57">
        <v>3824.97</v>
      </c>
      <c r="DK233" s="57">
        <v>3348.97</v>
      </c>
      <c r="DL233" s="57">
        <v>83.56</v>
      </c>
      <c r="DM233" s="57">
        <v>429.2</v>
      </c>
      <c r="DN233" s="57">
        <v>139.34</v>
      </c>
      <c r="DO233" s="57">
        <v>255.42</v>
      </c>
      <c r="DP233" s="57">
        <v>1168.3800000000001</v>
      </c>
      <c r="DQ233" s="57">
        <v>1920.23</v>
      </c>
      <c r="DR233" s="57">
        <v>1538.6</v>
      </c>
      <c r="DS233" s="57">
        <v>898.51</v>
      </c>
      <c r="DT233" s="57">
        <v>372.8</v>
      </c>
      <c r="DU233" s="57">
        <v>2792.86</v>
      </c>
      <c r="DV233" s="57">
        <v>1482.05</v>
      </c>
      <c r="DW233" s="57">
        <v>1197.28</v>
      </c>
      <c r="DX233" s="57">
        <v>1036.21</v>
      </c>
      <c r="DY233" s="57">
        <v>1970.95</v>
      </c>
      <c r="DZ233" s="57">
        <v>2702.17</v>
      </c>
      <c r="EA233" s="57">
        <v>1990.53</v>
      </c>
      <c r="EB233" s="57">
        <v>2697.38</v>
      </c>
      <c r="EC233" s="57">
        <v>1354.59</v>
      </c>
      <c r="ED233" s="57">
        <v>1144.4000000000001</v>
      </c>
      <c r="EE233" s="57">
        <v>1466.3</v>
      </c>
      <c r="EF233" s="57">
        <v>1279.1099999999999</v>
      </c>
      <c r="EG233" s="57">
        <v>3615.4</v>
      </c>
      <c r="EH233" s="57">
        <v>1562.8</v>
      </c>
      <c r="EI233" s="57">
        <v>2278.06</v>
      </c>
      <c r="EJ233" s="57">
        <v>793.99</v>
      </c>
      <c r="EK233" s="57">
        <v>1134.6199999999999</v>
      </c>
      <c r="EL233" s="57">
        <v>9591.17</v>
      </c>
      <c r="EM233" s="57">
        <v>1133.71</v>
      </c>
      <c r="EN233" s="57">
        <v>2337.21</v>
      </c>
      <c r="EO233" s="57">
        <v>883.1</v>
      </c>
      <c r="EP233" s="57">
        <v>1273.9100000000001</v>
      </c>
      <c r="EQ233" s="57">
        <v>2668.34</v>
      </c>
      <c r="ER233" s="57">
        <v>135.13999999999999</v>
      </c>
      <c r="ES233" s="57">
        <v>2286.9699999999998</v>
      </c>
      <c r="ET233" s="57">
        <v>2843.91</v>
      </c>
      <c r="EU233" s="57">
        <v>2224.4699999999998</v>
      </c>
      <c r="EV233" s="57">
        <v>2485.89</v>
      </c>
      <c r="EW233" s="57">
        <v>2556.35</v>
      </c>
      <c r="EX233" s="57">
        <v>2681.26</v>
      </c>
      <c r="EY233" s="57">
        <v>1122.1099999999999</v>
      </c>
      <c r="EZ233" s="57">
        <v>3366.98</v>
      </c>
      <c r="FA233" s="57">
        <v>3656.53</v>
      </c>
      <c r="FB233" s="57">
        <v>2706.66</v>
      </c>
      <c r="FC233" s="57">
        <v>4856.88</v>
      </c>
      <c r="FD233" s="57">
        <v>2450.8000000000002</v>
      </c>
      <c r="FE233" s="57">
        <v>2029.34</v>
      </c>
      <c r="FF233" s="57">
        <v>441.98</v>
      </c>
      <c r="FG233" s="57">
        <v>2501.8000000000002</v>
      </c>
      <c r="FH233" s="57">
        <v>2181.94</v>
      </c>
      <c r="FI233" s="57">
        <v>2781.7</v>
      </c>
      <c r="FJ233" s="57">
        <v>3562.92</v>
      </c>
      <c r="FK233" s="57">
        <v>4201.75</v>
      </c>
      <c r="FL233" s="57">
        <v>2534.5100000000002</v>
      </c>
      <c r="FM233" s="57">
        <v>2067.9</v>
      </c>
      <c r="FN233" s="57">
        <v>1766.3</v>
      </c>
      <c r="FO233" s="57">
        <v>4128.8900000000003</v>
      </c>
      <c r="FP233" s="57">
        <v>3254.03</v>
      </c>
      <c r="FQ233" s="57">
        <v>3217.76</v>
      </c>
      <c r="FR233" s="57">
        <v>3773.01</v>
      </c>
      <c r="FS233" s="57">
        <v>2708.19</v>
      </c>
      <c r="FT233" s="57">
        <v>1146.82</v>
      </c>
      <c r="FU233" s="57">
        <v>2356.29</v>
      </c>
      <c r="FV233" s="57">
        <v>1951.38</v>
      </c>
      <c r="FW233" s="57">
        <v>890.5</v>
      </c>
      <c r="FX233" s="57">
        <v>2816.67</v>
      </c>
      <c r="FY233" s="57">
        <v>2711.9</v>
      </c>
      <c r="FZ233" s="57">
        <v>2017.23</v>
      </c>
      <c r="GA233" s="57">
        <v>1968.95</v>
      </c>
      <c r="GB233" s="57">
        <v>1807.44</v>
      </c>
      <c r="GC233" s="57">
        <v>2322.9699999999998</v>
      </c>
      <c r="GD233" s="57">
        <v>1753.23</v>
      </c>
      <c r="GE233" s="57">
        <v>3991.4</v>
      </c>
      <c r="GF233" s="57">
        <v>2676.07</v>
      </c>
      <c r="GG233" s="57">
        <v>3775.02</v>
      </c>
      <c r="GH233" s="57">
        <v>2899.54</v>
      </c>
      <c r="GI233" s="57">
        <v>643.33000000000004</v>
      </c>
      <c r="GJ233" s="57">
        <v>424.39</v>
      </c>
      <c r="GK233" s="57">
        <v>448.01</v>
      </c>
      <c r="GL233" s="57">
        <v>549.89</v>
      </c>
      <c r="GM233" s="57">
        <v>1022.96</v>
      </c>
      <c r="GN233" s="57">
        <v>2333.67</v>
      </c>
      <c r="GO233" s="57">
        <v>679.39</v>
      </c>
      <c r="GP233" s="57">
        <v>533.25</v>
      </c>
      <c r="GQ233" s="57">
        <v>568.74</v>
      </c>
      <c r="GR233" s="57">
        <v>2490.64</v>
      </c>
      <c r="GS233" s="57">
        <v>1972.63</v>
      </c>
      <c r="GT233" s="57">
        <v>2155.1999999999998</v>
      </c>
      <c r="GU233" s="57">
        <v>1615.48</v>
      </c>
      <c r="GV233" s="57">
        <v>1042.6400000000001</v>
      </c>
      <c r="GW233" s="57">
        <v>1331.18</v>
      </c>
      <c r="GX233" s="57">
        <v>2480.81</v>
      </c>
      <c r="GY233" s="57">
        <v>2062.4299999999998</v>
      </c>
      <c r="GZ233" s="57">
        <v>2479.61</v>
      </c>
      <c r="HA233" s="57">
        <v>1958.73</v>
      </c>
      <c r="HB233" s="57">
        <v>2027.6</v>
      </c>
      <c r="HC233" s="57">
        <v>1469.21</v>
      </c>
      <c r="HD233" s="57">
        <v>1398.81</v>
      </c>
      <c r="HE233" s="57">
        <v>1339.83</v>
      </c>
      <c r="HF233" s="57">
        <v>1648.02</v>
      </c>
      <c r="HG233" s="57">
        <v>2023.66</v>
      </c>
      <c r="HH233" s="57">
        <v>1941.76</v>
      </c>
      <c r="HI233" s="57">
        <v>835.97</v>
      </c>
      <c r="HJ233" s="57">
        <v>1308.72</v>
      </c>
      <c r="HK233" s="57">
        <v>2891.77</v>
      </c>
      <c r="HL233" s="57">
        <v>1372.63</v>
      </c>
      <c r="HM233" s="57">
        <v>1594.92</v>
      </c>
      <c r="HN233" s="57">
        <v>1384.12</v>
      </c>
      <c r="HO233" s="57">
        <v>902.06</v>
      </c>
      <c r="HP233" s="57">
        <v>2422.6</v>
      </c>
      <c r="HQ233" s="57">
        <v>1141.49</v>
      </c>
      <c r="HR233" s="57">
        <v>1677.95</v>
      </c>
      <c r="HS233" s="57">
        <v>2226.61</v>
      </c>
      <c r="HT233" s="57">
        <v>2153.37</v>
      </c>
      <c r="HU233" s="57">
        <v>1263.4000000000001</v>
      </c>
      <c r="HV233" s="57">
        <v>847.32</v>
      </c>
      <c r="HW233" s="57">
        <v>659.93</v>
      </c>
      <c r="HX233" s="57">
        <v>851.03</v>
      </c>
      <c r="HY233" s="57">
        <v>318.36</v>
      </c>
      <c r="HZ233" s="57">
        <v>1805.58</v>
      </c>
      <c r="IA233" s="57">
        <v>774.22</v>
      </c>
      <c r="IB233" s="57">
        <v>2113.56</v>
      </c>
      <c r="IC233" s="57">
        <v>1618.3</v>
      </c>
      <c r="ID233" s="57">
        <v>1831.67</v>
      </c>
      <c r="IE233" s="57">
        <v>1352.17</v>
      </c>
      <c r="IF233" s="57">
        <v>1624.44</v>
      </c>
      <c r="IG233" s="57">
        <v>2411.5300000000002</v>
      </c>
      <c r="IH233" s="57">
        <v>2064.9299999999998</v>
      </c>
      <c r="II233" s="57">
        <v>3068.17</v>
      </c>
      <c r="IJ233" s="57">
        <v>2919.62</v>
      </c>
      <c r="IK233" s="57">
        <v>2145.96</v>
      </c>
      <c r="IL233" s="57">
        <v>1663.89</v>
      </c>
      <c r="IM233" s="57">
        <v>2186.3000000000002</v>
      </c>
      <c r="IN233" s="57">
        <v>2419.0700000000002</v>
      </c>
      <c r="IO233" s="57">
        <v>1998.84</v>
      </c>
      <c r="IP233" s="57">
        <v>1119.9000000000001</v>
      </c>
      <c r="IQ233" s="57">
        <v>1191.17</v>
      </c>
      <c r="IR233" s="57">
        <v>3824.97</v>
      </c>
      <c r="IS233" s="57">
        <v>3348.97</v>
      </c>
      <c r="IT233" s="57">
        <v>83.56</v>
      </c>
      <c r="IU233" s="57">
        <v>429.2</v>
      </c>
      <c r="IV233" s="57">
        <v>139.37</v>
      </c>
      <c r="IW233" s="57">
        <v>255.42</v>
      </c>
      <c r="IX233" s="57">
        <v>1168.3800000000001</v>
      </c>
      <c r="IY233" s="57">
        <v>1920.23</v>
      </c>
      <c r="IZ233" s="57">
        <v>1538.6</v>
      </c>
      <c r="JA233" s="57">
        <v>898.51</v>
      </c>
      <c r="JB233" s="57">
        <v>372.8</v>
      </c>
      <c r="JC233" s="57">
        <v>2792.86</v>
      </c>
      <c r="JD233" s="57">
        <v>1482.05</v>
      </c>
      <c r="JE233" s="57">
        <v>2934.69</v>
      </c>
      <c r="JF233" s="57">
        <v>1017.88</v>
      </c>
      <c r="JG233" s="57">
        <v>1036.21</v>
      </c>
      <c r="JH233" s="57">
        <v>1970.95</v>
      </c>
      <c r="JI233" s="57">
        <v>2702.17</v>
      </c>
      <c r="JJ233" s="57">
        <v>1990.53</v>
      </c>
      <c r="JK233" s="57">
        <v>2697.38</v>
      </c>
      <c r="JL233" s="57">
        <v>1354.59</v>
      </c>
      <c r="JM233" s="57">
        <v>1144.4000000000001</v>
      </c>
      <c r="JN233" s="57">
        <v>1466.3</v>
      </c>
      <c r="JO233" s="57">
        <v>1279.1099999999999</v>
      </c>
      <c r="JP233" s="57">
        <v>4027.82</v>
      </c>
      <c r="JQ233" s="57">
        <v>2415.61</v>
      </c>
      <c r="JR233" s="57">
        <v>1776.57</v>
      </c>
      <c r="JS233" s="57">
        <v>1000.36</v>
      </c>
      <c r="JT233" s="57">
        <v>2629.67</v>
      </c>
      <c r="JU233" s="57">
        <v>1961.42</v>
      </c>
      <c r="JV233" s="57">
        <v>793.99</v>
      </c>
      <c r="JW233" s="57">
        <v>1134.6199999999999</v>
      </c>
      <c r="JX233" s="57">
        <v>9591.17</v>
      </c>
      <c r="JY233" s="57">
        <v>797.02</v>
      </c>
      <c r="JZ233" s="57">
        <v>1588.24</v>
      </c>
      <c r="KA233" s="57">
        <v>2337.21</v>
      </c>
      <c r="KB233" s="57">
        <v>883.1</v>
      </c>
      <c r="KC233" s="57">
        <v>1273.9100000000001</v>
      </c>
      <c r="KD233" s="57">
        <v>2668.34</v>
      </c>
      <c r="KE233" s="57">
        <v>135.13999999999999</v>
      </c>
      <c r="KF233" s="57">
        <v>2286.9699999999998</v>
      </c>
    </row>
    <row r="234" spans="1:292">
      <c r="A234" s="41">
        <v>2024</v>
      </c>
      <c r="B234" s="54" t="s">
        <v>977</v>
      </c>
      <c r="C234" s="50" t="s">
        <v>978</v>
      </c>
      <c r="D234" s="57">
        <v>1984.02</v>
      </c>
      <c r="E234" s="57">
        <v>2814.14</v>
      </c>
      <c r="F234" s="57">
        <v>3106.06</v>
      </c>
      <c r="G234" s="57">
        <v>553.89</v>
      </c>
      <c r="H234" s="57">
        <v>1862.79</v>
      </c>
      <c r="I234" s="57">
        <v>1826.36</v>
      </c>
      <c r="J234" s="57">
        <v>1283.18</v>
      </c>
      <c r="K234" s="57">
        <v>2305.71</v>
      </c>
      <c r="L234" s="57">
        <v>361.37</v>
      </c>
      <c r="M234" s="57">
        <v>1054.67</v>
      </c>
      <c r="N234" s="57">
        <v>1321.25</v>
      </c>
      <c r="O234" s="57">
        <v>3792.03</v>
      </c>
      <c r="P234" s="57">
        <v>2693.38</v>
      </c>
      <c r="Q234" s="57">
        <v>2868.26</v>
      </c>
      <c r="R234" s="57">
        <v>2133.84</v>
      </c>
      <c r="S234" s="57">
        <v>4809.3999999999996</v>
      </c>
      <c r="T234" s="57">
        <v>3005.68</v>
      </c>
      <c r="U234" s="57">
        <v>534.96</v>
      </c>
      <c r="V234" s="57">
        <v>608.36</v>
      </c>
      <c r="W234" s="57">
        <v>2198.7600000000002</v>
      </c>
      <c r="X234" s="57">
        <v>2255.75</v>
      </c>
      <c r="Y234" s="57">
        <v>1701.12</v>
      </c>
      <c r="Z234" s="57">
        <v>1542.73</v>
      </c>
      <c r="AA234" s="57">
        <v>2164.5</v>
      </c>
      <c r="AB234" s="57">
        <v>1494.59</v>
      </c>
      <c r="AC234" s="57">
        <v>1789.24</v>
      </c>
      <c r="AD234" s="57">
        <v>1449.16</v>
      </c>
      <c r="AE234" s="57">
        <v>1550.19</v>
      </c>
      <c r="AF234" s="57">
        <v>1525.17</v>
      </c>
      <c r="AG234" s="57">
        <v>1154.69</v>
      </c>
      <c r="AH234" s="57">
        <v>1152.18</v>
      </c>
      <c r="AI234" s="57">
        <v>2592.58</v>
      </c>
      <c r="AJ234" s="57">
        <v>1818.15</v>
      </c>
      <c r="AK234" s="57">
        <v>2494.19</v>
      </c>
      <c r="AL234" s="57">
        <v>2468.73</v>
      </c>
      <c r="AM234" s="57">
        <v>3877.85</v>
      </c>
      <c r="AN234" s="57">
        <v>87.05</v>
      </c>
      <c r="AO234" s="57">
        <v>439.3</v>
      </c>
      <c r="AP234" s="57">
        <v>244.69</v>
      </c>
      <c r="AQ234" s="57">
        <v>1992.36</v>
      </c>
      <c r="AR234" s="57">
        <v>1611.42</v>
      </c>
      <c r="AS234" s="57">
        <v>1471.69</v>
      </c>
      <c r="AT234" s="57">
        <v>2167.67</v>
      </c>
      <c r="AU234" s="57">
        <v>2800.05</v>
      </c>
      <c r="AV234" s="57">
        <v>1401.62</v>
      </c>
      <c r="AW234" s="57">
        <v>1197.2</v>
      </c>
      <c r="AX234" s="57">
        <v>1466.3</v>
      </c>
      <c r="AY234" s="57">
        <v>1379.48</v>
      </c>
      <c r="AZ234" s="57">
        <v>4074.01</v>
      </c>
      <c r="BA234" s="57">
        <v>1676.1</v>
      </c>
      <c r="BB234" s="57">
        <v>1444.79</v>
      </c>
      <c r="BC234" s="57">
        <v>6104.46</v>
      </c>
      <c r="BD234" s="57">
        <v>2684.82</v>
      </c>
      <c r="BE234" s="57">
        <v>2747</v>
      </c>
      <c r="BF234" s="57">
        <v>223.11</v>
      </c>
      <c r="BG234" s="57">
        <v>3148.2</v>
      </c>
      <c r="BH234" s="57">
        <v>2659.01</v>
      </c>
      <c r="BI234" s="57">
        <v>3445.19</v>
      </c>
      <c r="BJ234" s="57">
        <v>2366.6999999999998</v>
      </c>
      <c r="BK234" s="57">
        <v>2742.8</v>
      </c>
      <c r="BL234" s="57">
        <v>2443.2600000000002</v>
      </c>
      <c r="BM234" s="57">
        <v>2287.0300000000002</v>
      </c>
      <c r="BN234" s="57">
        <v>3488.51</v>
      </c>
      <c r="BO234" s="57">
        <v>1677</v>
      </c>
      <c r="BP234" s="57">
        <v>2931.36</v>
      </c>
      <c r="BQ234" s="57">
        <v>2210.0700000000002</v>
      </c>
      <c r="BR234" s="57">
        <v>2059.1999999999998</v>
      </c>
      <c r="BS234" s="57">
        <v>4964.1400000000003</v>
      </c>
      <c r="BT234" s="57">
        <v>2943.34</v>
      </c>
      <c r="BU234" s="57">
        <v>4729.8999999999996</v>
      </c>
      <c r="BV234" s="57">
        <v>3005.68</v>
      </c>
      <c r="BW234" s="57">
        <v>490.72</v>
      </c>
      <c r="BX234" s="57">
        <v>1051.1099999999999</v>
      </c>
      <c r="BY234" s="57">
        <v>2658.64</v>
      </c>
      <c r="BZ234" s="57">
        <v>601.92999999999995</v>
      </c>
      <c r="CA234" s="57">
        <v>2748.39</v>
      </c>
      <c r="CB234" s="58">
        <v>2198.7600000000002</v>
      </c>
      <c r="CC234" s="57">
        <v>2255.75</v>
      </c>
      <c r="CD234" s="57">
        <v>1694.55</v>
      </c>
      <c r="CE234" s="57">
        <v>1042.6400000000001</v>
      </c>
      <c r="CF234" s="57">
        <v>1765.73</v>
      </c>
      <c r="CG234" s="57">
        <v>2126.1</v>
      </c>
      <c r="CH234" s="57">
        <v>2260.9299999999998</v>
      </c>
      <c r="CI234" s="57">
        <v>1565.7</v>
      </c>
      <c r="CJ234" s="57">
        <v>1494.59</v>
      </c>
      <c r="CK234" s="57">
        <v>1688.15</v>
      </c>
      <c r="CL234" s="57">
        <v>1389.22</v>
      </c>
      <c r="CM234" s="57">
        <v>3427.06</v>
      </c>
      <c r="CN234" s="57">
        <v>1449.16</v>
      </c>
      <c r="CO234" s="57">
        <v>1550.19</v>
      </c>
      <c r="CP234" s="57">
        <v>1251.6600000000001</v>
      </c>
      <c r="CQ234" s="57">
        <v>2730.48</v>
      </c>
      <c r="CR234" s="57">
        <v>1440.11</v>
      </c>
      <c r="CS234" s="57">
        <v>847.33</v>
      </c>
      <c r="CT234" s="57">
        <v>830.35</v>
      </c>
      <c r="CU234" s="57">
        <v>328.26</v>
      </c>
      <c r="CV234" s="57">
        <v>2271.33</v>
      </c>
      <c r="CW234" s="57">
        <v>1090.3</v>
      </c>
      <c r="CX234" s="57">
        <v>2592.58</v>
      </c>
      <c r="CY234" s="57">
        <v>1832.27</v>
      </c>
      <c r="CZ234" s="57">
        <v>1395.16</v>
      </c>
      <c r="DA234" s="57">
        <v>1742.86</v>
      </c>
      <c r="DB234" s="57">
        <v>2621.23</v>
      </c>
      <c r="DC234" s="57">
        <v>2226.4899999999998</v>
      </c>
      <c r="DD234" s="57">
        <v>3505.17</v>
      </c>
      <c r="DE234" s="57">
        <v>3662.36</v>
      </c>
      <c r="DF234" s="57">
        <v>2123.35</v>
      </c>
      <c r="DG234" s="57">
        <v>2443.63</v>
      </c>
      <c r="DH234" s="57">
        <v>1460.7</v>
      </c>
      <c r="DI234" s="57">
        <v>1383.2</v>
      </c>
      <c r="DJ234" s="57">
        <v>4360.45</v>
      </c>
      <c r="DK234" s="57">
        <v>3877.85</v>
      </c>
      <c r="DL234" s="57">
        <v>87.05</v>
      </c>
      <c r="DM234" s="57">
        <v>439.3</v>
      </c>
      <c r="DN234" s="57">
        <v>149.12</v>
      </c>
      <c r="DO234" s="57">
        <v>274.70999999999998</v>
      </c>
      <c r="DP234" s="57">
        <v>1376.98</v>
      </c>
      <c r="DQ234" s="57">
        <v>1992.36</v>
      </c>
      <c r="DR234" s="57">
        <v>1607.82</v>
      </c>
      <c r="DS234" s="57">
        <v>950.98</v>
      </c>
      <c r="DT234" s="57">
        <v>402.54</v>
      </c>
      <c r="DU234" s="57">
        <v>3683.01</v>
      </c>
      <c r="DV234" s="57">
        <v>1620.65</v>
      </c>
      <c r="DW234" s="57">
        <v>1419.93</v>
      </c>
      <c r="DX234" s="57">
        <v>1162.5</v>
      </c>
      <c r="DY234" s="57">
        <v>2180.12</v>
      </c>
      <c r="DZ234" s="57">
        <v>3029.37</v>
      </c>
      <c r="EA234" s="57">
        <v>2133.92</v>
      </c>
      <c r="EB234" s="57">
        <v>2800.05</v>
      </c>
      <c r="EC234" s="57">
        <v>1401.62</v>
      </c>
      <c r="ED234" s="57">
        <v>1197.2</v>
      </c>
      <c r="EE234" s="57">
        <v>1466.3</v>
      </c>
      <c r="EF234" s="57">
        <v>1379.48</v>
      </c>
      <c r="EG234" s="57">
        <v>4074.01</v>
      </c>
      <c r="EH234" s="57">
        <v>1676.1</v>
      </c>
      <c r="EI234" s="57">
        <v>2609.61</v>
      </c>
      <c r="EJ234" s="57">
        <v>833.61</v>
      </c>
      <c r="EK234" s="57">
        <v>1174.44</v>
      </c>
      <c r="EL234" s="57">
        <v>9989.5400000000009</v>
      </c>
      <c r="EM234" s="57">
        <v>1172.24</v>
      </c>
      <c r="EN234" s="57">
        <v>2684.82</v>
      </c>
      <c r="EO234" s="57">
        <v>1799.22</v>
      </c>
      <c r="EP234" s="57">
        <v>1453.89</v>
      </c>
      <c r="EQ234" s="57">
        <v>2880.11</v>
      </c>
      <c r="ER234" s="57">
        <v>223.11</v>
      </c>
      <c r="ES234" s="57">
        <v>3148.2</v>
      </c>
      <c r="ET234" s="57">
        <v>3023.19</v>
      </c>
      <c r="EU234" s="57">
        <v>2267.17</v>
      </c>
      <c r="EV234" s="57">
        <v>2577.42</v>
      </c>
      <c r="EW234" s="57">
        <v>2783.71</v>
      </c>
      <c r="EX234" s="57">
        <v>2801.55</v>
      </c>
      <c r="EY234" s="57">
        <v>1109.48</v>
      </c>
      <c r="EZ234" s="57">
        <v>3628.56</v>
      </c>
      <c r="FA234" s="57">
        <v>3867.18</v>
      </c>
      <c r="FB234" s="57">
        <v>2805.79</v>
      </c>
      <c r="FC234" s="57">
        <v>5589.58</v>
      </c>
      <c r="FD234" s="57">
        <v>2621.21</v>
      </c>
      <c r="FE234" s="57">
        <v>2402.98</v>
      </c>
      <c r="FF234" s="57">
        <v>447.14</v>
      </c>
      <c r="FG234" s="57">
        <v>2518.86</v>
      </c>
      <c r="FH234" s="57">
        <v>2189.86</v>
      </c>
      <c r="FI234" s="57">
        <v>2786.24</v>
      </c>
      <c r="FJ234" s="57">
        <v>3748.14</v>
      </c>
      <c r="FK234" s="57">
        <v>4265.6400000000003</v>
      </c>
      <c r="FL234" s="57">
        <v>2612.7199999999998</v>
      </c>
      <c r="FM234" s="57">
        <v>2146.34</v>
      </c>
      <c r="FN234" s="57">
        <v>1890.72</v>
      </c>
      <c r="FO234" s="57">
        <v>4294.6400000000003</v>
      </c>
      <c r="FP234" s="57">
        <v>3516.9</v>
      </c>
      <c r="FQ234" s="57">
        <v>3669.78</v>
      </c>
      <c r="FR234" s="57">
        <v>4062.81</v>
      </c>
      <c r="FS234" s="57">
        <v>2763.34</v>
      </c>
      <c r="FT234" s="57">
        <v>1134.58</v>
      </c>
      <c r="FU234" s="57">
        <v>2459.0700000000002</v>
      </c>
      <c r="FV234" s="57">
        <v>2076.2399999999998</v>
      </c>
      <c r="FW234" s="57">
        <v>1068.52</v>
      </c>
      <c r="FX234" s="57">
        <v>2931.36</v>
      </c>
      <c r="FY234" s="57">
        <v>2918.52</v>
      </c>
      <c r="FZ234" s="57">
        <v>2034.82</v>
      </c>
      <c r="GA234" s="57">
        <v>2123.0500000000002</v>
      </c>
      <c r="GB234" s="57">
        <v>1906.43</v>
      </c>
      <c r="GC234" s="57">
        <v>2389.16</v>
      </c>
      <c r="GD234" s="57">
        <v>1795.03</v>
      </c>
      <c r="GE234" s="57">
        <v>4964.1400000000003</v>
      </c>
      <c r="GF234" s="57">
        <v>2943.34</v>
      </c>
      <c r="GG234" s="57">
        <v>4729.8999999999996</v>
      </c>
      <c r="GH234" s="57">
        <v>3000.64</v>
      </c>
      <c r="GI234" s="57">
        <v>634.28</v>
      </c>
      <c r="GJ234" s="57">
        <v>411.44</v>
      </c>
      <c r="GK234" s="57">
        <v>429.23</v>
      </c>
      <c r="GL234" s="57">
        <v>520.75</v>
      </c>
      <c r="GM234" s="57">
        <v>1051.1099999999999</v>
      </c>
      <c r="GN234" s="57">
        <v>2658.64</v>
      </c>
      <c r="GO234" s="57">
        <v>686.02</v>
      </c>
      <c r="GP234" s="57">
        <v>532.05999999999995</v>
      </c>
      <c r="GQ234" s="57">
        <v>570.72</v>
      </c>
      <c r="GR234" s="57">
        <v>2748.39</v>
      </c>
      <c r="GS234" s="57">
        <v>2198.7600000000002</v>
      </c>
      <c r="GT234" s="57">
        <v>2255.75</v>
      </c>
      <c r="GU234" s="57">
        <v>1694.55</v>
      </c>
      <c r="GV234" s="57">
        <v>1042.6400000000001</v>
      </c>
      <c r="GW234" s="57">
        <v>1449.9</v>
      </c>
      <c r="GX234" s="57">
        <v>2747.57</v>
      </c>
      <c r="GY234" s="57">
        <v>2126.1</v>
      </c>
      <c r="GZ234" s="57">
        <v>2769.15</v>
      </c>
      <c r="HA234" s="57">
        <v>2166.2199999999998</v>
      </c>
      <c r="HB234" s="57">
        <v>2234.2199999999998</v>
      </c>
      <c r="HC234" s="57">
        <v>1565.7</v>
      </c>
      <c r="HD234" s="57">
        <v>1494.59</v>
      </c>
      <c r="HE234" s="57">
        <v>1468.89</v>
      </c>
      <c r="HF234" s="57">
        <v>1714.53</v>
      </c>
      <c r="HG234" s="57">
        <v>2113.9299999999998</v>
      </c>
      <c r="HH234" s="57">
        <v>2037.05</v>
      </c>
      <c r="HI234" s="57">
        <v>894.7</v>
      </c>
      <c r="HJ234" s="57">
        <v>1389.22</v>
      </c>
      <c r="HK234" s="57">
        <v>3427.06</v>
      </c>
      <c r="HL234" s="57">
        <v>1448.06</v>
      </c>
      <c r="HM234" s="57">
        <v>1653.46</v>
      </c>
      <c r="HN234" s="57">
        <v>1444.16</v>
      </c>
      <c r="HO234" s="57">
        <v>954.01</v>
      </c>
      <c r="HP234" s="57">
        <v>2560.79</v>
      </c>
      <c r="HQ234" s="57">
        <v>1173.1600000000001</v>
      </c>
      <c r="HR234" s="57">
        <v>1762.55</v>
      </c>
      <c r="HS234" s="57">
        <v>2558.5500000000002</v>
      </c>
      <c r="HT234" s="57">
        <v>2498.79</v>
      </c>
      <c r="HU234" s="57">
        <v>1440.11</v>
      </c>
      <c r="HV234" s="57">
        <v>847.33</v>
      </c>
      <c r="HW234" s="57">
        <v>742.48</v>
      </c>
      <c r="HX234" s="57">
        <v>896.27</v>
      </c>
      <c r="HY234" s="57">
        <v>328.26</v>
      </c>
      <c r="HZ234" s="57">
        <v>2271.33</v>
      </c>
      <c r="IA234" s="57">
        <v>995.89</v>
      </c>
      <c r="IB234" s="57">
        <v>2592.58</v>
      </c>
      <c r="IC234" s="57">
        <v>1674.3</v>
      </c>
      <c r="ID234" s="57">
        <v>1880.11</v>
      </c>
      <c r="IE234" s="57">
        <v>1395.16</v>
      </c>
      <c r="IF234" s="57">
        <v>1742.86</v>
      </c>
      <c r="IG234" s="57">
        <v>2621.23</v>
      </c>
      <c r="IH234" s="57">
        <v>2226.4899999999998</v>
      </c>
      <c r="II234" s="57">
        <v>3505.17</v>
      </c>
      <c r="IJ234" s="57">
        <v>3662.36</v>
      </c>
      <c r="IK234" s="57">
        <v>2179.63</v>
      </c>
      <c r="IL234" s="57">
        <v>1663.89</v>
      </c>
      <c r="IM234" s="57">
        <v>2294.37</v>
      </c>
      <c r="IN234" s="57">
        <v>2839.37</v>
      </c>
      <c r="IO234" s="57">
        <v>2508.08</v>
      </c>
      <c r="IP234" s="57">
        <v>1460.7</v>
      </c>
      <c r="IQ234" s="57">
        <v>1383.2</v>
      </c>
      <c r="IR234" s="57">
        <v>4360.45</v>
      </c>
      <c r="IS234" s="57">
        <v>3877.85</v>
      </c>
      <c r="IT234" s="57">
        <v>87.05</v>
      </c>
      <c r="IU234" s="57">
        <v>439.3</v>
      </c>
      <c r="IV234" s="57">
        <v>149.15</v>
      </c>
      <c r="IW234" s="57">
        <v>274.70999999999998</v>
      </c>
      <c r="IX234" s="57">
        <v>1376.98</v>
      </c>
      <c r="IY234" s="57">
        <v>1992.36</v>
      </c>
      <c r="IZ234" s="57">
        <v>1607.82</v>
      </c>
      <c r="JA234" s="57">
        <v>950.98</v>
      </c>
      <c r="JB234" s="57">
        <v>402.54</v>
      </c>
      <c r="JC234" s="57">
        <v>3683.01</v>
      </c>
      <c r="JD234" s="57">
        <v>1620.65</v>
      </c>
      <c r="JE234" s="57">
        <v>3668.03</v>
      </c>
      <c r="JF234" s="57">
        <v>1198.1600000000001</v>
      </c>
      <c r="JG234" s="57">
        <v>1162.5</v>
      </c>
      <c r="JH234" s="57">
        <v>2180.12</v>
      </c>
      <c r="JI234" s="57">
        <v>3029.37</v>
      </c>
      <c r="JJ234" s="57">
        <v>2133.92</v>
      </c>
      <c r="JK234" s="57">
        <v>2800.05</v>
      </c>
      <c r="JL234" s="57">
        <v>1401.62</v>
      </c>
      <c r="JM234" s="57">
        <v>1197.2</v>
      </c>
      <c r="JN234" s="57">
        <v>1466.3</v>
      </c>
      <c r="JO234" s="57">
        <v>1379.48</v>
      </c>
      <c r="JP234" s="57">
        <v>4531.93</v>
      </c>
      <c r="JQ234" s="57">
        <v>2739.8</v>
      </c>
      <c r="JR234" s="57">
        <v>1962.86</v>
      </c>
      <c r="JS234" s="57">
        <v>1001.1</v>
      </c>
      <c r="JT234" s="57">
        <v>3052.9</v>
      </c>
      <c r="JU234" s="57">
        <v>2221.98</v>
      </c>
      <c r="JV234" s="57">
        <v>833.61</v>
      </c>
      <c r="JW234" s="57">
        <v>1174.44</v>
      </c>
      <c r="JX234" s="57">
        <v>9989.5400000000009</v>
      </c>
      <c r="JY234" s="57">
        <v>795.86</v>
      </c>
      <c r="JZ234" s="57">
        <v>1706.84</v>
      </c>
      <c r="KA234" s="57">
        <v>2684.82</v>
      </c>
      <c r="KB234" s="57">
        <v>1799.22</v>
      </c>
      <c r="KC234" s="57">
        <v>1453.89</v>
      </c>
      <c r="KD234" s="57">
        <v>2880.11</v>
      </c>
      <c r="KE234" s="57">
        <v>223.11</v>
      </c>
      <c r="KF234" s="57">
        <v>3148.2</v>
      </c>
    </row>
    <row r="235" spans="1:292">
      <c r="A235" s="41">
        <v>2024</v>
      </c>
      <c r="B235" s="54" t="s">
        <v>979</v>
      </c>
      <c r="C235" s="50" t="s">
        <v>980</v>
      </c>
      <c r="D235" s="57">
        <v>2073.88</v>
      </c>
      <c r="E235" s="57">
        <v>3046.31</v>
      </c>
      <c r="F235" s="57">
        <v>3121.3</v>
      </c>
      <c r="G235" s="57">
        <v>555</v>
      </c>
      <c r="H235" s="57">
        <v>1926.26</v>
      </c>
      <c r="I235" s="57">
        <v>1881.27</v>
      </c>
      <c r="J235" s="57">
        <v>1329.88</v>
      </c>
      <c r="K235" s="57">
        <v>2371.38</v>
      </c>
      <c r="L235" s="57">
        <v>376.94</v>
      </c>
      <c r="M235" s="57">
        <v>1088.33</v>
      </c>
      <c r="N235" s="57">
        <v>1489.88</v>
      </c>
      <c r="O235" s="57">
        <v>3997.92</v>
      </c>
      <c r="P235" s="57">
        <v>2788.08</v>
      </c>
      <c r="Q235" s="57">
        <v>3110.59</v>
      </c>
      <c r="R235" s="57">
        <v>2248.09</v>
      </c>
      <c r="S235" s="57">
        <v>5088.88</v>
      </c>
      <c r="T235" s="57">
        <v>3005.68</v>
      </c>
      <c r="U235" s="57">
        <v>533.65</v>
      </c>
      <c r="V235" s="57">
        <v>619.19000000000005</v>
      </c>
      <c r="W235" s="57">
        <v>2354.09</v>
      </c>
      <c r="X235" s="57">
        <v>2336.1999999999998</v>
      </c>
      <c r="Y235" s="57">
        <v>1720.17</v>
      </c>
      <c r="Z235" s="57">
        <v>1552.73</v>
      </c>
      <c r="AA235" s="57">
        <v>2240.58</v>
      </c>
      <c r="AB235" s="57">
        <v>1561.3</v>
      </c>
      <c r="AC235" s="57">
        <v>1845.4</v>
      </c>
      <c r="AD235" s="57">
        <v>1504.25</v>
      </c>
      <c r="AE235" s="57">
        <v>1609.16</v>
      </c>
      <c r="AF235" s="57">
        <v>1550.67</v>
      </c>
      <c r="AG235" s="57">
        <v>1181.98</v>
      </c>
      <c r="AH235" s="57">
        <v>1201.77</v>
      </c>
      <c r="AI235" s="57">
        <v>2694.9</v>
      </c>
      <c r="AJ235" s="57">
        <v>1832.17</v>
      </c>
      <c r="AK235" s="57">
        <v>2653.2</v>
      </c>
      <c r="AL235" s="57">
        <v>2524.2800000000002</v>
      </c>
      <c r="AM235" s="57">
        <v>4490.24</v>
      </c>
      <c r="AN235" s="57">
        <v>87.56</v>
      </c>
      <c r="AO235" s="57">
        <v>466.81</v>
      </c>
      <c r="AP235" s="57">
        <v>246.66</v>
      </c>
      <c r="AQ235" s="57">
        <v>2103.08</v>
      </c>
      <c r="AR235" s="57">
        <v>1594.78</v>
      </c>
      <c r="AS235" s="57">
        <v>1522.18</v>
      </c>
      <c r="AT235" s="57">
        <v>2357.7800000000002</v>
      </c>
      <c r="AU235" s="57">
        <v>2974.76</v>
      </c>
      <c r="AV235" s="57">
        <v>1688.56</v>
      </c>
      <c r="AW235" s="57">
        <v>1457.95</v>
      </c>
      <c r="AX235" s="57">
        <v>1466.3</v>
      </c>
      <c r="AY235" s="57">
        <v>1469.68</v>
      </c>
      <c r="AZ235" s="57">
        <v>4312.1000000000004</v>
      </c>
      <c r="BA235" s="57">
        <v>1697.26</v>
      </c>
      <c r="BB235" s="57">
        <v>1505.51</v>
      </c>
      <c r="BC235" s="57">
        <v>6202.32</v>
      </c>
      <c r="BD235" s="57">
        <v>2913.33</v>
      </c>
      <c r="BE235" s="57">
        <v>2898.59</v>
      </c>
      <c r="BF235" s="57">
        <v>223.11</v>
      </c>
      <c r="BG235" s="57">
        <v>3163.89</v>
      </c>
      <c r="BH235" s="57">
        <v>2812.23</v>
      </c>
      <c r="BI235" s="57">
        <v>3738.19</v>
      </c>
      <c r="BJ235" s="57">
        <v>2602.59</v>
      </c>
      <c r="BK235" s="57">
        <v>2958.53</v>
      </c>
      <c r="BL235" s="57">
        <v>2638.38</v>
      </c>
      <c r="BM235" s="57">
        <v>2483.7800000000002</v>
      </c>
      <c r="BN235" s="57">
        <v>3947.04</v>
      </c>
      <c r="BO235" s="57">
        <v>1756.37</v>
      </c>
      <c r="BP235" s="57">
        <v>3106.94</v>
      </c>
      <c r="BQ235" s="57">
        <v>2257.5</v>
      </c>
      <c r="BR235" s="57">
        <v>2233.5700000000002</v>
      </c>
      <c r="BS235" s="57">
        <v>5081.17</v>
      </c>
      <c r="BT235" s="57">
        <v>3138.35</v>
      </c>
      <c r="BU235" s="57">
        <v>5167.08</v>
      </c>
      <c r="BV235" s="57">
        <v>3005.68</v>
      </c>
      <c r="BW235" s="57">
        <v>487.47</v>
      </c>
      <c r="BX235" s="57">
        <v>1104.78</v>
      </c>
      <c r="BY235" s="57">
        <v>2837.87</v>
      </c>
      <c r="BZ235" s="57">
        <v>612.52</v>
      </c>
      <c r="CA235" s="57">
        <v>2882.07</v>
      </c>
      <c r="CB235" s="58">
        <v>2354.09</v>
      </c>
      <c r="CC235" s="57">
        <v>2336.1999999999998</v>
      </c>
      <c r="CD235" s="57">
        <v>1713.53</v>
      </c>
      <c r="CE235" s="57">
        <v>1042.6400000000001</v>
      </c>
      <c r="CF235" s="57">
        <v>1780.22</v>
      </c>
      <c r="CG235" s="57">
        <v>2153.59</v>
      </c>
      <c r="CH235" s="57">
        <v>2349.38</v>
      </c>
      <c r="CI235" s="57">
        <v>1540.03</v>
      </c>
      <c r="CJ235" s="57">
        <v>1561.3</v>
      </c>
      <c r="CK235" s="57">
        <v>1728.98</v>
      </c>
      <c r="CL235" s="57">
        <v>1481.06</v>
      </c>
      <c r="CM235" s="57">
        <v>3672.49</v>
      </c>
      <c r="CN235" s="57">
        <v>1504.25</v>
      </c>
      <c r="CO235" s="57">
        <v>1609.16</v>
      </c>
      <c r="CP235" s="57">
        <v>1252.77</v>
      </c>
      <c r="CQ235" s="57">
        <v>2906.07</v>
      </c>
      <c r="CR235" s="57">
        <v>1441.54</v>
      </c>
      <c r="CS235" s="57">
        <v>902.84</v>
      </c>
      <c r="CT235" s="57">
        <v>878.44</v>
      </c>
      <c r="CU235" s="57">
        <v>329.94</v>
      </c>
      <c r="CV235" s="57">
        <v>2433.59</v>
      </c>
      <c r="CW235" s="57">
        <v>1123.05</v>
      </c>
      <c r="CX235" s="57">
        <v>2694.9</v>
      </c>
      <c r="CY235" s="57">
        <v>1845.29</v>
      </c>
      <c r="CZ235" s="57">
        <v>1422.12</v>
      </c>
      <c r="DA235" s="57">
        <v>1785.54</v>
      </c>
      <c r="DB235" s="57">
        <v>2758.68</v>
      </c>
      <c r="DC235" s="57">
        <v>2388.0500000000002</v>
      </c>
      <c r="DD235" s="57">
        <v>3668.75</v>
      </c>
      <c r="DE235" s="57">
        <v>3755.28</v>
      </c>
      <c r="DF235" s="57">
        <v>2125.48</v>
      </c>
      <c r="DG235" s="57">
        <v>2541.36</v>
      </c>
      <c r="DH235" s="57">
        <v>1244.56</v>
      </c>
      <c r="DI235" s="57">
        <v>1384.55</v>
      </c>
      <c r="DJ235" s="57">
        <v>4543.58</v>
      </c>
      <c r="DK235" s="57">
        <v>4490.24</v>
      </c>
      <c r="DL235" s="57">
        <v>87.56</v>
      </c>
      <c r="DM235" s="57">
        <v>466.81</v>
      </c>
      <c r="DN235" s="57">
        <v>152.51</v>
      </c>
      <c r="DO235" s="57">
        <v>264.7</v>
      </c>
      <c r="DP235" s="57">
        <v>1447.57</v>
      </c>
      <c r="DQ235" s="57">
        <v>2103.08</v>
      </c>
      <c r="DR235" s="57">
        <v>1678.32</v>
      </c>
      <c r="DS235" s="57">
        <v>968.93</v>
      </c>
      <c r="DT235" s="57">
        <v>364.84</v>
      </c>
      <c r="DU235" s="57">
        <v>3872.41</v>
      </c>
      <c r="DV235" s="57">
        <v>1694.81</v>
      </c>
      <c r="DW235" s="57">
        <v>1448.72</v>
      </c>
      <c r="DX235" s="57">
        <v>1162.5</v>
      </c>
      <c r="DY235" s="57">
        <v>2359.58</v>
      </c>
      <c r="DZ235" s="57">
        <v>3360.87</v>
      </c>
      <c r="EA235" s="57">
        <v>2333.65</v>
      </c>
      <c r="EB235" s="57">
        <v>2974.76</v>
      </c>
      <c r="EC235" s="57">
        <v>1688.56</v>
      </c>
      <c r="ED235" s="57">
        <v>1457.95</v>
      </c>
      <c r="EE235" s="57">
        <v>1466.3</v>
      </c>
      <c r="EF235" s="57">
        <v>1469.68</v>
      </c>
      <c r="EG235" s="57">
        <v>4312.1000000000004</v>
      </c>
      <c r="EH235" s="57">
        <v>1697.26</v>
      </c>
      <c r="EI235" s="57">
        <v>2835.87</v>
      </c>
      <c r="EJ235" s="57">
        <v>851.41</v>
      </c>
      <c r="EK235" s="57">
        <v>1205.75</v>
      </c>
      <c r="EL235" s="57">
        <v>10087.16</v>
      </c>
      <c r="EM235" s="57">
        <v>1200.95</v>
      </c>
      <c r="EN235" s="57">
        <v>2913.33</v>
      </c>
      <c r="EO235" s="57">
        <v>1810.17</v>
      </c>
      <c r="EP235" s="57">
        <v>1439.01</v>
      </c>
      <c r="EQ235" s="57">
        <v>3096.93</v>
      </c>
      <c r="ER235" s="57">
        <v>223.11</v>
      </c>
      <c r="ES235" s="57">
        <v>3163.89</v>
      </c>
      <c r="ET235" s="57">
        <v>3204.99</v>
      </c>
      <c r="EU235" s="57">
        <v>2482.5300000000002</v>
      </c>
      <c r="EV235" s="57">
        <v>2711.06</v>
      </c>
      <c r="EW235" s="57">
        <v>2903.48</v>
      </c>
      <c r="EX235" s="57">
        <v>3056.62</v>
      </c>
      <c r="EY235" s="57">
        <v>1209.8499999999999</v>
      </c>
      <c r="EZ235" s="57">
        <v>3912.51</v>
      </c>
      <c r="FA235" s="57">
        <v>4439.78</v>
      </c>
      <c r="FB235" s="57">
        <v>2972.76</v>
      </c>
      <c r="FC235" s="57">
        <v>6061.15</v>
      </c>
      <c r="FD235" s="57">
        <v>2819.08</v>
      </c>
      <c r="FE235" s="57">
        <v>2656.97</v>
      </c>
      <c r="FF235" s="57">
        <v>463.79</v>
      </c>
      <c r="FG235" s="57">
        <v>2795.59</v>
      </c>
      <c r="FH235" s="57">
        <v>2491.08</v>
      </c>
      <c r="FI235" s="57">
        <v>3108.72</v>
      </c>
      <c r="FJ235" s="57">
        <v>3499.14</v>
      </c>
      <c r="FK235" s="57">
        <v>4990.55</v>
      </c>
      <c r="FL235" s="57">
        <v>2718.42</v>
      </c>
      <c r="FM235" s="57">
        <v>2263.37</v>
      </c>
      <c r="FN235" s="57">
        <v>2085.92</v>
      </c>
      <c r="FO235" s="57">
        <v>4486.07</v>
      </c>
      <c r="FP235" s="57">
        <v>4084.53</v>
      </c>
      <c r="FQ235" s="57">
        <v>3818.05</v>
      </c>
      <c r="FR235" s="57">
        <v>4375.17</v>
      </c>
      <c r="FS235" s="57">
        <v>2999.75</v>
      </c>
      <c r="FT235" s="57">
        <v>1143.75</v>
      </c>
      <c r="FU235" s="57">
        <v>2639.75</v>
      </c>
      <c r="FV235" s="57">
        <v>2162.6799999999998</v>
      </c>
      <c r="FW235" s="57">
        <v>1205.06</v>
      </c>
      <c r="FX235" s="57">
        <v>3106.94</v>
      </c>
      <c r="FY235" s="57">
        <v>3010.66</v>
      </c>
      <c r="FZ235" s="57">
        <v>2070.48</v>
      </c>
      <c r="GA235" s="57">
        <v>2409.5</v>
      </c>
      <c r="GB235" s="57">
        <v>2036.1</v>
      </c>
      <c r="GC235" s="57">
        <v>2641.81</v>
      </c>
      <c r="GD235" s="57">
        <v>1932.64</v>
      </c>
      <c r="GE235" s="57">
        <v>5081.17</v>
      </c>
      <c r="GF235" s="57">
        <v>3138.35</v>
      </c>
      <c r="GG235" s="57">
        <v>5167.08</v>
      </c>
      <c r="GH235" s="57">
        <v>3000.64</v>
      </c>
      <c r="GI235" s="57">
        <v>629.83000000000004</v>
      </c>
      <c r="GJ235" s="57">
        <v>408.76</v>
      </c>
      <c r="GK235" s="57">
        <v>426.3</v>
      </c>
      <c r="GL235" s="57">
        <v>520.5</v>
      </c>
      <c r="GM235" s="57">
        <v>1104.78</v>
      </c>
      <c r="GN235" s="57">
        <v>2837.87</v>
      </c>
      <c r="GO235" s="57">
        <v>706.87</v>
      </c>
      <c r="GP235" s="57">
        <v>537.14</v>
      </c>
      <c r="GQ235" s="57">
        <v>575.03</v>
      </c>
      <c r="GR235" s="57">
        <v>2882.07</v>
      </c>
      <c r="GS235" s="57">
        <v>2354.09</v>
      </c>
      <c r="GT235" s="57">
        <v>2336.1999999999998</v>
      </c>
      <c r="GU235" s="57">
        <v>1713.53</v>
      </c>
      <c r="GV235" s="57">
        <v>1042.6400000000001</v>
      </c>
      <c r="GW235" s="57">
        <v>1453.54</v>
      </c>
      <c r="GX235" s="57">
        <v>2850.78</v>
      </c>
      <c r="GY235" s="57">
        <v>2153.59</v>
      </c>
      <c r="GZ235" s="57">
        <v>2881.89</v>
      </c>
      <c r="HA235" s="57">
        <v>2240.8000000000002</v>
      </c>
      <c r="HB235" s="57">
        <v>2327.96</v>
      </c>
      <c r="HC235" s="57">
        <v>1540.03</v>
      </c>
      <c r="HD235" s="57">
        <v>1561.3</v>
      </c>
      <c r="HE235" s="57">
        <v>1488.69</v>
      </c>
      <c r="HF235" s="57">
        <v>1751.15</v>
      </c>
      <c r="HG235" s="57">
        <v>2166.62</v>
      </c>
      <c r="HH235" s="57">
        <v>2064.0500000000002</v>
      </c>
      <c r="HI235" s="57">
        <v>966.87</v>
      </c>
      <c r="HJ235" s="57">
        <v>1481.06</v>
      </c>
      <c r="HK235" s="57">
        <v>3672.49</v>
      </c>
      <c r="HL235" s="57">
        <v>1488.55</v>
      </c>
      <c r="HM235" s="57">
        <v>1717.56</v>
      </c>
      <c r="HN235" s="57">
        <v>1510.82</v>
      </c>
      <c r="HO235" s="57">
        <v>992.05</v>
      </c>
      <c r="HP235" s="57">
        <v>2651.34</v>
      </c>
      <c r="HQ235" s="57">
        <v>1165</v>
      </c>
      <c r="HR235" s="57">
        <v>1848.96</v>
      </c>
      <c r="HS235" s="57">
        <v>2721.84</v>
      </c>
      <c r="HT235" s="57">
        <v>2665.22</v>
      </c>
      <c r="HU235" s="57">
        <v>1441.54</v>
      </c>
      <c r="HV235" s="57">
        <v>902.84</v>
      </c>
      <c r="HW235" s="57">
        <v>785.72</v>
      </c>
      <c r="HX235" s="57">
        <v>947.5</v>
      </c>
      <c r="HY235" s="57">
        <v>329.94</v>
      </c>
      <c r="HZ235" s="57">
        <v>2433.59</v>
      </c>
      <c r="IA235" s="57">
        <v>1025.8</v>
      </c>
      <c r="IB235" s="57">
        <v>2694.9</v>
      </c>
      <c r="IC235" s="57">
        <v>1677.72</v>
      </c>
      <c r="ID235" s="57">
        <v>1895.37</v>
      </c>
      <c r="IE235" s="57">
        <v>1422.12</v>
      </c>
      <c r="IF235" s="57">
        <v>1785.54</v>
      </c>
      <c r="IG235" s="57">
        <v>2758.68</v>
      </c>
      <c r="IH235" s="57">
        <v>2388.0500000000002</v>
      </c>
      <c r="II235" s="57">
        <v>3668.75</v>
      </c>
      <c r="IJ235" s="57">
        <v>3755.28</v>
      </c>
      <c r="IK235" s="57">
        <v>2198.54</v>
      </c>
      <c r="IL235" s="57">
        <v>1663.89</v>
      </c>
      <c r="IM235" s="57">
        <v>2450.23</v>
      </c>
      <c r="IN235" s="57">
        <v>2978.15</v>
      </c>
      <c r="IO235" s="57">
        <v>2351.2199999999998</v>
      </c>
      <c r="IP235" s="57">
        <v>1244.56</v>
      </c>
      <c r="IQ235" s="57">
        <v>1384.55</v>
      </c>
      <c r="IR235" s="57">
        <v>4543.58</v>
      </c>
      <c r="IS235" s="57">
        <v>4490.24</v>
      </c>
      <c r="IT235" s="57">
        <v>87.56</v>
      </c>
      <c r="IU235" s="57">
        <v>466.81</v>
      </c>
      <c r="IV235" s="57">
        <v>152.55000000000001</v>
      </c>
      <c r="IW235" s="57">
        <v>264.7</v>
      </c>
      <c r="IX235" s="57">
        <v>1447.57</v>
      </c>
      <c r="IY235" s="57">
        <v>2103.08</v>
      </c>
      <c r="IZ235" s="57">
        <v>1678.32</v>
      </c>
      <c r="JA235" s="57">
        <v>968.93</v>
      </c>
      <c r="JB235" s="57">
        <v>364.84</v>
      </c>
      <c r="JC235" s="57">
        <v>3872.41</v>
      </c>
      <c r="JD235" s="57">
        <v>1694.81</v>
      </c>
      <c r="JE235" s="57">
        <v>3863.29</v>
      </c>
      <c r="JF235" s="57">
        <v>1216.6400000000001</v>
      </c>
      <c r="JG235" s="57">
        <v>1162.5</v>
      </c>
      <c r="JH235" s="57">
        <v>2359.58</v>
      </c>
      <c r="JI235" s="57">
        <v>3360.87</v>
      </c>
      <c r="JJ235" s="57">
        <v>2333.65</v>
      </c>
      <c r="JK235" s="57">
        <v>2974.76</v>
      </c>
      <c r="JL235" s="57">
        <v>1688.56</v>
      </c>
      <c r="JM235" s="57">
        <v>1457.95</v>
      </c>
      <c r="JN235" s="57">
        <v>1466.3</v>
      </c>
      <c r="JO235" s="57">
        <v>1469.68</v>
      </c>
      <c r="JP235" s="57">
        <v>4780.78</v>
      </c>
      <c r="JQ235" s="57">
        <v>2941.66</v>
      </c>
      <c r="JR235" s="57">
        <v>1996.64</v>
      </c>
      <c r="JS235" s="57">
        <v>1002.5</v>
      </c>
      <c r="JT235" s="57">
        <v>3374.99</v>
      </c>
      <c r="JU235" s="57">
        <v>2379.36</v>
      </c>
      <c r="JV235" s="57">
        <v>851.41</v>
      </c>
      <c r="JW235" s="57">
        <v>1205.75</v>
      </c>
      <c r="JX235" s="57">
        <v>10087.16</v>
      </c>
      <c r="JY235" s="57">
        <v>830.42</v>
      </c>
      <c r="JZ235" s="57">
        <v>1714.16</v>
      </c>
      <c r="KA235" s="57">
        <v>2913.33</v>
      </c>
      <c r="KB235" s="57">
        <v>1810.17</v>
      </c>
      <c r="KC235" s="57">
        <v>1439.01</v>
      </c>
      <c r="KD235" s="57">
        <v>3096.93</v>
      </c>
      <c r="KE235" s="57">
        <v>223.11</v>
      </c>
      <c r="KF235" s="57">
        <v>3163.89</v>
      </c>
    </row>
    <row r="236" spans="1:292">
      <c r="A236" s="41">
        <v>2024</v>
      </c>
      <c r="B236" s="54" t="s">
        <v>981</v>
      </c>
      <c r="C236" s="50" t="s">
        <v>982</v>
      </c>
      <c r="D236" s="57">
        <v>2139.4699999999998</v>
      </c>
      <c r="E236" s="57">
        <v>3149.99</v>
      </c>
      <c r="F236" s="57">
        <v>3120.83</v>
      </c>
      <c r="G236" s="57">
        <v>569.66</v>
      </c>
      <c r="H236" s="57">
        <v>1992.11</v>
      </c>
      <c r="I236" s="57">
        <v>1942.12</v>
      </c>
      <c r="J236" s="57">
        <v>1348.8</v>
      </c>
      <c r="K236" s="57">
        <v>2412.34</v>
      </c>
      <c r="L236" s="57">
        <v>398.23</v>
      </c>
      <c r="M236" s="57">
        <v>1128.98</v>
      </c>
      <c r="N236" s="57">
        <v>1684.75</v>
      </c>
      <c r="O236" s="57">
        <v>4155.88</v>
      </c>
      <c r="P236" s="57">
        <v>2878.32</v>
      </c>
      <c r="Q236" s="57">
        <v>3220.4</v>
      </c>
      <c r="R236" s="57">
        <v>2281.7800000000002</v>
      </c>
      <c r="S236" s="57">
        <v>5080.2700000000004</v>
      </c>
      <c r="T236" s="57">
        <v>3005.68</v>
      </c>
      <c r="U236" s="57">
        <v>550.13</v>
      </c>
      <c r="V236" s="57">
        <v>625.91999999999996</v>
      </c>
      <c r="W236" s="57">
        <v>2503.0100000000002</v>
      </c>
      <c r="X236" s="57">
        <v>2414.7199999999998</v>
      </c>
      <c r="Y236" s="57">
        <v>1746.43</v>
      </c>
      <c r="Z236" s="57">
        <v>1570.27</v>
      </c>
      <c r="AA236" s="57">
        <v>2353.2600000000002</v>
      </c>
      <c r="AB236" s="57">
        <v>1615.55</v>
      </c>
      <c r="AC236" s="57">
        <v>1893.78</v>
      </c>
      <c r="AD236" s="57">
        <v>1548.22</v>
      </c>
      <c r="AE236" s="57">
        <v>1632.56</v>
      </c>
      <c r="AF236" s="57">
        <v>1588.85</v>
      </c>
      <c r="AG236" s="57">
        <v>1197.25</v>
      </c>
      <c r="AH236" s="57">
        <v>1219.23</v>
      </c>
      <c r="AI236" s="57">
        <v>2736.49</v>
      </c>
      <c r="AJ236" s="57">
        <v>1878.2</v>
      </c>
      <c r="AK236" s="57">
        <v>2696.34</v>
      </c>
      <c r="AL236" s="57">
        <v>2519.98</v>
      </c>
      <c r="AM236" s="57">
        <v>4490.24</v>
      </c>
      <c r="AN236" s="57">
        <v>90.79</v>
      </c>
      <c r="AO236" s="57">
        <v>497.79</v>
      </c>
      <c r="AP236" s="57">
        <v>253.38</v>
      </c>
      <c r="AQ236" s="57">
        <v>2237.27</v>
      </c>
      <c r="AR236" s="57">
        <v>1719.91</v>
      </c>
      <c r="AS236" s="57">
        <v>1568.02</v>
      </c>
      <c r="AT236" s="57">
        <v>2442.84</v>
      </c>
      <c r="AU236" s="57">
        <v>3044.33</v>
      </c>
      <c r="AV236" s="57">
        <v>2044.47</v>
      </c>
      <c r="AW236" s="57">
        <v>1768.48</v>
      </c>
      <c r="AX236" s="57">
        <v>1466.3</v>
      </c>
      <c r="AY236" s="57">
        <v>1493.23</v>
      </c>
      <c r="AZ236" s="57">
        <v>4492.8999999999996</v>
      </c>
      <c r="BA236" s="57">
        <v>1721.27</v>
      </c>
      <c r="BB236" s="57">
        <v>1551.59</v>
      </c>
      <c r="BC236" s="57">
        <v>6612.6</v>
      </c>
      <c r="BD236" s="57">
        <v>2943.05</v>
      </c>
      <c r="BE236" s="57">
        <v>3017.27</v>
      </c>
      <c r="BF236" s="57">
        <v>223.11</v>
      </c>
      <c r="BG236" s="57">
        <v>3173.51</v>
      </c>
      <c r="BH236" s="57">
        <v>2841.9</v>
      </c>
      <c r="BI236" s="57">
        <v>4262.9399999999996</v>
      </c>
      <c r="BJ236" s="57">
        <v>2585.6</v>
      </c>
      <c r="BK236" s="57">
        <v>2909.5</v>
      </c>
      <c r="BL236" s="57">
        <v>2666.42</v>
      </c>
      <c r="BM236" s="57">
        <v>2592.06</v>
      </c>
      <c r="BN236" s="57">
        <v>3875.35</v>
      </c>
      <c r="BO236" s="57">
        <v>1772.77</v>
      </c>
      <c r="BP236" s="57">
        <v>3141.89</v>
      </c>
      <c r="BQ236" s="57">
        <v>2257.2399999999998</v>
      </c>
      <c r="BR236" s="57">
        <v>2297.88</v>
      </c>
      <c r="BS236" s="57">
        <v>5014.43</v>
      </c>
      <c r="BT236" s="57">
        <v>3240.9</v>
      </c>
      <c r="BU236" s="57">
        <v>5183.71</v>
      </c>
      <c r="BV236" s="57">
        <v>3005.68</v>
      </c>
      <c r="BW236" s="57">
        <v>502.34</v>
      </c>
      <c r="BX236" s="57">
        <v>1139.92</v>
      </c>
      <c r="BY236" s="57">
        <v>2963.73</v>
      </c>
      <c r="BZ236" s="57">
        <v>619.08000000000004</v>
      </c>
      <c r="CA236" s="57">
        <v>2981.1</v>
      </c>
      <c r="CB236" s="58">
        <v>2503.0100000000002</v>
      </c>
      <c r="CC236" s="57">
        <v>2414.7199999999998</v>
      </c>
      <c r="CD236" s="57">
        <v>1739.69</v>
      </c>
      <c r="CE236" s="57">
        <v>1042.6400000000001</v>
      </c>
      <c r="CF236" s="57">
        <v>1812.15</v>
      </c>
      <c r="CG236" s="57">
        <v>2171.79</v>
      </c>
      <c r="CH236" s="57">
        <v>2468.33</v>
      </c>
      <c r="CI236" s="57">
        <v>1610.17</v>
      </c>
      <c r="CJ236" s="57">
        <v>1615.55</v>
      </c>
      <c r="CK236" s="57">
        <v>1776.29</v>
      </c>
      <c r="CL236" s="57">
        <v>1504.19</v>
      </c>
      <c r="CM236" s="57">
        <v>3771.17</v>
      </c>
      <c r="CN236" s="57">
        <v>1548.22</v>
      </c>
      <c r="CO236" s="57">
        <v>1632.56</v>
      </c>
      <c r="CP236" s="57">
        <v>1279.3900000000001</v>
      </c>
      <c r="CQ236" s="57">
        <v>3005.29</v>
      </c>
      <c r="CR236" s="57">
        <v>1441.85</v>
      </c>
      <c r="CS236" s="57">
        <v>913.34</v>
      </c>
      <c r="CT236" s="57">
        <v>910.5</v>
      </c>
      <c r="CU236" s="57">
        <v>330.69</v>
      </c>
      <c r="CV236" s="57">
        <v>2489.56</v>
      </c>
      <c r="CW236" s="57">
        <v>1135.08</v>
      </c>
      <c r="CX236" s="57">
        <v>2736.49</v>
      </c>
      <c r="CY236" s="57">
        <v>1892.07</v>
      </c>
      <c r="CZ236" s="57">
        <v>1449.37</v>
      </c>
      <c r="DA236" s="57">
        <v>1836.04</v>
      </c>
      <c r="DB236" s="57">
        <v>2815.51</v>
      </c>
      <c r="DC236" s="57">
        <v>2428.61</v>
      </c>
      <c r="DD236" s="57">
        <v>3717.66</v>
      </c>
      <c r="DE236" s="57">
        <v>3798.71</v>
      </c>
      <c r="DF236" s="57">
        <v>2125.48</v>
      </c>
      <c r="DG236" s="57">
        <v>2531.92</v>
      </c>
      <c r="DH236" s="57">
        <v>1232.92</v>
      </c>
      <c r="DI236" s="57">
        <v>1422.24</v>
      </c>
      <c r="DJ236" s="57">
        <v>4713.71</v>
      </c>
      <c r="DK236" s="57">
        <v>4490.24</v>
      </c>
      <c r="DL236" s="57">
        <v>90.79</v>
      </c>
      <c r="DM236" s="57">
        <v>497.79</v>
      </c>
      <c r="DN236" s="57">
        <v>154.4</v>
      </c>
      <c r="DO236" s="57">
        <v>282.29000000000002</v>
      </c>
      <c r="DP236" s="57">
        <v>1468.3</v>
      </c>
      <c r="DQ236" s="57">
        <v>2237.27</v>
      </c>
      <c r="DR236" s="57">
        <v>1795.51</v>
      </c>
      <c r="DS236" s="57">
        <v>997.55</v>
      </c>
      <c r="DT236" s="57">
        <v>413.04</v>
      </c>
      <c r="DU236" s="57">
        <v>3926.04</v>
      </c>
      <c r="DV236" s="57">
        <v>1768.49</v>
      </c>
      <c r="DW236" s="57">
        <v>1466.36</v>
      </c>
      <c r="DX236" s="57">
        <v>1162.5</v>
      </c>
      <c r="DY236" s="57">
        <v>2412.58</v>
      </c>
      <c r="DZ236" s="57">
        <v>3419.75</v>
      </c>
      <c r="EA236" s="57">
        <v>2487.5700000000002</v>
      </c>
      <c r="EB236" s="57">
        <v>3044.33</v>
      </c>
      <c r="EC236" s="57">
        <v>2044.47</v>
      </c>
      <c r="ED236" s="57">
        <v>1768.48</v>
      </c>
      <c r="EE236" s="57">
        <v>1466.3</v>
      </c>
      <c r="EF236" s="57">
        <v>1493.23</v>
      </c>
      <c r="EG236" s="57">
        <v>4492.8999999999996</v>
      </c>
      <c r="EH236" s="57">
        <v>1721.27</v>
      </c>
      <c r="EI236" s="57">
        <v>2965.06</v>
      </c>
      <c r="EJ236" s="57">
        <v>873.72</v>
      </c>
      <c r="EK236" s="57">
        <v>1236</v>
      </c>
      <c r="EL236" s="57">
        <v>11132.76</v>
      </c>
      <c r="EM236" s="57">
        <v>1220.3699999999999</v>
      </c>
      <c r="EN236" s="57">
        <v>2943.05</v>
      </c>
      <c r="EO236" s="57">
        <v>1872.53</v>
      </c>
      <c r="EP236" s="57">
        <v>1496.05</v>
      </c>
      <c r="EQ236" s="57">
        <v>3227.83</v>
      </c>
      <c r="ER236" s="57">
        <v>223.11</v>
      </c>
      <c r="ES236" s="57">
        <v>3173.51</v>
      </c>
      <c r="ET236" s="57">
        <v>3283.7</v>
      </c>
      <c r="EU236" s="57">
        <v>2474.7199999999998</v>
      </c>
      <c r="EV236" s="57">
        <v>2742.92</v>
      </c>
      <c r="EW236" s="57">
        <v>2936.55</v>
      </c>
      <c r="EX236" s="57">
        <v>3067.87</v>
      </c>
      <c r="EY236" s="57">
        <v>1277.46</v>
      </c>
      <c r="EZ236" s="57">
        <v>4485.57</v>
      </c>
      <c r="FA236" s="57">
        <v>5264.88</v>
      </c>
      <c r="FB236" s="57">
        <v>3335.07</v>
      </c>
      <c r="FC236" s="57">
        <v>6433.53</v>
      </c>
      <c r="FD236" s="57">
        <v>3104.87</v>
      </c>
      <c r="FE236" s="57">
        <v>2626.34</v>
      </c>
      <c r="FF236" s="57">
        <v>486.36</v>
      </c>
      <c r="FG236" s="57">
        <v>2817.26</v>
      </c>
      <c r="FH236" s="57">
        <v>2453.48</v>
      </c>
      <c r="FI236" s="57">
        <v>3134.26</v>
      </c>
      <c r="FJ236" s="57">
        <v>3143.49</v>
      </c>
      <c r="FK236" s="57">
        <v>4940.08</v>
      </c>
      <c r="FL236" s="57">
        <v>2849.91</v>
      </c>
      <c r="FM236" s="57">
        <v>2297.81</v>
      </c>
      <c r="FN236" s="57">
        <v>2190.04</v>
      </c>
      <c r="FO236" s="57">
        <v>4609.57</v>
      </c>
      <c r="FP236" s="57">
        <v>3987.73</v>
      </c>
      <c r="FQ236" s="57">
        <v>3554.67</v>
      </c>
      <c r="FR236" s="57">
        <v>4480.41</v>
      </c>
      <c r="FS236" s="57">
        <v>3009.28</v>
      </c>
      <c r="FT236" s="57">
        <v>1133.45</v>
      </c>
      <c r="FU236" s="57">
        <v>2663.26</v>
      </c>
      <c r="FV236" s="57">
        <v>2186.77</v>
      </c>
      <c r="FW236" s="57">
        <v>1260.1300000000001</v>
      </c>
      <c r="FX236" s="57">
        <v>3141.89</v>
      </c>
      <c r="FY236" s="57">
        <v>3006.12</v>
      </c>
      <c r="FZ236" s="57">
        <v>2071.1799999999998</v>
      </c>
      <c r="GA236" s="57">
        <v>2398.48</v>
      </c>
      <c r="GB236" s="57">
        <v>2105.23</v>
      </c>
      <c r="GC236" s="57">
        <v>2717.83</v>
      </c>
      <c r="GD236" s="57">
        <v>1952.85</v>
      </c>
      <c r="GE236" s="57">
        <v>5014.43</v>
      </c>
      <c r="GF236" s="57">
        <v>3240.9</v>
      </c>
      <c r="GG236" s="57">
        <v>5183.71</v>
      </c>
      <c r="GH236" s="57">
        <v>3000.64</v>
      </c>
      <c r="GI236" s="57">
        <v>644.1</v>
      </c>
      <c r="GJ236" s="57">
        <v>423.25</v>
      </c>
      <c r="GK236" s="57">
        <v>441.88</v>
      </c>
      <c r="GL236" s="57">
        <v>526.91999999999996</v>
      </c>
      <c r="GM236" s="57">
        <v>1139.92</v>
      </c>
      <c r="GN236" s="57">
        <v>2963.73</v>
      </c>
      <c r="GO236" s="57">
        <v>708.15</v>
      </c>
      <c r="GP236" s="57">
        <v>547.32000000000005</v>
      </c>
      <c r="GQ236" s="57">
        <v>582.05999999999995</v>
      </c>
      <c r="GR236" s="57">
        <v>2981.1</v>
      </c>
      <c r="GS236" s="57">
        <v>2503.0100000000002</v>
      </c>
      <c r="GT236" s="57">
        <v>2414.7199999999998</v>
      </c>
      <c r="GU236" s="57">
        <v>1739.69</v>
      </c>
      <c r="GV236" s="57">
        <v>1042.6400000000001</v>
      </c>
      <c r="GW236" s="57">
        <v>1464.22</v>
      </c>
      <c r="GX236" s="57">
        <v>3052.13</v>
      </c>
      <c r="GY236" s="57">
        <v>2171.79</v>
      </c>
      <c r="GZ236" s="57">
        <v>3009.72</v>
      </c>
      <c r="HA236" s="57">
        <v>2375.81</v>
      </c>
      <c r="HB236" s="57">
        <v>2435.3000000000002</v>
      </c>
      <c r="HC236" s="57">
        <v>1610.17</v>
      </c>
      <c r="HD236" s="57">
        <v>1615.55</v>
      </c>
      <c r="HE236" s="57">
        <v>1535.88</v>
      </c>
      <c r="HF236" s="57">
        <v>1785.73</v>
      </c>
      <c r="HG236" s="57">
        <v>2210.64</v>
      </c>
      <c r="HH236" s="57">
        <v>2131.4899999999998</v>
      </c>
      <c r="HI236" s="57">
        <v>999.99</v>
      </c>
      <c r="HJ236" s="57">
        <v>1504.19</v>
      </c>
      <c r="HK236" s="57">
        <v>3771.17</v>
      </c>
      <c r="HL236" s="57">
        <v>1530.57</v>
      </c>
      <c r="HM236" s="57">
        <v>1766.45</v>
      </c>
      <c r="HN236" s="57">
        <v>1556.38</v>
      </c>
      <c r="HO236" s="57">
        <v>997.87</v>
      </c>
      <c r="HP236" s="57">
        <v>2723.53</v>
      </c>
      <c r="HQ236" s="57">
        <v>1191.97</v>
      </c>
      <c r="HR236" s="57">
        <v>1867.82</v>
      </c>
      <c r="HS236" s="57">
        <v>2812.74</v>
      </c>
      <c r="HT236" s="57">
        <v>2765.61</v>
      </c>
      <c r="HU236" s="57">
        <v>1441.85</v>
      </c>
      <c r="HV236" s="57">
        <v>913.34</v>
      </c>
      <c r="HW236" s="57">
        <v>817.61</v>
      </c>
      <c r="HX236" s="57">
        <v>972.96</v>
      </c>
      <c r="HY236" s="57">
        <v>330.69</v>
      </c>
      <c r="HZ236" s="57">
        <v>2489.56</v>
      </c>
      <c r="IA236" s="57">
        <v>1036.79</v>
      </c>
      <c r="IB236" s="57">
        <v>2736.49</v>
      </c>
      <c r="IC236" s="57">
        <v>1689.16</v>
      </c>
      <c r="ID236" s="57">
        <v>1950.37</v>
      </c>
      <c r="IE236" s="57">
        <v>1449.37</v>
      </c>
      <c r="IF236" s="57">
        <v>1836.04</v>
      </c>
      <c r="IG236" s="57">
        <v>2815.51</v>
      </c>
      <c r="IH236" s="57">
        <v>2428.61</v>
      </c>
      <c r="II236" s="57">
        <v>3717.66</v>
      </c>
      <c r="IJ236" s="57">
        <v>3798.71</v>
      </c>
      <c r="IK236" s="57">
        <v>2198.54</v>
      </c>
      <c r="IL236" s="57">
        <v>1663.89</v>
      </c>
      <c r="IM236" s="57">
        <v>2485.08</v>
      </c>
      <c r="IN236" s="57">
        <v>3004.11</v>
      </c>
      <c r="IO236" s="57">
        <v>2154.62</v>
      </c>
      <c r="IP236" s="57">
        <v>1232.92</v>
      </c>
      <c r="IQ236" s="57">
        <v>1422.24</v>
      </c>
      <c r="IR236" s="57">
        <v>4713.71</v>
      </c>
      <c r="IS236" s="57">
        <v>4490.24</v>
      </c>
      <c r="IT236" s="57">
        <v>90.79</v>
      </c>
      <c r="IU236" s="57">
        <v>497.79</v>
      </c>
      <c r="IV236" s="57">
        <v>154.44</v>
      </c>
      <c r="IW236" s="57">
        <v>282.29000000000002</v>
      </c>
      <c r="IX236" s="57">
        <v>1468.3</v>
      </c>
      <c r="IY236" s="57">
        <v>2237.27</v>
      </c>
      <c r="IZ236" s="57">
        <v>1795.51</v>
      </c>
      <c r="JA236" s="57">
        <v>997.55</v>
      </c>
      <c r="JB236" s="57">
        <v>413.04</v>
      </c>
      <c r="JC236" s="57">
        <v>3926.04</v>
      </c>
      <c r="JD236" s="57">
        <v>1768.49</v>
      </c>
      <c r="JE236" s="57">
        <v>4003.11</v>
      </c>
      <c r="JF236" s="57">
        <v>1226.99</v>
      </c>
      <c r="JG236" s="57">
        <v>1162.5</v>
      </c>
      <c r="JH236" s="57">
        <v>2412.58</v>
      </c>
      <c r="JI236" s="57">
        <v>3419.75</v>
      </c>
      <c r="JJ236" s="57">
        <v>2487.5700000000002</v>
      </c>
      <c r="JK236" s="57">
        <v>3044.33</v>
      </c>
      <c r="JL236" s="57">
        <v>2044.47</v>
      </c>
      <c r="JM236" s="57">
        <v>1768.48</v>
      </c>
      <c r="JN236" s="57">
        <v>1466.3</v>
      </c>
      <c r="JO236" s="57">
        <v>1493.23</v>
      </c>
      <c r="JP236" s="57">
        <v>4997.84</v>
      </c>
      <c r="JQ236" s="57">
        <v>3021.67</v>
      </c>
      <c r="JR236" s="57">
        <v>2036.15</v>
      </c>
      <c r="JS236" s="57">
        <v>1002.6</v>
      </c>
      <c r="JT236" s="57">
        <v>3538.87</v>
      </c>
      <c r="JU236" s="57">
        <v>2481.52</v>
      </c>
      <c r="JV236" s="57">
        <v>873.72</v>
      </c>
      <c r="JW236" s="57">
        <v>1236</v>
      </c>
      <c r="JX236" s="57">
        <v>11132.76</v>
      </c>
      <c r="JY236" s="57">
        <v>868.52</v>
      </c>
      <c r="JZ236" s="57">
        <v>1685.47</v>
      </c>
      <c r="KA236" s="57">
        <v>2943.05</v>
      </c>
      <c r="KB236" s="57">
        <v>1872.53</v>
      </c>
      <c r="KC236" s="57">
        <v>1496.05</v>
      </c>
      <c r="KD236" s="57">
        <v>3227.83</v>
      </c>
      <c r="KE236" s="57">
        <v>223.11</v>
      </c>
      <c r="KF236" s="57">
        <v>3173.51</v>
      </c>
    </row>
    <row r="237" spans="1:292">
      <c r="A237" s="41">
        <v>2024</v>
      </c>
      <c r="B237" s="54" t="s">
        <v>983</v>
      </c>
      <c r="C237" s="50" t="s">
        <v>984</v>
      </c>
      <c r="D237" s="57">
        <v>2207.5</v>
      </c>
      <c r="E237" s="57">
        <v>3237.61</v>
      </c>
      <c r="F237" s="57">
        <v>3419.12</v>
      </c>
      <c r="G237" s="57">
        <v>595.75</v>
      </c>
      <c r="H237" s="57">
        <v>2019.68</v>
      </c>
      <c r="I237" s="57">
        <v>2021.99</v>
      </c>
      <c r="J237" s="57">
        <v>1362.75</v>
      </c>
      <c r="K237" s="57">
        <v>2480.11</v>
      </c>
      <c r="L237" s="57">
        <v>410.9</v>
      </c>
      <c r="M237" s="57">
        <v>1158.56</v>
      </c>
      <c r="N237" s="57">
        <v>1734.87</v>
      </c>
      <c r="O237" s="57">
        <v>4350.91</v>
      </c>
      <c r="P237" s="57">
        <v>2979.73</v>
      </c>
      <c r="Q237" s="57">
        <v>3313.2</v>
      </c>
      <c r="R237" s="57">
        <v>2310.1799999999998</v>
      </c>
      <c r="S237" s="57">
        <v>5060.54</v>
      </c>
      <c r="T237" s="57">
        <v>3322.1</v>
      </c>
      <c r="U237" s="57">
        <v>573.78</v>
      </c>
      <c r="V237" s="57">
        <v>660.79</v>
      </c>
      <c r="W237" s="57">
        <v>2618.5</v>
      </c>
      <c r="X237" s="57">
        <v>2485.91</v>
      </c>
      <c r="Y237" s="57">
        <v>1766.51</v>
      </c>
      <c r="Z237" s="57">
        <v>1532.26</v>
      </c>
      <c r="AA237" s="57">
        <v>2507.5100000000002</v>
      </c>
      <c r="AB237" s="57">
        <v>1653.19</v>
      </c>
      <c r="AC237" s="57">
        <v>1948.31</v>
      </c>
      <c r="AD237" s="57">
        <v>1600.85</v>
      </c>
      <c r="AE237" s="57">
        <v>1662.46</v>
      </c>
      <c r="AF237" s="57">
        <v>1655.03</v>
      </c>
      <c r="AG237" s="57">
        <v>1210.33</v>
      </c>
      <c r="AH237" s="57">
        <v>1234.6500000000001</v>
      </c>
      <c r="AI237" s="57">
        <v>2746.52</v>
      </c>
      <c r="AJ237" s="57">
        <v>1903.23</v>
      </c>
      <c r="AK237" s="57">
        <v>2777.73</v>
      </c>
      <c r="AL237" s="57">
        <v>2682.32</v>
      </c>
      <c r="AM237" s="57">
        <v>4490.24</v>
      </c>
      <c r="AN237" s="57">
        <v>91.31</v>
      </c>
      <c r="AO237" s="57">
        <v>519.97</v>
      </c>
      <c r="AP237" s="57">
        <v>256.38</v>
      </c>
      <c r="AQ237" s="57">
        <v>2280.7399999999998</v>
      </c>
      <c r="AR237" s="57">
        <v>1776.83</v>
      </c>
      <c r="AS237" s="57">
        <v>1644.35</v>
      </c>
      <c r="AT237" s="57">
        <v>2482.1799999999998</v>
      </c>
      <c r="AU237" s="57">
        <v>3038.02</v>
      </c>
      <c r="AV237" s="57">
        <v>2133.69</v>
      </c>
      <c r="AW237" s="57">
        <v>1840.16</v>
      </c>
      <c r="AX237" s="57">
        <v>1466.3</v>
      </c>
      <c r="AY237" s="57">
        <v>1533.62</v>
      </c>
      <c r="AZ237" s="57">
        <v>4708.07</v>
      </c>
      <c r="BA237" s="57">
        <v>1784.14</v>
      </c>
      <c r="BB237" s="57">
        <v>1600.26</v>
      </c>
      <c r="BC237" s="57">
        <v>6835.88</v>
      </c>
      <c r="BD237" s="57">
        <v>2965.23</v>
      </c>
      <c r="BE237" s="57">
        <v>3171.54</v>
      </c>
      <c r="BF237" s="57">
        <v>223.11</v>
      </c>
      <c r="BG237" s="57">
        <v>3363.52</v>
      </c>
      <c r="BH237" s="57">
        <v>2899.31</v>
      </c>
      <c r="BI237" s="57">
        <v>4587.6499999999996</v>
      </c>
      <c r="BJ237" s="57">
        <v>2505.62</v>
      </c>
      <c r="BK237" s="57">
        <v>2889.78</v>
      </c>
      <c r="BL237" s="57">
        <v>2696.82</v>
      </c>
      <c r="BM237" s="57">
        <v>2852.68</v>
      </c>
      <c r="BN237" s="57">
        <v>3698.59</v>
      </c>
      <c r="BO237" s="57">
        <v>1843.22</v>
      </c>
      <c r="BP237" s="57">
        <v>3217.53</v>
      </c>
      <c r="BQ237" s="57">
        <v>2286.04</v>
      </c>
      <c r="BR237" s="57">
        <v>2325.85</v>
      </c>
      <c r="BS237" s="57">
        <v>5033.07</v>
      </c>
      <c r="BT237" s="57">
        <v>3191.03</v>
      </c>
      <c r="BU237" s="57">
        <v>5137.01</v>
      </c>
      <c r="BV237" s="57">
        <v>3322.1</v>
      </c>
      <c r="BW237" s="57">
        <v>524.57000000000005</v>
      </c>
      <c r="BX237" s="57">
        <v>1164.48</v>
      </c>
      <c r="BY237" s="57">
        <v>3068.04</v>
      </c>
      <c r="BZ237" s="57">
        <v>653.61</v>
      </c>
      <c r="CA237" s="57">
        <v>3120.7</v>
      </c>
      <c r="CB237" s="58">
        <v>2618.5</v>
      </c>
      <c r="CC237" s="57">
        <v>2485.91</v>
      </c>
      <c r="CD237" s="57">
        <v>1759.69</v>
      </c>
      <c r="CE237" s="57">
        <v>1042.6400000000001</v>
      </c>
      <c r="CF237" s="57">
        <v>1731.75</v>
      </c>
      <c r="CG237" s="57">
        <v>2184.4699999999998</v>
      </c>
      <c r="CH237" s="57">
        <v>2625.68</v>
      </c>
      <c r="CI237" s="57">
        <v>1755.77</v>
      </c>
      <c r="CJ237" s="57">
        <v>1653.19</v>
      </c>
      <c r="CK237" s="57">
        <v>1829.09</v>
      </c>
      <c r="CL237" s="57">
        <v>1554</v>
      </c>
      <c r="CM237" s="57">
        <v>3819.25</v>
      </c>
      <c r="CN237" s="57">
        <v>1600.85</v>
      </c>
      <c r="CO237" s="57">
        <v>1662.46</v>
      </c>
      <c r="CP237" s="57">
        <v>1335.36</v>
      </c>
      <c r="CQ237" s="57">
        <v>3112.95</v>
      </c>
      <c r="CR237" s="57">
        <v>1442.03</v>
      </c>
      <c r="CS237" s="57">
        <v>934.95</v>
      </c>
      <c r="CT237" s="57">
        <v>935.22</v>
      </c>
      <c r="CU237" s="57">
        <v>331.15</v>
      </c>
      <c r="CV237" s="57">
        <v>2537.5500000000002</v>
      </c>
      <c r="CW237" s="57">
        <v>1147.49</v>
      </c>
      <c r="CX237" s="57">
        <v>2746.52</v>
      </c>
      <c r="CY237" s="57">
        <v>1914.79</v>
      </c>
      <c r="CZ237" s="57">
        <v>1503.47</v>
      </c>
      <c r="DA237" s="57">
        <v>1938.46</v>
      </c>
      <c r="DB237" s="57">
        <v>2974.1</v>
      </c>
      <c r="DC237" s="57">
        <v>2497.0500000000002</v>
      </c>
      <c r="DD237" s="57">
        <v>3821.55</v>
      </c>
      <c r="DE237" s="57">
        <v>3915.49</v>
      </c>
      <c r="DF237" s="57">
        <v>2125.48</v>
      </c>
      <c r="DG237" s="57">
        <v>2678.18</v>
      </c>
      <c r="DH237" s="57">
        <v>1451.05</v>
      </c>
      <c r="DI237" s="57">
        <v>1629.2</v>
      </c>
      <c r="DJ237" s="57">
        <v>4841.8100000000004</v>
      </c>
      <c r="DK237" s="57">
        <v>4490.24</v>
      </c>
      <c r="DL237" s="57">
        <v>91.31</v>
      </c>
      <c r="DM237" s="57">
        <v>519.97</v>
      </c>
      <c r="DN237" s="57">
        <v>160</v>
      </c>
      <c r="DO237" s="57">
        <v>269.88</v>
      </c>
      <c r="DP237" s="57">
        <v>1487.44</v>
      </c>
      <c r="DQ237" s="57">
        <v>2280.7399999999998</v>
      </c>
      <c r="DR237" s="57">
        <v>1811.9</v>
      </c>
      <c r="DS237" s="57">
        <v>1023.56</v>
      </c>
      <c r="DT237" s="57">
        <v>441.5</v>
      </c>
      <c r="DU237" s="57">
        <v>3954.25</v>
      </c>
      <c r="DV237" s="57">
        <v>1860.12</v>
      </c>
      <c r="DW237" s="57">
        <v>1537.29</v>
      </c>
      <c r="DX237" s="57">
        <v>1162.5</v>
      </c>
      <c r="DY237" s="57">
        <v>2491.65</v>
      </c>
      <c r="DZ237" s="57">
        <v>3424.03</v>
      </c>
      <c r="EA237" s="57">
        <v>2459.12</v>
      </c>
      <c r="EB237" s="57">
        <v>3038.02</v>
      </c>
      <c r="EC237" s="57">
        <v>2133.69</v>
      </c>
      <c r="ED237" s="57">
        <v>1840.16</v>
      </c>
      <c r="EE237" s="57">
        <v>1466.3</v>
      </c>
      <c r="EF237" s="57">
        <v>1533.62</v>
      </c>
      <c r="EG237" s="57">
        <v>4708.07</v>
      </c>
      <c r="EH237" s="57">
        <v>1784.14</v>
      </c>
      <c r="EI237" s="57">
        <v>3080.62</v>
      </c>
      <c r="EJ237" s="57">
        <v>907.65</v>
      </c>
      <c r="EK237" s="57">
        <v>1270.94</v>
      </c>
      <c r="EL237" s="57">
        <v>11456.28</v>
      </c>
      <c r="EM237" s="57">
        <v>1269.8900000000001</v>
      </c>
      <c r="EN237" s="57">
        <v>2965.23</v>
      </c>
      <c r="EO237" s="57">
        <v>1931.06</v>
      </c>
      <c r="EP237" s="57">
        <v>1544.54</v>
      </c>
      <c r="EQ237" s="57">
        <v>3413.23</v>
      </c>
      <c r="ER237" s="57">
        <v>223.11</v>
      </c>
      <c r="ES237" s="57">
        <v>3363.52</v>
      </c>
      <c r="ET237" s="57">
        <v>3352.29</v>
      </c>
      <c r="EU237" s="57">
        <v>2507.81</v>
      </c>
      <c r="EV237" s="57">
        <v>2751.95</v>
      </c>
      <c r="EW237" s="57">
        <v>3107.53</v>
      </c>
      <c r="EX237" s="57">
        <v>3054.83</v>
      </c>
      <c r="EY237" s="57">
        <v>1294.7</v>
      </c>
      <c r="EZ237" s="57">
        <v>4726.49</v>
      </c>
      <c r="FA237" s="57">
        <v>5753.47</v>
      </c>
      <c r="FB237" s="57">
        <v>3787.65</v>
      </c>
      <c r="FC237" s="57">
        <v>6653.04</v>
      </c>
      <c r="FD237" s="57">
        <v>3147.31</v>
      </c>
      <c r="FE237" s="57">
        <v>2533.8200000000002</v>
      </c>
      <c r="FF237" s="57">
        <v>493.08</v>
      </c>
      <c r="FG237" s="57">
        <v>2791.77</v>
      </c>
      <c r="FH237" s="57">
        <v>2494.91</v>
      </c>
      <c r="FI237" s="57">
        <v>3156.57</v>
      </c>
      <c r="FJ237" s="57">
        <v>2939.75</v>
      </c>
      <c r="FK237" s="57">
        <v>4947.26</v>
      </c>
      <c r="FL237" s="57">
        <v>2816.54</v>
      </c>
      <c r="FM237" s="57">
        <v>2335.4699999999998</v>
      </c>
      <c r="FN237" s="57">
        <v>2477.4699999999998</v>
      </c>
      <c r="FO237" s="57">
        <v>4705.2</v>
      </c>
      <c r="FP237" s="57">
        <v>3657.6</v>
      </c>
      <c r="FQ237" s="57">
        <v>3778.73</v>
      </c>
      <c r="FR237" s="57">
        <v>4531.67</v>
      </c>
      <c r="FS237" s="57">
        <v>3084.77</v>
      </c>
      <c r="FT237" s="57">
        <v>1152.45</v>
      </c>
      <c r="FU237" s="57">
        <v>2728.14</v>
      </c>
      <c r="FV237" s="57">
        <v>2318.9699999999998</v>
      </c>
      <c r="FW237" s="57">
        <v>1300.0999999999999</v>
      </c>
      <c r="FX237" s="57">
        <v>3217.53</v>
      </c>
      <c r="FY237" s="57">
        <v>3067.84</v>
      </c>
      <c r="FZ237" s="57">
        <v>2093.0500000000002</v>
      </c>
      <c r="GA237" s="57">
        <v>2413.56</v>
      </c>
      <c r="GB237" s="57">
        <v>2138.42</v>
      </c>
      <c r="GC237" s="57">
        <v>2730.33</v>
      </c>
      <c r="GD237" s="57">
        <v>2000.86</v>
      </c>
      <c r="GE237" s="57">
        <v>5033.07</v>
      </c>
      <c r="GF237" s="57">
        <v>3191.03</v>
      </c>
      <c r="GG237" s="57">
        <v>5137.01</v>
      </c>
      <c r="GH237" s="57">
        <v>3316.53</v>
      </c>
      <c r="GI237" s="57">
        <v>674.18</v>
      </c>
      <c r="GJ237" s="57">
        <v>439.45</v>
      </c>
      <c r="GK237" s="57">
        <v>470.53</v>
      </c>
      <c r="GL237" s="57">
        <v>509.5</v>
      </c>
      <c r="GM237" s="57">
        <v>1164.48</v>
      </c>
      <c r="GN237" s="57">
        <v>3068.04</v>
      </c>
      <c r="GO237" s="57">
        <v>745.07</v>
      </c>
      <c r="GP237" s="57">
        <v>576.73</v>
      </c>
      <c r="GQ237" s="57">
        <v>621.83000000000004</v>
      </c>
      <c r="GR237" s="57">
        <v>3120.7</v>
      </c>
      <c r="GS237" s="57">
        <v>2618.5</v>
      </c>
      <c r="GT237" s="57">
        <v>2485.91</v>
      </c>
      <c r="GU237" s="57">
        <v>1759.69</v>
      </c>
      <c r="GV237" s="57">
        <v>1042.6400000000001</v>
      </c>
      <c r="GW237" s="57">
        <v>1380.02</v>
      </c>
      <c r="GX237" s="57">
        <v>3104.53</v>
      </c>
      <c r="GY237" s="57">
        <v>2184.4699999999998</v>
      </c>
      <c r="GZ237" s="57">
        <v>3151.21</v>
      </c>
      <c r="HA237" s="57">
        <v>2551.17</v>
      </c>
      <c r="HB237" s="57">
        <v>2589.0500000000002</v>
      </c>
      <c r="HC237" s="57">
        <v>1755.77</v>
      </c>
      <c r="HD237" s="57">
        <v>1653.19</v>
      </c>
      <c r="HE237" s="57">
        <v>1567.65</v>
      </c>
      <c r="HF237" s="57">
        <v>1842.13</v>
      </c>
      <c r="HG237" s="57">
        <v>2281.96</v>
      </c>
      <c r="HH237" s="57">
        <v>2229.7600000000002</v>
      </c>
      <c r="HI237" s="57">
        <v>1026.4100000000001</v>
      </c>
      <c r="HJ237" s="57">
        <v>1554</v>
      </c>
      <c r="HK237" s="57">
        <v>3819.25</v>
      </c>
      <c r="HL237" s="57">
        <v>1582.99</v>
      </c>
      <c r="HM237" s="57">
        <v>1815.95</v>
      </c>
      <c r="HN237" s="57">
        <v>1610.38</v>
      </c>
      <c r="HO237" s="57">
        <v>1014.48</v>
      </c>
      <c r="HP237" s="57">
        <v>2779.93</v>
      </c>
      <c r="HQ237" s="57">
        <v>1243.8900000000001</v>
      </c>
      <c r="HR237" s="57">
        <v>1951.63</v>
      </c>
      <c r="HS237" s="57">
        <v>2915.44</v>
      </c>
      <c r="HT237" s="57">
        <v>2855.73</v>
      </c>
      <c r="HU237" s="57">
        <v>1442.03</v>
      </c>
      <c r="HV237" s="57">
        <v>934.95</v>
      </c>
      <c r="HW237" s="57">
        <v>836.36</v>
      </c>
      <c r="HX237" s="57">
        <v>1009.18</v>
      </c>
      <c r="HY237" s="57">
        <v>331.15</v>
      </c>
      <c r="HZ237" s="57">
        <v>2537.5500000000002</v>
      </c>
      <c r="IA237" s="57">
        <v>1048.1199999999999</v>
      </c>
      <c r="IB237" s="57">
        <v>2746.52</v>
      </c>
      <c r="IC237" s="57">
        <v>1704.36</v>
      </c>
      <c r="ID237" s="57">
        <v>1974.93</v>
      </c>
      <c r="IE237" s="57">
        <v>1503.47</v>
      </c>
      <c r="IF237" s="57">
        <v>1938.46</v>
      </c>
      <c r="IG237" s="57">
        <v>2974.1</v>
      </c>
      <c r="IH237" s="57">
        <v>2497.0500000000002</v>
      </c>
      <c r="II237" s="57">
        <v>3821.55</v>
      </c>
      <c r="IJ237" s="57">
        <v>3915.49</v>
      </c>
      <c r="IK237" s="57">
        <v>2198.54</v>
      </c>
      <c r="IL237" s="57">
        <v>1663.89</v>
      </c>
      <c r="IM237" s="57">
        <v>2492.7600000000002</v>
      </c>
      <c r="IN237" s="57">
        <v>3007.45</v>
      </c>
      <c r="IO237" s="57">
        <v>2892.26</v>
      </c>
      <c r="IP237" s="57">
        <v>1451.05</v>
      </c>
      <c r="IQ237" s="57">
        <v>1629.2</v>
      </c>
      <c r="IR237" s="57">
        <v>4841.8100000000004</v>
      </c>
      <c r="IS237" s="57">
        <v>4490.24</v>
      </c>
      <c r="IT237" s="57">
        <v>91.31</v>
      </c>
      <c r="IU237" s="57">
        <v>519.97</v>
      </c>
      <c r="IV237" s="57">
        <v>160.03</v>
      </c>
      <c r="IW237" s="57">
        <v>269.88</v>
      </c>
      <c r="IX237" s="57">
        <v>1487.44</v>
      </c>
      <c r="IY237" s="57">
        <v>2280.7399999999998</v>
      </c>
      <c r="IZ237" s="57">
        <v>1811.9</v>
      </c>
      <c r="JA237" s="57">
        <v>1023.56</v>
      </c>
      <c r="JB237" s="57">
        <v>441.5</v>
      </c>
      <c r="JC237" s="57">
        <v>3954.25</v>
      </c>
      <c r="JD237" s="57">
        <v>1860.12</v>
      </c>
      <c r="JE237" s="57">
        <v>4095.77</v>
      </c>
      <c r="JF237" s="57">
        <v>1291.2</v>
      </c>
      <c r="JG237" s="57">
        <v>1162.5</v>
      </c>
      <c r="JH237" s="57">
        <v>2491.65</v>
      </c>
      <c r="JI237" s="57">
        <v>3424.03</v>
      </c>
      <c r="JJ237" s="57">
        <v>2459.12</v>
      </c>
      <c r="JK237" s="57">
        <v>3038.02</v>
      </c>
      <c r="JL237" s="57">
        <v>2133.69</v>
      </c>
      <c r="JM237" s="57">
        <v>1840.16</v>
      </c>
      <c r="JN237" s="57">
        <v>1466.3</v>
      </c>
      <c r="JO237" s="57">
        <v>1533.62</v>
      </c>
      <c r="JP237" s="57">
        <v>5263.91</v>
      </c>
      <c r="JQ237" s="57">
        <v>3096.71</v>
      </c>
      <c r="JR237" s="57">
        <v>2139.75</v>
      </c>
      <c r="JS237" s="57">
        <v>1002.74</v>
      </c>
      <c r="JT237" s="57">
        <v>3641.83</v>
      </c>
      <c r="JU237" s="57">
        <v>2599.7199999999998</v>
      </c>
      <c r="JV237" s="57">
        <v>907.65</v>
      </c>
      <c r="JW237" s="57">
        <v>1270.94</v>
      </c>
      <c r="JX237" s="57">
        <v>11456.28</v>
      </c>
      <c r="JY237" s="57">
        <v>896.38</v>
      </c>
      <c r="JZ237" s="57">
        <v>1770.73</v>
      </c>
      <c r="KA237" s="57">
        <v>2965.23</v>
      </c>
      <c r="KB237" s="57">
        <v>1931.06</v>
      </c>
      <c r="KC237" s="57">
        <v>1544.54</v>
      </c>
      <c r="KD237" s="57">
        <v>3413.23</v>
      </c>
      <c r="KE237" s="57">
        <v>223.11</v>
      </c>
      <c r="KF237" s="57">
        <v>3363.52</v>
      </c>
    </row>
    <row r="238" spans="1:292">
      <c r="A238" s="41">
        <v>2024</v>
      </c>
      <c r="B238" s="54" t="s">
        <v>985</v>
      </c>
      <c r="C238" s="50" t="s">
        <v>986</v>
      </c>
      <c r="D238" s="57">
        <v>2281.85</v>
      </c>
      <c r="E238" s="57">
        <v>3292.35</v>
      </c>
      <c r="F238" s="57">
        <v>3581.35</v>
      </c>
      <c r="G238" s="57">
        <v>652.92999999999995</v>
      </c>
      <c r="H238" s="57">
        <v>2162.66</v>
      </c>
      <c r="I238" s="57">
        <v>2059.75</v>
      </c>
      <c r="J238" s="57">
        <v>1387.35</v>
      </c>
      <c r="K238" s="57">
        <v>2508.8000000000002</v>
      </c>
      <c r="L238" s="57">
        <v>415.03</v>
      </c>
      <c r="M238" s="57">
        <v>1178.8800000000001</v>
      </c>
      <c r="N238" s="57">
        <v>1832.52</v>
      </c>
      <c r="O238" s="57">
        <v>4591.01</v>
      </c>
      <c r="P238" s="57">
        <v>3028.08</v>
      </c>
      <c r="Q238" s="57">
        <v>3364.58</v>
      </c>
      <c r="R238" s="57">
        <v>2399.62</v>
      </c>
      <c r="S238" s="57">
        <v>5228.8</v>
      </c>
      <c r="T238" s="57">
        <v>3483.87</v>
      </c>
      <c r="U238" s="57">
        <v>631.73</v>
      </c>
      <c r="V238" s="57">
        <v>712.67</v>
      </c>
      <c r="W238" s="57">
        <v>2761.59</v>
      </c>
      <c r="X238" s="57">
        <v>2552.9499999999998</v>
      </c>
      <c r="Y238" s="57">
        <v>1762.49</v>
      </c>
      <c r="Z238" s="57">
        <v>1727.97</v>
      </c>
      <c r="AA238" s="57">
        <v>2551.7399999999998</v>
      </c>
      <c r="AB238" s="57">
        <v>1688.3</v>
      </c>
      <c r="AC238" s="57">
        <v>1973.1</v>
      </c>
      <c r="AD238" s="57">
        <v>1622.57</v>
      </c>
      <c r="AE238" s="57">
        <v>1717.4</v>
      </c>
      <c r="AF238" s="57">
        <v>1699.71</v>
      </c>
      <c r="AG238" s="57">
        <v>1215.58</v>
      </c>
      <c r="AH238" s="57">
        <v>1257.32</v>
      </c>
      <c r="AI238" s="57">
        <v>2851.81</v>
      </c>
      <c r="AJ238" s="57">
        <v>1961.85</v>
      </c>
      <c r="AK238" s="57">
        <v>2752.32</v>
      </c>
      <c r="AL238" s="57">
        <v>2679.5</v>
      </c>
      <c r="AM238" s="57">
        <v>4490.24</v>
      </c>
      <c r="AN238" s="57">
        <v>89.76</v>
      </c>
      <c r="AO238" s="57">
        <v>531.78</v>
      </c>
      <c r="AP238" s="57">
        <v>248.69</v>
      </c>
      <c r="AQ238" s="57">
        <v>2351.88</v>
      </c>
      <c r="AR238" s="57">
        <v>1792.94</v>
      </c>
      <c r="AS238" s="57">
        <v>1728.45</v>
      </c>
      <c r="AT238" s="57">
        <v>2568.73</v>
      </c>
      <c r="AU238" s="57">
        <v>3066.27</v>
      </c>
      <c r="AV238" s="57">
        <v>2304.9899999999998</v>
      </c>
      <c r="AW238" s="57">
        <v>1983.64</v>
      </c>
      <c r="AX238" s="57">
        <v>1466.3</v>
      </c>
      <c r="AY238" s="57">
        <v>1603.15</v>
      </c>
      <c r="AZ238" s="57">
        <v>4968.8999999999996</v>
      </c>
      <c r="BA238" s="57">
        <v>1878.4</v>
      </c>
      <c r="BB238" s="57">
        <v>1636.69</v>
      </c>
      <c r="BC238" s="57">
        <v>6809.88</v>
      </c>
      <c r="BD238" s="57">
        <v>3046.81</v>
      </c>
      <c r="BE238" s="57">
        <v>3295.58</v>
      </c>
      <c r="BF238" s="57">
        <v>223.11</v>
      </c>
      <c r="BG238" s="57">
        <v>3368.65</v>
      </c>
      <c r="BH238" s="57">
        <v>3018.91</v>
      </c>
      <c r="BI238" s="57">
        <v>4695.41</v>
      </c>
      <c r="BJ238" s="57">
        <v>2454.1999999999998</v>
      </c>
      <c r="BK238" s="57">
        <v>2921.47</v>
      </c>
      <c r="BL238" s="57">
        <v>2746</v>
      </c>
      <c r="BM238" s="57">
        <v>3017.56</v>
      </c>
      <c r="BN238" s="57">
        <v>3427.23</v>
      </c>
      <c r="BO238" s="57">
        <v>1948.6</v>
      </c>
      <c r="BP238" s="57">
        <v>3458.46</v>
      </c>
      <c r="BQ238" s="57">
        <v>2393.96</v>
      </c>
      <c r="BR238" s="57">
        <v>2398.3200000000002</v>
      </c>
      <c r="BS238" s="57">
        <v>5371.58</v>
      </c>
      <c r="BT238" s="57">
        <v>3316.99</v>
      </c>
      <c r="BU238" s="57">
        <v>5132.7299999999996</v>
      </c>
      <c r="BV238" s="57">
        <v>3483.87</v>
      </c>
      <c r="BW238" s="57">
        <v>579.9</v>
      </c>
      <c r="BX238" s="57">
        <v>1205.8800000000001</v>
      </c>
      <c r="BY238" s="57">
        <v>3220.67</v>
      </c>
      <c r="BZ238" s="57">
        <v>705.07</v>
      </c>
      <c r="CA238" s="57">
        <v>3265.08</v>
      </c>
      <c r="CB238" s="58">
        <v>2761.59</v>
      </c>
      <c r="CC238" s="57">
        <v>2552.9499999999998</v>
      </c>
      <c r="CD238" s="57">
        <v>1755.69</v>
      </c>
      <c r="CE238" s="57">
        <v>1042.6400000000001</v>
      </c>
      <c r="CF238" s="57">
        <v>2130.66</v>
      </c>
      <c r="CG238" s="57">
        <v>2188.98</v>
      </c>
      <c r="CH238" s="57">
        <v>2678.47</v>
      </c>
      <c r="CI238" s="57">
        <v>1728.47</v>
      </c>
      <c r="CJ238" s="57">
        <v>1688.3</v>
      </c>
      <c r="CK238" s="57">
        <v>1852.09</v>
      </c>
      <c r="CL238" s="57">
        <v>1560.67</v>
      </c>
      <c r="CM238" s="57">
        <v>3916.47</v>
      </c>
      <c r="CN238" s="57">
        <v>1622.57</v>
      </c>
      <c r="CO238" s="57">
        <v>1717.4</v>
      </c>
      <c r="CP238" s="57">
        <v>1363.14</v>
      </c>
      <c r="CQ238" s="57">
        <v>3251.24</v>
      </c>
      <c r="CR238" s="57">
        <v>1442.12</v>
      </c>
      <c r="CS238" s="57">
        <v>923.81</v>
      </c>
      <c r="CT238" s="57">
        <v>949.56</v>
      </c>
      <c r="CU238" s="57">
        <v>332.25</v>
      </c>
      <c r="CV238" s="57">
        <v>2604.1799999999998</v>
      </c>
      <c r="CW238" s="57">
        <v>1167.6500000000001</v>
      </c>
      <c r="CX238" s="57">
        <v>2851.81</v>
      </c>
      <c r="CY238" s="57">
        <v>1972.07</v>
      </c>
      <c r="CZ238" s="57">
        <v>1582.86</v>
      </c>
      <c r="DA238" s="57">
        <v>1984.29</v>
      </c>
      <c r="DB238" s="57">
        <v>3069.99</v>
      </c>
      <c r="DC238" s="57">
        <v>2419.35</v>
      </c>
      <c r="DD238" s="57">
        <v>3971.27</v>
      </c>
      <c r="DE238" s="57">
        <v>4080.07</v>
      </c>
      <c r="DF238" s="57">
        <v>2130.4299999999998</v>
      </c>
      <c r="DG238" s="57">
        <v>2653.64</v>
      </c>
      <c r="DH238" s="57">
        <v>1542.97</v>
      </c>
      <c r="DI238" s="57">
        <v>1593.98</v>
      </c>
      <c r="DJ238" s="57">
        <v>5022.29</v>
      </c>
      <c r="DK238" s="57">
        <v>4490.24</v>
      </c>
      <c r="DL238" s="57">
        <v>89.76</v>
      </c>
      <c r="DM238" s="57">
        <v>531.78</v>
      </c>
      <c r="DN238" s="57">
        <v>152.71</v>
      </c>
      <c r="DO238" s="57">
        <v>267.77999999999997</v>
      </c>
      <c r="DP238" s="57">
        <v>1525.16</v>
      </c>
      <c r="DQ238" s="57">
        <v>2351.88</v>
      </c>
      <c r="DR238" s="57">
        <v>1910.12</v>
      </c>
      <c r="DS238" s="57">
        <v>1043.17</v>
      </c>
      <c r="DT238" s="57">
        <v>421.96</v>
      </c>
      <c r="DU238" s="57">
        <v>3969.22</v>
      </c>
      <c r="DV238" s="57">
        <v>1967.53</v>
      </c>
      <c r="DW238" s="57">
        <v>1606.79</v>
      </c>
      <c r="DX238" s="57">
        <v>1162.5</v>
      </c>
      <c r="DY238" s="57">
        <v>2507.9699999999998</v>
      </c>
      <c r="DZ238" s="57">
        <v>3886.07</v>
      </c>
      <c r="EA238" s="57">
        <v>2628.11</v>
      </c>
      <c r="EB238" s="57">
        <v>3066.27</v>
      </c>
      <c r="EC238" s="57">
        <v>2304.9899999999998</v>
      </c>
      <c r="ED238" s="57">
        <v>1983.64</v>
      </c>
      <c r="EE238" s="57">
        <v>1466.3</v>
      </c>
      <c r="EF238" s="57">
        <v>1603.15</v>
      </c>
      <c r="EG238" s="57">
        <v>4968.8999999999996</v>
      </c>
      <c r="EH238" s="57">
        <v>1878.4</v>
      </c>
      <c r="EI238" s="57">
        <v>3183.03</v>
      </c>
      <c r="EJ238" s="57">
        <v>888.9</v>
      </c>
      <c r="EK238" s="57">
        <v>1296.06</v>
      </c>
      <c r="EL238" s="57">
        <v>11347.64</v>
      </c>
      <c r="EM238" s="57">
        <v>1275.3800000000001</v>
      </c>
      <c r="EN238" s="57">
        <v>3046.81</v>
      </c>
      <c r="EO238" s="57">
        <v>1999.24</v>
      </c>
      <c r="EP238" s="57">
        <v>1646.59</v>
      </c>
      <c r="EQ238" s="57">
        <v>3534.99</v>
      </c>
      <c r="ER238" s="57">
        <v>223.11</v>
      </c>
      <c r="ES238" s="57">
        <v>3368.65</v>
      </c>
      <c r="ET238" s="57">
        <v>3519.81</v>
      </c>
      <c r="EU238" s="57">
        <v>2551.7800000000002</v>
      </c>
      <c r="EV238" s="57">
        <v>2901.33</v>
      </c>
      <c r="EW238" s="57">
        <v>3212.48</v>
      </c>
      <c r="EX238" s="57">
        <v>3105.5</v>
      </c>
      <c r="EY238" s="57">
        <v>1282.74</v>
      </c>
      <c r="EZ238" s="57">
        <v>4933.2700000000004</v>
      </c>
      <c r="FA238" s="57">
        <v>5684.14</v>
      </c>
      <c r="FB238" s="57">
        <v>3741.08</v>
      </c>
      <c r="FC238" s="57">
        <v>6648.01</v>
      </c>
      <c r="FD238" s="57">
        <v>3439.12</v>
      </c>
      <c r="FE238" s="57">
        <v>2472</v>
      </c>
      <c r="FF238" s="57">
        <v>501.87</v>
      </c>
      <c r="FG238" s="57">
        <v>2826.7</v>
      </c>
      <c r="FH238" s="57">
        <v>2679.7</v>
      </c>
      <c r="FI238" s="57">
        <v>3190.6</v>
      </c>
      <c r="FJ238" s="57">
        <v>2763.57</v>
      </c>
      <c r="FK238" s="57">
        <v>5211.74</v>
      </c>
      <c r="FL238" s="57">
        <v>2990.12</v>
      </c>
      <c r="FM238" s="57">
        <v>2343.77</v>
      </c>
      <c r="FN238" s="57">
        <v>2650.34</v>
      </c>
      <c r="FO238" s="57">
        <v>4814.79</v>
      </c>
      <c r="FP238" s="57">
        <v>3213.74</v>
      </c>
      <c r="FQ238" s="57">
        <v>3834.16</v>
      </c>
      <c r="FR238" s="57">
        <v>4661.51</v>
      </c>
      <c r="FS238" s="57">
        <v>3105.78</v>
      </c>
      <c r="FT238" s="57">
        <v>1215.04</v>
      </c>
      <c r="FU238" s="57">
        <v>2831.13</v>
      </c>
      <c r="FV238" s="57">
        <v>2482.46</v>
      </c>
      <c r="FW238" s="57">
        <v>1352.24</v>
      </c>
      <c r="FX238" s="57">
        <v>3458.46</v>
      </c>
      <c r="FY238" s="57">
        <v>3338.47</v>
      </c>
      <c r="FZ238" s="57">
        <v>2164.37</v>
      </c>
      <c r="GA238" s="57">
        <v>2788.01</v>
      </c>
      <c r="GB238" s="57">
        <v>2223.17</v>
      </c>
      <c r="GC238" s="57">
        <v>2771.12</v>
      </c>
      <c r="GD238" s="57">
        <v>2109.09</v>
      </c>
      <c r="GE238" s="57">
        <v>5371.58</v>
      </c>
      <c r="GF238" s="57">
        <v>3316.99</v>
      </c>
      <c r="GG238" s="57">
        <v>5132.7299999999996</v>
      </c>
      <c r="GH238" s="57">
        <v>3478.02</v>
      </c>
      <c r="GI238" s="57">
        <v>755.27</v>
      </c>
      <c r="GJ238" s="57">
        <v>480.73</v>
      </c>
      <c r="GK238" s="57">
        <v>522.44000000000005</v>
      </c>
      <c r="GL238" s="57">
        <v>537.85</v>
      </c>
      <c r="GM238" s="57">
        <v>1205.8800000000001</v>
      </c>
      <c r="GN238" s="57">
        <v>3220.67</v>
      </c>
      <c r="GO238" s="57">
        <v>802.13</v>
      </c>
      <c r="GP238" s="57">
        <v>628.85</v>
      </c>
      <c r="GQ238" s="57">
        <v>657.7</v>
      </c>
      <c r="GR238" s="57">
        <v>3265.08</v>
      </c>
      <c r="GS238" s="57">
        <v>2761.59</v>
      </c>
      <c r="GT238" s="57">
        <v>2552.9499999999998</v>
      </c>
      <c r="GU238" s="57">
        <v>1755.69</v>
      </c>
      <c r="GV238" s="57">
        <v>1042.6400000000001</v>
      </c>
      <c r="GW238" s="57">
        <v>1775.77</v>
      </c>
      <c r="GX238" s="57">
        <v>3059.62</v>
      </c>
      <c r="GY238" s="57">
        <v>2188.98</v>
      </c>
      <c r="GZ238" s="57">
        <v>3194.23</v>
      </c>
      <c r="HA238" s="57">
        <v>2601.54</v>
      </c>
      <c r="HB238" s="57">
        <v>2648.67</v>
      </c>
      <c r="HC238" s="57">
        <v>1728.47</v>
      </c>
      <c r="HD238" s="57">
        <v>1688.3</v>
      </c>
      <c r="HE238" s="57">
        <v>1584.36</v>
      </c>
      <c r="HF238" s="57">
        <v>1849.39</v>
      </c>
      <c r="HG238" s="57">
        <v>2338.66</v>
      </c>
      <c r="HH238" s="57">
        <v>2279.66</v>
      </c>
      <c r="HI238" s="57">
        <v>1048.21</v>
      </c>
      <c r="HJ238" s="57">
        <v>1560.67</v>
      </c>
      <c r="HK238" s="57">
        <v>3916.47</v>
      </c>
      <c r="HL238" s="57">
        <v>1587.23</v>
      </c>
      <c r="HM238" s="57">
        <v>1789.31</v>
      </c>
      <c r="HN238" s="57">
        <v>1653.28</v>
      </c>
      <c r="HO238" s="57">
        <v>1057.73</v>
      </c>
      <c r="HP238" s="57">
        <v>2833.83</v>
      </c>
      <c r="HQ238" s="57">
        <v>1265.4000000000001</v>
      </c>
      <c r="HR238" s="57">
        <v>2032.52</v>
      </c>
      <c r="HS238" s="57">
        <v>3054.65</v>
      </c>
      <c r="HT238" s="57">
        <v>2937.64</v>
      </c>
      <c r="HU238" s="57">
        <v>1442.12</v>
      </c>
      <c r="HV238" s="57">
        <v>923.81</v>
      </c>
      <c r="HW238" s="57">
        <v>852.69</v>
      </c>
      <c r="HX238" s="57">
        <v>1014.71</v>
      </c>
      <c r="HY238" s="57">
        <v>332.25</v>
      </c>
      <c r="HZ238" s="57">
        <v>2604.1799999999998</v>
      </c>
      <c r="IA238" s="57">
        <v>1066.53</v>
      </c>
      <c r="IB238" s="57">
        <v>2851.81</v>
      </c>
      <c r="IC238" s="57">
        <v>1829.87</v>
      </c>
      <c r="ID238" s="57">
        <v>2017.34</v>
      </c>
      <c r="IE238" s="57">
        <v>1582.86</v>
      </c>
      <c r="IF238" s="57">
        <v>1984.29</v>
      </c>
      <c r="IG238" s="57">
        <v>3069.99</v>
      </c>
      <c r="IH238" s="57">
        <v>2419.35</v>
      </c>
      <c r="II238" s="57">
        <v>3971.27</v>
      </c>
      <c r="IJ238" s="57">
        <v>4080.07</v>
      </c>
      <c r="IK238" s="57">
        <v>2242.56</v>
      </c>
      <c r="IL238" s="57">
        <v>1663.89</v>
      </c>
      <c r="IM238" s="57">
        <v>2523.06</v>
      </c>
      <c r="IN238" s="57">
        <v>3051.12</v>
      </c>
      <c r="IO238" s="57">
        <v>2623.24</v>
      </c>
      <c r="IP238" s="57">
        <v>1542.97</v>
      </c>
      <c r="IQ238" s="57">
        <v>1593.98</v>
      </c>
      <c r="IR238" s="57">
        <v>5022.29</v>
      </c>
      <c r="IS238" s="57">
        <v>4490.24</v>
      </c>
      <c r="IT238" s="57">
        <v>89.76</v>
      </c>
      <c r="IU238" s="57">
        <v>531.78</v>
      </c>
      <c r="IV238" s="57">
        <v>152.74</v>
      </c>
      <c r="IW238" s="57">
        <v>267.77999999999997</v>
      </c>
      <c r="IX238" s="57">
        <v>1525.16</v>
      </c>
      <c r="IY238" s="57">
        <v>2351.88</v>
      </c>
      <c r="IZ238" s="57">
        <v>1910.12</v>
      </c>
      <c r="JA238" s="57">
        <v>1043.17</v>
      </c>
      <c r="JB238" s="57">
        <v>421.96</v>
      </c>
      <c r="JC238" s="57">
        <v>3969.22</v>
      </c>
      <c r="JD238" s="57">
        <v>1967.53</v>
      </c>
      <c r="JE238" s="57">
        <v>4250.07</v>
      </c>
      <c r="JF238" s="57">
        <v>1351.05</v>
      </c>
      <c r="JG238" s="57">
        <v>1162.5</v>
      </c>
      <c r="JH238" s="57">
        <v>2507.9699999999998</v>
      </c>
      <c r="JI238" s="57">
        <v>3886.07</v>
      </c>
      <c r="JJ238" s="57">
        <v>2628.11</v>
      </c>
      <c r="JK238" s="57">
        <v>3066.27</v>
      </c>
      <c r="JL238" s="57">
        <v>2304.9899999999998</v>
      </c>
      <c r="JM238" s="57">
        <v>1983.64</v>
      </c>
      <c r="JN238" s="57">
        <v>1466.3</v>
      </c>
      <c r="JO238" s="57">
        <v>1603.15</v>
      </c>
      <c r="JP238" s="57">
        <v>5552.54</v>
      </c>
      <c r="JQ238" s="57">
        <v>3276.06</v>
      </c>
      <c r="JR238" s="57">
        <v>2295.08</v>
      </c>
      <c r="JS238" s="57">
        <v>1002.92</v>
      </c>
      <c r="JT238" s="57">
        <v>3754.19</v>
      </c>
      <c r="JU238" s="57">
        <v>2691.51</v>
      </c>
      <c r="JV238" s="57">
        <v>888.9</v>
      </c>
      <c r="JW238" s="57">
        <v>1296.06</v>
      </c>
      <c r="JX238" s="57">
        <v>11347.64</v>
      </c>
      <c r="JY238" s="57">
        <v>889.94</v>
      </c>
      <c r="JZ238" s="57">
        <v>1801.98</v>
      </c>
      <c r="KA238" s="57">
        <v>3046.81</v>
      </c>
      <c r="KB238" s="57">
        <v>1999.24</v>
      </c>
      <c r="KC238" s="57">
        <v>1646.59</v>
      </c>
      <c r="KD238" s="57">
        <v>3534.99</v>
      </c>
      <c r="KE238" s="57">
        <v>223.11</v>
      </c>
      <c r="KF238" s="57">
        <v>3368.65</v>
      </c>
    </row>
    <row r="239" spans="1:292">
      <c r="A239" s="41">
        <v>2024</v>
      </c>
      <c r="B239" s="54" t="s">
        <v>987</v>
      </c>
      <c r="C239" s="50" t="s">
        <v>988</v>
      </c>
      <c r="D239" s="57">
        <v>2319.29</v>
      </c>
      <c r="E239" s="57">
        <v>3350.79</v>
      </c>
      <c r="F239" s="57">
        <v>3583.98</v>
      </c>
      <c r="G239" s="57">
        <v>649.16</v>
      </c>
      <c r="H239" s="57">
        <v>2244.67</v>
      </c>
      <c r="I239" s="57">
        <v>2093.2199999999998</v>
      </c>
      <c r="J239" s="57">
        <v>1410.77</v>
      </c>
      <c r="K239" s="57">
        <v>2505.46</v>
      </c>
      <c r="L239" s="57">
        <v>425.56</v>
      </c>
      <c r="M239" s="57">
        <v>1181.99</v>
      </c>
      <c r="N239" s="57">
        <v>1896.16</v>
      </c>
      <c r="O239" s="57">
        <v>4733.07</v>
      </c>
      <c r="P239" s="57">
        <v>3075.26</v>
      </c>
      <c r="Q239" s="57">
        <v>3423.68</v>
      </c>
      <c r="R239" s="57">
        <v>2448.9499999999998</v>
      </c>
      <c r="S239" s="57">
        <v>5276.96</v>
      </c>
      <c r="T239" s="57">
        <v>3483.87</v>
      </c>
      <c r="U239" s="57">
        <v>629.04</v>
      </c>
      <c r="V239" s="57">
        <v>704.7</v>
      </c>
      <c r="W239" s="57">
        <v>2902.27</v>
      </c>
      <c r="X239" s="57">
        <v>2582.0500000000002</v>
      </c>
      <c r="Y239" s="57">
        <v>1986.17</v>
      </c>
      <c r="Z239" s="57">
        <v>1736.65</v>
      </c>
      <c r="AA239" s="57">
        <v>2584.38</v>
      </c>
      <c r="AB239" s="57">
        <v>1702.35</v>
      </c>
      <c r="AC239" s="57">
        <v>1997.67</v>
      </c>
      <c r="AD239" s="57">
        <v>1659.51</v>
      </c>
      <c r="AE239" s="57">
        <v>1745.6</v>
      </c>
      <c r="AF239" s="57">
        <v>1742.19</v>
      </c>
      <c r="AG239" s="57">
        <v>1224.55</v>
      </c>
      <c r="AH239" s="57">
        <v>1275.1600000000001</v>
      </c>
      <c r="AI239" s="57">
        <v>2959.39</v>
      </c>
      <c r="AJ239" s="57">
        <v>1943.18</v>
      </c>
      <c r="AK239" s="57">
        <v>2710.57</v>
      </c>
      <c r="AL239" s="57">
        <v>2800.76</v>
      </c>
      <c r="AM239" s="57">
        <v>6548.27</v>
      </c>
      <c r="AN239" s="57">
        <v>88.72</v>
      </c>
      <c r="AO239" s="57">
        <v>553.91</v>
      </c>
      <c r="AP239" s="57">
        <v>236.81</v>
      </c>
      <c r="AQ239" s="57">
        <v>2374.02</v>
      </c>
      <c r="AR239" s="57">
        <v>1849.32</v>
      </c>
      <c r="AS239" s="57">
        <v>1758.82</v>
      </c>
      <c r="AT239" s="57">
        <v>2612.67</v>
      </c>
      <c r="AU239" s="57">
        <v>3080.99</v>
      </c>
      <c r="AV239" s="57">
        <v>2406.2800000000002</v>
      </c>
      <c r="AW239" s="57">
        <v>2066.98</v>
      </c>
      <c r="AX239" s="57">
        <v>1466.3</v>
      </c>
      <c r="AY239" s="57">
        <v>1705.61</v>
      </c>
      <c r="AZ239" s="57">
        <v>5114.28</v>
      </c>
      <c r="BA239" s="57">
        <v>1971.16</v>
      </c>
      <c r="BB239" s="57">
        <v>1673.33</v>
      </c>
      <c r="BC239" s="57">
        <v>6893.67</v>
      </c>
      <c r="BD239" s="57">
        <v>3117.62</v>
      </c>
      <c r="BE239" s="57">
        <v>3230.83</v>
      </c>
      <c r="BF239" s="57">
        <v>223.11</v>
      </c>
      <c r="BG239" s="57">
        <v>3373.63</v>
      </c>
      <c r="BH239" s="57">
        <v>3150.02</v>
      </c>
      <c r="BI239" s="57">
        <v>4583.0200000000004</v>
      </c>
      <c r="BJ239" s="57">
        <v>2480.94</v>
      </c>
      <c r="BK239" s="57">
        <v>2973.95</v>
      </c>
      <c r="BL239" s="57">
        <v>2760.15</v>
      </c>
      <c r="BM239" s="57">
        <v>3234.47</v>
      </c>
      <c r="BN239" s="57">
        <v>3486.27</v>
      </c>
      <c r="BO239" s="57">
        <v>2000.2</v>
      </c>
      <c r="BP239" s="57">
        <v>3443.28</v>
      </c>
      <c r="BQ239" s="57">
        <v>2403.71</v>
      </c>
      <c r="BR239" s="57">
        <v>2483.3200000000002</v>
      </c>
      <c r="BS239" s="57">
        <v>5410.51</v>
      </c>
      <c r="BT239" s="57">
        <v>3356.09</v>
      </c>
      <c r="BU239" s="57">
        <v>5187.88</v>
      </c>
      <c r="BV239" s="57">
        <v>3483.87</v>
      </c>
      <c r="BW239" s="57">
        <v>575.78</v>
      </c>
      <c r="BX239" s="57">
        <v>1240.93</v>
      </c>
      <c r="BY239" s="57">
        <v>3384.08</v>
      </c>
      <c r="BZ239" s="57">
        <v>697.03</v>
      </c>
      <c r="CA239" s="57">
        <v>3334.78</v>
      </c>
      <c r="CB239" s="58">
        <v>2902.27</v>
      </c>
      <c r="CC239" s="57">
        <v>2582.0500000000002</v>
      </c>
      <c r="CD239" s="57">
        <v>1978.51</v>
      </c>
      <c r="CE239" s="57">
        <v>1042.6400000000001</v>
      </c>
      <c r="CF239" s="57">
        <v>2147.92</v>
      </c>
      <c r="CG239" s="57">
        <v>2191.1999999999998</v>
      </c>
      <c r="CH239" s="57">
        <v>2730.7</v>
      </c>
      <c r="CI239" s="57">
        <v>1588.87</v>
      </c>
      <c r="CJ239" s="57">
        <v>1702.35</v>
      </c>
      <c r="CK239" s="57">
        <v>1872.82</v>
      </c>
      <c r="CL239" s="57">
        <v>1605.51</v>
      </c>
      <c r="CM239" s="57">
        <v>3939.94</v>
      </c>
      <c r="CN239" s="57">
        <v>1659.51</v>
      </c>
      <c r="CO239" s="57">
        <v>1745.6</v>
      </c>
      <c r="CP239" s="57">
        <v>1389.28</v>
      </c>
      <c r="CQ239" s="57">
        <v>3384.52</v>
      </c>
      <c r="CR239" s="57">
        <v>1443.11</v>
      </c>
      <c r="CS239" s="57">
        <v>984.74</v>
      </c>
      <c r="CT239" s="57">
        <v>955.21</v>
      </c>
      <c r="CU239" s="57">
        <v>333.83</v>
      </c>
      <c r="CV239" s="57">
        <v>2647.22</v>
      </c>
      <c r="CW239" s="57">
        <v>1189</v>
      </c>
      <c r="CX239" s="57">
        <v>2959.39</v>
      </c>
      <c r="CY239" s="57">
        <v>1953.91</v>
      </c>
      <c r="CZ239" s="57">
        <v>1552.02</v>
      </c>
      <c r="DA239" s="57">
        <v>1999.03</v>
      </c>
      <c r="DB239" s="57">
        <v>3101.07</v>
      </c>
      <c r="DC239" s="57">
        <v>2363.29</v>
      </c>
      <c r="DD239" s="57">
        <v>3922.3</v>
      </c>
      <c r="DE239" s="57">
        <v>4303.2700000000004</v>
      </c>
      <c r="DF239" s="57">
        <v>2145.9299999999998</v>
      </c>
      <c r="DG239" s="57">
        <v>2777.21</v>
      </c>
      <c r="DH239" s="57">
        <v>1596.42</v>
      </c>
      <c r="DI239" s="57">
        <v>1815.81</v>
      </c>
      <c r="DJ239" s="57">
        <v>5202.42</v>
      </c>
      <c r="DK239" s="57">
        <v>6548.27</v>
      </c>
      <c r="DL239" s="57">
        <v>88.72</v>
      </c>
      <c r="DM239" s="57">
        <v>553.91</v>
      </c>
      <c r="DN239" s="57">
        <v>142.80000000000001</v>
      </c>
      <c r="DO239" s="57">
        <v>260.67</v>
      </c>
      <c r="DP239" s="57">
        <v>1550.66</v>
      </c>
      <c r="DQ239" s="57">
        <v>2374.02</v>
      </c>
      <c r="DR239" s="57">
        <v>1907.63</v>
      </c>
      <c r="DS239" s="57">
        <v>1044.08</v>
      </c>
      <c r="DT239" s="57">
        <v>461.06</v>
      </c>
      <c r="DU239" s="57">
        <v>3992.29</v>
      </c>
      <c r="DV239" s="57">
        <v>2020.38</v>
      </c>
      <c r="DW239" s="57">
        <v>1607.78</v>
      </c>
      <c r="DX239" s="57">
        <v>1205.6600000000001</v>
      </c>
      <c r="DY239" s="57">
        <v>2568.62</v>
      </c>
      <c r="DZ239" s="57">
        <v>3940.17</v>
      </c>
      <c r="EA239" s="57">
        <v>2641.38</v>
      </c>
      <c r="EB239" s="57">
        <v>3080.99</v>
      </c>
      <c r="EC239" s="57">
        <v>2406.2800000000002</v>
      </c>
      <c r="ED239" s="57">
        <v>2066.98</v>
      </c>
      <c r="EE239" s="57">
        <v>1466.3</v>
      </c>
      <c r="EF239" s="57">
        <v>1705.61</v>
      </c>
      <c r="EG239" s="57">
        <v>5114.28</v>
      </c>
      <c r="EH239" s="57">
        <v>1971.16</v>
      </c>
      <c r="EI239" s="57">
        <v>3278.44</v>
      </c>
      <c r="EJ239" s="57">
        <v>886.86</v>
      </c>
      <c r="EK239" s="57">
        <v>1321.97</v>
      </c>
      <c r="EL239" s="57">
        <v>11400.74</v>
      </c>
      <c r="EM239" s="57">
        <v>1304.8</v>
      </c>
      <c r="EN239" s="57">
        <v>3117.62</v>
      </c>
      <c r="EO239" s="57">
        <v>2056.5700000000002</v>
      </c>
      <c r="EP239" s="57">
        <v>1519.73</v>
      </c>
      <c r="EQ239" s="57">
        <v>3468.52</v>
      </c>
      <c r="ER239" s="57">
        <v>223.11</v>
      </c>
      <c r="ES239" s="57">
        <v>3373.63</v>
      </c>
      <c r="ET239" s="57">
        <v>3530.89</v>
      </c>
      <c r="EU239" s="57">
        <v>2565.81</v>
      </c>
      <c r="EV239" s="57">
        <v>3073.73</v>
      </c>
      <c r="EW239" s="57">
        <v>3352.58</v>
      </c>
      <c r="EX239" s="57">
        <v>3189.8</v>
      </c>
      <c r="EY239" s="57">
        <v>1434.33</v>
      </c>
      <c r="EZ239" s="57">
        <v>4820.12</v>
      </c>
      <c r="FA239" s="57">
        <v>5567.65</v>
      </c>
      <c r="FB239" s="57">
        <v>3595.6</v>
      </c>
      <c r="FC239" s="57">
        <v>6582.68</v>
      </c>
      <c r="FD239" s="57">
        <v>3427.6</v>
      </c>
      <c r="FE239" s="57">
        <v>2479.9</v>
      </c>
      <c r="FF239" s="57">
        <v>544.02</v>
      </c>
      <c r="FG239" s="57">
        <v>2833.39</v>
      </c>
      <c r="FH239" s="57">
        <v>2731.74</v>
      </c>
      <c r="FI239" s="57">
        <v>3354.93</v>
      </c>
      <c r="FJ239" s="57">
        <v>2582</v>
      </c>
      <c r="FK239" s="57">
        <v>5197.93</v>
      </c>
      <c r="FL239" s="57">
        <v>2991.39</v>
      </c>
      <c r="FM239" s="57">
        <v>2363.04</v>
      </c>
      <c r="FN239" s="57">
        <v>2874.79</v>
      </c>
      <c r="FO239" s="57">
        <v>4975.2700000000004</v>
      </c>
      <c r="FP239" s="57">
        <v>3325.53</v>
      </c>
      <c r="FQ239" s="57">
        <v>3526.21</v>
      </c>
      <c r="FR239" s="57">
        <v>4660.26</v>
      </c>
      <c r="FS239" s="57">
        <v>3132.94</v>
      </c>
      <c r="FT239" s="57">
        <v>1255.1500000000001</v>
      </c>
      <c r="FU239" s="57">
        <v>2836.25</v>
      </c>
      <c r="FV239" s="57">
        <v>2591.4299999999998</v>
      </c>
      <c r="FW239" s="57">
        <v>1322.25</v>
      </c>
      <c r="FX239" s="57">
        <v>3443.28</v>
      </c>
      <c r="FY239" s="57">
        <v>3324.18</v>
      </c>
      <c r="FZ239" s="57">
        <v>2177.9499999999998</v>
      </c>
      <c r="GA239" s="57">
        <v>2894.14</v>
      </c>
      <c r="GB239" s="57">
        <v>2273.8000000000002</v>
      </c>
      <c r="GC239" s="57">
        <v>2905.06</v>
      </c>
      <c r="GD239" s="57">
        <v>2192.5700000000002</v>
      </c>
      <c r="GE239" s="57">
        <v>5410.51</v>
      </c>
      <c r="GF239" s="57">
        <v>3356.09</v>
      </c>
      <c r="GG239" s="57">
        <v>5187.88</v>
      </c>
      <c r="GH239" s="57">
        <v>3478.02</v>
      </c>
      <c r="GI239" s="57">
        <v>752.72</v>
      </c>
      <c r="GJ239" s="57">
        <v>475.11</v>
      </c>
      <c r="GK239" s="57">
        <v>519.23</v>
      </c>
      <c r="GL239" s="57">
        <v>547.84</v>
      </c>
      <c r="GM239" s="57">
        <v>1240.93</v>
      </c>
      <c r="GN239" s="57">
        <v>3384.08</v>
      </c>
      <c r="GO239" s="57">
        <v>788.23</v>
      </c>
      <c r="GP239" s="57">
        <v>619.13</v>
      </c>
      <c r="GQ239" s="57">
        <v>664.94</v>
      </c>
      <c r="GR239" s="57">
        <v>3334.78</v>
      </c>
      <c r="GS239" s="57">
        <v>2902.27</v>
      </c>
      <c r="GT239" s="57">
        <v>2582.0500000000002</v>
      </c>
      <c r="GU239" s="57">
        <v>1978.51</v>
      </c>
      <c r="GV239" s="57">
        <v>1042.6400000000001</v>
      </c>
      <c r="GW239" s="57">
        <v>1796.13</v>
      </c>
      <c r="GX239" s="57">
        <v>3026.08</v>
      </c>
      <c r="GY239" s="57">
        <v>2191.1999999999998</v>
      </c>
      <c r="GZ239" s="57">
        <v>3269.5</v>
      </c>
      <c r="HA239" s="57">
        <v>2653.21</v>
      </c>
      <c r="HB239" s="57">
        <v>2695.22</v>
      </c>
      <c r="HC239" s="57">
        <v>1588.87</v>
      </c>
      <c r="HD239" s="57">
        <v>1702.35</v>
      </c>
      <c r="HE239" s="57">
        <v>1605.06</v>
      </c>
      <c r="HF239" s="57">
        <v>1873.59</v>
      </c>
      <c r="HG239" s="57">
        <v>2367.58</v>
      </c>
      <c r="HH239" s="57">
        <v>2308.21</v>
      </c>
      <c r="HI239" s="57">
        <v>1046.19</v>
      </c>
      <c r="HJ239" s="57">
        <v>1605.51</v>
      </c>
      <c r="HK239" s="57">
        <v>3939.94</v>
      </c>
      <c r="HL239" s="57">
        <v>1635.67</v>
      </c>
      <c r="HM239" s="57">
        <v>1816.17</v>
      </c>
      <c r="HN239" s="57">
        <v>1682.71</v>
      </c>
      <c r="HO239" s="57">
        <v>1076.5899999999999</v>
      </c>
      <c r="HP239" s="57">
        <v>2874.52</v>
      </c>
      <c r="HQ239" s="57">
        <v>1293.3399999999999</v>
      </c>
      <c r="HR239" s="57">
        <v>2037.55</v>
      </c>
      <c r="HS239" s="57">
        <v>3195.26</v>
      </c>
      <c r="HT239" s="57">
        <v>2986.77</v>
      </c>
      <c r="HU239" s="57">
        <v>1443.11</v>
      </c>
      <c r="HV239" s="57">
        <v>984.74</v>
      </c>
      <c r="HW239" s="57">
        <v>856.78</v>
      </c>
      <c r="HX239" s="57">
        <v>1023.54</v>
      </c>
      <c r="HY239" s="57">
        <v>333.83</v>
      </c>
      <c r="HZ239" s="57">
        <v>2647.22</v>
      </c>
      <c r="IA239" s="57">
        <v>1086.03</v>
      </c>
      <c r="IB239" s="57">
        <v>2959.39</v>
      </c>
      <c r="IC239" s="57">
        <v>1820.97</v>
      </c>
      <c r="ID239" s="57">
        <v>1996.98</v>
      </c>
      <c r="IE239" s="57">
        <v>1552.02</v>
      </c>
      <c r="IF239" s="57">
        <v>1999.03</v>
      </c>
      <c r="IG239" s="57">
        <v>3101.07</v>
      </c>
      <c r="IH239" s="57">
        <v>2363.29</v>
      </c>
      <c r="II239" s="57">
        <v>3922.3</v>
      </c>
      <c r="IJ239" s="57">
        <v>4303.2700000000004</v>
      </c>
      <c r="IK239" s="57">
        <v>2380.37</v>
      </c>
      <c r="IL239" s="57">
        <v>1663.89</v>
      </c>
      <c r="IM239" s="57">
        <v>2592.2399999999998</v>
      </c>
      <c r="IN239" s="57">
        <v>3144.39</v>
      </c>
      <c r="IO239" s="57">
        <v>2956.6</v>
      </c>
      <c r="IP239" s="57">
        <v>1596.42</v>
      </c>
      <c r="IQ239" s="57">
        <v>1815.81</v>
      </c>
      <c r="IR239" s="57">
        <v>5202.42</v>
      </c>
      <c r="IS239" s="57">
        <v>6548.27</v>
      </c>
      <c r="IT239" s="57">
        <v>88.72</v>
      </c>
      <c r="IU239" s="57">
        <v>553.91</v>
      </c>
      <c r="IV239" s="57">
        <v>142.83000000000001</v>
      </c>
      <c r="IW239" s="57">
        <v>260.67</v>
      </c>
      <c r="IX239" s="57">
        <v>1550.66</v>
      </c>
      <c r="IY239" s="57">
        <v>2374.02</v>
      </c>
      <c r="IZ239" s="57">
        <v>1907.63</v>
      </c>
      <c r="JA239" s="57">
        <v>1044.08</v>
      </c>
      <c r="JB239" s="57">
        <v>461.06</v>
      </c>
      <c r="JC239" s="57">
        <v>3992.29</v>
      </c>
      <c r="JD239" s="57">
        <v>2020.38</v>
      </c>
      <c r="JE239" s="57">
        <v>4383.8900000000003</v>
      </c>
      <c r="JF239" s="57">
        <v>1345.59</v>
      </c>
      <c r="JG239" s="57">
        <v>1205.6600000000001</v>
      </c>
      <c r="JH239" s="57">
        <v>2568.62</v>
      </c>
      <c r="JI239" s="57">
        <v>3940.17</v>
      </c>
      <c r="JJ239" s="57">
        <v>2641.38</v>
      </c>
      <c r="JK239" s="57">
        <v>3080.99</v>
      </c>
      <c r="JL239" s="57">
        <v>2406.2800000000002</v>
      </c>
      <c r="JM239" s="57">
        <v>2066.98</v>
      </c>
      <c r="JN239" s="57">
        <v>1466.3</v>
      </c>
      <c r="JO239" s="57">
        <v>1705.61</v>
      </c>
      <c r="JP239" s="57">
        <v>5702.07</v>
      </c>
      <c r="JQ239" s="57">
        <v>3405.62</v>
      </c>
      <c r="JR239" s="57">
        <v>2448.2399999999998</v>
      </c>
      <c r="JS239" s="57">
        <v>1002.7</v>
      </c>
      <c r="JT239" s="57">
        <v>3897.16</v>
      </c>
      <c r="JU239" s="57">
        <v>2753.47</v>
      </c>
      <c r="JV239" s="57">
        <v>886.86</v>
      </c>
      <c r="JW239" s="57">
        <v>1321.97</v>
      </c>
      <c r="JX239" s="57">
        <v>11400.74</v>
      </c>
      <c r="JY239" s="57">
        <v>889.88</v>
      </c>
      <c r="JZ239" s="57">
        <v>1890.64</v>
      </c>
      <c r="KA239" s="57">
        <v>3117.62</v>
      </c>
      <c r="KB239" s="57">
        <v>2056.5700000000002</v>
      </c>
      <c r="KC239" s="57">
        <v>1519.73</v>
      </c>
      <c r="KD239" s="57">
        <v>3468.52</v>
      </c>
      <c r="KE239" s="57">
        <v>223.11</v>
      </c>
      <c r="KF239" s="57">
        <v>3373.63</v>
      </c>
    </row>
    <row r="240" spans="1:292">
      <c r="A240" s="41">
        <v>2024</v>
      </c>
      <c r="B240" s="54" t="s">
        <v>989</v>
      </c>
      <c r="C240" s="50" t="s">
        <v>990</v>
      </c>
      <c r="D240" s="57">
        <v>2394.1</v>
      </c>
      <c r="E240" s="57">
        <v>3412.26</v>
      </c>
      <c r="F240" s="57">
        <v>3793.2</v>
      </c>
      <c r="G240" s="57">
        <v>632.39</v>
      </c>
      <c r="H240" s="57">
        <v>2425.9899999999998</v>
      </c>
      <c r="I240" s="57">
        <v>2128.29</v>
      </c>
      <c r="J240" s="57">
        <v>1463.58</v>
      </c>
      <c r="K240" s="57">
        <v>2601.15</v>
      </c>
      <c r="L240" s="57">
        <v>439.23</v>
      </c>
      <c r="M240" s="57">
        <v>1206.4000000000001</v>
      </c>
      <c r="N240" s="57">
        <v>1922.36</v>
      </c>
      <c r="O240" s="57">
        <v>4890.87</v>
      </c>
      <c r="P240" s="57">
        <v>3165.67</v>
      </c>
      <c r="Q240" s="57">
        <v>3481.51</v>
      </c>
      <c r="R240" s="57">
        <v>2547.88</v>
      </c>
      <c r="S240" s="57">
        <v>6186.77</v>
      </c>
      <c r="T240" s="57">
        <v>3652.55</v>
      </c>
      <c r="U240" s="57">
        <v>613.44000000000005</v>
      </c>
      <c r="V240" s="57">
        <v>683.87</v>
      </c>
      <c r="W240" s="57">
        <v>3106.51</v>
      </c>
      <c r="X240" s="57">
        <v>2669.5</v>
      </c>
      <c r="Y240" s="57">
        <v>2055.54</v>
      </c>
      <c r="Z240" s="57">
        <v>1947.35</v>
      </c>
      <c r="AA240" s="57">
        <v>2543.79</v>
      </c>
      <c r="AB240" s="57">
        <v>1719.97</v>
      </c>
      <c r="AC240" s="57">
        <v>2040.19</v>
      </c>
      <c r="AD240" s="57">
        <v>1685.84</v>
      </c>
      <c r="AE240" s="57">
        <v>1827.3</v>
      </c>
      <c r="AF240" s="57">
        <v>1817.31</v>
      </c>
      <c r="AG240" s="57">
        <v>1237.1400000000001</v>
      </c>
      <c r="AH240" s="57">
        <v>1320.38</v>
      </c>
      <c r="AI240" s="57">
        <v>3200.26</v>
      </c>
      <c r="AJ240" s="57">
        <v>1959.28</v>
      </c>
      <c r="AK240" s="57">
        <v>2920</v>
      </c>
      <c r="AL240" s="57">
        <v>2936.21</v>
      </c>
      <c r="AM240" s="57">
        <v>6548.27</v>
      </c>
      <c r="AN240" s="57">
        <v>86.9</v>
      </c>
      <c r="AO240" s="57">
        <v>584.17999999999995</v>
      </c>
      <c r="AP240" s="57">
        <v>243.07</v>
      </c>
      <c r="AQ240" s="57">
        <v>2381.87</v>
      </c>
      <c r="AR240" s="57">
        <v>1849.37</v>
      </c>
      <c r="AS240" s="57">
        <v>1805.9</v>
      </c>
      <c r="AT240" s="57">
        <v>2707.16</v>
      </c>
      <c r="AU240" s="57">
        <v>3070.49</v>
      </c>
      <c r="AV240" s="57">
        <v>2445.44</v>
      </c>
      <c r="AW240" s="57">
        <v>2097.75</v>
      </c>
      <c r="AX240" s="57">
        <v>1466.3</v>
      </c>
      <c r="AY240" s="57">
        <v>1765.49</v>
      </c>
      <c r="AZ240" s="57">
        <v>5276.55</v>
      </c>
      <c r="BA240" s="57">
        <v>2070.9</v>
      </c>
      <c r="BB240" s="57">
        <v>1728.75</v>
      </c>
      <c r="BC240" s="57">
        <v>7034.55</v>
      </c>
      <c r="BD240" s="57">
        <v>3264.54</v>
      </c>
      <c r="BE240" s="57">
        <v>3446.02</v>
      </c>
      <c r="BF240" s="57">
        <v>223.11</v>
      </c>
      <c r="BG240" s="57">
        <v>3383.45</v>
      </c>
      <c r="BH240" s="57">
        <v>3259.5</v>
      </c>
      <c r="BI240" s="57">
        <v>4555.79</v>
      </c>
      <c r="BJ240" s="57">
        <v>2527.2399999999998</v>
      </c>
      <c r="BK240" s="57">
        <v>3031.42</v>
      </c>
      <c r="BL240" s="57">
        <v>2825.13</v>
      </c>
      <c r="BM240" s="57">
        <v>3239.51</v>
      </c>
      <c r="BN240" s="57">
        <v>3613.55</v>
      </c>
      <c r="BO240" s="57">
        <v>2052.25</v>
      </c>
      <c r="BP240" s="57">
        <v>3600.94</v>
      </c>
      <c r="BQ240" s="57">
        <v>2510.6799999999998</v>
      </c>
      <c r="BR240" s="57">
        <v>2574.7199999999998</v>
      </c>
      <c r="BS240" s="57">
        <v>6342.45</v>
      </c>
      <c r="BT240" s="57">
        <v>3615.51</v>
      </c>
      <c r="BU240" s="57">
        <v>6178.17</v>
      </c>
      <c r="BV240" s="57">
        <v>3652.55</v>
      </c>
      <c r="BW240" s="57">
        <v>559.19000000000005</v>
      </c>
      <c r="BX240" s="57">
        <v>1265.78</v>
      </c>
      <c r="BY240" s="57">
        <v>3547.19</v>
      </c>
      <c r="BZ240" s="57">
        <v>676.07</v>
      </c>
      <c r="CA240" s="57">
        <v>3484.05</v>
      </c>
      <c r="CB240" s="58">
        <v>3106.51</v>
      </c>
      <c r="CC240" s="57">
        <v>2669.5</v>
      </c>
      <c r="CD240" s="57">
        <v>2047.6</v>
      </c>
      <c r="CE240" s="57">
        <v>1438.81</v>
      </c>
      <c r="CF240" s="57">
        <v>2224.0300000000002</v>
      </c>
      <c r="CG240" s="57">
        <v>2199.0500000000002</v>
      </c>
      <c r="CH240" s="57">
        <v>2680.99</v>
      </c>
      <c r="CI240" s="57">
        <v>1625.32</v>
      </c>
      <c r="CJ240" s="57">
        <v>1719.97</v>
      </c>
      <c r="CK240" s="57">
        <v>1913.52</v>
      </c>
      <c r="CL240" s="57">
        <v>1592.12</v>
      </c>
      <c r="CM240" s="57">
        <v>4155.07</v>
      </c>
      <c r="CN240" s="57">
        <v>1685.84</v>
      </c>
      <c r="CO240" s="57">
        <v>1827.3</v>
      </c>
      <c r="CP240" s="57">
        <v>1433.98</v>
      </c>
      <c r="CQ240" s="57">
        <v>3630.15</v>
      </c>
      <c r="CR240" s="57">
        <v>1443.34</v>
      </c>
      <c r="CS240" s="57">
        <v>999.91</v>
      </c>
      <c r="CT240" s="57">
        <v>980.21</v>
      </c>
      <c r="CU240" s="57">
        <v>337.21</v>
      </c>
      <c r="CV240" s="57">
        <v>2731.21</v>
      </c>
      <c r="CW240" s="57">
        <v>1265.83</v>
      </c>
      <c r="CX240" s="57">
        <v>3200.26</v>
      </c>
      <c r="CY240" s="57">
        <v>1971.17</v>
      </c>
      <c r="CZ240" s="57">
        <v>1545.18</v>
      </c>
      <c r="DA240" s="57">
        <v>2016.46</v>
      </c>
      <c r="DB240" s="57">
        <v>3159.94</v>
      </c>
      <c r="DC240" s="57">
        <v>2601.7800000000002</v>
      </c>
      <c r="DD240" s="57">
        <v>4056.71</v>
      </c>
      <c r="DE240" s="57">
        <v>4458.01</v>
      </c>
      <c r="DF240" s="57">
        <v>2381.7399999999998</v>
      </c>
      <c r="DG240" s="57">
        <v>2918.41</v>
      </c>
      <c r="DH240" s="57">
        <v>1591.08</v>
      </c>
      <c r="DI240" s="57">
        <v>1887.1</v>
      </c>
      <c r="DJ240" s="57">
        <v>5569.79</v>
      </c>
      <c r="DK240" s="57">
        <v>6548.27</v>
      </c>
      <c r="DL240" s="57">
        <v>86.9</v>
      </c>
      <c r="DM240" s="57">
        <v>584.17999999999995</v>
      </c>
      <c r="DN240" s="57">
        <v>144.86000000000001</v>
      </c>
      <c r="DO240" s="57">
        <v>274.20999999999998</v>
      </c>
      <c r="DP240" s="57">
        <v>1600.46</v>
      </c>
      <c r="DQ240" s="57">
        <v>2381.87</v>
      </c>
      <c r="DR240" s="57">
        <v>1878.8</v>
      </c>
      <c r="DS240" s="57">
        <v>1062.96</v>
      </c>
      <c r="DT240" s="57">
        <v>459.46</v>
      </c>
      <c r="DU240" s="57">
        <v>4254</v>
      </c>
      <c r="DV240" s="57">
        <v>2092.08</v>
      </c>
      <c r="DW240" s="57">
        <v>1628.05</v>
      </c>
      <c r="DX240" s="57">
        <v>1231.3699999999999</v>
      </c>
      <c r="DY240" s="57">
        <v>2686.89</v>
      </c>
      <c r="DZ240" s="57">
        <v>4084.43</v>
      </c>
      <c r="EA240" s="57">
        <v>2688.73</v>
      </c>
      <c r="EB240" s="57">
        <v>3070.49</v>
      </c>
      <c r="EC240" s="57">
        <v>2445.44</v>
      </c>
      <c r="ED240" s="57">
        <v>2097.75</v>
      </c>
      <c r="EE240" s="57">
        <v>1466.3</v>
      </c>
      <c r="EF240" s="57">
        <v>1765.49</v>
      </c>
      <c r="EG240" s="57">
        <v>5276.55</v>
      </c>
      <c r="EH240" s="57">
        <v>2070.9</v>
      </c>
      <c r="EI240" s="57">
        <v>3408.43</v>
      </c>
      <c r="EJ240" s="57">
        <v>876.67</v>
      </c>
      <c r="EK240" s="57">
        <v>1363.68</v>
      </c>
      <c r="EL240" s="57">
        <v>11707.84</v>
      </c>
      <c r="EM240" s="57">
        <v>1319.71</v>
      </c>
      <c r="EN240" s="57">
        <v>3264.54</v>
      </c>
      <c r="EO240" s="57">
        <v>2097.83</v>
      </c>
      <c r="EP240" s="57">
        <v>1685.18</v>
      </c>
      <c r="EQ240" s="57">
        <v>3706.4</v>
      </c>
      <c r="ER240" s="57">
        <v>223.11</v>
      </c>
      <c r="ES240" s="57">
        <v>3383.45</v>
      </c>
      <c r="ET240" s="57">
        <v>3621.21</v>
      </c>
      <c r="EU240" s="57">
        <v>2594.69</v>
      </c>
      <c r="EV240" s="57">
        <v>3233.73</v>
      </c>
      <c r="EW240" s="57">
        <v>3421.18</v>
      </c>
      <c r="EX240" s="57">
        <v>3233.75</v>
      </c>
      <c r="EY240" s="57">
        <v>1483.16</v>
      </c>
      <c r="EZ240" s="57">
        <v>4879.13</v>
      </c>
      <c r="FA240" s="57">
        <v>5473.43</v>
      </c>
      <c r="FB240" s="57">
        <v>3471.93</v>
      </c>
      <c r="FC240" s="57">
        <v>6597.13</v>
      </c>
      <c r="FD240" s="57">
        <v>3439.34</v>
      </c>
      <c r="FE240" s="57">
        <v>2532.35</v>
      </c>
      <c r="FF240" s="57">
        <v>542.29999999999995</v>
      </c>
      <c r="FG240" s="57">
        <v>2896.27</v>
      </c>
      <c r="FH240" s="57">
        <v>2730.64</v>
      </c>
      <c r="FI240" s="57">
        <v>3382.97</v>
      </c>
      <c r="FJ240" s="57">
        <v>2788.75</v>
      </c>
      <c r="FK240" s="57">
        <v>5282.3</v>
      </c>
      <c r="FL240" s="57">
        <v>3143.9</v>
      </c>
      <c r="FM240" s="57">
        <v>2419.94</v>
      </c>
      <c r="FN240" s="57">
        <v>2865</v>
      </c>
      <c r="FO240" s="57">
        <v>5061.1099999999997</v>
      </c>
      <c r="FP240" s="57">
        <v>3560.71</v>
      </c>
      <c r="FQ240" s="57">
        <v>3000.26</v>
      </c>
      <c r="FR240" s="57">
        <v>4668.32</v>
      </c>
      <c r="FS240" s="57">
        <v>3168.12</v>
      </c>
      <c r="FT240" s="57">
        <v>1301.3800000000001</v>
      </c>
      <c r="FU240" s="57">
        <v>2958.78</v>
      </c>
      <c r="FV240" s="57">
        <v>2638.63</v>
      </c>
      <c r="FW240" s="57">
        <v>1331.24</v>
      </c>
      <c r="FX240" s="57">
        <v>3600.94</v>
      </c>
      <c r="FY240" s="57">
        <v>3507.27</v>
      </c>
      <c r="FZ240" s="57">
        <v>2268.0500000000002</v>
      </c>
      <c r="GA240" s="57">
        <v>2997.16</v>
      </c>
      <c r="GB240" s="57">
        <v>2390.29</v>
      </c>
      <c r="GC240" s="57">
        <v>2969.07</v>
      </c>
      <c r="GD240" s="57">
        <v>2266.23</v>
      </c>
      <c r="GE240" s="57">
        <v>6342.45</v>
      </c>
      <c r="GF240" s="57">
        <v>3615.51</v>
      </c>
      <c r="GG240" s="57">
        <v>6178.17</v>
      </c>
      <c r="GH240" s="57">
        <v>3646.43</v>
      </c>
      <c r="GI240" s="57">
        <v>743.38</v>
      </c>
      <c r="GJ240" s="57">
        <v>461.71</v>
      </c>
      <c r="GK240" s="57">
        <v>485.86</v>
      </c>
      <c r="GL240" s="57">
        <v>530.01</v>
      </c>
      <c r="GM240" s="57">
        <v>1265.78</v>
      </c>
      <c r="GN240" s="57">
        <v>3547.19</v>
      </c>
      <c r="GO240" s="57">
        <v>754.71</v>
      </c>
      <c r="GP240" s="57">
        <v>606.57000000000005</v>
      </c>
      <c r="GQ240" s="57">
        <v>648.28</v>
      </c>
      <c r="GR240" s="57">
        <v>3484.05</v>
      </c>
      <c r="GS240" s="57">
        <v>3106.51</v>
      </c>
      <c r="GT240" s="57">
        <v>2669.5</v>
      </c>
      <c r="GU240" s="57">
        <v>2047.6</v>
      </c>
      <c r="GV240" s="57">
        <v>1438.81</v>
      </c>
      <c r="GW240" s="57">
        <v>1842.55</v>
      </c>
      <c r="GX240" s="57">
        <v>3301.42</v>
      </c>
      <c r="GY240" s="57">
        <v>2199.0500000000002</v>
      </c>
      <c r="GZ240" s="57">
        <v>3301.58</v>
      </c>
      <c r="HA240" s="57">
        <v>2604.6999999999998</v>
      </c>
      <c r="HB240" s="57">
        <v>2615.5</v>
      </c>
      <c r="HC240" s="57">
        <v>1625.32</v>
      </c>
      <c r="HD240" s="57">
        <v>1719.97</v>
      </c>
      <c r="HE240" s="57">
        <v>1643.83</v>
      </c>
      <c r="HF240" s="57">
        <v>1904.81</v>
      </c>
      <c r="HG240" s="57">
        <v>2403.31</v>
      </c>
      <c r="HH240" s="57">
        <v>2373.33</v>
      </c>
      <c r="HI240" s="57">
        <v>1071.83</v>
      </c>
      <c r="HJ240" s="57">
        <v>1592.12</v>
      </c>
      <c r="HK240" s="57">
        <v>4155.07</v>
      </c>
      <c r="HL240" s="57">
        <v>1668.97</v>
      </c>
      <c r="HM240" s="57">
        <v>1845.34</v>
      </c>
      <c r="HN240" s="57">
        <v>1703.33</v>
      </c>
      <c r="HO240" s="57">
        <v>1140.98</v>
      </c>
      <c r="HP240" s="57">
        <v>2954.33</v>
      </c>
      <c r="HQ240" s="57">
        <v>1338.32</v>
      </c>
      <c r="HR240" s="57">
        <v>2072.0300000000002</v>
      </c>
      <c r="HS240" s="57">
        <v>3451.03</v>
      </c>
      <c r="HT240" s="57">
        <v>3092.8</v>
      </c>
      <c r="HU240" s="57">
        <v>1443.34</v>
      </c>
      <c r="HV240" s="57">
        <v>999.91</v>
      </c>
      <c r="HW240" s="57">
        <v>878.29</v>
      </c>
      <c r="HX240" s="57">
        <v>1052.9000000000001</v>
      </c>
      <c r="HY240" s="57">
        <v>337.21</v>
      </c>
      <c r="HZ240" s="57">
        <v>2731.21</v>
      </c>
      <c r="IA240" s="57">
        <v>1156.21</v>
      </c>
      <c r="IB240" s="57">
        <v>3200.26</v>
      </c>
      <c r="IC240" s="57">
        <v>1820.15</v>
      </c>
      <c r="ID240" s="57">
        <v>2018.4</v>
      </c>
      <c r="IE240" s="57">
        <v>1545.18</v>
      </c>
      <c r="IF240" s="57">
        <v>2016.46</v>
      </c>
      <c r="IG240" s="57">
        <v>3159.94</v>
      </c>
      <c r="IH240" s="57">
        <v>2601.7800000000002</v>
      </c>
      <c r="II240" s="57">
        <v>4056.71</v>
      </c>
      <c r="IJ240" s="57">
        <v>4458.01</v>
      </c>
      <c r="IK240" s="57">
        <v>2506.38</v>
      </c>
      <c r="IL240" s="57">
        <v>1860.24</v>
      </c>
      <c r="IM240" s="57">
        <v>2714.71</v>
      </c>
      <c r="IN240" s="57">
        <v>3322.4</v>
      </c>
      <c r="IO240" s="57">
        <v>3131.6</v>
      </c>
      <c r="IP240" s="57">
        <v>1591.08</v>
      </c>
      <c r="IQ240" s="57">
        <v>1887.1</v>
      </c>
      <c r="IR240" s="57">
        <v>5569.79</v>
      </c>
      <c r="IS240" s="57">
        <v>6548.27</v>
      </c>
      <c r="IT240" s="57">
        <v>86.9</v>
      </c>
      <c r="IU240" s="57">
        <v>584.17999999999995</v>
      </c>
      <c r="IV240" s="57">
        <v>144.88999999999999</v>
      </c>
      <c r="IW240" s="57">
        <v>274.20999999999998</v>
      </c>
      <c r="IX240" s="57">
        <v>1600.46</v>
      </c>
      <c r="IY240" s="57">
        <v>2381.87</v>
      </c>
      <c r="IZ240" s="57">
        <v>1878.8</v>
      </c>
      <c r="JA240" s="57">
        <v>1062.96</v>
      </c>
      <c r="JB240" s="57">
        <v>459.46</v>
      </c>
      <c r="JC240" s="57">
        <v>4254</v>
      </c>
      <c r="JD240" s="57">
        <v>2092.08</v>
      </c>
      <c r="JE240" s="57">
        <v>4559.42</v>
      </c>
      <c r="JF240" s="57">
        <v>1356.78</v>
      </c>
      <c r="JG240" s="57">
        <v>1231.3699999999999</v>
      </c>
      <c r="JH240" s="57">
        <v>2686.89</v>
      </c>
      <c r="JI240" s="57">
        <v>4084.43</v>
      </c>
      <c r="JJ240" s="57">
        <v>2688.73</v>
      </c>
      <c r="JK240" s="57">
        <v>3070.49</v>
      </c>
      <c r="JL240" s="57">
        <v>2445.44</v>
      </c>
      <c r="JM240" s="57">
        <v>2097.75</v>
      </c>
      <c r="JN240" s="57">
        <v>1466.3</v>
      </c>
      <c r="JO240" s="57">
        <v>1765.49</v>
      </c>
      <c r="JP240" s="57">
        <v>5875.53</v>
      </c>
      <c r="JQ240" s="57">
        <v>3533.15</v>
      </c>
      <c r="JR240" s="57">
        <v>2612.7199999999998</v>
      </c>
      <c r="JS240" s="57">
        <v>1002.75</v>
      </c>
      <c r="JT240" s="57">
        <v>4049.93</v>
      </c>
      <c r="JU240" s="57">
        <v>2863.72</v>
      </c>
      <c r="JV240" s="57">
        <v>876.67</v>
      </c>
      <c r="JW240" s="57">
        <v>1363.68</v>
      </c>
      <c r="JX240" s="57">
        <v>11707.84</v>
      </c>
      <c r="JY240" s="57">
        <v>909.43</v>
      </c>
      <c r="JZ240" s="57">
        <v>1890.79</v>
      </c>
      <c r="KA240" s="57">
        <v>3264.54</v>
      </c>
      <c r="KB240" s="57">
        <v>2097.83</v>
      </c>
      <c r="KC240" s="57">
        <v>1685.18</v>
      </c>
      <c r="KD240" s="57">
        <v>3706.4</v>
      </c>
      <c r="KE240" s="57">
        <v>223.11</v>
      </c>
      <c r="KF240" s="57">
        <v>3383.45</v>
      </c>
    </row>
    <row r="241" spans="1:292">
      <c r="A241" s="41">
        <v>2024</v>
      </c>
      <c r="B241" s="54" t="s">
        <v>991</v>
      </c>
      <c r="C241" s="50" t="s">
        <v>992</v>
      </c>
      <c r="D241" s="57">
        <v>2453.34</v>
      </c>
      <c r="E241" s="57">
        <v>3374.74</v>
      </c>
      <c r="F241" s="57">
        <v>3962.5</v>
      </c>
      <c r="G241" s="57">
        <v>634.61</v>
      </c>
      <c r="H241" s="57">
        <v>2632.54</v>
      </c>
      <c r="I241" s="57">
        <v>2151.64</v>
      </c>
      <c r="J241" s="57">
        <v>1488.04</v>
      </c>
      <c r="K241" s="57">
        <v>2677.78</v>
      </c>
      <c r="L241" s="57">
        <v>441.96</v>
      </c>
      <c r="M241" s="57">
        <v>1237.44</v>
      </c>
      <c r="N241" s="57">
        <v>2140.36</v>
      </c>
      <c r="O241" s="57">
        <v>4989.92</v>
      </c>
      <c r="P241" s="57">
        <v>3231.36</v>
      </c>
      <c r="Q241" s="57">
        <v>3425.67</v>
      </c>
      <c r="R241" s="57">
        <v>2710.57</v>
      </c>
      <c r="S241" s="57">
        <v>6255.02</v>
      </c>
      <c r="T241" s="57">
        <v>3827.57</v>
      </c>
      <c r="U241" s="57">
        <v>613.47</v>
      </c>
      <c r="V241" s="57">
        <v>694.86</v>
      </c>
      <c r="W241" s="57">
        <v>3335.71</v>
      </c>
      <c r="X241" s="57">
        <v>2726.16</v>
      </c>
      <c r="Y241" s="57">
        <v>2109.02</v>
      </c>
      <c r="Z241" s="57">
        <v>2205.54</v>
      </c>
      <c r="AA241" s="57">
        <v>2585.83</v>
      </c>
      <c r="AB241" s="57">
        <v>1736.76</v>
      </c>
      <c r="AC241" s="57">
        <v>2045.73</v>
      </c>
      <c r="AD241" s="57">
        <v>1725.71</v>
      </c>
      <c r="AE241" s="57">
        <v>1890.53</v>
      </c>
      <c r="AF241" s="57">
        <v>1836.94</v>
      </c>
      <c r="AG241" s="57">
        <v>1246.7</v>
      </c>
      <c r="AH241" s="57">
        <v>1344.26</v>
      </c>
      <c r="AI241" s="57">
        <v>3282.27</v>
      </c>
      <c r="AJ241" s="57">
        <v>2000.42</v>
      </c>
      <c r="AK241" s="57">
        <v>2935.24</v>
      </c>
      <c r="AL241" s="57">
        <v>3206.23</v>
      </c>
      <c r="AM241" s="57">
        <v>6548.27</v>
      </c>
      <c r="AN241" s="57">
        <v>87.46</v>
      </c>
      <c r="AO241" s="57">
        <v>587.75</v>
      </c>
      <c r="AP241" s="57">
        <v>242.24</v>
      </c>
      <c r="AQ241" s="57">
        <v>2444.96</v>
      </c>
      <c r="AR241" s="57">
        <v>1887.04</v>
      </c>
      <c r="AS241" s="57">
        <v>1887.76</v>
      </c>
      <c r="AT241" s="57">
        <v>2835.55</v>
      </c>
      <c r="AU241" s="57">
        <v>3056.1</v>
      </c>
      <c r="AV241" s="57">
        <v>2502.15</v>
      </c>
      <c r="AW241" s="57">
        <v>2137.66</v>
      </c>
      <c r="AX241" s="57">
        <v>2099.73</v>
      </c>
      <c r="AY241" s="57">
        <v>1824.82</v>
      </c>
      <c r="AZ241" s="57">
        <v>5377.31</v>
      </c>
      <c r="BA241" s="57">
        <v>2138.0500000000002</v>
      </c>
      <c r="BB241" s="57">
        <v>1759.2</v>
      </c>
      <c r="BC241" s="57">
        <v>7292.98</v>
      </c>
      <c r="BD241" s="57">
        <v>3364.52</v>
      </c>
      <c r="BE241" s="57">
        <v>3566.73</v>
      </c>
      <c r="BF241" s="57">
        <v>223.11</v>
      </c>
      <c r="BG241" s="57">
        <v>3395.09</v>
      </c>
      <c r="BH241" s="57">
        <v>3322.93</v>
      </c>
      <c r="BI241" s="57">
        <v>4441.84</v>
      </c>
      <c r="BJ241" s="57">
        <v>2613.4</v>
      </c>
      <c r="BK241" s="57">
        <v>3076.01</v>
      </c>
      <c r="BL241" s="57">
        <v>2836.2</v>
      </c>
      <c r="BM241" s="57">
        <v>2916.19</v>
      </c>
      <c r="BN241" s="57">
        <v>3469.38</v>
      </c>
      <c r="BO241" s="57">
        <v>2160.5500000000002</v>
      </c>
      <c r="BP241" s="57">
        <v>3667.24</v>
      </c>
      <c r="BQ241" s="57">
        <v>2744.69</v>
      </c>
      <c r="BR241" s="57">
        <v>2672.47</v>
      </c>
      <c r="BS241" s="57">
        <v>6398.41</v>
      </c>
      <c r="BT241" s="57">
        <v>3854.38</v>
      </c>
      <c r="BU241" s="57">
        <v>6200.97</v>
      </c>
      <c r="BV241" s="57">
        <v>3827.57</v>
      </c>
      <c r="BW241" s="57">
        <v>558.4</v>
      </c>
      <c r="BX241" s="57">
        <v>1284.8</v>
      </c>
      <c r="BY241" s="57">
        <v>3639</v>
      </c>
      <c r="BZ241" s="57">
        <v>686.82</v>
      </c>
      <c r="CA241" s="57">
        <v>3620.07</v>
      </c>
      <c r="CB241" s="58">
        <v>3335.71</v>
      </c>
      <c r="CC241" s="57">
        <v>2726.16</v>
      </c>
      <c r="CD241" s="57">
        <v>2100.88</v>
      </c>
      <c r="CE241" s="57">
        <v>1438.81</v>
      </c>
      <c r="CF241" s="57">
        <v>2748.55</v>
      </c>
      <c r="CG241" s="57">
        <v>2213.0700000000002</v>
      </c>
      <c r="CH241" s="57">
        <v>2725.99</v>
      </c>
      <c r="CI241" s="57">
        <v>1645.94</v>
      </c>
      <c r="CJ241" s="57">
        <v>1736.76</v>
      </c>
      <c r="CK241" s="57">
        <v>1916.13</v>
      </c>
      <c r="CL241" s="57">
        <v>1580.76</v>
      </c>
      <c r="CM241" s="57">
        <v>4278.3599999999997</v>
      </c>
      <c r="CN241" s="57">
        <v>1725.71</v>
      </c>
      <c r="CO241" s="57">
        <v>1890.53</v>
      </c>
      <c r="CP241" s="57">
        <v>1427.39</v>
      </c>
      <c r="CQ241" s="57">
        <v>3814.1</v>
      </c>
      <c r="CR241" s="57">
        <v>1443.54</v>
      </c>
      <c r="CS241" s="57">
        <v>1015.7</v>
      </c>
      <c r="CT241" s="57">
        <v>998.21</v>
      </c>
      <c r="CU241" s="57">
        <v>338.47</v>
      </c>
      <c r="CV241" s="57">
        <v>2778.46</v>
      </c>
      <c r="CW241" s="57">
        <v>1305.6600000000001</v>
      </c>
      <c r="CX241" s="57">
        <v>3282.27</v>
      </c>
      <c r="CY241" s="57">
        <v>2015.31</v>
      </c>
      <c r="CZ241" s="57">
        <v>1532.94</v>
      </c>
      <c r="DA241" s="57">
        <v>2015.85</v>
      </c>
      <c r="DB241" s="57">
        <v>3262.89</v>
      </c>
      <c r="DC241" s="57">
        <v>2567.31</v>
      </c>
      <c r="DD241" s="57">
        <v>4257.6400000000003</v>
      </c>
      <c r="DE241" s="57">
        <v>4609.8900000000003</v>
      </c>
      <c r="DF241" s="57">
        <v>2682.06</v>
      </c>
      <c r="DG241" s="57">
        <v>3109.28</v>
      </c>
      <c r="DH241" s="57">
        <v>2252.37</v>
      </c>
      <c r="DI241" s="57">
        <v>1839.45</v>
      </c>
      <c r="DJ241" s="57">
        <v>5782.08</v>
      </c>
      <c r="DK241" s="57">
        <v>6548.27</v>
      </c>
      <c r="DL241" s="57">
        <v>87.46</v>
      </c>
      <c r="DM241" s="57">
        <v>587.75</v>
      </c>
      <c r="DN241" s="57">
        <v>145.05000000000001</v>
      </c>
      <c r="DO241" s="57">
        <v>267.81</v>
      </c>
      <c r="DP241" s="57">
        <v>1645.13</v>
      </c>
      <c r="DQ241" s="57">
        <v>2444.96</v>
      </c>
      <c r="DR241" s="57">
        <v>1950.51</v>
      </c>
      <c r="DS241" s="57">
        <v>1081.55</v>
      </c>
      <c r="DT241" s="57">
        <v>458</v>
      </c>
      <c r="DU241" s="57">
        <v>4495.04</v>
      </c>
      <c r="DV241" s="57">
        <v>2160.5</v>
      </c>
      <c r="DW241" s="57">
        <v>1685.69</v>
      </c>
      <c r="DX241" s="57">
        <v>1706.39</v>
      </c>
      <c r="DY241" s="57">
        <v>2843.79</v>
      </c>
      <c r="DZ241" s="57">
        <v>4365.51</v>
      </c>
      <c r="EA241" s="57">
        <v>2747.86</v>
      </c>
      <c r="EB241" s="57">
        <v>3056.1</v>
      </c>
      <c r="EC241" s="57">
        <v>2502.15</v>
      </c>
      <c r="ED241" s="57">
        <v>2137.66</v>
      </c>
      <c r="EE241" s="57">
        <v>2099.73</v>
      </c>
      <c r="EF241" s="57">
        <v>1824.82</v>
      </c>
      <c r="EG241" s="57">
        <v>5377.31</v>
      </c>
      <c r="EH241" s="57">
        <v>2138.0500000000002</v>
      </c>
      <c r="EI241" s="57">
        <v>3529.46</v>
      </c>
      <c r="EJ241" s="57">
        <v>916.76</v>
      </c>
      <c r="EK241" s="57">
        <v>1377.1</v>
      </c>
      <c r="EL241" s="57">
        <v>12160.41</v>
      </c>
      <c r="EM241" s="57">
        <v>1364.63</v>
      </c>
      <c r="EN241" s="57">
        <v>3364.52</v>
      </c>
      <c r="EO241" s="57">
        <v>2124.2199999999998</v>
      </c>
      <c r="EP241" s="57">
        <v>1854.24</v>
      </c>
      <c r="EQ241" s="57">
        <v>3813.43</v>
      </c>
      <c r="ER241" s="57">
        <v>223.11</v>
      </c>
      <c r="ES241" s="57">
        <v>3395.09</v>
      </c>
      <c r="ET241" s="57">
        <v>3688.99</v>
      </c>
      <c r="EU241" s="57">
        <v>2601.79</v>
      </c>
      <c r="EV241" s="57">
        <v>3293</v>
      </c>
      <c r="EW241" s="57">
        <v>3524.29</v>
      </c>
      <c r="EX241" s="57">
        <v>3252.59</v>
      </c>
      <c r="EY241" s="57">
        <v>1559.1</v>
      </c>
      <c r="EZ241" s="57">
        <v>4783.5</v>
      </c>
      <c r="FA241" s="57">
        <v>5343.67</v>
      </c>
      <c r="FB241" s="57">
        <v>3277.13</v>
      </c>
      <c r="FC241" s="57">
        <v>6430.08</v>
      </c>
      <c r="FD241" s="57">
        <v>3487.05</v>
      </c>
      <c r="FE241" s="57">
        <v>2628.18</v>
      </c>
      <c r="FF241" s="57">
        <v>542.48</v>
      </c>
      <c r="FG241" s="57">
        <v>2957.84</v>
      </c>
      <c r="FH241" s="57">
        <v>2717.47</v>
      </c>
      <c r="FI241" s="57">
        <v>3405.81</v>
      </c>
      <c r="FJ241" s="57">
        <v>2945.59</v>
      </c>
      <c r="FK241" s="57">
        <v>5215.97</v>
      </c>
      <c r="FL241" s="57">
        <v>3072.88</v>
      </c>
      <c r="FM241" s="57">
        <v>2447.8200000000002</v>
      </c>
      <c r="FN241" s="57">
        <v>2476.9699999999998</v>
      </c>
      <c r="FO241" s="57">
        <v>5114.45</v>
      </c>
      <c r="FP241" s="57">
        <v>3337.47</v>
      </c>
      <c r="FQ241" s="57">
        <v>2739.06</v>
      </c>
      <c r="FR241" s="57">
        <v>4742.1400000000003</v>
      </c>
      <c r="FS241" s="57">
        <v>3221.27</v>
      </c>
      <c r="FT241" s="57">
        <v>1322.9</v>
      </c>
      <c r="FU241" s="57">
        <v>3006.7</v>
      </c>
      <c r="FV241" s="57">
        <v>2892.41</v>
      </c>
      <c r="FW241" s="57">
        <v>1333.28</v>
      </c>
      <c r="FX241" s="57">
        <v>3667.24</v>
      </c>
      <c r="FY241" s="57">
        <v>3600.61</v>
      </c>
      <c r="FZ241" s="57">
        <v>2527.31</v>
      </c>
      <c r="GA241" s="57">
        <v>3156.93</v>
      </c>
      <c r="GB241" s="57">
        <v>2510.2600000000002</v>
      </c>
      <c r="GC241" s="57">
        <v>3051.15</v>
      </c>
      <c r="GD241" s="57">
        <v>2327.63</v>
      </c>
      <c r="GE241" s="57">
        <v>6398.41</v>
      </c>
      <c r="GF241" s="57">
        <v>3854.38</v>
      </c>
      <c r="GG241" s="57">
        <v>6200.97</v>
      </c>
      <c r="GH241" s="57">
        <v>3821.15</v>
      </c>
      <c r="GI241" s="57">
        <v>749.66</v>
      </c>
      <c r="GJ241" s="57">
        <v>454.04</v>
      </c>
      <c r="GK241" s="57">
        <v>491.71</v>
      </c>
      <c r="GL241" s="57">
        <v>549.57000000000005</v>
      </c>
      <c r="GM241" s="57">
        <v>1284.8</v>
      </c>
      <c r="GN241" s="57">
        <v>3639</v>
      </c>
      <c r="GO241" s="57">
        <v>772.44</v>
      </c>
      <c r="GP241" s="57">
        <v>603.91</v>
      </c>
      <c r="GQ241" s="57">
        <v>677.53</v>
      </c>
      <c r="GR241" s="57">
        <v>3620.07</v>
      </c>
      <c r="GS241" s="57">
        <v>3335.71</v>
      </c>
      <c r="GT241" s="57">
        <v>2726.16</v>
      </c>
      <c r="GU241" s="57">
        <v>2100.88</v>
      </c>
      <c r="GV241" s="57">
        <v>1438.81</v>
      </c>
      <c r="GW241" s="57">
        <v>2351.83</v>
      </c>
      <c r="GX241" s="57">
        <v>3350.57</v>
      </c>
      <c r="GY241" s="57">
        <v>2213.0700000000002</v>
      </c>
      <c r="GZ241" s="57">
        <v>3537.74</v>
      </c>
      <c r="HA241" s="57">
        <v>2619.77</v>
      </c>
      <c r="HB241" s="57">
        <v>2620.71</v>
      </c>
      <c r="HC241" s="57">
        <v>1645.94</v>
      </c>
      <c r="HD241" s="57">
        <v>1736.76</v>
      </c>
      <c r="HE241" s="57">
        <v>1646.35</v>
      </c>
      <c r="HF241" s="57">
        <v>1914.75</v>
      </c>
      <c r="HG241" s="57">
        <v>2461.52</v>
      </c>
      <c r="HH241" s="57">
        <v>2381.73</v>
      </c>
      <c r="HI241" s="57">
        <v>1042.04</v>
      </c>
      <c r="HJ241" s="57">
        <v>1580.76</v>
      </c>
      <c r="HK241" s="57">
        <v>4278.3599999999997</v>
      </c>
      <c r="HL241" s="57">
        <v>1711.42</v>
      </c>
      <c r="HM241" s="57">
        <v>1884.04</v>
      </c>
      <c r="HN241" s="57">
        <v>1741.86</v>
      </c>
      <c r="HO241" s="57">
        <v>1187.26</v>
      </c>
      <c r="HP241" s="57">
        <v>3030.01</v>
      </c>
      <c r="HQ241" s="57">
        <v>1330.66</v>
      </c>
      <c r="HR241" s="57">
        <v>2076.5100000000002</v>
      </c>
      <c r="HS241" s="57">
        <v>3625.98</v>
      </c>
      <c r="HT241" s="57">
        <v>3249.19</v>
      </c>
      <c r="HU241" s="57">
        <v>1443.54</v>
      </c>
      <c r="HV241" s="57">
        <v>1015.7</v>
      </c>
      <c r="HW241" s="57">
        <v>892.36</v>
      </c>
      <c r="HX241" s="57">
        <v>1078.05</v>
      </c>
      <c r="HY241" s="57">
        <v>338.47</v>
      </c>
      <c r="HZ241" s="57">
        <v>2778.46</v>
      </c>
      <c r="IA241" s="57">
        <v>1192.5899999999999</v>
      </c>
      <c r="IB241" s="57">
        <v>3282.27</v>
      </c>
      <c r="IC241" s="57">
        <v>1833.24</v>
      </c>
      <c r="ID241" s="57">
        <v>2069.8000000000002</v>
      </c>
      <c r="IE241" s="57">
        <v>1532.94</v>
      </c>
      <c r="IF241" s="57">
        <v>2015.85</v>
      </c>
      <c r="IG241" s="57">
        <v>3262.89</v>
      </c>
      <c r="IH241" s="57">
        <v>2567.31</v>
      </c>
      <c r="II241" s="57">
        <v>4257.6400000000003</v>
      </c>
      <c r="IJ241" s="57">
        <v>4609.8900000000003</v>
      </c>
      <c r="IK241" s="57">
        <v>2955</v>
      </c>
      <c r="IL241" s="57">
        <v>2081.59</v>
      </c>
      <c r="IM241" s="57">
        <v>2921.2</v>
      </c>
      <c r="IN241" s="57">
        <v>3569.45</v>
      </c>
      <c r="IO241" s="57">
        <v>3209.61</v>
      </c>
      <c r="IP241" s="57">
        <v>2252.37</v>
      </c>
      <c r="IQ241" s="57">
        <v>1839.45</v>
      </c>
      <c r="IR241" s="57">
        <v>5782.08</v>
      </c>
      <c r="IS241" s="57">
        <v>6548.27</v>
      </c>
      <c r="IT241" s="57">
        <v>87.46</v>
      </c>
      <c r="IU241" s="57">
        <v>587.75</v>
      </c>
      <c r="IV241" s="57">
        <v>145.08000000000001</v>
      </c>
      <c r="IW241" s="57">
        <v>267.81</v>
      </c>
      <c r="IX241" s="57">
        <v>1645.13</v>
      </c>
      <c r="IY241" s="57">
        <v>2444.96</v>
      </c>
      <c r="IZ241" s="57">
        <v>1950.51</v>
      </c>
      <c r="JA241" s="57">
        <v>1081.55</v>
      </c>
      <c r="JB241" s="57">
        <v>458</v>
      </c>
      <c r="JC241" s="57">
        <v>4495.04</v>
      </c>
      <c r="JD241" s="57">
        <v>2160.5</v>
      </c>
      <c r="JE241" s="57">
        <v>4787.05</v>
      </c>
      <c r="JF241" s="57">
        <v>1401.62</v>
      </c>
      <c r="JG241" s="57">
        <v>1706.39</v>
      </c>
      <c r="JH241" s="57">
        <v>2843.79</v>
      </c>
      <c r="JI241" s="57">
        <v>4365.51</v>
      </c>
      <c r="JJ241" s="57">
        <v>2747.86</v>
      </c>
      <c r="JK241" s="57">
        <v>3056.1</v>
      </c>
      <c r="JL241" s="57">
        <v>2502.15</v>
      </c>
      <c r="JM241" s="57">
        <v>2137.66</v>
      </c>
      <c r="JN241" s="57">
        <v>2099.73</v>
      </c>
      <c r="JO241" s="57">
        <v>1824.82</v>
      </c>
      <c r="JP241" s="57">
        <v>5980.87</v>
      </c>
      <c r="JQ241" s="57">
        <v>3618.5</v>
      </c>
      <c r="JR241" s="57">
        <v>2717.46</v>
      </c>
      <c r="JS241" s="57">
        <v>1010.27</v>
      </c>
      <c r="JT241" s="57">
        <v>4184.1099999999997</v>
      </c>
      <c r="JU241" s="57">
        <v>2971.33</v>
      </c>
      <c r="JV241" s="57">
        <v>916.76</v>
      </c>
      <c r="JW241" s="57">
        <v>1377.1</v>
      </c>
      <c r="JX241" s="57">
        <v>12160.41</v>
      </c>
      <c r="JY241" s="57">
        <v>940.89</v>
      </c>
      <c r="JZ241" s="57">
        <v>1953.99</v>
      </c>
      <c r="KA241" s="57">
        <v>3364.52</v>
      </c>
      <c r="KB241" s="57">
        <v>2124.2199999999998</v>
      </c>
      <c r="KC241" s="57">
        <v>1854.24</v>
      </c>
      <c r="KD241" s="57">
        <v>3813.43</v>
      </c>
      <c r="KE241" s="57">
        <v>223.11</v>
      </c>
      <c r="KF241" s="57">
        <v>3395.09</v>
      </c>
    </row>
    <row r="242" spans="1:292">
      <c r="A242" s="41">
        <v>2024</v>
      </c>
      <c r="B242" s="54" t="s">
        <v>993</v>
      </c>
      <c r="C242" s="50" t="s">
        <v>994</v>
      </c>
      <c r="D242" s="57">
        <v>2526.16</v>
      </c>
      <c r="E242" s="57">
        <v>3458.59</v>
      </c>
      <c r="F242" s="57">
        <v>4127.41</v>
      </c>
      <c r="G242" s="57">
        <v>657.67</v>
      </c>
      <c r="H242" s="57">
        <v>2734.12</v>
      </c>
      <c r="I242" s="57">
        <v>2194.21</v>
      </c>
      <c r="J242" s="57">
        <v>1510.48</v>
      </c>
      <c r="K242" s="57">
        <v>2743.25</v>
      </c>
      <c r="L242" s="57">
        <v>438.07</v>
      </c>
      <c r="M242" s="57">
        <v>1266.56</v>
      </c>
      <c r="N242" s="57">
        <v>2444.56</v>
      </c>
      <c r="O242" s="57">
        <v>5125.8</v>
      </c>
      <c r="P242" s="57">
        <v>3336.37</v>
      </c>
      <c r="Q242" s="57">
        <v>3513.74</v>
      </c>
      <c r="R242" s="57">
        <v>2745.8</v>
      </c>
      <c r="S242" s="57">
        <v>6197.95</v>
      </c>
      <c r="T242" s="57">
        <v>4005.15</v>
      </c>
      <c r="U242" s="57">
        <v>635.61</v>
      </c>
      <c r="V242" s="57">
        <v>720.68</v>
      </c>
      <c r="W242" s="57">
        <v>3589.99</v>
      </c>
      <c r="X242" s="57">
        <v>2775.58</v>
      </c>
      <c r="Y242" s="57">
        <v>2145.04</v>
      </c>
      <c r="Z242" s="57">
        <v>2231.59</v>
      </c>
      <c r="AA242" s="57">
        <v>2586.1799999999998</v>
      </c>
      <c r="AB242" s="57">
        <v>1762.32</v>
      </c>
      <c r="AC242" s="57">
        <v>2128.33</v>
      </c>
      <c r="AD242" s="57">
        <v>1728.69</v>
      </c>
      <c r="AE242" s="57">
        <v>1925.14</v>
      </c>
      <c r="AF242" s="57">
        <v>1872.7</v>
      </c>
      <c r="AG242" s="57">
        <v>1255.28</v>
      </c>
      <c r="AH242" s="57">
        <v>1370.75</v>
      </c>
      <c r="AI242" s="57">
        <v>3332.12</v>
      </c>
      <c r="AJ242" s="57">
        <v>2049.9499999999998</v>
      </c>
      <c r="AK242" s="57">
        <v>2923.65</v>
      </c>
      <c r="AL242" s="57">
        <v>3427.09</v>
      </c>
      <c r="AM242" s="57">
        <v>6548.27</v>
      </c>
      <c r="AN242" s="57">
        <v>84.02</v>
      </c>
      <c r="AO242" s="57">
        <v>589.71</v>
      </c>
      <c r="AP242" s="57">
        <v>244.43</v>
      </c>
      <c r="AQ242" s="57">
        <v>2479.5300000000002</v>
      </c>
      <c r="AR242" s="57">
        <v>1938.63</v>
      </c>
      <c r="AS242" s="57">
        <v>1960.37</v>
      </c>
      <c r="AT242" s="57">
        <v>2893.6</v>
      </c>
      <c r="AU242" s="57">
        <v>3065.1</v>
      </c>
      <c r="AV242" s="57">
        <v>2539.16</v>
      </c>
      <c r="AW242" s="57">
        <v>2161.2600000000002</v>
      </c>
      <c r="AX242" s="57">
        <v>3050.38</v>
      </c>
      <c r="AY242" s="57">
        <v>1921.93</v>
      </c>
      <c r="AZ242" s="57">
        <v>5478.55</v>
      </c>
      <c r="BA242" s="57">
        <v>2383.09</v>
      </c>
      <c r="BB242" s="57">
        <v>1799.36</v>
      </c>
      <c r="BC242" s="57">
        <v>7452.61</v>
      </c>
      <c r="BD242" s="57">
        <v>4167.42</v>
      </c>
      <c r="BE242" s="57">
        <v>3662.16</v>
      </c>
      <c r="BF242" s="57">
        <v>223.11</v>
      </c>
      <c r="BG242" s="57">
        <v>3406.28</v>
      </c>
      <c r="BH242" s="57">
        <v>3365.54</v>
      </c>
      <c r="BI242" s="57">
        <v>4501.67</v>
      </c>
      <c r="BJ242" s="57">
        <v>3072.47</v>
      </c>
      <c r="BK242" s="57">
        <v>3251.73</v>
      </c>
      <c r="BL242" s="57">
        <v>2931.72</v>
      </c>
      <c r="BM242" s="57">
        <v>2907.03</v>
      </c>
      <c r="BN242" s="57">
        <v>3626.71</v>
      </c>
      <c r="BO242" s="57">
        <v>2216.35</v>
      </c>
      <c r="BP242" s="57">
        <v>3736.2</v>
      </c>
      <c r="BQ242" s="57">
        <v>2801.81</v>
      </c>
      <c r="BR242" s="57">
        <v>2687.81</v>
      </c>
      <c r="BS242" s="57">
        <v>6296.82</v>
      </c>
      <c r="BT242" s="57">
        <v>3937.88</v>
      </c>
      <c r="BU242" s="57">
        <v>6151.81</v>
      </c>
      <c r="BV242" s="57">
        <v>4005.15</v>
      </c>
      <c r="BW242" s="57">
        <v>578.65</v>
      </c>
      <c r="BX242" s="57">
        <v>1327.84</v>
      </c>
      <c r="BY242" s="57">
        <v>3767.02</v>
      </c>
      <c r="BZ242" s="57">
        <v>712.22</v>
      </c>
      <c r="CA242" s="57">
        <v>3836.1</v>
      </c>
      <c r="CB242" s="58">
        <v>3589.99</v>
      </c>
      <c r="CC242" s="57">
        <v>2775.58</v>
      </c>
      <c r="CD242" s="57">
        <v>2136.7600000000002</v>
      </c>
      <c r="CE242" s="57">
        <v>1438.81</v>
      </c>
      <c r="CF242" s="57">
        <v>2789.14</v>
      </c>
      <c r="CG242" s="57">
        <v>2271.6799999999998</v>
      </c>
      <c r="CH242" s="57">
        <v>2705.95</v>
      </c>
      <c r="CI242" s="57">
        <v>1829.82</v>
      </c>
      <c r="CJ242" s="57">
        <v>1762.32</v>
      </c>
      <c r="CK242" s="57">
        <v>1990.04</v>
      </c>
      <c r="CL242" s="57">
        <v>1687.69</v>
      </c>
      <c r="CM242" s="57">
        <v>4396.72</v>
      </c>
      <c r="CN242" s="57">
        <v>1728.69</v>
      </c>
      <c r="CO242" s="57">
        <v>1925.14</v>
      </c>
      <c r="CP242" s="57">
        <v>1434.2</v>
      </c>
      <c r="CQ242" s="57">
        <v>4025.97</v>
      </c>
      <c r="CR242" s="57">
        <v>1445.36</v>
      </c>
      <c r="CS242" s="57">
        <v>1003.24</v>
      </c>
      <c r="CT242" s="57">
        <v>1018.52</v>
      </c>
      <c r="CU242" s="57">
        <v>339.47</v>
      </c>
      <c r="CV242" s="57">
        <v>2846.42</v>
      </c>
      <c r="CW242" s="57">
        <v>1338.27</v>
      </c>
      <c r="CX242" s="57">
        <v>3332.12</v>
      </c>
      <c r="CY242" s="57">
        <v>2069.02</v>
      </c>
      <c r="CZ242" s="57">
        <v>1506.5</v>
      </c>
      <c r="DA242" s="57">
        <v>2027.1</v>
      </c>
      <c r="DB242" s="57">
        <v>3327.88</v>
      </c>
      <c r="DC242" s="57">
        <v>2526.71</v>
      </c>
      <c r="DD242" s="57">
        <v>4365.72</v>
      </c>
      <c r="DE242" s="57">
        <v>4556.78</v>
      </c>
      <c r="DF242" s="57">
        <v>2682.06</v>
      </c>
      <c r="DG242" s="57">
        <v>3380.64</v>
      </c>
      <c r="DH242" s="57">
        <v>2176.62</v>
      </c>
      <c r="DI242" s="57">
        <v>1830.99</v>
      </c>
      <c r="DJ242" s="57">
        <v>5930.49</v>
      </c>
      <c r="DK242" s="57">
        <v>6548.27</v>
      </c>
      <c r="DL242" s="57">
        <v>84.02</v>
      </c>
      <c r="DM242" s="57">
        <v>589.71</v>
      </c>
      <c r="DN242" s="57">
        <v>143.46</v>
      </c>
      <c r="DO242" s="57">
        <v>282.04000000000002</v>
      </c>
      <c r="DP242" s="57">
        <v>1665.07</v>
      </c>
      <c r="DQ242" s="57">
        <v>2479.5300000000002</v>
      </c>
      <c r="DR242" s="57">
        <v>2004.2</v>
      </c>
      <c r="DS242" s="57">
        <v>1062.53</v>
      </c>
      <c r="DT242" s="57">
        <v>483.56</v>
      </c>
      <c r="DU242" s="57">
        <v>4530.8900000000003</v>
      </c>
      <c r="DV242" s="57">
        <v>2252.91</v>
      </c>
      <c r="DW242" s="57">
        <v>1746.11</v>
      </c>
      <c r="DX242" s="57">
        <v>1706.39</v>
      </c>
      <c r="DY242" s="57">
        <v>2905.71</v>
      </c>
      <c r="DZ242" s="57">
        <v>4691.1499999999996</v>
      </c>
      <c r="EA242" s="57">
        <v>2762.65</v>
      </c>
      <c r="EB242" s="57">
        <v>3065.1</v>
      </c>
      <c r="EC242" s="57">
        <v>2539.16</v>
      </c>
      <c r="ED242" s="57">
        <v>2161.2600000000002</v>
      </c>
      <c r="EE242" s="57">
        <v>3050.38</v>
      </c>
      <c r="EF242" s="57">
        <v>1921.93</v>
      </c>
      <c r="EG242" s="57">
        <v>5478.55</v>
      </c>
      <c r="EH242" s="57">
        <v>2383.09</v>
      </c>
      <c r="EI242" s="57">
        <v>3650.08</v>
      </c>
      <c r="EJ242" s="57">
        <v>935.84</v>
      </c>
      <c r="EK242" s="57">
        <v>1402.2</v>
      </c>
      <c r="EL242" s="57">
        <v>12680.45</v>
      </c>
      <c r="EM242" s="57">
        <v>1354.22</v>
      </c>
      <c r="EN242" s="57">
        <v>4167.42</v>
      </c>
      <c r="EO242" s="57">
        <v>2151.7399999999998</v>
      </c>
      <c r="EP242" s="57">
        <v>1937.96</v>
      </c>
      <c r="EQ242" s="57">
        <v>3912.74</v>
      </c>
      <c r="ER242" s="57">
        <v>223.11</v>
      </c>
      <c r="ES242" s="57">
        <v>3406.28</v>
      </c>
      <c r="ET242" s="57">
        <v>3672.82</v>
      </c>
      <c r="EU242" s="57">
        <v>2590.9899999999998</v>
      </c>
      <c r="EV242" s="57">
        <v>3350.15</v>
      </c>
      <c r="EW242" s="57">
        <v>3595.22</v>
      </c>
      <c r="EX242" s="57">
        <v>3243.6</v>
      </c>
      <c r="EY242" s="57">
        <v>1501.94</v>
      </c>
      <c r="EZ242" s="57">
        <v>4835.83</v>
      </c>
      <c r="FA242" s="57">
        <v>5473.31</v>
      </c>
      <c r="FB242" s="57">
        <v>3319.8</v>
      </c>
      <c r="FC242" s="57">
        <v>6474.71</v>
      </c>
      <c r="FD242" s="57">
        <v>3516.48</v>
      </c>
      <c r="FE242" s="57">
        <v>3118.32</v>
      </c>
      <c r="FF242" s="57">
        <v>582.9</v>
      </c>
      <c r="FG242" s="57">
        <v>2979.51</v>
      </c>
      <c r="FH242" s="57">
        <v>2721.47</v>
      </c>
      <c r="FI242" s="57">
        <v>3429.75</v>
      </c>
      <c r="FJ242" s="57">
        <v>3954.52</v>
      </c>
      <c r="FK242" s="57">
        <v>5250.68</v>
      </c>
      <c r="FL242" s="57">
        <v>3186.74</v>
      </c>
      <c r="FM242" s="57">
        <v>2551.7600000000002</v>
      </c>
      <c r="FN242" s="57">
        <v>2464.0300000000002</v>
      </c>
      <c r="FO242" s="57">
        <v>5126.55</v>
      </c>
      <c r="FP242" s="57">
        <v>3562.38</v>
      </c>
      <c r="FQ242" s="57">
        <v>2664.46</v>
      </c>
      <c r="FR242" s="57">
        <v>4748.0200000000004</v>
      </c>
      <c r="FS242" s="57">
        <v>3282.42</v>
      </c>
      <c r="FT242" s="57">
        <v>1335.19</v>
      </c>
      <c r="FU242" s="57">
        <v>3106.77</v>
      </c>
      <c r="FV242" s="57">
        <v>3005.88</v>
      </c>
      <c r="FW242" s="57">
        <v>1310.58</v>
      </c>
      <c r="FX242" s="57">
        <v>3736.2</v>
      </c>
      <c r="FY242" s="57">
        <v>3690.94</v>
      </c>
      <c r="FZ242" s="57">
        <v>2576.2800000000002</v>
      </c>
      <c r="GA242" s="57">
        <v>3284.09</v>
      </c>
      <c r="GB242" s="57">
        <v>2591.02</v>
      </c>
      <c r="GC242" s="57">
        <v>2991.41</v>
      </c>
      <c r="GD242" s="57">
        <v>2303.7199999999998</v>
      </c>
      <c r="GE242" s="57">
        <v>6296.82</v>
      </c>
      <c r="GF242" s="57">
        <v>3937.88</v>
      </c>
      <c r="GG242" s="57">
        <v>6151.81</v>
      </c>
      <c r="GH242" s="57">
        <v>3998.44</v>
      </c>
      <c r="GI242" s="57">
        <v>765.02</v>
      </c>
      <c r="GJ242" s="57">
        <v>470.26</v>
      </c>
      <c r="GK242" s="57">
        <v>529.16</v>
      </c>
      <c r="GL242" s="57">
        <v>552.24</v>
      </c>
      <c r="GM242" s="57">
        <v>1327.84</v>
      </c>
      <c r="GN242" s="57">
        <v>3767.02</v>
      </c>
      <c r="GO242" s="57">
        <v>796.07</v>
      </c>
      <c r="GP242" s="57">
        <v>629.05999999999995</v>
      </c>
      <c r="GQ242" s="57">
        <v>704.88</v>
      </c>
      <c r="GR242" s="57">
        <v>3836.1</v>
      </c>
      <c r="GS242" s="57">
        <v>3589.99</v>
      </c>
      <c r="GT242" s="57">
        <v>2775.58</v>
      </c>
      <c r="GU242" s="57">
        <v>2136.7600000000002</v>
      </c>
      <c r="GV242" s="57">
        <v>1438.81</v>
      </c>
      <c r="GW242" s="57">
        <v>2366.75</v>
      </c>
      <c r="GX242" s="57">
        <v>3593.48</v>
      </c>
      <c r="GY242" s="57">
        <v>2271.6799999999998</v>
      </c>
      <c r="GZ242" s="57">
        <v>3501.73</v>
      </c>
      <c r="HA242" s="57">
        <v>2576.1799999999998</v>
      </c>
      <c r="HB242" s="57">
        <v>2623.55</v>
      </c>
      <c r="HC242" s="57">
        <v>1829.82</v>
      </c>
      <c r="HD242" s="57">
        <v>1762.32</v>
      </c>
      <c r="HE242" s="57">
        <v>1737.13</v>
      </c>
      <c r="HF242" s="57">
        <v>1965.36</v>
      </c>
      <c r="HG242" s="57">
        <v>2498.08</v>
      </c>
      <c r="HH242" s="57">
        <v>2437.16</v>
      </c>
      <c r="HI242" s="57">
        <v>1108.47</v>
      </c>
      <c r="HJ242" s="57">
        <v>1687.69</v>
      </c>
      <c r="HK242" s="57">
        <v>4396.72</v>
      </c>
      <c r="HL242" s="57">
        <v>1709.9</v>
      </c>
      <c r="HM242" s="57">
        <v>1901.5</v>
      </c>
      <c r="HN242" s="57">
        <v>1746.6</v>
      </c>
      <c r="HO242" s="57">
        <v>1202.54</v>
      </c>
      <c r="HP242" s="57">
        <v>3110.69</v>
      </c>
      <c r="HQ242" s="57">
        <v>1340.9</v>
      </c>
      <c r="HR242" s="57">
        <v>2050.52</v>
      </c>
      <c r="HS242" s="57">
        <v>3837.05</v>
      </c>
      <c r="HT242" s="57">
        <v>3384.9</v>
      </c>
      <c r="HU242" s="57">
        <v>1445.36</v>
      </c>
      <c r="HV242" s="57">
        <v>1003.24</v>
      </c>
      <c r="HW242" s="57">
        <v>911.59</v>
      </c>
      <c r="HX242" s="57">
        <v>1096.98</v>
      </c>
      <c r="HY242" s="57">
        <v>339.47</v>
      </c>
      <c r="HZ242" s="57">
        <v>2846.42</v>
      </c>
      <c r="IA242" s="57">
        <v>1222.3900000000001</v>
      </c>
      <c r="IB242" s="57">
        <v>3332.12</v>
      </c>
      <c r="IC242" s="57">
        <v>1884.86</v>
      </c>
      <c r="ID242" s="57">
        <v>2124.34</v>
      </c>
      <c r="IE242" s="57">
        <v>1506.5</v>
      </c>
      <c r="IF242" s="57">
        <v>2027.1</v>
      </c>
      <c r="IG242" s="57">
        <v>3327.88</v>
      </c>
      <c r="IH242" s="57">
        <v>2526.71</v>
      </c>
      <c r="II242" s="57">
        <v>4365.72</v>
      </c>
      <c r="IJ242" s="57">
        <v>4556.78</v>
      </c>
      <c r="IK242" s="57">
        <v>2955</v>
      </c>
      <c r="IL242" s="57">
        <v>2081.59</v>
      </c>
      <c r="IM242" s="57">
        <v>3293.5</v>
      </c>
      <c r="IN242" s="57">
        <v>3737.75</v>
      </c>
      <c r="IO242" s="57">
        <v>3129.27</v>
      </c>
      <c r="IP242" s="57">
        <v>2176.62</v>
      </c>
      <c r="IQ242" s="57">
        <v>1830.99</v>
      </c>
      <c r="IR242" s="57">
        <v>5930.49</v>
      </c>
      <c r="IS242" s="57">
        <v>6548.27</v>
      </c>
      <c r="IT242" s="57">
        <v>84.02</v>
      </c>
      <c r="IU242" s="57">
        <v>589.71</v>
      </c>
      <c r="IV242" s="57">
        <v>143.49</v>
      </c>
      <c r="IW242" s="57">
        <v>282.04000000000002</v>
      </c>
      <c r="IX242" s="57">
        <v>1665.07</v>
      </c>
      <c r="IY242" s="57">
        <v>2479.5300000000002</v>
      </c>
      <c r="IZ242" s="57">
        <v>2004.2</v>
      </c>
      <c r="JA242" s="57">
        <v>1062.53</v>
      </c>
      <c r="JB242" s="57">
        <v>483.56</v>
      </c>
      <c r="JC242" s="57">
        <v>4530.8900000000003</v>
      </c>
      <c r="JD242" s="57">
        <v>2252.91</v>
      </c>
      <c r="JE242" s="57">
        <v>4967.5200000000004</v>
      </c>
      <c r="JF242" s="57">
        <v>1451.44</v>
      </c>
      <c r="JG242" s="57">
        <v>1706.39</v>
      </c>
      <c r="JH242" s="57">
        <v>2905.71</v>
      </c>
      <c r="JI242" s="57">
        <v>4691.1499999999996</v>
      </c>
      <c r="JJ242" s="57">
        <v>2762.65</v>
      </c>
      <c r="JK242" s="57">
        <v>3065.1</v>
      </c>
      <c r="JL242" s="57">
        <v>2539.16</v>
      </c>
      <c r="JM242" s="57">
        <v>2161.2600000000002</v>
      </c>
      <c r="JN242" s="57">
        <v>3050.38</v>
      </c>
      <c r="JO242" s="57">
        <v>1921.93</v>
      </c>
      <c r="JP242" s="57">
        <v>6087.26</v>
      </c>
      <c r="JQ242" s="57">
        <v>3702.84</v>
      </c>
      <c r="JR242" s="57">
        <v>2713.88</v>
      </c>
      <c r="JS242" s="57">
        <v>1519.43</v>
      </c>
      <c r="JT242" s="57">
        <v>4304.8999999999996</v>
      </c>
      <c r="JU242" s="57">
        <v>3086.51</v>
      </c>
      <c r="JV242" s="57">
        <v>935.84</v>
      </c>
      <c r="JW242" s="57">
        <v>1402.2</v>
      </c>
      <c r="JX242" s="57">
        <v>12680.45</v>
      </c>
      <c r="JY242" s="57">
        <v>964</v>
      </c>
      <c r="JZ242" s="57">
        <v>1869.82</v>
      </c>
      <c r="KA242" s="57">
        <v>4167.42</v>
      </c>
      <c r="KB242" s="57">
        <v>2151.7399999999998</v>
      </c>
      <c r="KC242" s="57">
        <v>1937.96</v>
      </c>
      <c r="KD242" s="57">
        <v>3912.74</v>
      </c>
      <c r="KE242" s="57">
        <v>223.11</v>
      </c>
      <c r="KF242" s="57">
        <v>3406.28</v>
      </c>
    </row>
    <row r="243" spans="1:292">
      <c r="A243" s="41">
        <v>2024</v>
      </c>
      <c r="B243" s="54" t="s">
        <v>995</v>
      </c>
      <c r="C243" s="50" t="s">
        <v>996</v>
      </c>
      <c r="D243" s="57">
        <v>2598.91</v>
      </c>
      <c r="E243" s="57">
        <v>3608.18</v>
      </c>
      <c r="F243" s="57">
        <v>4125.76</v>
      </c>
      <c r="G243" s="57">
        <v>751.82</v>
      </c>
      <c r="H243" s="57">
        <v>2814.23</v>
      </c>
      <c r="I243" s="57">
        <v>2234.0700000000002</v>
      </c>
      <c r="J243" s="57">
        <v>1553.97</v>
      </c>
      <c r="K243" s="57">
        <v>2728.32</v>
      </c>
      <c r="L243" s="57">
        <v>453.51</v>
      </c>
      <c r="M243" s="57">
        <v>1274.4100000000001</v>
      </c>
      <c r="N243" s="57">
        <v>2452.54</v>
      </c>
      <c r="O243" s="57">
        <v>5199.55</v>
      </c>
      <c r="P243" s="57">
        <v>3403.92</v>
      </c>
      <c r="Q243" s="57">
        <v>3662.54</v>
      </c>
      <c r="R243" s="57">
        <v>2899.01</v>
      </c>
      <c r="S243" s="57">
        <v>6167.58</v>
      </c>
      <c r="T243" s="57">
        <v>4005.15</v>
      </c>
      <c r="U243" s="57">
        <v>736.54</v>
      </c>
      <c r="V243" s="57">
        <v>783.89</v>
      </c>
      <c r="W243" s="57">
        <v>3787.55</v>
      </c>
      <c r="X243" s="57">
        <v>2805.25</v>
      </c>
      <c r="Y243" s="57">
        <v>2173.5100000000002</v>
      </c>
      <c r="Z243" s="57">
        <v>2255.9</v>
      </c>
      <c r="AA243" s="57">
        <v>2687.06</v>
      </c>
      <c r="AB243" s="57">
        <v>1807.87</v>
      </c>
      <c r="AC243" s="57">
        <v>2157.46</v>
      </c>
      <c r="AD243" s="57">
        <v>1758.99</v>
      </c>
      <c r="AE243" s="57">
        <v>1936.42</v>
      </c>
      <c r="AF243" s="57">
        <v>1879.32</v>
      </c>
      <c r="AG243" s="57">
        <v>1350.23</v>
      </c>
      <c r="AH243" s="57">
        <v>1387.07</v>
      </c>
      <c r="AI243" s="57">
        <v>3354.24</v>
      </c>
      <c r="AJ243" s="57">
        <v>2019.22</v>
      </c>
      <c r="AK243" s="57">
        <v>2978.49</v>
      </c>
      <c r="AL243" s="57">
        <v>3357.13</v>
      </c>
      <c r="AM243" s="57">
        <v>6548.27</v>
      </c>
      <c r="AN243" s="57">
        <v>91.46</v>
      </c>
      <c r="AO243" s="57">
        <v>598.55999999999995</v>
      </c>
      <c r="AP243" s="57">
        <v>250.48</v>
      </c>
      <c r="AQ243" s="57">
        <v>2502.46</v>
      </c>
      <c r="AR243" s="57">
        <v>1835.84</v>
      </c>
      <c r="AS243" s="57">
        <v>1989.14</v>
      </c>
      <c r="AT243" s="57">
        <v>2947.61</v>
      </c>
      <c r="AU243" s="57">
        <v>3075.41</v>
      </c>
      <c r="AV243" s="57">
        <v>2541.3200000000002</v>
      </c>
      <c r="AW243" s="57">
        <v>2163.08</v>
      </c>
      <c r="AX243" s="57">
        <v>3050.38</v>
      </c>
      <c r="AY243" s="57">
        <v>1986.58</v>
      </c>
      <c r="AZ243" s="57">
        <v>5576.97</v>
      </c>
      <c r="BA243" s="57">
        <v>2336.37</v>
      </c>
      <c r="BB243" s="57">
        <v>1817.01</v>
      </c>
      <c r="BC243" s="57">
        <v>7615.44</v>
      </c>
      <c r="BD243" s="57">
        <v>4275.01</v>
      </c>
      <c r="BE243" s="57">
        <v>3767.75</v>
      </c>
      <c r="BF243" s="57">
        <v>223.11</v>
      </c>
      <c r="BG243" s="57">
        <v>3613.57</v>
      </c>
      <c r="BH243" s="57">
        <v>3464.49</v>
      </c>
      <c r="BI243" s="57">
        <v>4465.8599999999997</v>
      </c>
      <c r="BJ243" s="57">
        <v>3247.06</v>
      </c>
      <c r="BK243" s="57">
        <v>3208.46</v>
      </c>
      <c r="BL243" s="57">
        <v>3108.01</v>
      </c>
      <c r="BM243" s="57">
        <v>3178.4</v>
      </c>
      <c r="BN243" s="57">
        <v>4199.17</v>
      </c>
      <c r="BO243" s="57">
        <v>2241.33</v>
      </c>
      <c r="BP243" s="57">
        <v>3810.94</v>
      </c>
      <c r="BQ243" s="57">
        <v>3050.7</v>
      </c>
      <c r="BR243" s="57">
        <v>2754.07</v>
      </c>
      <c r="BS243" s="57">
        <v>6244.57</v>
      </c>
      <c r="BT243" s="57">
        <v>3992.81</v>
      </c>
      <c r="BU243" s="57">
        <v>6120.74</v>
      </c>
      <c r="BV243" s="57">
        <v>4005.15</v>
      </c>
      <c r="BW243" s="57">
        <v>676.74</v>
      </c>
      <c r="BX243" s="57">
        <v>1360</v>
      </c>
      <c r="BY243" s="57">
        <v>3840.9</v>
      </c>
      <c r="BZ243" s="57">
        <v>775.07</v>
      </c>
      <c r="CA243" s="57">
        <v>3916.45</v>
      </c>
      <c r="CB243" s="58">
        <v>3787.55</v>
      </c>
      <c r="CC243" s="57">
        <v>2805.25</v>
      </c>
      <c r="CD243" s="57">
        <v>2165.12</v>
      </c>
      <c r="CE243" s="57">
        <v>1438.81</v>
      </c>
      <c r="CF243" s="57">
        <v>2809.44</v>
      </c>
      <c r="CG243" s="57">
        <v>2407.96</v>
      </c>
      <c r="CH243" s="57">
        <v>2804.34</v>
      </c>
      <c r="CI243" s="57">
        <v>1965.57</v>
      </c>
      <c r="CJ243" s="57">
        <v>1807.87</v>
      </c>
      <c r="CK243" s="57">
        <v>2020.34</v>
      </c>
      <c r="CL243" s="57">
        <v>1668.58</v>
      </c>
      <c r="CM243" s="57">
        <v>4517.8</v>
      </c>
      <c r="CN243" s="57">
        <v>1758.99</v>
      </c>
      <c r="CO243" s="57">
        <v>1936.42</v>
      </c>
      <c r="CP243" s="57">
        <v>1421.99</v>
      </c>
      <c r="CQ243" s="57">
        <v>4153.5200000000004</v>
      </c>
      <c r="CR243" s="57">
        <v>1603.92</v>
      </c>
      <c r="CS243" s="57">
        <v>1053.48</v>
      </c>
      <c r="CT243" s="57">
        <v>1046.33</v>
      </c>
      <c r="CU243" s="57">
        <v>340.1</v>
      </c>
      <c r="CV243" s="57">
        <v>2895.87</v>
      </c>
      <c r="CW243" s="57">
        <v>1352.03</v>
      </c>
      <c r="CX243" s="57">
        <v>3354.24</v>
      </c>
      <c r="CY243" s="57">
        <v>2037.57</v>
      </c>
      <c r="CZ243" s="57">
        <v>1484.05</v>
      </c>
      <c r="DA243" s="57">
        <v>2052.69</v>
      </c>
      <c r="DB243" s="57">
        <v>3426.9</v>
      </c>
      <c r="DC243" s="57">
        <v>2573.2399999999998</v>
      </c>
      <c r="DD243" s="57">
        <v>4454.1499999999996</v>
      </c>
      <c r="DE243" s="57">
        <v>4541.03</v>
      </c>
      <c r="DF243" s="57">
        <v>2691.04</v>
      </c>
      <c r="DG243" s="57">
        <v>3347.22</v>
      </c>
      <c r="DH243" s="57">
        <v>1874.08</v>
      </c>
      <c r="DI243" s="57">
        <v>1849.7</v>
      </c>
      <c r="DJ243" s="57">
        <v>5997.98</v>
      </c>
      <c r="DK243" s="57">
        <v>6548.27</v>
      </c>
      <c r="DL243" s="57">
        <v>91.46</v>
      </c>
      <c r="DM243" s="57">
        <v>598.55999999999995</v>
      </c>
      <c r="DN243" s="57">
        <v>146.13999999999999</v>
      </c>
      <c r="DO243" s="57">
        <v>293.39</v>
      </c>
      <c r="DP243" s="57">
        <v>1691.69</v>
      </c>
      <c r="DQ243" s="57">
        <v>2502.46</v>
      </c>
      <c r="DR243" s="57">
        <v>2079.58</v>
      </c>
      <c r="DS243" s="57">
        <v>1066.32</v>
      </c>
      <c r="DT243" s="57">
        <v>391.41</v>
      </c>
      <c r="DU243" s="57">
        <v>4543.6000000000004</v>
      </c>
      <c r="DV243" s="57">
        <v>2284.9</v>
      </c>
      <c r="DW243" s="57">
        <v>1776.24</v>
      </c>
      <c r="DX243" s="57">
        <v>1706.39</v>
      </c>
      <c r="DY243" s="57">
        <v>2950.55</v>
      </c>
      <c r="DZ243" s="57">
        <v>4844.9399999999996</v>
      </c>
      <c r="EA243" s="57">
        <v>2822.3</v>
      </c>
      <c r="EB243" s="57">
        <v>3075.41</v>
      </c>
      <c r="EC243" s="57">
        <v>2541.3200000000002</v>
      </c>
      <c r="ED243" s="57">
        <v>2163.08</v>
      </c>
      <c r="EE243" s="57">
        <v>3050.38</v>
      </c>
      <c r="EF243" s="57">
        <v>1986.58</v>
      </c>
      <c r="EG243" s="57">
        <v>5576.97</v>
      </c>
      <c r="EH243" s="57">
        <v>2336.37</v>
      </c>
      <c r="EI243" s="57">
        <v>3720.56</v>
      </c>
      <c r="EJ243" s="57">
        <v>955.18</v>
      </c>
      <c r="EK243" s="57">
        <v>1410.06</v>
      </c>
      <c r="EL243" s="57">
        <v>13020.23</v>
      </c>
      <c r="EM243" s="57">
        <v>1373.86</v>
      </c>
      <c r="EN243" s="57">
        <v>4275.01</v>
      </c>
      <c r="EO243" s="57">
        <v>2195.1799999999998</v>
      </c>
      <c r="EP243" s="57">
        <v>1970.87</v>
      </c>
      <c r="EQ243" s="57">
        <v>4038.72</v>
      </c>
      <c r="ER243" s="57">
        <v>223.11</v>
      </c>
      <c r="ES243" s="57">
        <v>3613.57</v>
      </c>
      <c r="ET243" s="57">
        <v>3723.26</v>
      </c>
      <c r="EU243" s="57">
        <v>2776.59</v>
      </c>
      <c r="EV243" s="57">
        <v>3393.41</v>
      </c>
      <c r="EW243" s="57">
        <v>3752.97</v>
      </c>
      <c r="EX243" s="57">
        <v>3409.32</v>
      </c>
      <c r="EY243" s="57">
        <v>1440.33</v>
      </c>
      <c r="EZ243" s="57">
        <v>4734.3999999999996</v>
      </c>
      <c r="FA243" s="57">
        <v>5490.95</v>
      </c>
      <c r="FB243" s="57">
        <v>3337.64</v>
      </c>
      <c r="FC243" s="57">
        <v>6900.97</v>
      </c>
      <c r="FD243" s="57">
        <v>3475.45</v>
      </c>
      <c r="FE243" s="57">
        <v>3324.25</v>
      </c>
      <c r="FF243" s="57">
        <v>560.64</v>
      </c>
      <c r="FG243" s="57">
        <v>2930.06</v>
      </c>
      <c r="FH243" s="57">
        <v>2719.56</v>
      </c>
      <c r="FI243" s="57">
        <v>3378.99</v>
      </c>
      <c r="FJ243" s="57">
        <v>3883.72</v>
      </c>
      <c r="FK243" s="57">
        <v>5291.65</v>
      </c>
      <c r="FL243" s="57">
        <v>3161.22</v>
      </c>
      <c r="FM243" s="57">
        <v>2760.65</v>
      </c>
      <c r="FN243" s="57">
        <v>2779.29</v>
      </c>
      <c r="FO243" s="57">
        <v>5138.8500000000004</v>
      </c>
      <c r="FP243" s="57">
        <v>4452.1899999999996</v>
      </c>
      <c r="FQ243" s="57">
        <v>2543</v>
      </c>
      <c r="FR243" s="57">
        <v>4806.28</v>
      </c>
      <c r="FS243" s="57">
        <v>3279.65</v>
      </c>
      <c r="FT243" s="57">
        <v>1346.53</v>
      </c>
      <c r="FU243" s="57">
        <v>3170.16</v>
      </c>
      <c r="FV243" s="57">
        <v>3036.43</v>
      </c>
      <c r="FW243" s="57">
        <v>1319.13</v>
      </c>
      <c r="FX243" s="57">
        <v>3810.94</v>
      </c>
      <c r="FY243" s="57">
        <v>3990.41</v>
      </c>
      <c r="FZ243" s="57">
        <v>2811.96</v>
      </c>
      <c r="GA243" s="57">
        <v>3446.24</v>
      </c>
      <c r="GB243" s="57">
        <v>2659.03</v>
      </c>
      <c r="GC243" s="57">
        <v>3072.22</v>
      </c>
      <c r="GD243" s="57">
        <v>2329.37</v>
      </c>
      <c r="GE243" s="57">
        <v>6244.57</v>
      </c>
      <c r="GF243" s="57">
        <v>3992.81</v>
      </c>
      <c r="GG243" s="57">
        <v>6120.74</v>
      </c>
      <c r="GH243" s="57">
        <v>3998.44</v>
      </c>
      <c r="GI243" s="57">
        <v>873.2</v>
      </c>
      <c r="GJ243" s="57">
        <v>565.27</v>
      </c>
      <c r="GK243" s="57">
        <v>620.75</v>
      </c>
      <c r="GL243" s="57">
        <v>526.1</v>
      </c>
      <c r="GM243" s="57">
        <v>1360</v>
      </c>
      <c r="GN243" s="57">
        <v>3840.9</v>
      </c>
      <c r="GO243" s="57">
        <v>845.08</v>
      </c>
      <c r="GP243" s="57">
        <v>696.81</v>
      </c>
      <c r="GQ243" s="57">
        <v>776.38</v>
      </c>
      <c r="GR243" s="57">
        <v>3916.45</v>
      </c>
      <c r="GS243" s="57">
        <v>3787.55</v>
      </c>
      <c r="GT243" s="57">
        <v>2805.25</v>
      </c>
      <c r="GU243" s="57">
        <v>2165.12</v>
      </c>
      <c r="GV243" s="57">
        <v>1438.81</v>
      </c>
      <c r="GW243" s="57">
        <v>2380.13</v>
      </c>
      <c r="GX243" s="57">
        <v>3657.06</v>
      </c>
      <c r="GY243" s="57">
        <v>2407.96</v>
      </c>
      <c r="GZ243" s="57">
        <v>3434.57</v>
      </c>
      <c r="HA243" s="57">
        <v>2688.12</v>
      </c>
      <c r="HB243" s="57">
        <v>2770.3</v>
      </c>
      <c r="HC243" s="57">
        <v>1965.57</v>
      </c>
      <c r="HD243" s="57">
        <v>1807.87</v>
      </c>
      <c r="HE243" s="57">
        <v>1742.54</v>
      </c>
      <c r="HF243" s="57">
        <v>2011.41</v>
      </c>
      <c r="HG243" s="57">
        <v>2537.9</v>
      </c>
      <c r="HH243" s="57">
        <v>2475.9899999999998</v>
      </c>
      <c r="HI243" s="57">
        <v>1137.17</v>
      </c>
      <c r="HJ243" s="57">
        <v>1668.58</v>
      </c>
      <c r="HK243" s="57">
        <v>4517.8</v>
      </c>
      <c r="HL243" s="57">
        <v>1735.08</v>
      </c>
      <c r="HM243" s="57">
        <v>1913.09</v>
      </c>
      <c r="HN243" s="57">
        <v>1784.09</v>
      </c>
      <c r="HO243" s="57">
        <v>1172.6199999999999</v>
      </c>
      <c r="HP243" s="57">
        <v>3273.3</v>
      </c>
      <c r="HQ243" s="57">
        <v>1321.43</v>
      </c>
      <c r="HR243" s="57">
        <v>2107.35</v>
      </c>
      <c r="HS243" s="57">
        <v>3963.44</v>
      </c>
      <c r="HT243" s="57">
        <v>3469.76</v>
      </c>
      <c r="HU243" s="57">
        <v>1603.92</v>
      </c>
      <c r="HV243" s="57">
        <v>1053.48</v>
      </c>
      <c r="HW243" s="57">
        <v>939.83</v>
      </c>
      <c r="HX243" s="57">
        <v>1117.43</v>
      </c>
      <c r="HY243" s="57">
        <v>340.1</v>
      </c>
      <c r="HZ243" s="57">
        <v>2895.87</v>
      </c>
      <c r="IA243" s="57">
        <v>1234.95</v>
      </c>
      <c r="IB243" s="57">
        <v>3354.24</v>
      </c>
      <c r="IC243" s="57">
        <v>1769.25</v>
      </c>
      <c r="ID243" s="57">
        <v>2111.5100000000002</v>
      </c>
      <c r="IE243" s="57">
        <v>1484.05</v>
      </c>
      <c r="IF243" s="57">
        <v>2052.69</v>
      </c>
      <c r="IG243" s="57">
        <v>3426.9</v>
      </c>
      <c r="IH243" s="57">
        <v>2573.2399999999998</v>
      </c>
      <c r="II243" s="57">
        <v>4454.1499999999996</v>
      </c>
      <c r="IJ243" s="57">
        <v>4541.03</v>
      </c>
      <c r="IK243" s="57">
        <v>3034.84</v>
      </c>
      <c r="IL243" s="57">
        <v>2081.59</v>
      </c>
      <c r="IM243" s="57">
        <v>3314.46</v>
      </c>
      <c r="IN243" s="57">
        <v>3743.08</v>
      </c>
      <c r="IO243" s="57">
        <v>2871.21</v>
      </c>
      <c r="IP243" s="57">
        <v>1874.08</v>
      </c>
      <c r="IQ243" s="57">
        <v>1849.7</v>
      </c>
      <c r="IR243" s="57">
        <v>5997.98</v>
      </c>
      <c r="IS243" s="57">
        <v>6548.27</v>
      </c>
      <c r="IT243" s="57">
        <v>91.46</v>
      </c>
      <c r="IU243" s="57">
        <v>598.55999999999995</v>
      </c>
      <c r="IV243" s="57">
        <v>146.16999999999999</v>
      </c>
      <c r="IW243" s="57">
        <v>293.39</v>
      </c>
      <c r="IX243" s="57">
        <v>1691.69</v>
      </c>
      <c r="IY243" s="57">
        <v>2502.46</v>
      </c>
      <c r="IZ243" s="57">
        <v>2079.58</v>
      </c>
      <c r="JA243" s="57">
        <v>1066.32</v>
      </c>
      <c r="JB243" s="57">
        <v>391.41</v>
      </c>
      <c r="JC243" s="57">
        <v>4543.6000000000004</v>
      </c>
      <c r="JD243" s="57">
        <v>2284.9</v>
      </c>
      <c r="JE243" s="57">
        <v>5078.1000000000004</v>
      </c>
      <c r="JF243" s="57">
        <v>1475.29</v>
      </c>
      <c r="JG243" s="57">
        <v>1706.39</v>
      </c>
      <c r="JH243" s="57">
        <v>2950.55</v>
      </c>
      <c r="JI243" s="57">
        <v>4844.9399999999996</v>
      </c>
      <c r="JJ243" s="57">
        <v>2822.3</v>
      </c>
      <c r="JK243" s="57">
        <v>3075.41</v>
      </c>
      <c r="JL243" s="57">
        <v>2541.3200000000002</v>
      </c>
      <c r="JM243" s="57">
        <v>2163.08</v>
      </c>
      <c r="JN243" s="57">
        <v>3050.38</v>
      </c>
      <c r="JO243" s="57">
        <v>1986.58</v>
      </c>
      <c r="JP243" s="57">
        <v>6195.53</v>
      </c>
      <c r="JQ243" s="57">
        <v>3772.18</v>
      </c>
      <c r="JR243" s="57">
        <v>2631.32</v>
      </c>
      <c r="JS243" s="57">
        <v>1526.29</v>
      </c>
      <c r="JT243" s="57">
        <v>4397.3100000000004</v>
      </c>
      <c r="JU243" s="57">
        <v>3140.41</v>
      </c>
      <c r="JV243" s="57">
        <v>955.18</v>
      </c>
      <c r="JW243" s="57">
        <v>1410.06</v>
      </c>
      <c r="JX243" s="57">
        <v>13020.23</v>
      </c>
      <c r="JY243" s="57">
        <v>964.67</v>
      </c>
      <c r="JZ243" s="57">
        <v>1927.37</v>
      </c>
      <c r="KA243" s="57">
        <v>4275.01</v>
      </c>
      <c r="KB243" s="57">
        <v>2195.1799999999998</v>
      </c>
      <c r="KC243" s="57">
        <v>1970.87</v>
      </c>
      <c r="KD243" s="57">
        <v>4038.72</v>
      </c>
      <c r="KE243" s="57">
        <v>223.11</v>
      </c>
      <c r="KF243" s="57">
        <v>3613.57</v>
      </c>
    </row>
    <row r="244" spans="1:292">
      <c r="A244" s="41">
        <v>2024</v>
      </c>
      <c r="B244" s="54" t="s">
        <v>997</v>
      </c>
      <c r="C244" s="50" t="s">
        <v>998</v>
      </c>
      <c r="D244" s="57">
        <v>2657.23</v>
      </c>
      <c r="E244" s="57">
        <v>3792.33</v>
      </c>
      <c r="F244" s="57">
        <v>4124.01</v>
      </c>
      <c r="G244" s="57">
        <v>749.91</v>
      </c>
      <c r="H244" s="57">
        <v>2881.78</v>
      </c>
      <c r="I244" s="57">
        <v>2296.8200000000002</v>
      </c>
      <c r="J244" s="57">
        <v>1595.74</v>
      </c>
      <c r="K244" s="57">
        <v>2736.21</v>
      </c>
      <c r="L244" s="57">
        <v>462.05</v>
      </c>
      <c r="M244" s="57">
        <v>1311.1</v>
      </c>
      <c r="N244" s="57">
        <v>2452.77</v>
      </c>
      <c r="O244" s="57">
        <v>5240.7700000000004</v>
      </c>
      <c r="P244" s="57">
        <v>3447.8</v>
      </c>
      <c r="Q244" s="57">
        <v>3861.92</v>
      </c>
      <c r="R244" s="57">
        <v>2911.83</v>
      </c>
      <c r="S244" s="57">
        <v>6135.59</v>
      </c>
      <c r="T244" s="57">
        <v>4005.15</v>
      </c>
      <c r="U244" s="57">
        <v>738.63</v>
      </c>
      <c r="V244" s="57">
        <v>765.98</v>
      </c>
      <c r="W244" s="57">
        <v>3945.87</v>
      </c>
      <c r="X244" s="57">
        <v>2844.61</v>
      </c>
      <c r="Y244" s="57">
        <v>2189.92</v>
      </c>
      <c r="Z244" s="57">
        <v>2281.3200000000002</v>
      </c>
      <c r="AA244" s="57">
        <v>2704.05</v>
      </c>
      <c r="AB244" s="57">
        <v>1820.26</v>
      </c>
      <c r="AC244" s="57">
        <v>2246.6</v>
      </c>
      <c r="AD244" s="57">
        <v>1786.83</v>
      </c>
      <c r="AE244" s="57">
        <v>2023.35</v>
      </c>
      <c r="AF244" s="57">
        <v>1953.88</v>
      </c>
      <c r="AG244" s="57">
        <v>1446.2</v>
      </c>
      <c r="AH244" s="57">
        <v>1398.85</v>
      </c>
      <c r="AI244" s="57">
        <v>3380.86</v>
      </c>
      <c r="AJ244" s="57">
        <v>2024.89</v>
      </c>
      <c r="AK244" s="57">
        <v>2986.61</v>
      </c>
      <c r="AL244" s="57">
        <v>3368.3</v>
      </c>
      <c r="AM244" s="57">
        <v>6548.27</v>
      </c>
      <c r="AN244" s="57">
        <v>93.18</v>
      </c>
      <c r="AO244" s="57">
        <v>609.85</v>
      </c>
      <c r="AP244" s="57">
        <v>258.52999999999997</v>
      </c>
      <c r="AQ244" s="57">
        <v>2505.37</v>
      </c>
      <c r="AR244" s="57">
        <v>1945.77</v>
      </c>
      <c r="AS244" s="57">
        <v>2017.17</v>
      </c>
      <c r="AT244" s="57">
        <v>2983.1</v>
      </c>
      <c r="AU244" s="57">
        <v>3286.05</v>
      </c>
      <c r="AV244" s="57">
        <v>2541.3200000000002</v>
      </c>
      <c r="AW244" s="57">
        <v>2163.08</v>
      </c>
      <c r="AX244" s="57">
        <v>3050.38</v>
      </c>
      <c r="AY244" s="57">
        <v>1988.77</v>
      </c>
      <c r="AZ244" s="57">
        <v>5644.37</v>
      </c>
      <c r="BA244" s="57">
        <v>2259.06</v>
      </c>
      <c r="BB244" s="57">
        <v>1859.18</v>
      </c>
      <c r="BC244" s="57">
        <v>7495.63</v>
      </c>
      <c r="BD244" s="57">
        <v>4298.88</v>
      </c>
      <c r="BE244" s="57">
        <v>3887.77</v>
      </c>
      <c r="BF244" s="57">
        <v>223.11</v>
      </c>
      <c r="BG244" s="57">
        <v>3618.48</v>
      </c>
      <c r="BH244" s="57">
        <v>3527.35</v>
      </c>
      <c r="BI244" s="57">
        <v>4547.82</v>
      </c>
      <c r="BJ244" s="57">
        <v>3301.62</v>
      </c>
      <c r="BK244" s="57">
        <v>3303.93</v>
      </c>
      <c r="BL244" s="57">
        <v>3154.69</v>
      </c>
      <c r="BM244" s="57">
        <v>3288</v>
      </c>
      <c r="BN244" s="57">
        <v>5067.28</v>
      </c>
      <c r="BO244" s="57">
        <v>2346.65</v>
      </c>
      <c r="BP244" s="57">
        <v>3841.77</v>
      </c>
      <c r="BQ244" s="57">
        <v>3053.73</v>
      </c>
      <c r="BR244" s="57">
        <v>2775.7</v>
      </c>
      <c r="BS244" s="57">
        <v>6230.41</v>
      </c>
      <c r="BT244" s="57">
        <v>3961.28</v>
      </c>
      <c r="BU244" s="57">
        <v>6074.18</v>
      </c>
      <c r="BV244" s="57">
        <v>4005.15</v>
      </c>
      <c r="BW244" s="57">
        <v>678.29</v>
      </c>
      <c r="BX244" s="57">
        <v>1361.21</v>
      </c>
      <c r="BY244" s="57">
        <v>3948.01</v>
      </c>
      <c r="BZ244" s="57">
        <v>757.09</v>
      </c>
      <c r="CA244" s="57">
        <v>4008.3</v>
      </c>
      <c r="CB244" s="58">
        <v>3945.87</v>
      </c>
      <c r="CC244" s="57">
        <v>2844.61</v>
      </c>
      <c r="CD244" s="57">
        <v>2181.4699999999998</v>
      </c>
      <c r="CE244" s="57">
        <v>1438.81</v>
      </c>
      <c r="CF244" s="57">
        <v>2837.37</v>
      </c>
      <c r="CG244" s="57">
        <v>2519.39</v>
      </c>
      <c r="CH244" s="57">
        <v>2821.87</v>
      </c>
      <c r="CI244" s="57">
        <v>1979.88</v>
      </c>
      <c r="CJ244" s="57">
        <v>1820.26</v>
      </c>
      <c r="CK244" s="57">
        <v>2107.15</v>
      </c>
      <c r="CL244" s="57">
        <v>1726.63</v>
      </c>
      <c r="CM244" s="57">
        <v>4659.09</v>
      </c>
      <c r="CN244" s="57">
        <v>1786.83</v>
      </c>
      <c r="CO244" s="57">
        <v>2023.35</v>
      </c>
      <c r="CP244" s="57">
        <v>1489.67</v>
      </c>
      <c r="CQ244" s="57">
        <v>4244.37</v>
      </c>
      <c r="CR244" s="57">
        <v>1775.35</v>
      </c>
      <c r="CS244" s="57">
        <v>1076.58</v>
      </c>
      <c r="CT244" s="57">
        <v>1068.19</v>
      </c>
      <c r="CU244" s="57">
        <v>340.85</v>
      </c>
      <c r="CV244" s="57">
        <v>2918.56</v>
      </c>
      <c r="CW244" s="57">
        <v>1371.8</v>
      </c>
      <c r="CX244" s="57">
        <v>3380.86</v>
      </c>
      <c r="CY244" s="57">
        <v>2042.38</v>
      </c>
      <c r="CZ244" s="57">
        <v>1508.62</v>
      </c>
      <c r="DA244" s="57">
        <v>2031.5</v>
      </c>
      <c r="DB244" s="57">
        <v>3469.63</v>
      </c>
      <c r="DC244" s="57">
        <v>2579.5300000000002</v>
      </c>
      <c r="DD244" s="57">
        <v>4467.1000000000004</v>
      </c>
      <c r="DE244" s="57">
        <v>4488.12</v>
      </c>
      <c r="DF244" s="57">
        <v>2699.05</v>
      </c>
      <c r="DG244" s="57">
        <v>3354.68</v>
      </c>
      <c r="DH244" s="57">
        <v>1902.31</v>
      </c>
      <c r="DI244" s="57">
        <v>1815</v>
      </c>
      <c r="DJ244" s="57">
        <v>6043.37</v>
      </c>
      <c r="DK244" s="57">
        <v>6548.27</v>
      </c>
      <c r="DL244" s="57">
        <v>93.18</v>
      </c>
      <c r="DM244" s="57">
        <v>609.85</v>
      </c>
      <c r="DN244" s="57">
        <v>152.18</v>
      </c>
      <c r="DO244" s="57">
        <v>297.47000000000003</v>
      </c>
      <c r="DP244" s="57">
        <v>1741.31</v>
      </c>
      <c r="DQ244" s="57">
        <v>2505.37</v>
      </c>
      <c r="DR244" s="57">
        <v>2036.65</v>
      </c>
      <c r="DS244" s="57">
        <v>1051.45</v>
      </c>
      <c r="DT244" s="57">
        <v>482.16</v>
      </c>
      <c r="DU244" s="57">
        <v>4557.25</v>
      </c>
      <c r="DV244" s="57">
        <v>2329.1799999999998</v>
      </c>
      <c r="DW244" s="57">
        <v>1788.08</v>
      </c>
      <c r="DX244" s="57">
        <v>1706.39</v>
      </c>
      <c r="DY244" s="57">
        <v>3017.86</v>
      </c>
      <c r="DZ244" s="57">
        <v>4844.9399999999996</v>
      </c>
      <c r="EA244" s="57">
        <v>2804.78</v>
      </c>
      <c r="EB244" s="57">
        <v>3286.05</v>
      </c>
      <c r="EC244" s="57">
        <v>2541.3200000000002</v>
      </c>
      <c r="ED244" s="57">
        <v>2163.08</v>
      </c>
      <c r="EE244" s="57">
        <v>3050.38</v>
      </c>
      <c r="EF244" s="57">
        <v>1988.77</v>
      </c>
      <c r="EG244" s="57">
        <v>5644.37</v>
      </c>
      <c r="EH244" s="57">
        <v>2259.06</v>
      </c>
      <c r="EI244" s="57">
        <v>3779.11</v>
      </c>
      <c r="EJ244" s="57">
        <v>973.16</v>
      </c>
      <c r="EK244" s="57">
        <v>1447.37</v>
      </c>
      <c r="EL244" s="57">
        <v>12961.83</v>
      </c>
      <c r="EM244" s="57">
        <v>1329.02</v>
      </c>
      <c r="EN244" s="57">
        <v>4298.88</v>
      </c>
      <c r="EO244" s="57">
        <v>2219.4899999999998</v>
      </c>
      <c r="EP244" s="57">
        <v>2110.27</v>
      </c>
      <c r="EQ244" s="57">
        <v>4155.28</v>
      </c>
      <c r="ER244" s="57">
        <v>223.11</v>
      </c>
      <c r="ES244" s="57">
        <v>3618.48</v>
      </c>
      <c r="ET244" s="57">
        <v>3749.45</v>
      </c>
      <c r="EU244" s="57">
        <v>2880.1</v>
      </c>
      <c r="EV244" s="57">
        <v>3408.2</v>
      </c>
      <c r="EW244" s="57">
        <v>3873.83</v>
      </c>
      <c r="EX244" s="57">
        <v>3535.84</v>
      </c>
      <c r="EY244" s="57">
        <v>1526.42</v>
      </c>
      <c r="EZ244" s="57">
        <v>4732.5</v>
      </c>
      <c r="FA244" s="57">
        <v>5777.27</v>
      </c>
      <c r="FB244" s="57">
        <v>3447.49</v>
      </c>
      <c r="FC244" s="57">
        <v>7203.73</v>
      </c>
      <c r="FD244" s="57">
        <v>3485.51</v>
      </c>
      <c r="FE244" s="57">
        <v>3366.07</v>
      </c>
      <c r="FF244" s="57">
        <v>597.11</v>
      </c>
      <c r="FG244" s="57">
        <v>2974.59</v>
      </c>
      <c r="FH244" s="57">
        <v>2739.55</v>
      </c>
      <c r="FI244" s="57">
        <v>3367.37</v>
      </c>
      <c r="FJ244" s="57">
        <v>4431.25</v>
      </c>
      <c r="FK244" s="57">
        <v>5302.86</v>
      </c>
      <c r="FL244" s="57">
        <v>3310.37</v>
      </c>
      <c r="FM244" s="57">
        <v>2807.02</v>
      </c>
      <c r="FN244" s="57">
        <v>2890.72</v>
      </c>
      <c r="FO244" s="57">
        <v>5230.72</v>
      </c>
      <c r="FP244" s="57">
        <v>5767.69</v>
      </c>
      <c r="FQ244" s="57">
        <v>2539.63</v>
      </c>
      <c r="FR244" s="57">
        <v>4822.87</v>
      </c>
      <c r="FS244" s="57">
        <v>3330.04</v>
      </c>
      <c r="FT244" s="57">
        <v>1360.18</v>
      </c>
      <c r="FU244" s="57">
        <v>3327.34</v>
      </c>
      <c r="FV244" s="57">
        <v>3242.98</v>
      </c>
      <c r="FW244" s="57">
        <v>1344.53</v>
      </c>
      <c r="FX244" s="57">
        <v>3841.77</v>
      </c>
      <c r="FY244" s="57">
        <v>4009.17</v>
      </c>
      <c r="FZ244" s="57">
        <v>2812.62</v>
      </c>
      <c r="GA244" s="57">
        <v>3354.07</v>
      </c>
      <c r="GB244" s="57">
        <v>2643.83</v>
      </c>
      <c r="GC244" s="57">
        <v>3133.19</v>
      </c>
      <c r="GD244" s="57">
        <v>2380.5300000000002</v>
      </c>
      <c r="GE244" s="57">
        <v>6230.41</v>
      </c>
      <c r="GF244" s="57">
        <v>3961.28</v>
      </c>
      <c r="GG244" s="57">
        <v>6074.18</v>
      </c>
      <c r="GH244" s="57">
        <v>3998.44</v>
      </c>
      <c r="GI244" s="57">
        <v>875.02</v>
      </c>
      <c r="GJ244" s="57">
        <v>572.85</v>
      </c>
      <c r="GK244" s="57">
        <v>607.91</v>
      </c>
      <c r="GL244" s="57">
        <v>501.45</v>
      </c>
      <c r="GM244" s="57">
        <v>1361.21</v>
      </c>
      <c r="GN244" s="57">
        <v>3948.01</v>
      </c>
      <c r="GO244" s="57">
        <v>817.31</v>
      </c>
      <c r="GP244" s="57">
        <v>690.17</v>
      </c>
      <c r="GQ244" s="57">
        <v>750.51</v>
      </c>
      <c r="GR244" s="57">
        <v>4008.3</v>
      </c>
      <c r="GS244" s="57">
        <v>3945.87</v>
      </c>
      <c r="GT244" s="57">
        <v>2844.61</v>
      </c>
      <c r="GU244" s="57">
        <v>2181.4699999999998</v>
      </c>
      <c r="GV244" s="57">
        <v>1438.81</v>
      </c>
      <c r="GW244" s="57">
        <v>2395.0500000000002</v>
      </c>
      <c r="GX244" s="57">
        <v>3778.85</v>
      </c>
      <c r="GY244" s="57">
        <v>2519.39</v>
      </c>
      <c r="GZ244" s="57">
        <v>3396.59</v>
      </c>
      <c r="HA244" s="57">
        <v>2708.83</v>
      </c>
      <c r="HB244" s="57">
        <v>2804.59</v>
      </c>
      <c r="HC244" s="57">
        <v>1979.88</v>
      </c>
      <c r="HD244" s="57">
        <v>1820.26</v>
      </c>
      <c r="HE244" s="57">
        <v>1840.59</v>
      </c>
      <c r="HF244" s="57">
        <v>2086.02</v>
      </c>
      <c r="HG244" s="57">
        <v>2782.83</v>
      </c>
      <c r="HH244" s="57">
        <v>2568.02</v>
      </c>
      <c r="HI244" s="57">
        <v>1131.92</v>
      </c>
      <c r="HJ244" s="57">
        <v>1726.63</v>
      </c>
      <c r="HK244" s="57">
        <v>4659.09</v>
      </c>
      <c r="HL244" s="57">
        <v>1780.16</v>
      </c>
      <c r="HM244" s="57">
        <v>1951.44</v>
      </c>
      <c r="HN244" s="57">
        <v>1796.79</v>
      </c>
      <c r="HO244" s="57">
        <v>1235.8800000000001</v>
      </c>
      <c r="HP244" s="57">
        <v>3378.81</v>
      </c>
      <c r="HQ244" s="57">
        <v>1390.39</v>
      </c>
      <c r="HR244" s="57">
        <v>2151.75</v>
      </c>
      <c r="HS244" s="57">
        <v>4049.85</v>
      </c>
      <c r="HT244" s="57">
        <v>3547</v>
      </c>
      <c r="HU244" s="57">
        <v>1775.35</v>
      </c>
      <c r="HV244" s="57">
        <v>1076.58</v>
      </c>
      <c r="HW244" s="57">
        <v>958.83</v>
      </c>
      <c r="HX244" s="57">
        <v>1142.56</v>
      </c>
      <c r="HY244" s="57">
        <v>340.85</v>
      </c>
      <c r="HZ244" s="57">
        <v>2918.56</v>
      </c>
      <c r="IA244" s="57">
        <v>1253.01</v>
      </c>
      <c r="IB244" s="57">
        <v>3380.86</v>
      </c>
      <c r="IC244" s="57">
        <v>1773.45</v>
      </c>
      <c r="ID244" s="57">
        <v>2116.4899999999998</v>
      </c>
      <c r="IE244" s="57">
        <v>1508.62</v>
      </c>
      <c r="IF244" s="57">
        <v>2031.5</v>
      </c>
      <c r="IG244" s="57">
        <v>3469.63</v>
      </c>
      <c r="IH244" s="57">
        <v>2579.5300000000002</v>
      </c>
      <c r="II244" s="57">
        <v>4467.1000000000004</v>
      </c>
      <c r="IJ244" s="57">
        <v>4488.12</v>
      </c>
      <c r="IK244" s="57">
        <v>3106.06</v>
      </c>
      <c r="IL244" s="57">
        <v>2081.59</v>
      </c>
      <c r="IM244" s="57">
        <v>3325.01</v>
      </c>
      <c r="IN244" s="57">
        <v>3749.59</v>
      </c>
      <c r="IO244" s="57">
        <v>2866.71</v>
      </c>
      <c r="IP244" s="57">
        <v>1902.31</v>
      </c>
      <c r="IQ244" s="57">
        <v>1815</v>
      </c>
      <c r="IR244" s="57">
        <v>6043.37</v>
      </c>
      <c r="IS244" s="57">
        <v>6548.27</v>
      </c>
      <c r="IT244" s="57">
        <v>93.18</v>
      </c>
      <c r="IU244" s="57">
        <v>609.85</v>
      </c>
      <c r="IV244" s="57">
        <v>152.21</v>
      </c>
      <c r="IW244" s="57">
        <v>297.47000000000003</v>
      </c>
      <c r="IX244" s="57">
        <v>1741.31</v>
      </c>
      <c r="IY244" s="57">
        <v>2505.37</v>
      </c>
      <c r="IZ244" s="57">
        <v>2036.65</v>
      </c>
      <c r="JA244" s="57">
        <v>1051.45</v>
      </c>
      <c r="JB244" s="57">
        <v>482.16</v>
      </c>
      <c r="JC244" s="57">
        <v>4557.25</v>
      </c>
      <c r="JD244" s="57">
        <v>2329.1799999999998</v>
      </c>
      <c r="JE244" s="57">
        <v>5168.91</v>
      </c>
      <c r="JF244" s="57">
        <v>1482.39</v>
      </c>
      <c r="JG244" s="57">
        <v>1706.39</v>
      </c>
      <c r="JH244" s="57">
        <v>3017.86</v>
      </c>
      <c r="JI244" s="57">
        <v>4844.9399999999996</v>
      </c>
      <c r="JJ244" s="57">
        <v>2804.78</v>
      </c>
      <c r="JK244" s="57">
        <v>3286.05</v>
      </c>
      <c r="JL244" s="57">
        <v>2541.3200000000002</v>
      </c>
      <c r="JM244" s="57">
        <v>2163.08</v>
      </c>
      <c r="JN244" s="57">
        <v>3050.38</v>
      </c>
      <c r="JO244" s="57">
        <v>1988.77</v>
      </c>
      <c r="JP244" s="57">
        <v>6266.04</v>
      </c>
      <c r="JQ244" s="57">
        <v>3829.15</v>
      </c>
      <c r="JR244" s="57">
        <v>2503.89</v>
      </c>
      <c r="JS244" s="57">
        <v>1526.17</v>
      </c>
      <c r="JT244" s="57">
        <v>4450.55</v>
      </c>
      <c r="JU244" s="57">
        <v>3199.64</v>
      </c>
      <c r="JV244" s="57">
        <v>973.16</v>
      </c>
      <c r="JW244" s="57">
        <v>1447.37</v>
      </c>
      <c r="JX244" s="57">
        <v>12961.83</v>
      </c>
      <c r="JY244" s="57">
        <v>914.83</v>
      </c>
      <c r="JZ244" s="57">
        <v>1906.45</v>
      </c>
      <c r="KA244" s="57">
        <v>4298.88</v>
      </c>
      <c r="KB244" s="57">
        <v>2219.4899999999998</v>
      </c>
      <c r="KC244" s="57">
        <v>2110.27</v>
      </c>
      <c r="KD244" s="57">
        <v>4155.28</v>
      </c>
      <c r="KE244" s="57">
        <v>223.11</v>
      </c>
      <c r="KF244" s="57">
        <v>3618.48</v>
      </c>
    </row>
    <row r="245" spans="1:292">
      <c r="A245" s="41">
        <v>2024</v>
      </c>
      <c r="B245" s="54" t="s">
        <v>999</v>
      </c>
      <c r="C245" s="50" t="s">
        <v>1000</v>
      </c>
      <c r="D245" s="57">
        <v>2684.55</v>
      </c>
      <c r="E245" s="57">
        <v>3841.32</v>
      </c>
      <c r="F245" s="57">
        <v>4123.21</v>
      </c>
      <c r="G245" s="57">
        <v>744.87</v>
      </c>
      <c r="H245" s="57">
        <v>2931.02</v>
      </c>
      <c r="I245" s="57">
        <v>2360.58</v>
      </c>
      <c r="J245" s="57">
        <v>1609.74</v>
      </c>
      <c r="K245" s="57">
        <v>2724.64</v>
      </c>
      <c r="L245" s="57">
        <v>470.47</v>
      </c>
      <c r="M245" s="57">
        <v>1330.19</v>
      </c>
      <c r="N245" s="57">
        <v>2454.37</v>
      </c>
      <c r="O245" s="57">
        <v>5311.78</v>
      </c>
      <c r="P245" s="57">
        <v>3500.78</v>
      </c>
      <c r="Q245" s="57">
        <v>3909.87</v>
      </c>
      <c r="R245" s="57">
        <v>2970.47</v>
      </c>
      <c r="S245" s="57">
        <v>6120.97</v>
      </c>
      <c r="T245" s="57">
        <v>4005.15</v>
      </c>
      <c r="U245" s="57">
        <v>740.37</v>
      </c>
      <c r="V245" s="57">
        <v>733.84</v>
      </c>
      <c r="W245" s="57">
        <v>4059.98</v>
      </c>
      <c r="X245" s="57">
        <v>2890.91</v>
      </c>
      <c r="Y245" s="57">
        <v>2201.38</v>
      </c>
      <c r="Z245" s="57">
        <v>2297.4499999999998</v>
      </c>
      <c r="AA245" s="57">
        <v>2762.73</v>
      </c>
      <c r="AB245" s="57">
        <v>1834.93</v>
      </c>
      <c r="AC245" s="57">
        <v>2370.02</v>
      </c>
      <c r="AD245" s="57">
        <v>1803.89</v>
      </c>
      <c r="AE245" s="57">
        <v>2060.7600000000002</v>
      </c>
      <c r="AF245" s="57">
        <v>1972.02</v>
      </c>
      <c r="AG245" s="57">
        <v>1464.31</v>
      </c>
      <c r="AH245" s="57">
        <v>1406.77</v>
      </c>
      <c r="AI245" s="57">
        <v>3416.21</v>
      </c>
      <c r="AJ245" s="57">
        <v>2025.5</v>
      </c>
      <c r="AK245" s="57">
        <v>3005.09</v>
      </c>
      <c r="AL245" s="57">
        <v>3266.5</v>
      </c>
      <c r="AM245" s="57">
        <v>6548.27</v>
      </c>
      <c r="AN245" s="57">
        <v>95.74</v>
      </c>
      <c r="AO245" s="57">
        <v>618.66</v>
      </c>
      <c r="AP245" s="57">
        <v>264.33</v>
      </c>
      <c r="AQ245" s="57">
        <v>2517.04</v>
      </c>
      <c r="AR245" s="57">
        <v>1981.27</v>
      </c>
      <c r="AS245" s="57">
        <v>2030.34</v>
      </c>
      <c r="AT245" s="57">
        <v>3048.97</v>
      </c>
      <c r="AU245" s="57">
        <v>3316.54</v>
      </c>
      <c r="AV245" s="57">
        <v>2541.3200000000002</v>
      </c>
      <c r="AW245" s="57">
        <v>2163.08</v>
      </c>
      <c r="AX245" s="57">
        <v>3050.38</v>
      </c>
      <c r="AY245" s="57">
        <v>2003.87</v>
      </c>
      <c r="AZ245" s="57">
        <v>5730.56</v>
      </c>
      <c r="BA245" s="57">
        <v>2249.48</v>
      </c>
      <c r="BB245" s="57">
        <v>1892.28</v>
      </c>
      <c r="BC245" s="57">
        <v>7597.24</v>
      </c>
      <c r="BD245" s="57">
        <v>4315.0200000000004</v>
      </c>
      <c r="BE245" s="57">
        <v>4040</v>
      </c>
      <c r="BF245" s="57">
        <v>223.11</v>
      </c>
      <c r="BG245" s="57">
        <v>3626.9</v>
      </c>
      <c r="BH245" s="57">
        <v>3577.65</v>
      </c>
      <c r="BI245" s="57">
        <v>4612.3</v>
      </c>
      <c r="BJ245" s="57">
        <v>3554.2</v>
      </c>
      <c r="BK245" s="57">
        <v>3411.05</v>
      </c>
      <c r="BL245" s="57">
        <v>3216.98</v>
      </c>
      <c r="BM245" s="57">
        <v>3276.04</v>
      </c>
      <c r="BN245" s="57">
        <v>5011.6899999999996</v>
      </c>
      <c r="BO245" s="57">
        <v>2446.04</v>
      </c>
      <c r="BP245" s="57">
        <v>3904.52</v>
      </c>
      <c r="BQ245" s="57">
        <v>3122.19</v>
      </c>
      <c r="BR245" s="57">
        <v>2825.31</v>
      </c>
      <c r="BS245" s="57">
        <v>6213.45</v>
      </c>
      <c r="BT245" s="57">
        <v>4037.58</v>
      </c>
      <c r="BU245" s="57">
        <v>6036.29</v>
      </c>
      <c r="BV245" s="57">
        <v>4005.15</v>
      </c>
      <c r="BW245" s="57">
        <v>679.35</v>
      </c>
      <c r="BX245" s="57">
        <v>1375.62</v>
      </c>
      <c r="BY245" s="57">
        <v>4025.45</v>
      </c>
      <c r="BZ245" s="57">
        <v>724.97</v>
      </c>
      <c r="CA245" s="57">
        <v>4087.48</v>
      </c>
      <c r="CB245" s="58">
        <v>4059.98</v>
      </c>
      <c r="CC245" s="57">
        <v>2890.91</v>
      </c>
      <c r="CD245" s="57">
        <v>2192.88</v>
      </c>
      <c r="CE245" s="57">
        <v>1438.81</v>
      </c>
      <c r="CF245" s="57">
        <v>2853.8</v>
      </c>
      <c r="CG245" s="57">
        <v>2596.0500000000002</v>
      </c>
      <c r="CH245" s="57">
        <v>2886.68</v>
      </c>
      <c r="CI245" s="57">
        <v>1990.62</v>
      </c>
      <c r="CJ245" s="57">
        <v>1834.93</v>
      </c>
      <c r="CK245" s="57">
        <v>2230.21</v>
      </c>
      <c r="CL245" s="57">
        <v>1829.11</v>
      </c>
      <c r="CM245" s="57">
        <v>4716.0600000000004</v>
      </c>
      <c r="CN245" s="57">
        <v>1803.89</v>
      </c>
      <c r="CO245" s="57">
        <v>2060.7600000000002</v>
      </c>
      <c r="CP245" s="57">
        <v>1500.15</v>
      </c>
      <c r="CQ245" s="57">
        <v>4305.8100000000004</v>
      </c>
      <c r="CR245" s="57">
        <v>1790.66</v>
      </c>
      <c r="CS245" s="57">
        <v>1112.55</v>
      </c>
      <c r="CT245" s="57">
        <v>1084.24</v>
      </c>
      <c r="CU245" s="57">
        <v>341.55</v>
      </c>
      <c r="CV245" s="57">
        <v>2937</v>
      </c>
      <c r="CW245" s="57">
        <v>1381.84</v>
      </c>
      <c r="CX245" s="57">
        <v>3416.21</v>
      </c>
      <c r="CY245" s="57">
        <v>2043.61</v>
      </c>
      <c r="CZ245" s="57">
        <v>1492.77</v>
      </c>
      <c r="DA245" s="57">
        <v>2069.19</v>
      </c>
      <c r="DB245" s="57">
        <v>3513.03</v>
      </c>
      <c r="DC245" s="57">
        <v>2595.2600000000002</v>
      </c>
      <c r="DD245" s="57">
        <v>4492.16</v>
      </c>
      <c r="DE245" s="57">
        <v>4483.21</v>
      </c>
      <c r="DF245" s="57">
        <v>2699.05</v>
      </c>
      <c r="DG245" s="57">
        <v>3324.97</v>
      </c>
      <c r="DH245" s="57">
        <v>1373.86</v>
      </c>
      <c r="DI245" s="57">
        <v>1815</v>
      </c>
      <c r="DJ245" s="57">
        <v>6063.57</v>
      </c>
      <c r="DK245" s="57">
        <v>6548.27</v>
      </c>
      <c r="DL245" s="57">
        <v>95.74</v>
      </c>
      <c r="DM245" s="57">
        <v>618.66</v>
      </c>
      <c r="DN245" s="57">
        <v>155.4</v>
      </c>
      <c r="DO245" s="57">
        <v>304.16000000000003</v>
      </c>
      <c r="DP245" s="57">
        <v>1795.15</v>
      </c>
      <c r="DQ245" s="57">
        <v>2517.04</v>
      </c>
      <c r="DR245" s="57">
        <v>2055.65</v>
      </c>
      <c r="DS245" s="57">
        <v>1044.56</v>
      </c>
      <c r="DT245" s="57">
        <v>502.93</v>
      </c>
      <c r="DU245" s="57">
        <v>4584.51</v>
      </c>
      <c r="DV245" s="57">
        <v>2343.02</v>
      </c>
      <c r="DW245" s="57">
        <v>1802.95</v>
      </c>
      <c r="DX245" s="57">
        <v>1706.39</v>
      </c>
      <c r="DY245" s="57">
        <v>3095.62</v>
      </c>
      <c r="DZ245" s="57">
        <v>4844.9399999999996</v>
      </c>
      <c r="EA245" s="57">
        <v>2861.3</v>
      </c>
      <c r="EB245" s="57">
        <v>3316.54</v>
      </c>
      <c r="EC245" s="57">
        <v>2541.3200000000002</v>
      </c>
      <c r="ED245" s="57">
        <v>2163.08</v>
      </c>
      <c r="EE245" s="57">
        <v>3050.38</v>
      </c>
      <c r="EF245" s="57">
        <v>2003.87</v>
      </c>
      <c r="EG245" s="57">
        <v>5730.56</v>
      </c>
      <c r="EH245" s="57">
        <v>2249.48</v>
      </c>
      <c r="EI245" s="57">
        <v>3841.61</v>
      </c>
      <c r="EJ245" s="57">
        <v>998.41</v>
      </c>
      <c r="EK245" s="57">
        <v>1473.63</v>
      </c>
      <c r="EL245" s="57">
        <v>13045.01</v>
      </c>
      <c r="EM245" s="57">
        <v>1361.71</v>
      </c>
      <c r="EN245" s="57">
        <v>4315.0200000000004</v>
      </c>
      <c r="EO245" s="57">
        <v>2235.4299999999998</v>
      </c>
      <c r="EP245" s="57">
        <v>2174.36</v>
      </c>
      <c r="EQ245" s="57">
        <v>4345.17</v>
      </c>
      <c r="ER245" s="57">
        <v>223.11</v>
      </c>
      <c r="ES245" s="57">
        <v>3626.9</v>
      </c>
      <c r="ET245" s="57">
        <v>3779.11</v>
      </c>
      <c r="EU245" s="57">
        <v>2944.61</v>
      </c>
      <c r="EV245" s="57">
        <v>3426.1</v>
      </c>
      <c r="EW245" s="57">
        <v>3976.71</v>
      </c>
      <c r="EX245" s="57">
        <v>3551.81</v>
      </c>
      <c r="EY245" s="57">
        <v>1677.18</v>
      </c>
      <c r="EZ245" s="57">
        <v>4828.68</v>
      </c>
      <c r="FA245" s="57">
        <v>5946.97</v>
      </c>
      <c r="FB245" s="57">
        <v>3411.35</v>
      </c>
      <c r="FC245" s="57">
        <v>7447.38</v>
      </c>
      <c r="FD245" s="57">
        <v>3537.11</v>
      </c>
      <c r="FE245" s="57">
        <v>3646.48</v>
      </c>
      <c r="FF245" s="57">
        <v>598.66</v>
      </c>
      <c r="FG245" s="57">
        <v>3021.58</v>
      </c>
      <c r="FH245" s="57">
        <v>2753.62</v>
      </c>
      <c r="FI245" s="57">
        <v>3388.27</v>
      </c>
      <c r="FJ245" s="57">
        <v>4970.4799999999996</v>
      </c>
      <c r="FK245" s="57">
        <v>5407.88</v>
      </c>
      <c r="FL245" s="57">
        <v>3569.82</v>
      </c>
      <c r="FM245" s="57">
        <v>2851.35</v>
      </c>
      <c r="FN245" s="57">
        <v>2860.37</v>
      </c>
      <c r="FO245" s="57">
        <v>5320.26</v>
      </c>
      <c r="FP245" s="57">
        <v>5649.68</v>
      </c>
      <c r="FQ245" s="57">
        <v>2776.54</v>
      </c>
      <c r="FR245" s="57">
        <v>4933.55</v>
      </c>
      <c r="FS245" s="57">
        <v>3324.91</v>
      </c>
      <c r="FT245" s="57">
        <v>1398.02</v>
      </c>
      <c r="FU245" s="57">
        <v>3375.35</v>
      </c>
      <c r="FV245" s="57">
        <v>3466.9</v>
      </c>
      <c r="FW245" s="57">
        <v>1319.63</v>
      </c>
      <c r="FX245" s="57">
        <v>3904.52</v>
      </c>
      <c r="FY245" s="57">
        <v>4270.6499999999996</v>
      </c>
      <c r="FZ245" s="57">
        <v>2841.03</v>
      </c>
      <c r="GA245" s="57">
        <v>3457.2</v>
      </c>
      <c r="GB245" s="57">
        <v>2686.55</v>
      </c>
      <c r="GC245" s="57">
        <v>3182.85</v>
      </c>
      <c r="GD245" s="57">
        <v>2453.7199999999998</v>
      </c>
      <c r="GE245" s="57">
        <v>6213.45</v>
      </c>
      <c r="GF245" s="57">
        <v>4037.58</v>
      </c>
      <c r="GG245" s="57">
        <v>6036.29</v>
      </c>
      <c r="GH245" s="57">
        <v>3998.44</v>
      </c>
      <c r="GI245" s="57">
        <v>867.3</v>
      </c>
      <c r="GJ245" s="57">
        <v>572.17999999999995</v>
      </c>
      <c r="GK245" s="57">
        <v>623.46</v>
      </c>
      <c r="GL245" s="57">
        <v>528.66</v>
      </c>
      <c r="GM245" s="57">
        <v>1375.62</v>
      </c>
      <c r="GN245" s="57">
        <v>4025.45</v>
      </c>
      <c r="GO245" s="57">
        <v>786.06</v>
      </c>
      <c r="GP245" s="57">
        <v>659.08</v>
      </c>
      <c r="GQ245" s="57">
        <v>716.75</v>
      </c>
      <c r="GR245" s="57">
        <v>4087.48</v>
      </c>
      <c r="GS245" s="57">
        <v>4059.98</v>
      </c>
      <c r="GT245" s="57">
        <v>2890.91</v>
      </c>
      <c r="GU245" s="57">
        <v>2192.88</v>
      </c>
      <c r="GV245" s="57">
        <v>1438.81</v>
      </c>
      <c r="GW245" s="57">
        <v>2410.1</v>
      </c>
      <c r="GX245" s="57">
        <v>3789.16</v>
      </c>
      <c r="GY245" s="57">
        <v>2596.0500000000002</v>
      </c>
      <c r="GZ245" s="57">
        <v>3467.23</v>
      </c>
      <c r="HA245" s="57">
        <v>2771.49</v>
      </c>
      <c r="HB245" s="57">
        <v>2871.15</v>
      </c>
      <c r="HC245" s="57">
        <v>1990.62</v>
      </c>
      <c r="HD245" s="57">
        <v>1834.93</v>
      </c>
      <c r="HE245" s="57">
        <v>1956.63</v>
      </c>
      <c r="HF245" s="57">
        <v>2195.34</v>
      </c>
      <c r="HG245" s="57">
        <v>2994.82</v>
      </c>
      <c r="HH245" s="57">
        <v>2673.27</v>
      </c>
      <c r="HI245" s="57">
        <v>1216.18</v>
      </c>
      <c r="HJ245" s="57">
        <v>1829.11</v>
      </c>
      <c r="HK245" s="57">
        <v>4716.0600000000004</v>
      </c>
      <c r="HL245" s="57">
        <v>1776.19</v>
      </c>
      <c r="HM245" s="57">
        <v>1970.28</v>
      </c>
      <c r="HN245" s="57">
        <v>1831.1</v>
      </c>
      <c r="HO245" s="57">
        <v>1260.76</v>
      </c>
      <c r="HP245" s="57">
        <v>3433.36</v>
      </c>
      <c r="HQ245" s="57">
        <v>1400.36</v>
      </c>
      <c r="HR245" s="57">
        <v>2165.08</v>
      </c>
      <c r="HS245" s="57">
        <v>4106.99</v>
      </c>
      <c r="HT245" s="57">
        <v>3605.22</v>
      </c>
      <c r="HU245" s="57">
        <v>1790.66</v>
      </c>
      <c r="HV245" s="57">
        <v>1112.55</v>
      </c>
      <c r="HW245" s="57">
        <v>970.03</v>
      </c>
      <c r="HX245" s="57">
        <v>1168.81</v>
      </c>
      <c r="HY245" s="57">
        <v>341.55</v>
      </c>
      <c r="HZ245" s="57">
        <v>2937</v>
      </c>
      <c r="IA245" s="57">
        <v>1262.18</v>
      </c>
      <c r="IB245" s="57">
        <v>3416.21</v>
      </c>
      <c r="IC245" s="57">
        <v>1777.72</v>
      </c>
      <c r="ID245" s="57">
        <v>2117.04</v>
      </c>
      <c r="IE245" s="57">
        <v>1492.77</v>
      </c>
      <c r="IF245" s="57">
        <v>2069.19</v>
      </c>
      <c r="IG245" s="57">
        <v>3513.03</v>
      </c>
      <c r="IH245" s="57">
        <v>2595.2600000000002</v>
      </c>
      <c r="II245" s="57">
        <v>4492.16</v>
      </c>
      <c r="IJ245" s="57">
        <v>4483.21</v>
      </c>
      <c r="IK245" s="57">
        <v>3106.06</v>
      </c>
      <c r="IL245" s="57">
        <v>2081.59</v>
      </c>
      <c r="IM245" s="57">
        <v>3326.57</v>
      </c>
      <c r="IN245" s="57">
        <v>3750.01</v>
      </c>
      <c r="IO245" s="57">
        <v>2704.45</v>
      </c>
      <c r="IP245" s="57">
        <v>1373.86</v>
      </c>
      <c r="IQ245" s="57">
        <v>1815</v>
      </c>
      <c r="IR245" s="57">
        <v>6063.57</v>
      </c>
      <c r="IS245" s="57">
        <v>6548.27</v>
      </c>
      <c r="IT245" s="57">
        <v>95.74</v>
      </c>
      <c r="IU245" s="57">
        <v>618.66</v>
      </c>
      <c r="IV245" s="57">
        <v>155.44</v>
      </c>
      <c r="IW245" s="57">
        <v>304.16000000000003</v>
      </c>
      <c r="IX245" s="57">
        <v>1795.15</v>
      </c>
      <c r="IY245" s="57">
        <v>2517.04</v>
      </c>
      <c r="IZ245" s="57">
        <v>2055.65</v>
      </c>
      <c r="JA245" s="57">
        <v>1044.56</v>
      </c>
      <c r="JB245" s="57">
        <v>502.93</v>
      </c>
      <c r="JC245" s="57">
        <v>4584.51</v>
      </c>
      <c r="JD245" s="57">
        <v>2343.02</v>
      </c>
      <c r="JE245" s="57">
        <v>5261.85</v>
      </c>
      <c r="JF245" s="57">
        <v>1492.32</v>
      </c>
      <c r="JG245" s="57">
        <v>1706.39</v>
      </c>
      <c r="JH245" s="57">
        <v>3095.62</v>
      </c>
      <c r="JI245" s="57">
        <v>4844.9399999999996</v>
      </c>
      <c r="JJ245" s="57">
        <v>2861.3</v>
      </c>
      <c r="JK245" s="57">
        <v>3316.54</v>
      </c>
      <c r="JL245" s="57">
        <v>2541.3200000000002</v>
      </c>
      <c r="JM245" s="57">
        <v>2163.08</v>
      </c>
      <c r="JN245" s="57">
        <v>3050.38</v>
      </c>
      <c r="JO245" s="57">
        <v>2003.87</v>
      </c>
      <c r="JP245" s="57">
        <v>6361.32</v>
      </c>
      <c r="JQ245" s="57">
        <v>3888.71</v>
      </c>
      <c r="JR245" s="57">
        <v>2487.21</v>
      </c>
      <c r="JS245" s="57">
        <v>1527.28</v>
      </c>
      <c r="JT245" s="57">
        <v>4519.0200000000004</v>
      </c>
      <c r="JU245" s="57">
        <v>3255.72</v>
      </c>
      <c r="JV245" s="57">
        <v>998.41</v>
      </c>
      <c r="JW245" s="57">
        <v>1473.63</v>
      </c>
      <c r="JX245" s="57">
        <v>13045.01</v>
      </c>
      <c r="JY245" s="57">
        <v>942.38</v>
      </c>
      <c r="JZ245" s="57">
        <v>1941.8</v>
      </c>
      <c r="KA245" s="57">
        <v>4315.0200000000004</v>
      </c>
      <c r="KB245" s="57">
        <v>2235.4299999999998</v>
      </c>
      <c r="KC245" s="57">
        <v>2174.36</v>
      </c>
      <c r="KD245" s="57">
        <v>4345.17</v>
      </c>
      <c r="KE245" s="57">
        <v>223.11</v>
      </c>
      <c r="KF245" s="57">
        <v>3626.9</v>
      </c>
    </row>
    <row r="246" spans="1:292">
      <c r="A246" s="41">
        <v>2025</v>
      </c>
      <c r="B246" s="54" t="s">
        <v>977</v>
      </c>
      <c r="C246" s="50" t="s">
        <v>978</v>
      </c>
      <c r="D246" s="57">
        <v>2819.65</v>
      </c>
      <c r="E246" s="57">
        <v>3989.45</v>
      </c>
      <c r="F246" s="57">
        <v>4165.3500000000004</v>
      </c>
      <c r="G246" s="57">
        <v>706.36</v>
      </c>
      <c r="H246" s="57">
        <v>3146.2</v>
      </c>
      <c r="I246" s="57">
        <v>2471.41</v>
      </c>
      <c r="J246" s="57">
        <v>1989.18</v>
      </c>
      <c r="K246" s="57">
        <v>2839.19</v>
      </c>
      <c r="L246" s="57">
        <v>480.56</v>
      </c>
      <c r="M246" s="57">
        <v>1403.22</v>
      </c>
      <c r="N246" s="57">
        <v>2641.58</v>
      </c>
      <c r="O246" s="57">
        <v>5656.88</v>
      </c>
      <c r="P246" s="57">
        <v>3769.02</v>
      </c>
      <c r="Q246" s="57">
        <v>4059.18</v>
      </c>
      <c r="R246" s="57">
        <v>3101.77</v>
      </c>
      <c r="S246" s="57">
        <v>6902.51</v>
      </c>
      <c r="T246" s="57">
        <v>4005.15</v>
      </c>
      <c r="U246" s="57">
        <v>699.92</v>
      </c>
      <c r="V246" s="57">
        <v>704.48</v>
      </c>
      <c r="W246" s="57">
        <v>4411.6099999999997</v>
      </c>
      <c r="X246" s="57">
        <v>3022.77</v>
      </c>
      <c r="Y246" s="57">
        <v>2648.19</v>
      </c>
      <c r="Z246" s="57">
        <v>2325.1799999999998</v>
      </c>
      <c r="AA246" s="57">
        <v>2965.46</v>
      </c>
      <c r="AB246" s="57">
        <v>1877.34</v>
      </c>
      <c r="AC246" s="57">
        <v>2448.4299999999998</v>
      </c>
      <c r="AD246" s="57">
        <v>1862.95</v>
      </c>
      <c r="AE246" s="57">
        <v>2074.4899999999998</v>
      </c>
      <c r="AF246" s="57">
        <v>2077.61</v>
      </c>
      <c r="AG246" s="57">
        <v>1514.86</v>
      </c>
      <c r="AH246" s="57">
        <v>1950.22</v>
      </c>
      <c r="AI246" s="57">
        <v>3964.34</v>
      </c>
      <c r="AJ246" s="57">
        <v>2057.27</v>
      </c>
      <c r="AK246" s="57">
        <v>3184</v>
      </c>
      <c r="AL246" s="57">
        <v>3524.21</v>
      </c>
      <c r="AM246" s="57">
        <v>6548.27</v>
      </c>
      <c r="AN246" s="57">
        <v>96.38</v>
      </c>
      <c r="AO246" s="57">
        <v>636.14</v>
      </c>
      <c r="AP246" s="57">
        <v>271.2</v>
      </c>
      <c r="AQ246" s="57">
        <v>2543.67</v>
      </c>
      <c r="AR246" s="57">
        <v>2078.36</v>
      </c>
      <c r="AS246" s="57">
        <v>2256.16</v>
      </c>
      <c r="AT246" s="57">
        <v>3105.16</v>
      </c>
      <c r="AU246" s="57">
        <v>3390.14</v>
      </c>
      <c r="AV246" s="57">
        <v>2841.81</v>
      </c>
      <c r="AW246" s="57">
        <v>2448.6999999999998</v>
      </c>
      <c r="AX246" s="57">
        <v>3050.38</v>
      </c>
      <c r="AY246" s="57">
        <v>2116.2399999999998</v>
      </c>
      <c r="AZ246" s="57">
        <v>6110.51</v>
      </c>
      <c r="BA246" s="57">
        <v>2366.4299999999998</v>
      </c>
      <c r="BB246" s="57">
        <v>1986.6</v>
      </c>
      <c r="BC246" s="57">
        <v>7713.56</v>
      </c>
      <c r="BD246" s="57">
        <v>4636.79</v>
      </c>
      <c r="BE246" s="57">
        <v>4366.13</v>
      </c>
      <c r="BF246" s="57">
        <v>321.98</v>
      </c>
      <c r="BG246" s="57">
        <v>4732.6499999999996</v>
      </c>
      <c r="BH246" s="57">
        <v>3852.38</v>
      </c>
      <c r="BI246" s="57">
        <v>4704.53</v>
      </c>
      <c r="BJ246" s="57">
        <v>3550.65</v>
      </c>
      <c r="BK246" s="57">
        <v>3591.81</v>
      </c>
      <c r="BL246" s="57">
        <v>3275.45</v>
      </c>
      <c r="BM246" s="57">
        <v>3431.53</v>
      </c>
      <c r="BN246" s="57">
        <v>5092.1899999999996</v>
      </c>
      <c r="BO246" s="57">
        <v>2519.7600000000002</v>
      </c>
      <c r="BP246" s="57">
        <v>3977.03</v>
      </c>
      <c r="BQ246" s="57">
        <v>3334.68</v>
      </c>
      <c r="BR246" s="57">
        <v>2882.12</v>
      </c>
      <c r="BS246" s="57">
        <v>6840.28</v>
      </c>
      <c r="BT246" s="57">
        <v>4147.8</v>
      </c>
      <c r="BU246" s="57">
        <v>7071.03</v>
      </c>
      <c r="BV246" s="57">
        <v>4005.15</v>
      </c>
      <c r="BW246" s="57">
        <v>638.16999999999996</v>
      </c>
      <c r="BX246" s="57">
        <v>1382.6</v>
      </c>
      <c r="BY246" s="57">
        <v>4506.99</v>
      </c>
      <c r="BZ246" s="57">
        <v>695.32</v>
      </c>
      <c r="CA246" s="57">
        <v>4494.24</v>
      </c>
      <c r="CB246" s="58">
        <v>4411.6099999999997</v>
      </c>
      <c r="CC246" s="57">
        <v>3022.77</v>
      </c>
      <c r="CD246" s="57">
        <v>2637.96</v>
      </c>
      <c r="CE246" s="57">
        <v>1438.81</v>
      </c>
      <c r="CF246" s="57">
        <v>2905.14</v>
      </c>
      <c r="CG246" s="57">
        <v>2653.21</v>
      </c>
      <c r="CH246" s="57">
        <v>3096.64</v>
      </c>
      <c r="CI246" s="57">
        <v>2153.44</v>
      </c>
      <c r="CJ246" s="57">
        <v>1877.34</v>
      </c>
      <c r="CK246" s="57">
        <v>2293.87</v>
      </c>
      <c r="CL246" s="57">
        <v>1859.32</v>
      </c>
      <c r="CM246" s="57">
        <v>5275.61</v>
      </c>
      <c r="CN246" s="57">
        <v>1862.95</v>
      </c>
      <c r="CO246" s="57">
        <v>2074.4899999999998</v>
      </c>
      <c r="CP246" s="57">
        <v>1531.56</v>
      </c>
      <c r="CQ246" s="57">
        <v>4905.1000000000004</v>
      </c>
      <c r="CR246" s="57">
        <v>1805.79</v>
      </c>
      <c r="CS246" s="57">
        <v>1101.6500000000001</v>
      </c>
      <c r="CT246" s="57">
        <v>1183.58</v>
      </c>
      <c r="CU246" s="57">
        <v>648.38</v>
      </c>
      <c r="CV246" s="57">
        <v>3265.41</v>
      </c>
      <c r="CW246" s="57">
        <v>1656.69</v>
      </c>
      <c r="CX246" s="57">
        <v>3964.34</v>
      </c>
      <c r="CY246" s="57">
        <v>2070.04</v>
      </c>
      <c r="CZ246" s="57">
        <v>1581.82</v>
      </c>
      <c r="DA246" s="57">
        <v>2152.31</v>
      </c>
      <c r="DB246" s="57">
        <v>3597.39</v>
      </c>
      <c r="DC246" s="57">
        <v>2723.97</v>
      </c>
      <c r="DD246" s="57">
        <v>4921.8100000000004</v>
      </c>
      <c r="DE246" s="57">
        <v>4932.3100000000004</v>
      </c>
      <c r="DF246" s="57">
        <v>3735.45</v>
      </c>
      <c r="DG246" s="57">
        <v>3477.66</v>
      </c>
      <c r="DH246" s="57">
        <v>1847.51</v>
      </c>
      <c r="DI246" s="57">
        <v>2316.89</v>
      </c>
      <c r="DJ246" s="57">
        <v>6744.97</v>
      </c>
      <c r="DK246" s="57">
        <v>6548.27</v>
      </c>
      <c r="DL246" s="57">
        <v>96.38</v>
      </c>
      <c r="DM246" s="57">
        <v>636.14</v>
      </c>
      <c r="DN246" s="57">
        <v>159.22</v>
      </c>
      <c r="DO246" s="57">
        <v>308.39</v>
      </c>
      <c r="DP246" s="57">
        <v>1954.51</v>
      </c>
      <c r="DQ246" s="57">
        <v>2543.67</v>
      </c>
      <c r="DR246" s="57">
        <v>2083.92</v>
      </c>
      <c r="DS246" s="57">
        <v>1051.6300000000001</v>
      </c>
      <c r="DT246" s="57">
        <v>538.66999999999996</v>
      </c>
      <c r="DU246" s="57">
        <v>5911.37</v>
      </c>
      <c r="DV246" s="57">
        <v>2647.42</v>
      </c>
      <c r="DW246" s="57">
        <v>1956.61</v>
      </c>
      <c r="DX246" s="57">
        <v>1767.11</v>
      </c>
      <c r="DY246" s="57">
        <v>3135.18</v>
      </c>
      <c r="DZ246" s="57">
        <v>5072.78</v>
      </c>
      <c r="EA246" s="57">
        <v>2931.34</v>
      </c>
      <c r="EB246" s="57">
        <v>3390.14</v>
      </c>
      <c r="EC246" s="57">
        <v>2841.81</v>
      </c>
      <c r="ED246" s="57">
        <v>2448.6999999999998</v>
      </c>
      <c r="EE246" s="57">
        <v>3050.38</v>
      </c>
      <c r="EF246" s="57">
        <v>2116.2399999999998</v>
      </c>
      <c r="EG246" s="57">
        <v>6110.51</v>
      </c>
      <c r="EH246" s="57">
        <v>2366.4299999999998</v>
      </c>
      <c r="EI246" s="57">
        <v>4314.3599999999997</v>
      </c>
      <c r="EJ246" s="57">
        <v>1026.48</v>
      </c>
      <c r="EK246" s="57">
        <v>1510.27</v>
      </c>
      <c r="EL246" s="57">
        <v>13399.22</v>
      </c>
      <c r="EM246" s="57">
        <v>1360.05</v>
      </c>
      <c r="EN246" s="57">
        <v>4636.79</v>
      </c>
      <c r="EO246" s="57">
        <v>2251.4</v>
      </c>
      <c r="EP246" s="57">
        <v>2512.88</v>
      </c>
      <c r="EQ246" s="57">
        <v>4672.68</v>
      </c>
      <c r="ER246" s="57">
        <v>321.98</v>
      </c>
      <c r="ES246" s="57">
        <v>4732.6499999999996</v>
      </c>
      <c r="ET246" s="57">
        <v>3828.94</v>
      </c>
      <c r="EU246" s="57">
        <v>2965.13</v>
      </c>
      <c r="EV246" s="57">
        <v>3839.11</v>
      </c>
      <c r="EW246" s="57">
        <v>4212.62</v>
      </c>
      <c r="EX246" s="57">
        <v>3644.55</v>
      </c>
      <c r="EY246" s="57">
        <v>1769.33</v>
      </c>
      <c r="EZ246" s="57">
        <v>5010.5600000000004</v>
      </c>
      <c r="FA246" s="57">
        <v>6080.09</v>
      </c>
      <c r="FB246" s="57">
        <v>3385.85</v>
      </c>
      <c r="FC246" s="57">
        <v>7793.63</v>
      </c>
      <c r="FD246" s="57">
        <v>3580.33</v>
      </c>
      <c r="FE246" s="57">
        <v>3640.51</v>
      </c>
      <c r="FF246" s="57">
        <v>603.32000000000005</v>
      </c>
      <c r="FG246" s="57">
        <v>3130.71</v>
      </c>
      <c r="FH246" s="57">
        <v>2875.02</v>
      </c>
      <c r="FI246" s="57">
        <v>3620.87</v>
      </c>
      <c r="FJ246" s="57">
        <v>5195.3599999999997</v>
      </c>
      <c r="FK246" s="57">
        <v>5576.13</v>
      </c>
      <c r="FL246" s="57">
        <v>3641.63</v>
      </c>
      <c r="FM246" s="57">
        <v>2893.38</v>
      </c>
      <c r="FN246" s="57">
        <v>3022.79</v>
      </c>
      <c r="FO246" s="57">
        <v>5441.72</v>
      </c>
      <c r="FP246" s="57">
        <v>5758.39</v>
      </c>
      <c r="FQ246" s="57">
        <v>2773.1</v>
      </c>
      <c r="FR246" s="57">
        <v>4974.32</v>
      </c>
      <c r="FS246" s="57">
        <v>3359.04</v>
      </c>
      <c r="FT246" s="57">
        <v>1416.78</v>
      </c>
      <c r="FU246" s="57">
        <v>3476.33</v>
      </c>
      <c r="FV246" s="57">
        <v>3526.35</v>
      </c>
      <c r="FW246" s="57">
        <v>1494.99</v>
      </c>
      <c r="FX246" s="57">
        <v>3977.03</v>
      </c>
      <c r="FY246" s="57">
        <v>4719.51</v>
      </c>
      <c r="FZ246" s="57">
        <v>3002.88</v>
      </c>
      <c r="GA246" s="57">
        <v>3723.42</v>
      </c>
      <c r="GB246" s="57">
        <v>2734.49</v>
      </c>
      <c r="GC246" s="57">
        <v>3247.52</v>
      </c>
      <c r="GD246" s="57">
        <v>2520.77</v>
      </c>
      <c r="GE246" s="57">
        <v>6840.28</v>
      </c>
      <c r="GF246" s="57">
        <v>4147.8</v>
      </c>
      <c r="GG246" s="57">
        <v>7071.03</v>
      </c>
      <c r="GH246" s="57">
        <v>3998.44</v>
      </c>
      <c r="GI246" s="57">
        <v>820.76</v>
      </c>
      <c r="GJ246" s="57">
        <v>538.34</v>
      </c>
      <c r="GK246" s="57">
        <v>572.76</v>
      </c>
      <c r="GL246" s="57">
        <v>511</v>
      </c>
      <c r="GM246" s="57">
        <v>1382.6</v>
      </c>
      <c r="GN246" s="57">
        <v>4506.99</v>
      </c>
      <c r="GO246" s="57">
        <v>755.04</v>
      </c>
      <c r="GP246" s="57">
        <v>629.59</v>
      </c>
      <c r="GQ246" s="57">
        <v>691.79</v>
      </c>
      <c r="GR246" s="57">
        <v>4494.24</v>
      </c>
      <c r="GS246" s="57">
        <v>4411.6099999999997</v>
      </c>
      <c r="GT246" s="57">
        <v>3022.77</v>
      </c>
      <c r="GU246" s="57">
        <v>2637.96</v>
      </c>
      <c r="GV246" s="57">
        <v>1438.81</v>
      </c>
      <c r="GW246" s="57">
        <v>2440.37</v>
      </c>
      <c r="GX246" s="57">
        <v>3942.62</v>
      </c>
      <c r="GY246" s="57">
        <v>2653.21</v>
      </c>
      <c r="GZ246" s="57">
        <v>3788.77</v>
      </c>
      <c r="HA246" s="57">
        <v>3018.83</v>
      </c>
      <c r="HB246" s="57">
        <v>3022.67</v>
      </c>
      <c r="HC246" s="57">
        <v>2153.44</v>
      </c>
      <c r="HD246" s="57">
        <v>1877.34</v>
      </c>
      <c r="HE246" s="57">
        <v>2051.7199999999998</v>
      </c>
      <c r="HF246" s="57">
        <v>2216.7600000000002</v>
      </c>
      <c r="HG246" s="57">
        <v>3109.92</v>
      </c>
      <c r="HH246" s="57">
        <v>2728.62</v>
      </c>
      <c r="HI246" s="57">
        <v>1250.52</v>
      </c>
      <c r="HJ246" s="57">
        <v>1859.32</v>
      </c>
      <c r="HK246" s="57">
        <v>5275.61</v>
      </c>
      <c r="HL246" s="57">
        <v>1867.84</v>
      </c>
      <c r="HM246" s="57">
        <v>2006.76</v>
      </c>
      <c r="HN246" s="57">
        <v>1866.45</v>
      </c>
      <c r="HO246" s="57">
        <v>1246.03</v>
      </c>
      <c r="HP246" s="57">
        <v>3540.68</v>
      </c>
      <c r="HQ246" s="57">
        <v>1428.02</v>
      </c>
      <c r="HR246" s="57">
        <v>2224.85</v>
      </c>
      <c r="HS246" s="57">
        <v>4694.8599999999997</v>
      </c>
      <c r="HT246" s="57">
        <v>4049.03</v>
      </c>
      <c r="HU246" s="57">
        <v>1805.79</v>
      </c>
      <c r="HV246" s="57">
        <v>1101.6500000000001</v>
      </c>
      <c r="HW246" s="57">
        <v>1085.82</v>
      </c>
      <c r="HX246" s="57">
        <v>1205.93</v>
      </c>
      <c r="HY246" s="57">
        <v>648.38</v>
      </c>
      <c r="HZ246" s="57">
        <v>3265.41</v>
      </c>
      <c r="IA246" s="57">
        <v>1513.23</v>
      </c>
      <c r="IB246" s="57">
        <v>3964.34</v>
      </c>
      <c r="IC246" s="57">
        <v>1828.06</v>
      </c>
      <c r="ID246" s="57">
        <v>2141.0300000000002</v>
      </c>
      <c r="IE246" s="57">
        <v>1581.82</v>
      </c>
      <c r="IF246" s="57">
        <v>2152.31</v>
      </c>
      <c r="IG246" s="57">
        <v>3597.39</v>
      </c>
      <c r="IH246" s="57">
        <v>2723.97</v>
      </c>
      <c r="II246" s="57">
        <v>4921.8100000000004</v>
      </c>
      <c r="IJ246" s="57">
        <v>4932.3100000000004</v>
      </c>
      <c r="IK246" s="57">
        <v>3179</v>
      </c>
      <c r="IL246" s="57">
        <v>2995.95</v>
      </c>
      <c r="IM246" s="57">
        <v>3438</v>
      </c>
      <c r="IN246" s="57">
        <v>4052.89</v>
      </c>
      <c r="IO246" s="57">
        <v>2904.53</v>
      </c>
      <c r="IP246" s="57">
        <v>1847.51</v>
      </c>
      <c r="IQ246" s="57">
        <v>2316.89</v>
      </c>
      <c r="IR246" s="57">
        <v>6744.97</v>
      </c>
      <c r="IS246" s="57">
        <v>6548.27</v>
      </c>
      <c r="IT246" s="57">
        <v>96.38</v>
      </c>
      <c r="IU246" s="57">
        <v>636.14</v>
      </c>
      <c r="IV246" s="57">
        <v>159.26</v>
      </c>
      <c r="IW246" s="57">
        <v>308.39</v>
      </c>
      <c r="IX246" s="57">
        <v>1954.51</v>
      </c>
      <c r="IY246" s="57">
        <v>2543.67</v>
      </c>
      <c r="IZ246" s="57">
        <v>2083.92</v>
      </c>
      <c r="JA246" s="57">
        <v>1051.6300000000001</v>
      </c>
      <c r="JB246" s="57">
        <v>538.66999999999996</v>
      </c>
      <c r="JC246" s="57">
        <v>5911.37</v>
      </c>
      <c r="JD246" s="57">
        <v>2647.42</v>
      </c>
      <c r="JE246" s="57">
        <v>5826.69</v>
      </c>
      <c r="JF246" s="57">
        <v>1614.6</v>
      </c>
      <c r="JG246" s="57">
        <v>1767.11</v>
      </c>
      <c r="JH246" s="57">
        <v>3135.18</v>
      </c>
      <c r="JI246" s="57">
        <v>5072.78</v>
      </c>
      <c r="JJ246" s="57">
        <v>2931.34</v>
      </c>
      <c r="JK246" s="57">
        <v>3390.14</v>
      </c>
      <c r="JL246" s="57">
        <v>2841.81</v>
      </c>
      <c r="JM246" s="57">
        <v>2448.6999999999998</v>
      </c>
      <c r="JN246" s="57">
        <v>3050.38</v>
      </c>
      <c r="JO246" s="57">
        <v>2116.2399999999998</v>
      </c>
      <c r="JP246" s="57">
        <v>6770.01</v>
      </c>
      <c r="JQ246" s="57">
        <v>4179.8100000000004</v>
      </c>
      <c r="JR246" s="57">
        <v>2682.8</v>
      </c>
      <c r="JS246" s="57">
        <v>1532.56</v>
      </c>
      <c r="JT246" s="57">
        <v>5149.7299999999996</v>
      </c>
      <c r="JU246" s="57">
        <v>3612.87</v>
      </c>
      <c r="JV246" s="57">
        <v>1026.48</v>
      </c>
      <c r="JW246" s="57">
        <v>1510.27</v>
      </c>
      <c r="JX246" s="57">
        <v>13399.22</v>
      </c>
      <c r="JY246" s="57">
        <v>926.37</v>
      </c>
      <c r="JZ246" s="57">
        <v>1978.79</v>
      </c>
      <c r="KA246" s="57">
        <v>4636.79</v>
      </c>
      <c r="KB246" s="57">
        <v>2251.4</v>
      </c>
      <c r="KC246" s="57">
        <v>2512.88</v>
      </c>
      <c r="KD246" s="57">
        <v>4672.68</v>
      </c>
      <c r="KE246" s="57">
        <v>321.98</v>
      </c>
      <c r="KF246" s="57">
        <v>4732.6499999999996</v>
      </c>
    </row>
    <row r="247" spans="1:292">
      <c r="A247" s="41">
        <v>2025</v>
      </c>
      <c r="B247" s="54" t="s">
        <v>979</v>
      </c>
      <c r="C247" s="50" t="s">
        <v>980</v>
      </c>
      <c r="D247" s="57">
        <v>2883.75</v>
      </c>
      <c r="E247" s="57">
        <v>4115.9399999999996</v>
      </c>
      <c r="F247" s="57">
        <v>4164.84</v>
      </c>
      <c r="G247" s="57">
        <v>670.64</v>
      </c>
      <c r="H247" s="57">
        <v>3290.27</v>
      </c>
      <c r="I247" s="57">
        <v>2513.4</v>
      </c>
      <c r="J247" s="57">
        <v>1901.96</v>
      </c>
      <c r="K247" s="57">
        <v>2925.79</v>
      </c>
      <c r="L247" s="57">
        <v>492.02</v>
      </c>
      <c r="M247" s="57">
        <v>1406.77</v>
      </c>
      <c r="N247" s="57">
        <v>2903.73</v>
      </c>
      <c r="O247" s="57">
        <v>5833.16</v>
      </c>
      <c r="P247" s="57">
        <v>3879.47</v>
      </c>
      <c r="Q247" s="57">
        <v>4192.96</v>
      </c>
      <c r="R247" s="57">
        <v>3142.19</v>
      </c>
      <c r="S247" s="57">
        <v>6892.93</v>
      </c>
      <c r="T247" s="57">
        <v>4005.15</v>
      </c>
      <c r="U247" s="57">
        <v>656.3</v>
      </c>
      <c r="V247" s="57">
        <v>701.33</v>
      </c>
      <c r="W247" s="57">
        <v>4642.57</v>
      </c>
      <c r="X247" s="57">
        <v>3121.82</v>
      </c>
      <c r="Y247" s="57">
        <v>2726.68</v>
      </c>
      <c r="Z247" s="57">
        <v>2436.52</v>
      </c>
      <c r="AA247" s="57">
        <v>2990.68</v>
      </c>
      <c r="AB247" s="57">
        <v>1937.04</v>
      </c>
      <c r="AC247" s="57">
        <v>2480.63</v>
      </c>
      <c r="AD247" s="57">
        <v>1889.96</v>
      </c>
      <c r="AE247" s="57">
        <v>2119.44</v>
      </c>
      <c r="AF247" s="57">
        <v>2135.06</v>
      </c>
      <c r="AG247" s="57">
        <v>1517.46</v>
      </c>
      <c r="AH247" s="57">
        <v>1780.8</v>
      </c>
      <c r="AI247" s="57">
        <v>4052.14</v>
      </c>
      <c r="AJ247" s="57">
        <v>2090.96</v>
      </c>
      <c r="AK247" s="57">
        <v>3264.66</v>
      </c>
      <c r="AL247" s="57">
        <v>3781.65</v>
      </c>
      <c r="AM247" s="57">
        <v>6548.27</v>
      </c>
      <c r="AN247" s="57">
        <v>95.95</v>
      </c>
      <c r="AO247" s="57">
        <v>659.42</v>
      </c>
      <c r="AP247" s="57">
        <v>273.08999999999997</v>
      </c>
      <c r="AQ247" s="57">
        <v>2574.37</v>
      </c>
      <c r="AR247" s="57">
        <v>1951.11</v>
      </c>
      <c r="AS247" s="57">
        <v>2320.65</v>
      </c>
      <c r="AT247" s="57">
        <v>3127.83</v>
      </c>
      <c r="AU247" s="57">
        <v>3364.77</v>
      </c>
      <c r="AV247" s="57">
        <v>3318.81</v>
      </c>
      <c r="AW247" s="57">
        <v>2834.64</v>
      </c>
      <c r="AX247" s="57">
        <v>3050.38</v>
      </c>
      <c r="AY247" s="57">
        <v>2204.83</v>
      </c>
      <c r="AZ247" s="57">
        <v>6315.35</v>
      </c>
      <c r="BA247" s="57">
        <v>2384.9899999999998</v>
      </c>
      <c r="BB247" s="57">
        <v>2047.32</v>
      </c>
      <c r="BC247" s="57">
        <v>8017.35</v>
      </c>
      <c r="BD247" s="57">
        <v>4850.1400000000003</v>
      </c>
      <c r="BE247" s="57">
        <v>4528.41</v>
      </c>
      <c r="BF247" s="57">
        <v>321.98</v>
      </c>
      <c r="BG247" s="57">
        <v>4743.58</v>
      </c>
      <c r="BH247" s="57">
        <v>4044.09</v>
      </c>
      <c r="BI247" s="57">
        <v>4883.29</v>
      </c>
      <c r="BJ247" s="57">
        <v>3805.01</v>
      </c>
      <c r="BK247" s="57">
        <v>3832.2</v>
      </c>
      <c r="BL247" s="57">
        <v>3359.97</v>
      </c>
      <c r="BM247" s="57">
        <v>3648.78</v>
      </c>
      <c r="BN247" s="57">
        <v>4864.28</v>
      </c>
      <c r="BO247" s="57">
        <v>2662.42</v>
      </c>
      <c r="BP247" s="57">
        <v>4013.56</v>
      </c>
      <c r="BQ247" s="57">
        <v>3280.47</v>
      </c>
      <c r="BR247" s="57">
        <v>3008.94</v>
      </c>
      <c r="BS247" s="57">
        <v>6885.08</v>
      </c>
      <c r="BT247" s="57">
        <v>4217.12</v>
      </c>
      <c r="BU247" s="57">
        <v>6991.24</v>
      </c>
      <c r="BV247" s="57">
        <v>4005.15</v>
      </c>
      <c r="BW247" s="57">
        <v>594.04</v>
      </c>
      <c r="BX247" s="57">
        <v>1430.25</v>
      </c>
      <c r="BY247" s="57">
        <v>4717.29</v>
      </c>
      <c r="BZ247" s="57">
        <v>691.84</v>
      </c>
      <c r="CA247" s="57">
        <v>4802.9399999999996</v>
      </c>
      <c r="CB247" s="58">
        <v>4642.57</v>
      </c>
      <c r="CC247" s="57">
        <v>3121.82</v>
      </c>
      <c r="CD247" s="57">
        <v>2716.15</v>
      </c>
      <c r="CE247" s="57">
        <v>1592.8</v>
      </c>
      <c r="CF247" s="57">
        <v>2950.81</v>
      </c>
      <c r="CG247" s="57">
        <v>2683.2</v>
      </c>
      <c r="CH247" s="57">
        <v>3108.53</v>
      </c>
      <c r="CI247" s="57">
        <v>2301.34</v>
      </c>
      <c r="CJ247" s="57">
        <v>1937.04</v>
      </c>
      <c r="CK247" s="57">
        <v>2314.37</v>
      </c>
      <c r="CL247" s="57">
        <v>1886.33</v>
      </c>
      <c r="CM247" s="57">
        <v>5612.62</v>
      </c>
      <c r="CN247" s="57">
        <v>1889.96</v>
      </c>
      <c r="CO247" s="57">
        <v>2119.44</v>
      </c>
      <c r="CP247" s="57">
        <v>1555.13</v>
      </c>
      <c r="CQ247" s="57">
        <v>5182.26</v>
      </c>
      <c r="CR247" s="57">
        <v>1806.32</v>
      </c>
      <c r="CS247" s="57">
        <v>1108.6099999999999</v>
      </c>
      <c r="CT247" s="57">
        <v>1187.05</v>
      </c>
      <c r="CU247" s="57">
        <v>497.38</v>
      </c>
      <c r="CV247" s="57">
        <v>3345.23</v>
      </c>
      <c r="CW247" s="57">
        <v>1712.38</v>
      </c>
      <c r="CX247" s="57">
        <v>4052.14</v>
      </c>
      <c r="CY247" s="57">
        <v>2102.4699999999998</v>
      </c>
      <c r="CZ247" s="57">
        <v>1620.22</v>
      </c>
      <c r="DA247" s="57">
        <v>2247.09</v>
      </c>
      <c r="DB247" s="57">
        <v>3641.81</v>
      </c>
      <c r="DC247" s="57">
        <v>2785.77</v>
      </c>
      <c r="DD247" s="57">
        <v>5054.9399999999996</v>
      </c>
      <c r="DE247" s="57">
        <v>5346.36</v>
      </c>
      <c r="DF247" s="57">
        <v>3777.45</v>
      </c>
      <c r="DG247" s="57">
        <v>3804.64</v>
      </c>
      <c r="DH247" s="57">
        <v>1672.26</v>
      </c>
      <c r="DI247" s="57">
        <v>2379.56</v>
      </c>
      <c r="DJ247" s="57">
        <v>7034.59</v>
      </c>
      <c r="DK247" s="57">
        <v>6548.27</v>
      </c>
      <c r="DL247" s="57">
        <v>95.95</v>
      </c>
      <c r="DM247" s="57">
        <v>659.42</v>
      </c>
      <c r="DN247" s="57">
        <v>160.44</v>
      </c>
      <c r="DO247" s="57">
        <v>304.42</v>
      </c>
      <c r="DP247" s="57">
        <v>2106.08</v>
      </c>
      <c r="DQ247" s="57">
        <v>2574.37</v>
      </c>
      <c r="DR247" s="57">
        <v>2110.12</v>
      </c>
      <c r="DS247" s="57">
        <v>1069.94</v>
      </c>
      <c r="DT247" s="57">
        <v>439.83</v>
      </c>
      <c r="DU247" s="57">
        <v>6092.71</v>
      </c>
      <c r="DV247" s="57">
        <v>2747.13</v>
      </c>
      <c r="DW247" s="57">
        <v>1983.87</v>
      </c>
      <c r="DX247" s="57">
        <v>1773.82</v>
      </c>
      <c r="DY247" s="57">
        <v>3168.26</v>
      </c>
      <c r="DZ247" s="57">
        <v>5113.7</v>
      </c>
      <c r="EA247" s="57">
        <v>2929.16</v>
      </c>
      <c r="EB247" s="57">
        <v>3364.77</v>
      </c>
      <c r="EC247" s="57">
        <v>3318.81</v>
      </c>
      <c r="ED247" s="57">
        <v>2834.64</v>
      </c>
      <c r="EE247" s="57">
        <v>3050.38</v>
      </c>
      <c r="EF247" s="57">
        <v>2204.83</v>
      </c>
      <c r="EG247" s="57">
        <v>6315.35</v>
      </c>
      <c r="EH247" s="57">
        <v>2384.9899999999998</v>
      </c>
      <c r="EI247" s="57">
        <v>4658.21</v>
      </c>
      <c r="EJ247" s="57">
        <v>1009.37</v>
      </c>
      <c r="EK247" s="57">
        <v>1529.84</v>
      </c>
      <c r="EL247" s="57">
        <v>14039.12</v>
      </c>
      <c r="EM247" s="57">
        <v>1397.27</v>
      </c>
      <c r="EN247" s="57">
        <v>4850.1400000000003</v>
      </c>
      <c r="EO247" s="57">
        <v>2270.65</v>
      </c>
      <c r="EP247" s="57">
        <v>2320.3200000000002</v>
      </c>
      <c r="EQ247" s="57">
        <v>4952.0200000000004</v>
      </c>
      <c r="ER247" s="57">
        <v>321.98</v>
      </c>
      <c r="ES247" s="57">
        <v>4743.58</v>
      </c>
      <c r="ET247" s="57">
        <v>3990.73</v>
      </c>
      <c r="EU247" s="57">
        <v>2987.03</v>
      </c>
      <c r="EV247" s="57">
        <v>4037.57</v>
      </c>
      <c r="EW247" s="57">
        <v>4488.0600000000004</v>
      </c>
      <c r="EX247" s="57">
        <v>3861.98</v>
      </c>
      <c r="EY247" s="57">
        <v>1745.07</v>
      </c>
      <c r="EZ247" s="57">
        <v>5303.41</v>
      </c>
      <c r="FA247" s="57">
        <v>6287.32</v>
      </c>
      <c r="FB247" s="57">
        <v>3408</v>
      </c>
      <c r="FC247" s="57">
        <v>7912.04</v>
      </c>
      <c r="FD247" s="57">
        <v>3721.32</v>
      </c>
      <c r="FE247" s="57">
        <v>3912.86</v>
      </c>
      <c r="FF247" s="57">
        <v>620.48</v>
      </c>
      <c r="FG247" s="57">
        <v>3416.62</v>
      </c>
      <c r="FH247" s="57">
        <v>3171.92</v>
      </c>
      <c r="FI247" s="57">
        <v>3871.84</v>
      </c>
      <c r="FJ247" s="57">
        <v>5272.36</v>
      </c>
      <c r="FK247" s="57">
        <v>6341.41</v>
      </c>
      <c r="FL247" s="57">
        <v>3667.94</v>
      </c>
      <c r="FM247" s="57">
        <v>2886.77</v>
      </c>
      <c r="FN247" s="57">
        <v>3272.93</v>
      </c>
      <c r="FO247" s="57">
        <v>5497.27</v>
      </c>
      <c r="FP247" s="57">
        <v>5315.6</v>
      </c>
      <c r="FQ247" s="57">
        <v>2825.16</v>
      </c>
      <c r="FR247" s="57">
        <v>5083.7299999999996</v>
      </c>
      <c r="FS247" s="57">
        <v>3504.73</v>
      </c>
      <c r="FT247" s="57">
        <v>1420.21</v>
      </c>
      <c r="FU247" s="57">
        <v>3616.15</v>
      </c>
      <c r="FV247" s="57">
        <v>3740.92</v>
      </c>
      <c r="FW247" s="57">
        <v>1753.3</v>
      </c>
      <c r="FX247" s="57">
        <v>4013.56</v>
      </c>
      <c r="FY247" s="57">
        <v>4576.63</v>
      </c>
      <c r="FZ247" s="57">
        <v>2963.86</v>
      </c>
      <c r="GA247" s="57">
        <v>4043.35</v>
      </c>
      <c r="GB247" s="57">
        <v>2861.31</v>
      </c>
      <c r="GC247" s="57">
        <v>3396.4</v>
      </c>
      <c r="GD247" s="57">
        <v>2597.1799999999998</v>
      </c>
      <c r="GE247" s="57">
        <v>6885.08</v>
      </c>
      <c r="GF247" s="57">
        <v>4217.12</v>
      </c>
      <c r="GG247" s="57">
        <v>6991.24</v>
      </c>
      <c r="GH247" s="57">
        <v>3998.44</v>
      </c>
      <c r="GI247" s="57">
        <v>780.3</v>
      </c>
      <c r="GJ247" s="57">
        <v>496.15</v>
      </c>
      <c r="GK247" s="57">
        <v>522.25</v>
      </c>
      <c r="GL247" s="57">
        <v>491.85</v>
      </c>
      <c r="GM247" s="57">
        <v>1430.25</v>
      </c>
      <c r="GN247" s="57">
        <v>4717.29</v>
      </c>
      <c r="GO247" s="57">
        <v>752.6</v>
      </c>
      <c r="GP247" s="57">
        <v>626.04</v>
      </c>
      <c r="GQ247" s="57">
        <v>686.55</v>
      </c>
      <c r="GR247" s="57">
        <v>4802.9399999999996</v>
      </c>
      <c r="GS247" s="57">
        <v>4642.57</v>
      </c>
      <c r="GT247" s="57">
        <v>3121.82</v>
      </c>
      <c r="GU247" s="57">
        <v>2716.15</v>
      </c>
      <c r="GV247" s="57">
        <v>1592.8</v>
      </c>
      <c r="GW247" s="57">
        <v>2447.44</v>
      </c>
      <c r="GX247" s="57">
        <v>4208.49</v>
      </c>
      <c r="GY247" s="57">
        <v>2683.2</v>
      </c>
      <c r="GZ247" s="57">
        <v>3796.88</v>
      </c>
      <c r="HA247" s="57">
        <v>3054.3</v>
      </c>
      <c r="HB247" s="57">
        <v>3018.36</v>
      </c>
      <c r="HC247" s="57">
        <v>2301.34</v>
      </c>
      <c r="HD247" s="57">
        <v>1937.04</v>
      </c>
      <c r="HE247" s="57">
        <v>2055.59</v>
      </c>
      <c r="HF247" s="57">
        <v>2244.98</v>
      </c>
      <c r="HG247" s="57">
        <v>3141.93</v>
      </c>
      <c r="HH247" s="57">
        <v>2823.36</v>
      </c>
      <c r="HI247" s="57">
        <v>1229.1199999999999</v>
      </c>
      <c r="HJ247" s="57">
        <v>1886.33</v>
      </c>
      <c r="HK247" s="57">
        <v>5612.62</v>
      </c>
      <c r="HL247" s="57">
        <v>1891.75</v>
      </c>
      <c r="HM247" s="57">
        <v>2069.2199999999998</v>
      </c>
      <c r="HN247" s="57">
        <v>1892.07</v>
      </c>
      <c r="HO247" s="57">
        <v>1268.81</v>
      </c>
      <c r="HP247" s="57">
        <v>3632.79</v>
      </c>
      <c r="HQ247" s="57">
        <v>1446.53</v>
      </c>
      <c r="HR247" s="57">
        <v>2289.4699999999998</v>
      </c>
      <c r="HS247" s="57">
        <v>4979.17</v>
      </c>
      <c r="HT247" s="57">
        <v>4210.03</v>
      </c>
      <c r="HU247" s="57">
        <v>1806.32</v>
      </c>
      <c r="HV247" s="57">
        <v>1108.6099999999999</v>
      </c>
      <c r="HW247" s="57">
        <v>1082.3800000000001</v>
      </c>
      <c r="HX247" s="57">
        <v>1226.67</v>
      </c>
      <c r="HY247" s="57">
        <v>497.38</v>
      </c>
      <c r="HZ247" s="57">
        <v>3345.23</v>
      </c>
      <c r="IA247" s="57">
        <v>1564.1</v>
      </c>
      <c r="IB247" s="57">
        <v>4052.14</v>
      </c>
      <c r="IC247" s="57">
        <v>1854.67</v>
      </c>
      <c r="ID247" s="57">
        <v>2174.83</v>
      </c>
      <c r="IE247" s="57">
        <v>1620.22</v>
      </c>
      <c r="IF247" s="57">
        <v>2247.09</v>
      </c>
      <c r="IG247" s="57">
        <v>3641.81</v>
      </c>
      <c r="IH247" s="57">
        <v>2785.77</v>
      </c>
      <c r="II247" s="57">
        <v>5054.9399999999996</v>
      </c>
      <c r="IJ247" s="57">
        <v>5346.36</v>
      </c>
      <c r="IK247" s="57">
        <v>3542.58</v>
      </c>
      <c r="IL247" s="57">
        <v>2995.95</v>
      </c>
      <c r="IM247" s="57">
        <v>3798.63</v>
      </c>
      <c r="IN247" s="57">
        <v>4441.07</v>
      </c>
      <c r="IO247" s="57">
        <v>3042.78</v>
      </c>
      <c r="IP247" s="57">
        <v>1672.26</v>
      </c>
      <c r="IQ247" s="57">
        <v>2379.56</v>
      </c>
      <c r="IR247" s="57">
        <v>7034.59</v>
      </c>
      <c r="IS247" s="57">
        <v>6548.27</v>
      </c>
      <c r="IT247" s="57">
        <v>95.95</v>
      </c>
      <c r="IU247" s="57">
        <v>659.42</v>
      </c>
      <c r="IV247" s="57">
        <v>160.47999999999999</v>
      </c>
      <c r="IW247" s="57">
        <v>304.42</v>
      </c>
      <c r="IX247" s="57">
        <v>2106.08</v>
      </c>
      <c r="IY247" s="57">
        <v>2574.37</v>
      </c>
      <c r="IZ247" s="57">
        <v>2110.12</v>
      </c>
      <c r="JA247" s="57">
        <v>1069.94</v>
      </c>
      <c r="JB247" s="57">
        <v>439.83</v>
      </c>
      <c r="JC247" s="57">
        <v>6092.71</v>
      </c>
      <c r="JD247" s="57">
        <v>2747.13</v>
      </c>
      <c r="JE247" s="57">
        <v>6177.62</v>
      </c>
      <c r="JF247" s="57">
        <v>1625.73</v>
      </c>
      <c r="JG247" s="57">
        <v>1773.82</v>
      </c>
      <c r="JH247" s="57">
        <v>3168.26</v>
      </c>
      <c r="JI247" s="57">
        <v>5113.7</v>
      </c>
      <c r="JJ247" s="57">
        <v>2929.16</v>
      </c>
      <c r="JK247" s="57">
        <v>3364.77</v>
      </c>
      <c r="JL247" s="57">
        <v>3318.81</v>
      </c>
      <c r="JM247" s="57">
        <v>2834.64</v>
      </c>
      <c r="JN247" s="57">
        <v>3050.38</v>
      </c>
      <c r="JO247" s="57">
        <v>2204.83</v>
      </c>
      <c r="JP247" s="57">
        <v>6977.81</v>
      </c>
      <c r="JQ247" s="57">
        <v>4368.66</v>
      </c>
      <c r="JR247" s="57">
        <v>2713.98</v>
      </c>
      <c r="JS247" s="57">
        <v>1533.23</v>
      </c>
      <c r="JT247" s="57">
        <v>5576.94</v>
      </c>
      <c r="JU247" s="57">
        <v>3891.03</v>
      </c>
      <c r="JV247" s="57">
        <v>1009.37</v>
      </c>
      <c r="JW247" s="57">
        <v>1529.84</v>
      </c>
      <c r="JX247" s="57">
        <v>14039.12</v>
      </c>
      <c r="JY247" s="57">
        <v>951.2</v>
      </c>
      <c r="JZ247" s="57">
        <v>2034.32</v>
      </c>
      <c r="KA247" s="57">
        <v>4850.1400000000003</v>
      </c>
      <c r="KB247" s="57">
        <v>2270.65</v>
      </c>
      <c r="KC247" s="57">
        <v>2320.3200000000002</v>
      </c>
      <c r="KD247" s="57">
        <v>4952.0200000000004</v>
      </c>
      <c r="KE247" s="57">
        <v>321.98</v>
      </c>
      <c r="KF247" s="57">
        <v>4743.58</v>
      </c>
    </row>
    <row r="248" spans="1:292">
      <c r="A248" s="41">
        <v>2025</v>
      </c>
      <c r="B248" s="54" t="s">
        <v>981</v>
      </c>
      <c r="C248" s="50" t="s">
        <v>982</v>
      </c>
      <c r="D248" s="57">
        <v>2954.69</v>
      </c>
      <c r="E248" s="57">
        <v>4319.13</v>
      </c>
      <c r="F248" s="57">
        <v>4579.45</v>
      </c>
      <c r="G248" s="57">
        <v>654.04</v>
      </c>
      <c r="H248" s="57">
        <v>3359.26</v>
      </c>
      <c r="I248" s="57">
        <v>2571.63</v>
      </c>
      <c r="J248" s="57">
        <v>1915.43</v>
      </c>
      <c r="K248" s="57">
        <v>2933.18</v>
      </c>
      <c r="L248" s="57">
        <v>493.84</v>
      </c>
      <c r="M248" s="57">
        <v>1437.88</v>
      </c>
      <c r="N248" s="57">
        <v>3039.63</v>
      </c>
      <c r="O248" s="57">
        <v>5958.51</v>
      </c>
      <c r="P248" s="57">
        <v>3948.4</v>
      </c>
      <c r="Q248" s="57">
        <v>4407.12</v>
      </c>
      <c r="R248" s="57">
        <v>3215.72</v>
      </c>
      <c r="S248" s="57">
        <v>6949.38</v>
      </c>
      <c r="T248" s="57">
        <v>4439.72</v>
      </c>
      <c r="U248" s="57">
        <v>635.08000000000004</v>
      </c>
      <c r="V248" s="57">
        <v>703.66</v>
      </c>
      <c r="W248" s="57">
        <v>4800.0600000000004</v>
      </c>
      <c r="X248" s="57">
        <v>3162.02</v>
      </c>
      <c r="Y248" s="57">
        <v>2787.41</v>
      </c>
      <c r="Z248" s="57">
        <v>2445.3200000000002</v>
      </c>
      <c r="AA248" s="57">
        <v>3064.59</v>
      </c>
      <c r="AB248" s="57">
        <v>2013.33</v>
      </c>
      <c r="AC248" s="57">
        <v>2543.08</v>
      </c>
      <c r="AD248" s="57">
        <v>1925</v>
      </c>
      <c r="AE248" s="57">
        <v>2213.14</v>
      </c>
      <c r="AF248" s="57">
        <v>2165.37</v>
      </c>
      <c r="AG248" s="57">
        <v>1537.31</v>
      </c>
      <c r="AH248" s="57">
        <v>1788.78</v>
      </c>
      <c r="AI248" s="57">
        <v>4077.54</v>
      </c>
      <c r="AJ248" s="57">
        <v>2121.42</v>
      </c>
      <c r="AK248" s="57">
        <v>3228.66</v>
      </c>
      <c r="AL248" s="57">
        <v>3770.86</v>
      </c>
      <c r="AM248" s="57">
        <v>6548.27</v>
      </c>
      <c r="AN248" s="57">
        <v>95.9</v>
      </c>
      <c r="AO248" s="57">
        <v>663.06</v>
      </c>
      <c r="AP248" s="57">
        <v>271.5</v>
      </c>
      <c r="AQ248" s="57">
        <v>2608.39</v>
      </c>
      <c r="AR248" s="57">
        <v>2127.21</v>
      </c>
      <c r="AS248" s="57">
        <v>2359.42</v>
      </c>
      <c r="AT248" s="57">
        <v>3174.93</v>
      </c>
      <c r="AU248" s="57">
        <v>3443.02</v>
      </c>
      <c r="AV248" s="57">
        <v>3549.32</v>
      </c>
      <c r="AW248" s="57">
        <v>3040.88</v>
      </c>
      <c r="AX248" s="57">
        <v>3050.38</v>
      </c>
      <c r="AY248" s="57">
        <v>2263.38</v>
      </c>
      <c r="AZ248" s="57">
        <v>6465.67</v>
      </c>
      <c r="BA248" s="57">
        <v>2380.4</v>
      </c>
      <c r="BB248" s="57">
        <v>2096.38</v>
      </c>
      <c r="BC248" s="57">
        <v>8177.61</v>
      </c>
      <c r="BD248" s="57">
        <v>4920.28</v>
      </c>
      <c r="BE248" s="57">
        <v>4495.2700000000004</v>
      </c>
      <c r="BF248" s="57">
        <v>321.98</v>
      </c>
      <c r="BG248" s="57">
        <v>4747.7299999999996</v>
      </c>
      <c r="BH248" s="57">
        <v>4052.88</v>
      </c>
      <c r="BI248" s="57">
        <v>5162.7299999999996</v>
      </c>
      <c r="BJ248" s="57">
        <v>3755.31</v>
      </c>
      <c r="BK248" s="57">
        <v>3907.98</v>
      </c>
      <c r="BL248" s="57">
        <v>3367.83</v>
      </c>
      <c r="BM248" s="57">
        <v>3974.35</v>
      </c>
      <c r="BN248" s="57">
        <v>5592.4</v>
      </c>
      <c r="BO248" s="57">
        <v>2696.09</v>
      </c>
      <c r="BP248" s="57">
        <v>4034.79</v>
      </c>
      <c r="BQ248" s="57">
        <v>3367.13</v>
      </c>
      <c r="BR248" s="57">
        <v>3070.3</v>
      </c>
      <c r="BS248" s="57">
        <v>6894.3</v>
      </c>
      <c r="BT248" s="57">
        <v>4376.8599999999997</v>
      </c>
      <c r="BU248" s="57">
        <v>7055.52</v>
      </c>
      <c r="BV248" s="57">
        <v>4439.72</v>
      </c>
      <c r="BW248" s="57">
        <v>572.59</v>
      </c>
      <c r="BX248" s="57">
        <v>1448.04</v>
      </c>
      <c r="BY248" s="57">
        <v>4846.51</v>
      </c>
      <c r="BZ248" s="57">
        <v>694.05</v>
      </c>
      <c r="CA248" s="57">
        <v>4897.58</v>
      </c>
      <c r="CB248" s="58">
        <v>4800.0600000000004</v>
      </c>
      <c r="CC248" s="57">
        <v>3162.02</v>
      </c>
      <c r="CD248" s="57">
        <v>2776.65</v>
      </c>
      <c r="CE248" s="57">
        <v>1581.83</v>
      </c>
      <c r="CF248" s="57">
        <v>2981.88</v>
      </c>
      <c r="CG248" s="57">
        <v>2706.27</v>
      </c>
      <c r="CH248" s="57">
        <v>3189.71</v>
      </c>
      <c r="CI248" s="57">
        <v>2319.13</v>
      </c>
      <c r="CJ248" s="57">
        <v>2013.33</v>
      </c>
      <c r="CK248" s="57">
        <v>2380.5700000000002</v>
      </c>
      <c r="CL248" s="57">
        <v>1888.47</v>
      </c>
      <c r="CM248" s="57">
        <v>5695.96</v>
      </c>
      <c r="CN248" s="57">
        <v>1925</v>
      </c>
      <c r="CO248" s="57">
        <v>2213.14</v>
      </c>
      <c r="CP248" s="57">
        <v>1573.32</v>
      </c>
      <c r="CQ248" s="57">
        <v>5285.15</v>
      </c>
      <c r="CR248" s="57">
        <v>1804.07</v>
      </c>
      <c r="CS248" s="57">
        <v>1137.21</v>
      </c>
      <c r="CT248" s="57">
        <v>1226.45</v>
      </c>
      <c r="CU248" s="57">
        <v>498</v>
      </c>
      <c r="CV248" s="57">
        <v>3371.21</v>
      </c>
      <c r="CW248" s="57">
        <v>1719.51</v>
      </c>
      <c r="CX248" s="57">
        <v>4077.54</v>
      </c>
      <c r="CY248" s="57">
        <v>2132.1799999999998</v>
      </c>
      <c r="CZ248" s="57">
        <v>1652.35</v>
      </c>
      <c r="DA248" s="57">
        <v>2309.2399999999998</v>
      </c>
      <c r="DB248" s="57">
        <v>3658.4</v>
      </c>
      <c r="DC248" s="57">
        <v>2731.15</v>
      </c>
      <c r="DD248" s="57">
        <v>5077.6400000000003</v>
      </c>
      <c r="DE248" s="57">
        <v>5403.26</v>
      </c>
      <c r="DF248" s="57">
        <v>3795.69</v>
      </c>
      <c r="DG248" s="57">
        <v>3843.93</v>
      </c>
      <c r="DH248" s="57">
        <v>1369.04</v>
      </c>
      <c r="DI248" s="57">
        <v>2379.56</v>
      </c>
      <c r="DJ248" s="57">
        <v>7127.12</v>
      </c>
      <c r="DK248" s="57">
        <v>6548.27</v>
      </c>
      <c r="DL248" s="57">
        <v>95.9</v>
      </c>
      <c r="DM248" s="57">
        <v>663.06</v>
      </c>
      <c r="DN248" s="57">
        <v>157.22</v>
      </c>
      <c r="DO248" s="57">
        <v>308.92</v>
      </c>
      <c r="DP248" s="57">
        <v>2188.39</v>
      </c>
      <c r="DQ248" s="57">
        <v>2608.39</v>
      </c>
      <c r="DR248" s="57">
        <v>2138.0300000000002</v>
      </c>
      <c r="DS248" s="57">
        <v>1091.4100000000001</v>
      </c>
      <c r="DT248" s="57">
        <v>544.71</v>
      </c>
      <c r="DU248" s="57">
        <v>6159.09</v>
      </c>
      <c r="DV248" s="57">
        <v>2782.11</v>
      </c>
      <c r="DW248" s="57">
        <v>1991.15</v>
      </c>
      <c r="DX248" s="57">
        <v>2178.5300000000002</v>
      </c>
      <c r="DY248" s="57">
        <v>3205.59</v>
      </c>
      <c r="DZ248" s="57">
        <v>5116.91</v>
      </c>
      <c r="EA248" s="57">
        <v>3008.38</v>
      </c>
      <c r="EB248" s="57">
        <v>3443.02</v>
      </c>
      <c r="EC248" s="57">
        <v>3549.32</v>
      </c>
      <c r="ED248" s="57">
        <v>3040.88</v>
      </c>
      <c r="EE248" s="57">
        <v>3050.38</v>
      </c>
      <c r="EF248" s="57">
        <v>2263.38</v>
      </c>
      <c r="EG248" s="57">
        <v>6465.67</v>
      </c>
      <c r="EH248" s="57">
        <v>2380.4</v>
      </c>
      <c r="EI248" s="57">
        <v>4776.88</v>
      </c>
      <c r="EJ248" s="57">
        <v>1026.44</v>
      </c>
      <c r="EK248" s="57">
        <v>1565.81</v>
      </c>
      <c r="EL248" s="57">
        <v>14226.5</v>
      </c>
      <c r="EM248" s="57">
        <v>1438.79</v>
      </c>
      <c r="EN248" s="57">
        <v>4920.28</v>
      </c>
      <c r="EO248" s="57">
        <v>2467.31</v>
      </c>
      <c r="EP248" s="57">
        <v>2359.0300000000002</v>
      </c>
      <c r="EQ248" s="57">
        <v>4858.3100000000004</v>
      </c>
      <c r="ER248" s="57">
        <v>321.98</v>
      </c>
      <c r="ES248" s="57">
        <v>4747.7299999999996</v>
      </c>
      <c r="ET248" s="57">
        <v>4027.76</v>
      </c>
      <c r="EU248" s="57">
        <v>2978.59</v>
      </c>
      <c r="EV248" s="57">
        <v>4100.76</v>
      </c>
      <c r="EW248" s="57">
        <v>4376.1400000000003</v>
      </c>
      <c r="EX248" s="57">
        <v>3888.04</v>
      </c>
      <c r="EY248" s="57">
        <v>1932.38</v>
      </c>
      <c r="EZ248" s="57">
        <v>5676.1</v>
      </c>
      <c r="FA248" s="57">
        <v>6547.63</v>
      </c>
      <c r="FB248" s="57">
        <v>3616.66</v>
      </c>
      <c r="FC248" s="57">
        <v>7982.68</v>
      </c>
      <c r="FD248" s="57">
        <v>3838.25</v>
      </c>
      <c r="FE248" s="57">
        <v>3854.36</v>
      </c>
      <c r="FF248" s="57">
        <v>629.03</v>
      </c>
      <c r="FG248" s="57">
        <v>3415.39</v>
      </c>
      <c r="FH248" s="57">
        <v>3151.05</v>
      </c>
      <c r="FI248" s="57">
        <v>3897.66</v>
      </c>
      <c r="FJ248" s="57">
        <v>5723.38</v>
      </c>
      <c r="FK248" s="57">
        <v>6167.73</v>
      </c>
      <c r="FL248" s="57">
        <v>3657.36</v>
      </c>
      <c r="FM248" s="57">
        <v>2919.95</v>
      </c>
      <c r="FN248" s="57">
        <v>3639.72</v>
      </c>
      <c r="FO248" s="57">
        <v>5620.14</v>
      </c>
      <c r="FP248" s="57">
        <v>6373.19</v>
      </c>
      <c r="FQ248" s="57">
        <v>4014.61</v>
      </c>
      <c r="FR248" s="57">
        <v>5018.55</v>
      </c>
      <c r="FS248" s="57">
        <v>3424.06</v>
      </c>
      <c r="FT248" s="57">
        <v>1448.34</v>
      </c>
      <c r="FU248" s="57">
        <v>3636.66</v>
      </c>
      <c r="FV248" s="57">
        <v>3803.66</v>
      </c>
      <c r="FW248" s="57">
        <v>1741.28</v>
      </c>
      <c r="FX248" s="57">
        <v>4034.79</v>
      </c>
      <c r="FY248" s="57">
        <v>4908.4399999999996</v>
      </c>
      <c r="FZ248" s="57">
        <v>3001.82</v>
      </c>
      <c r="GA248" s="57">
        <v>3998.96</v>
      </c>
      <c r="GB248" s="57">
        <v>2912.39</v>
      </c>
      <c r="GC248" s="57">
        <v>3417.55</v>
      </c>
      <c r="GD248" s="57">
        <v>2785.1</v>
      </c>
      <c r="GE248" s="57">
        <v>6894.3</v>
      </c>
      <c r="GF248" s="57">
        <v>4376.8599999999997</v>
      </c>
      <c r="GG248" s="57">
        <v>7055.52</v>
      </c>
      <c r="GH248" s="57">
        <v>4432.29</v>
      </c>
      <c r="GI248" s="57">
        <v>765.44</v>
      </c>
      <c r="GJ248" s="57">
        <v>473.48</v>
      </c>
      <c r="GK248" s="57">
        <v>497.41</v>
      </c>
      <c r="GL248" s="57">
        <v>480.81</v>
      </c>
      <c r="GM248" s="57">
        <v>1448.04</v>
      </c>
      <c r="GN248" s="57">
        <v>4846.51</v>
      </c>
      <c r="GO248" s="57">
        <v>754.03</v>
      </c>
      <c r="GP248" s="57">
        <v>626.09</v>
      </c>
      <c r="GQ248" s="57">
        <v>696</v>
      </c>
      <c r="GR248" s="57">
        <v>4897.58</v>
      </c>
      <c r="GS248" s="57">
        <v>4800.0600000000004</v>
      </c>
      <c r="GT248" s="57">
        <v>3162.02</v>
      </c>
      <c r="GU248" s="57">
        <v>2776.65</v>
      </c>
      <c r="GV248" s="57">
        <v>1581.83</v>
      </c>
      <c r="GW248" s="57">
        <v>2480.21</v>
      </c>
      <c r="GX248" s="57">
        <v>4207.1499999999996</v>
      </c>
      <c r="GY248" s="57">
        <v>2706.27</v>
      </c>
      <c r="GZ248" s="57">
        <v>3852.05</v>
      </c>
      <c r="HA248" s="57">
        <v>3118.94</v>
      </c>
      <c r="HB248" s="57">
        <v>3123.06</v>
      </c>
      <c r="HC248" s="57">
        <v>2319.13</v>
      </c>
      <c r="HD248" s="57">
        <v>2013.33</v>
      </c>
      <c r="HE248" s="57">
        <v>2100.69</v>
      </c>
      <c r="HF248" s="57">
        <v>2323.21</v>
      </c>
      <c r="HG248" s="57">
        <v>3235.41</v>
      </c>
      <c r="HH248" s="57">
        <v>2923.09</v>
      </c>
      <c r="HI248" s="57">
        <v>1254.0999999999999</v>
      </c>
      <c r="HJ248" s="57">
        <v>1888.47</v>
      </c>
      <c r="HK248" s="57">
        <v>5695.96</v>
      </c>
      <c r="HL248" s="57">
        <v>1913.72</v>
      </c>
      <c r="HM248" s="57">
        <v>2121.88</v>
      </c>
      <c r="HN248" s="57">
        <v>1936.37</v>
      </c>
      <c r="HO248" s="57">
        <v>1333.46</v>
      </c>
      <c r="HP248" s="57">
        <v>3762.2</v>
      </c>
      <c r="HQ248" s="57">
        <v>1463.92</v>
      </c>
      <c r="HR248" s="57">
        <v>2312.14</v>
      </c>
      <c r="HS248" s="57">
        <v>5069.97</v>
      </c>
      <c r="HT248" s="57">
        <v>4322.3500000000004</v>
      </c>
      <c r="HU248" s="57">
        <v>1804.07</v>
      </c>
      <c r="HV248" s="57">
        <v>1137.21</v>
      </c>
      <c r="HW248" s="57">
        <v>1129.3499999999999</v>
      </c>
      <c r="HX248" s="57">
        <v>1238.7</v>
      </c>
      <c r="HY248" s="57">
        <v>498</v>
      </c>
      <c r="HZ248" s="57">
        <v>3371.21</v>
      </c>
      <c r="IA248" s="57">
        <v>1570.61</v>
      </c>
      <c r="IB248" s="57">
        <v>4077.54</v>
      </c>
      <c r="IC248" s="57">
        <v>1894.45</v>
      </c>
      <c r="ID248" s="57">
        <v>2203.88</v>
      </c>
      <c r="IE248" s="57">
        <v>1652.35</v>
      </c>
      <c r="IF248" s="57">
        <v>2309.2399999999998</v>
      </c>
      <c r="IG248" s="57">
        <v>3658.4</v>
      </c>
      <c r="IH248" s="57">
        <v>2731.15</v>
      </c>
      <c r="II248" s="57">
        <v>5077.6400000000003</v>
      </c>
      <c r="IJ248" s="57">
        <v>5403.26</v>
      </c>
      <c r="IK248" s="57">
        <v>3700.41</v>
      </c>
      <c r="IL248" s="57">
        <v>2995.95</v>
      </c>
      <c r="IM248" s="57">
        <v>3892.74</v>
      </c>
      <c r="IN248" s="57">
        <v>4486.25</v>
      </c>
      <c r="IO248" s="57">
        <v>2882.17</v>
      </c>
      <c r="IP248" s="57">
        <v>1369.04</v>
      </c>
      <c r="IQ248" s="57">
        <v>2379.56</v>
      </c>
      <c r="IR248" s="57">
        <v>7127.12</v>
      </c>
      <c r="IS248" s="57">
        <v>6548.27</v>
      </c>
      <c r="IT248" s="57">
        <v>95.9</v>
      </c>
      <c r="IU248" s="57">
        <v>663.06</v>
      </c>
      <c r="IV248" s="57">
        <v>157.26</v>
      </c>
      <c r="IW248" s="57">
        <v>308.92</v>
      </c>
      <c r="IX248" s="57">
        <v>2188.39</v>
      </c>
      <c r="IY248" s="57">
        <v>2608.39</v>
      </c>
      <c r="IZ248" s="57">
        <v>2138.0300000000002</v>
      </c>
      <c r="JA248" s="57">
        <v>1091.4100000000001</v>
      </c>
      <c r="JB248" s="57">
        <v>544.71</v>
      </c>
      <c r="JC248" s="57">
        <v>6159.09</v>
      </c>
      <c r="JD248" s="57">
        <v>2782.11</v>
      </c>
      <c r="JE248" s="57">
        <v>6263.41</v>
      </c>
      <c r="JF248" s="57">
        <v>1629.04</v>
      </c>
      <c r="JG248" s="57">
        <v>2178.5300000000002</v>
      </c>
      <c r="JH248" s="57">
        <v>3205.59</v>
      </c>
      <c r="JI248" s="57">
        <v>5116.91</v>
      </c>
      <c r="JJ248" s="57">
        <v>3008.38</v>
      </c>
      <c r="JK248" s="57">
        <v>3443.02</v>
      </c>
      <c r="JL248" s="57">
        <v>3549.32</v>
      </c>
      <c r="JM248" s="57">
        <v>3040.88</v>
      </c>
      <c r="JN248" s="57">
        <v>3050.38</v>
      </c>
      <c r="JO248" s="57">
        <v>2263.38</v>
      </c>
      <c r="JP248" s="57">
        <v>7145.54</v>
      </c>
      <c r="JQ248" s="57">
        <v>4468.47</v>
      </c>
      <c r="JR248" s="57">
        <v>2705.73</v>
      </c>
      <c r="JS248" s="57">
        <v>1533.67</v>
      </c>
      <c r="JT248" s="57">
        <v>5792.08</v>
      </c>
      <c r="JU248" s="57">
        <v>3947.56</v>
      </c>
      <c r="JV248" s="57">
        <v>1026.44</v>
      </c>
      <c r="JW248" s="57">
        <v>1565.81</v>
      </c>
      <c r="JX248" s="57">
        <v>14226.5</v>
      </c>
      <c r="JY248" s="57">
        <v>986.69</v>
      </c>
      <c r="JZ248" s="57">
        <v>2075.61</v>
      </c>
      <c r="KA248" s="57">
        <v>4920.28</v>
      </c>
      <c r="KB248" s="57">
        <v>2467.31</v>
      </c>
      <c r="KC248" s="57">
        <v>2359.0300000000002</v>
      </c>
      <c r="KD248" s="57">
        <v>4858.3100000000004</v>
      </c>
      <c r="KE248" s="57">
        <v>321.98</v>
      </c>
      <c r="KF248" s="57">
        <v>4747.7299999999996</v>
      </c>
    </row>
    <row r="249" spans="1:292" ht="14" thickBot="1">
      <c r="A249" s="60">
        <v>2025</v>
      </c>
      <c r="B249" s="61" t="s">
        <v>983</v>
      </c>
      <c r="C249" s="62" t="s">
        <v>984</v>
      </c>
      <c r="D249" s="62">
        <v>3043.23</v>
      </c>
      <c r="E249" s="62">
        <v>4405.9799999999996</v>
      </c>
      <c r="F249" s="62">
        <v>4576.59</v>
      </c>
      <c r="G249" s="62">
        <v>696.54</v>
      </c>
      <c r="H249" s="62">
        <v>3515.72</v>
      </c>
      <c r="I249" s="62">
        <v>2639.44</v>
      </c>
      <c r="J249" s="62">
        <v>1935.01</v>
      </c>
      <c r="K249" s="62">
        <v>3044.61</v>
      </c>
      <c r="L249" s="62">
        <v>498.46</v>
      </c>
      <c r="M249" s="62">
        <v>1457.55</v>
      </c>
      <c r="N249" s="62">
        <v>3108.85</v>
      </c>
      <c r="O249" s="62">
        <v>6172.43</v>
      </c>
      <c r="P249" s="62">
        <v>4053.22</v>
      </c>
      <c r="Q249" s="62">
        <v>4498.74</v>
      </c>
      <c r="R249" s="62">
        <v>3246.25</v>
      </c>
      <c r="S249" s="62">
        <v>6884.39</v>
      </c>
      <c r="T249" s="62">
        <v>4440.3999999999996</v>
      </c>
      <c r="U249" s="62">
        <v>680.89</v>
      </c>
      <c r="V249" s="62">
        <v>731.39</v>
      </c>
      <c r="W249" s="62">
        <v>4953.88</v>
      </c>
      <c r="X249" s="62">
        <v>3270.09</v>
      </c>
      <c r="Y249" s="62">
        <v>2833.76</v>
      </c>
      <c r="Z249" s="62">
        <v>2658.13</v>
      </c>
      <c r="AA249" s="62">
        <v>3198.05</v>
      </c>
      <c r="AB249" s="62">
        <v>2051.69</v>
      </c>
      <c r="AC249" s="62">
        <v>2565.15</v>
      </c>
      <c r="AD249" s="62">
        <v>1971.98</v>
      </c>
      <c r="AE249" s="62">
        <v>2252.88</v>
      </c>
      <c r="AF249" s="62">
        <v>2243.23</v>
      </c>
      <c r="AG249" s="62">
        <v>1557.23</v>
      </c>
      <c r="AH249" s="62">
        <v>1800.11</v>
      </c>
      <c r="AI249" s="62">
        <v>4145.92</v>
      </c>
      <c r="AJ249" s="62">
        <v>2217.96</v>
      </c>
      <c r="AK249" s="62">
        <v>3277.12</v>
      </c>
      <c r="AL249" s="62">
        <v>3987.63</v>
      </c>
      <c r="AM249" s="62">
        <v>6548.27</v>
      </c>
      <c r="AN249" s="62">
        <v>98.04</v>
      </c>
      <c r="AO249" s="62">
        <v>665.58</v>
      </c>
      <c r="AP249" s="62">
        <v>273.67</v>
      </c>
      <c r="AQ249" s="62">
        <v>2634.43</v>
      </c>
      <c r="AR249" s="62">
        <v>2077.3000000000002</v>
      </c>
      <c r="AS249" s="62">
        <v>2438.54</v>
      </c>
      <c r="AT249" s="62">
        <v>3216.47</v>
      </c>
      <c r="AU249" s="62">
        <v>3505.95</v>
      </c>
      <c r="AV249" s="62">
        <v>3646.7</v>
      </c>
      <c r="AW249" s="62">
        <v>3150.62</v>
      </c>
      <c r="AX249" s="62">
        <v>3050.38</v>
      </c>
      <c r="AY249" s="62">
        <v>2318.89</v>
      </c>
      <c r="AZ249" s="62">
        <v>6688.87</v>
      </c>
      <c r="BA249" s="62">
        <v>2500.02</v>
      </c>
      <c r="BB249" s="62">
        <v>2155.2399999999998</v>
      </c>
      <c r="BC249" s="62">
        <v>8531.6299999999992</v>
      </c>
      <c r="BD249" s="62">
        <v>4989.4799999999996</v>
      </c>
      <c r="BE249" s="62">
        <v>4641.74</v>
      </c>
      <c r="BF249" s="62">
        <v>321.98</v>
      </c>
      <c r="BG249" s="62">
        <v>4755.3</v>
      </c>
      <c r="BH249" s="62">
        <v>4156.6499999999996</v>
      </c>
      <c r="BI249" s="62">
        <v>5343.09</v>
      </c>
      <c r="BJ249" s="62">
        <v>4071.78</v>
      </c>
      <c r="BK249" s="62">
        <v>3983.3</v>
      </c>
      <c r="BL249" s="62">
        <v>3454.95</v>
      </c>
      <c r="BM249" s="62">
        <v>4603.5600000000004</v>
      </c>
      <c r="BN249" s="62">
        <v>4984.4399999999996</v>
      </c>
      <c r="BO249" s="62">
        <v>2786.44</v>
      </c>
      <c r="BP249" s="62">
        <v>4134.96</v>
      </c>
      <c r="BQ249" s="62">
        <v>3375.24</v>
      </c>
      <c r="BR249" s="62">
        <v>3121.26</v>
      </c>
      <c r="BS249" s="62">
        <v>6838.2</v>
      </c>
      <c r="BT249" s="62">
        <v>4402.26</v>
      </c>
      <c r="BU249" s="62">
        <v>6963.3</v>
      </c>
      <c r="BV249" s="62">
        <v>4440.3999999999996</v>
      </c>
      <c r="BW249" s="62">
        <v>615.94000000000005</v>
      </c>
      <c r="BX249" s="62">
        <v>1481.61</v>
      </c>
      <c r="BY249" s="62">
        <v>5009.3</v>
      </c>
      <c r="BZ249" s="62">
        <v>721.52</v>
      </c>
      <c r="CA249" s="62">
        <v>4992.74</v>
      </c>
      <c r="CB249" s="63">
        <v>4953.88</v>
      </c>
      <c r="CC249" s="62">
        <v>3270.09</v>
      </c>
      <c r="CD249" s="62">
        <v>2822.82</v>
      </c>
      <c r="CE249" s="62">
        <v>1910.91</v>
      </c>
      <c r="CF249" s="62">
        <v>3032.87</v>
      </c>
      <c r="CG249" s="62">
        <v>2718.87</v>
      </c>
      <c r="CH249" s="62">
        <v>3330.78</v>
      </c>
      <c r="CI249" s="62">
        <v>2400.69</v>
      </c>
      <c r="CJ249" s="62">
        <v>2051.69</v>
      </c>
      <c r="CK249" s="62">
        <v>2397.84</v>
      </c>
      <c r="CL249" s="62">
        <v>1935.58</v>
      </c>
      <c r="CM249" s="62">
        <v>5727.85</v>
      </c>
      <c r="CN249" s="62">
        <v>1971.98</v>
      </c>
      <c r="CO249" s="62">
        <v>2252.88</v>
      </c>
      <c r="CP249" s="62">
        <v>1642.04</v>
      </c>
      <c r="CQ249" s="62">
        <v>5383.62</v>
      </c>
      <c r="CR249" s="62">
        <v>1800.89</v>
      </c>
      <c r="CS249" s="62">
        <v>1222.8699999999999</v>
      </c>
      <c r="CT249" s="62">
        <v>1252.6500000000001</v>
      </c>
      <c r="CU249" s="62">
        <v>499.05</v>
      </c>
      <c r="CV249" s="62">
        <v>3403.44</v>
      </c>
      <c r="CW249" s="62">
        <v>1732.56</v>
      </c>
      <c r="CX249" s="62">
        <v>4145.92</v>
      </c>
      <c r="CY249" s="62">
        <v>2232.0700000000002</v>
      </c>
      <c r="CZ249" s="62">
        <v>1696.11</v>
      </c>
      <c r="DA249" s="62">
        <v>2369.13</v>
      </c>
      <c r="DB249" s="62">
        <v>3729.57</v>
      </c>
      <c r="DC249" s="62">
        <v>2721.28</v>
      </c>
      <c r="DD249" s="62">
        <v>5406.38</v>
      </c>
      <c r="DE249" s="62">
        <v>5527.42</v>
      </c>
      <c r="DF249" s="62">
        <v>3815.05</v>
      </c>
      <c r="DG249" s="62">
        <v>3991.05</v>
      </c>
      <c r="DH249" s="62">
        <v>1945.41</v>
      </c>
      <c r="DI249" s="62">
        <v>2385.54</v>
      </c>
      <c r="DJ249" s="62">
        <v>7292.37</v>
      </c>
      <c r="DK249" s="62">
        <v>6548.27</v>
      </c>
      <c r="DL249" s="62">
        <v>98.04</v>
      </c>
      <c r="DM249" s="62">
        <v>665.58</v>
      </c>
      <c r="DN249" s="62">
        <v>159.11000000000001</v>
      </c>
      <c r="DO249" s="62">
        <v>308.22000000000003</v>
      </c>
      <c r="DP249" s="62">
        <v>2214.56</v>
      </c>
      <c r="DQ249" s="62">
        <v>2634.43</v>
      </c>
      <c r="DR249" s="62">
        <v>2114.61</v>
      </c>
      <c r="DS249" s="62">
        <v>1088.73</v>
      </c>
      <c r="DT249" s="62">
        <v>517.05999999999995</v>
      </c>
      <c r="DU249" s="62">
        <v>6194.87</v>
      </c>
      <c r="DV249" s="62">
        <v>2867.68</v>
      </c>
      <c r="DW249" s="62">
        <v>2022.27</v>
      </c>
      <c r="DX249" s="62">
        <v>2675.58</v>
      </c>
      <c r="DY249" s="62">
        <v>3238.36</v>
      </c>
      <c r="DZ249" s="62">
        <v>5526.83</v>
      </c>
      <c r="EA249" s="62">
        <v>3013.81</v>
      </c>
      <c r="EB249" s="62">
        <v>3505.95</v>
      </c>
      <c r="EC249" s="62">
        <v>3646.7</v>
      </c>
      <c r="ED249" s="62">
        <v>3150.62</v>
      </c>
      <c r="EE249" s="62">
        <v>3050.38</v>
      </c>
      <c r="EF249" s="62">
        <v>2318.89</v>
      </c>
      <c r="EG249" s="62">
        <v>6688.87</v>
      </c>
      <c r="EH249" s="62">
        <v>2500.02</v>
      </c>
      <c r="EI249" s="62">
        <v>4904.18</v>
      </c>
      <c r="EJ249" s="62">
        <v>1051.8900000000001</v>
      </c>
      <c r="EK249" s="62">
        <v>1610.81</v>
      </c>
      <c r="EL249" s="62">
        <v>15227.43</v>
      </c>
      <c r="EM249" s="62">
        <v>1444.97</v>
      </c>
      <c r="EN249" s="62">
        <v>4989.4799999999996</v>
      </c>
      <c r="EO249" s="62">
        <v>2595.37</v>
      </c>
      <c r="EP249" s="62">
        <v>2418.4699999999998</v>
      </c>
      <c r="EQ249" s="62">
        <v>5013.57</v>
      </c>
      <c r="ER249" s="62">
        <v>321.98</v>
      </c>
      <c r="ES249" s="62">
        <v>4755.3</v>
      </c>
      <c r="ET249" s="62">
        <v>4095.66</v>
      </c>
      <c r="EU249" s="62">
        <v>3110.26</v>
      </c>
      <c r="EV249" s="62">
        <v>4157.8</v>
      </c>
      <c r="EW249" s="62">
        <v>4602</v>
      </c>
      <c r="EX249" s="62">
        <v>3817.69</v>
      </c>
      <c r="EY249" s="62">
        <v>1925.9</v>
      </c>
      <c r="EZ249" s="62">
        <v>6041.7</v>
      </c>
      <c r="FA249" s="62">
        <v>6846.3</v>
      </c>
      <c r="FB249" s="62">
        <v>3583</v>
      </c>
      <c r="FC249" s="62">
        <v>8093.03</v>
      </c>
      <c r="FD249" s="62">
        <v>3860.24</v>
      </c>
      <c r="FE249" s="62">
        <v>4206.3500000000004</v>
      </c>
      <c r="FF249" s="62">
        <v>620.84</v>
      </c>
      <c r="FG249" s="62">
        <v>3372.8</v>
      </c>
      <c r="FH249" s="62">
        <v>3161.85</v>
      </c>
      <c r="FI249" s="62">
        <v>3943.6</v>
      </c>
      <c r="FJ249" s="62">
        <v>6134.84</v>
      </c>
      <c r="FK249" s="62">
        <v>6279.04</v>
      </c>
      <c r="FL249" s="62">
        <v>3814.03</v>
      </c>
      <c r="FM249" s="62">
        <v>2999.26</v>
      </c>
      <c r="FN249" s="62">
        <v>4361.7700000000004</v>
      </c>
      <c r="FO249" s="62">
        <v>5792.99</v>
      </c>
      <c r="FP249" s="62">
        <v>5269.13</v>
      </c>
      <c r="FQ249" s="62">
        <v>4639.74</v>
      </c>
      <c r="FR249" s="62">
        <v>5160.72</v>
      </c>
      <c r="FS249" s="62">
        <v>3545.69</v>
      </c>
      <c r="FT249" s="62">
        <v>1488.34</v>
      </c>
      <c r="FU249" s="62">
        <v>3841.58</v>
      </c>
      <c r="FV249" s="62">
        <v>3953.93</v>
      </c>
      <c r="FW249" s="62">
        <v>1719.84</v>
      </c>
      <c r="FX249" s="62">
        <v>4134.96</v>
      </c>
      <c r="FY249" s="62">
        <v>5127.1400000000003</v>
      </c>
      <c r="FZ249" s="62">
        <v>2967.25</v>
      </c>
      <c r="GA249" s="62">
        <v>4120.18</v>
      </c>
      <c r="GB249" s="62">
        <v>2946.2</v>
      </c>
      <c r="GC249" s="62">
        <v>3475.18</v>
      </c>
      <c r="GD249" s="62">
        <v>2875.24</v>
      </c>
      <c r="GE249" s="62">
        <v>6838.2</v>
      </c>
      <c r="GF249" s="62">
        <v>4402.26</v>
      </c>
      <c r="GG249" s="62">
        <v>6963.3</v>
      </c>
      <c r="GH249" s="62">
        <v>4432.96</v>
      </c>
      <c r="GI249" s="62">
        <v>824.45</v>
      </c>
      <c r="GJ249" s="62">
        <v>511.16</v>
      </c>
      <c r="GK249" s="62">
        <v>531.63</v>
      </c>
      <c r="GL249" s="62">
        <v>493.65</v>
      </c>
      <c r="GM249" s="62">
        <v>1481.61</v>
      </c>
      <c r="GN249" s="62">
        <v>5009.3</v>
      </c>
      <c r="GO249" s="62">
        <v>782.22</v>
      </c>
      <c r="GP249" s="62">
        <v>650.59</v>
      </c>
      <c r="GQ249" s="62">
        <v>727.82</v>
      </c>
      <c r="GR249" s="62">
        <v>4992.74</v>
      </c>
      <c r="GS249" s="62">
        <v>4953.88</v>
      </c>
      <c r="GT249" s="62">
        <v>3270.09</v>
      </c>
      <c r="GU249" s="62">
        <v>2822.82</v>
      </c>
      <c r="GV249" s="62">
        <v>1910.91</v>
      </c>
      <c r="GW249" s="62">
        <v>2523.4899999999998</v>
      </c>
      <c r="GX249" s="62">
        <v>4273.5200000000004</v>
      </c>
      <c r="GY249" s="62">
        <v>2718.87</v>
      </c>
      <c r="GZ249" s="62">
        <v>4037.76</v>
      </c>
      <c r="HA249" s="62">
        <v>3221.19</v>
      </c>
      <c r="HB249" s="62">
        <v>3283.07</v>
      </c>
      <c r="HC249" s="62">
        <v>2400.69</v>
      </c>
      <c r="HD249" s="62">
        <v>2051.69</v>
      </c>
      <c r="HE249" s="62">
        <v>2094.6799999999998</v>
      </c>
      <c r="HF249" s="62">
        <v>2339.59</v>
      </c>
      <c r="HG249" s="62">
        <v>3242.08</v>
      </c>
      <c r="HH249" s="62">
        <v>3015.97</v>
      </c>
      <c r="HI249" s="62">
        <v>1262.43</v>
      </c>
      <c r="HJ249" s="62">
        <v>1935.58</v>
      </c>
      <c r="HK249" s="62">
        <v>5727.85</v>
      </c>
      <c r="HL249" s="62">
        <v>1980.62</v>
      </c>
      <c r="HM249" s="62">
        <v>2161.38</v>
      </c>
      <c r="HN249" s="62">
        <v>1968.24</v>
      </c>
      <c r="HO249" s="62">
        <v>1361.76</v>
      </c>
      <c r="HP249" s="62">
        <v>3813.82</v>
      </c>
      <c r="HQ249" s="62">
        <v>1531.18</v>
      </c>
      <c r="HR249" s="62">
        <v>2384.11</v>
      </c>
      <c r="HS249" s="62">
        <v>5168.84</v>
      </c>
      <c r="HT249" s="62">
        <v>4387.1499999999996</v>
      </c>
      <c r="HU249" s="62">
        <v>1800.89</v>
      </c>
      <c r="HV249" s="62">
        <v>1222.8699999999999</v>
      </c>
      <c r="HW249" s="62">
        <v>1149.8399999999999</v>
      </c>
      <c r="HX249" s="62">
        <v>1274.6300000000001</v>
      </c>
      <c r="HY249" s="62">
        <v>499.05</v>
      </c>
      <c r="HZ249" s="62">
        <v>3403.44</v>
      </c>
      <c r="IA249" s="62">
        <v>1582.53</v>
      </c>
      <c r="IB249" s="62">
        <v>4145.92</v>
      </c>
      <c r="IC249" s="62">
        <v>1943.37</v>
      </c>
      <c r="ID249" s="62">
        <v>2312.06</v>
      </c>
      <c r="IE249" s="62">
        <v>1696.11</v>
      </c>
      <c r="IF249" s="62">
        <v>2369.13</v>
      </c>
      <c r="IG249" s="62">
        <v>3729.57</v>
      </c>
      <c r="IH249" s="62">
        <v>2721.28</v>
      </c>
      <c r="II249" s="62">
        <v>5406.38</v>
      </c>
      <c r="IJ249" s="62">
        <v>5527.42</v>
      </c>
      <c r="IK249" s="62">
        <v>3868.05</v>
      </c>
      <c r="IL249" s="62">
        <v>2995.95</v>
      </c>
      <c r="IM249" s="62">
        <v>3967.33</v>
      </c>
      <c r="IN249" s="62">
        <v>4639.53</v>
      </c>
      <c r="IO249" s="62">
        <v>3263.08</v>
      </c>
      <c r="IP249" s="62">
        <v>1945.41</v>
      </c>
      <c r="IQ249" s="62">
        <v>2385.54</v>
      </c>
      <c r="IR249" s="62">
        <v>7292.37</v>
      </c>
      <c r="IS249" s="62">
        <v>6548.27</v>
      </c>
      <c r="IT249" s="62">
        <v>98.04</v>
      </c>
      <c r="IU249" s="62">
        <v>665.58</v>
      </c>
      <c r="IV249" s="62">
        <v>159.15</v>
      </c>
      <c r="IW249" s="62">
        <v>308.22000000000003</v>
      </c>
      <c r="IX249" s="62">
        <v>2214.56</v>
      </c>
      <c r="IY249" s="62">
        <v>2634.43</v>
      </c>
      <c r="IZ249" s="62">
        <v>2114.61</v>
      </c>
      <c r="JA249" s="62">
        <v>1088.73</v>
      </c>
      <c r="JB249" s="62">
        <v>517.05999999999995</v>
      </c>
      <c r="JC249" s="62">
        <v>6194.87</v>
      </c>
      <c r="JD249" s="62">
        <v>2867.68</v>
      </c>
      <c r="JE249" s="62">
        <v>6367.61</v>
      </c>
      <c r="JF249" s="62">
        <v>1654.23</v>
      </c>
      <c r="JG249" s="62">
        <v>2675.58</v>
      </c>
      <c r="JH249" s="62">
        <v>3238.36</v>
      </c>
      <c r="JI249" s="62">
        <v>5526.83</v>
      </c>
      <c r="JJ249" s="62">
        <v>3013.81</v>
      </c>
      <c r="JK249" s="62">
        <v>3505.95</v>
      </c>
      <c r="JL249" s="62">
        <v>3646.7</v>
      </c>
      <c r="JM249" s="62">
        <v>3150.62</v>
      </c>
      <c r="JN249" s="62">
        <v>3050.38</v>
      </c>
      <c r="JO249" s="62">
        <v>2318.89</v>
      </c>
      <c r="JP249" s="62">
        <v>7415.07</v>
      </c>
      <c r="JQ249" s="62">
        <v>4564.58</v>
      </c>
      <c r="JR249" s="62">
        <v>2909.58</v>
      </c>
      <c r="JS249" s="62">
        <v>1534.81</v>
      </c>
      <c r="JT249" s="62">
        <v>5919.95</v>
      </c>
      <c r="JU249" s="62">
        <v>4068.19</v>
      </c>
      <c r="JV249" s="62">
        <v>1051.8900000000001</v>
      </c>
      <c r="JW249" s="62">
        <v>1610.81</v>
      </c>
      <c r="JX249" s="62">
        <v>15227.43</v>
      </c>
      <c r="JY249" s="62">
        <v>996.04</v>
      </c>
      <c r="JZ249" s="62">
        <v>2071.0300000000002</v>
      </c>
      <c r="KA249" s="62">
        <v>4989.4799999999996</v>
      </c>
      <c r="KB249" s="62">
        <v>2595.37</v>
      </c>
      <c r="KC249" s="62">
        <v>2418.4699999999998</v>
      </c>
      <c r="KD249" s="62">
        <v>5013.57</v>
      </c>
      <c r="KE249" s="62">
        <v>321.98</v>
      </c>
      <c r="KF249" s="62">
        <v>4755.3</v>
      </c>
    </row>
    <row r="250" spans="1:292">
      <c r="D250" s="64"/>
      <c r="E250" s="64"/>
      <c r="F250" s="64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  <c r="AA250" s="64"/>
      <c r="AB250" s="64"/>
      <c r="AC250" s="64"/>
      <c r="AD250" s="64"/>
      <c r="AE250" s="64"/>
      <c r="AF250" s="64"/>
      <c r="AG250" s="64"/>
      <c r="AH250" s="64"/>
      <c r="AI250" s="64"/>
      <c r="AJ250" s="64"/>
      <c r="AK250" s="64"/>
      <c r="AL250" s="64"/>
      <c r="AM250" s="64"/>
      <c r="AN250" s="64"/>
      <c r="AO250" s="64"/>
      <c r="AP250" s="64"/>
      <c r="AQ250" s="64"/>
      <c r="AR250" s="64"/>
      <c r="AS250" s="64"/>
      <c r="AT250" s="64"/>
      <c r="AU250" s="64"/>
      <c r="AV250" s="64"/>
      <c r="AW250" s="64"/>
      <c r="AX250" s="64"/>
      <c r="AY250" s="64"/>
      <c r="AZ250" s="64"/>
      <c r="BA250" s="64"/>
      <c r="BB250" s="64"/>
      <c r="BC250" s="64"/>
      <c r="BD250" s="64"/>
      <c r="BE250" s="64"/>
      <c r="BF250" s="64"/>
      <c r="BG250" s="64"/>
    </row>
    <row r="251" spans="1:292">
      <c r="D251" s="64"/>
      <c r="E251" s="64"/>
      <c r="F251" s="64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  <c r="AA251" s="64"/>
      <c r="AB251" s="64"/>
      <c r="AC251" s="64"/>
      <c r="AD251" s="64"/>
      <c r="AE251" s="64"/>
      <c r="AF251" s="64"/>
      <c r="AG251" s="64"/>
      <c r="AH251" s="64"/>
      <c r="AI251" s="64"/>
      <c r="AJ251" s="64"/>
      <c r="AK251" s="64"/>
      <c r="AL251" s="64"/>
      <c r="AM251" s="64"/>
      <c r="AN251" s="64"/>
      <c r="AO251" s="64"/>
      <c r="AP251" s="64"/>
      <c r="AQ251" s="64"/>
      <c r="AR251" s="64"/>
      <c r="AS251" s="64"/>
      <c r="AT251" s="64"/>
      <c r="AU251" s="64"/>
      <c r="AV251" s="64"/>
      <c r="AW251" s="64"/>
      <c r="AX251" s="64"/>
      <c r="AY251" s="64"/>
      <c r="AZ251" s="64"/>
      <c r="BA251" s="64"/>
      <c r="BB251" s="64"/>
      <c r="BC251" s="64"/>
      <c r="BD251" s="64"/>
      <c r="BE251" s="64"/>
      <c r="BF251" s="64"/>
      <c r="BG251" s="64"/>
    </row>
    <row r="252" spans="1:292">
      <c r="D252" s="64"/>
      <c r="E252" s="64"/>
      <c r="F252" s="64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  <c r="AA252" s="64"/>
      <c r="AB252" s="64"/>
      <c r="AC252" s="64"/>
      <c r="AD252" s="64"/>
      <c r="AE252" s="64"/>
      <c r="AF252" s="64"/>
      <c r="AG252" s="64"/>
      <c r="AH252" s="64"/>
      <c r="AI252" s="64"/>
      <c r="AJ252" s="64"/>
      <c r="AK252" s="64"/>
      <c r="AL252" s="64"/>
      <c r="AM252" s="64"/>
      <c r="AN252" s="64"/>
      <c r="AO252" s="64"/>
      <c r="AP252" s="64"/>
      <c r="AQ252" s="64"/>
      <c r="AR252" s="64"/>
      <c r="AS252" s="64"/>
      <c r="AT252" s="64"/>
      <c r="AU252" s="64"/>
      <c r="AV252" s="64"/>
      <c r="AW252" s="64"/>
      <c r="AX252" s="64"/>
      <c r="AY252" s="64"/>
      <c r="AZ252" s="64"/>
      <c r="BA252" s="64"/>
      <c r="BB252" s="64"/>
      <c r="BC252" s="64"/>
      <c r="BD252" s="64"/>
      <c r="BE252" s="64"/>
      <c r="BF252" s="64"/>
      <c r="BG252" s="64"/>
    </row>
    <row r="253" spans="1:292">
      <c r="D253" s="64"/>
      <c r="E253" s="64"/>
      <c r="F253" s="64"/>
      <c r="G253" s="64"/>
      <c r="H253" s="64"/>
      <c r="I253" s="64"/>
      <c r="J253" s="64"/>
      <c r="K253" s="64"/>
      <c r="L253" s="64"/>
      <c r="M253" s="64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  <c r="AA253" s="64"/>
      <c r="AB253" s="64"/>
      <c r="AC253" s="64"/>
      <c r="AD253" s="64"/>
      <c r="AE253" s="64"/>
      <c r="AF253" s="64"/>
      <c r="AG253" s="64"/>
      <c r="AH253" s="64"/>
      <c r="AI253" s="64"/>
      <c r="AJ253" s="64"/>
      <c r="AK253" s="64"/>
      <c r="AL253" s="64"/>
      <c r="AM253" s="64"/>
      <c r="AN253" s="64"/>
      <c r="AO253" s="64"/>
      <c r="AP253" s="64"/>
      <c r="AQ253" s="64"/>
      <c r="AR253" s="64"/>
      <c r="AS253" s="64"/>
      <c r="AT253" s="64"/>
      <c r="AU253" s="64"/>
      <c r="AV253" s="64"/>
      <c r="AW253" s="64"/>
      <c r="AX253" s="64"/>
      <c r="AY253" s="64"/>
      <c r="AZ253" s="64"/>
      <c r="BA253" s="64"/>
      <c r="BB253" s="64"/>
      <c r="BC253" s="64"/>
      <c r="BD253" s="64"/>
      <c r="BE253" s="64"/>
      <c r="BF253" s="64"/>
      <c r="BG253" s="64"/>
    </row>
    <row r="254" spans="1:292">
      <c r="D254" s="64"/>
      <c r="E254" s="64"/>
      <c r="F254" s="64"/>
      <c r="G254" s="64"/>
      <c r="H254" s="64"/>
      <c r="I254" s="64"/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  <c r="AA254" s="64"/>
      <c r="AB254" s="64"/>
      <c r="AC254" s="64"/>
      <c r="AD254" s="64"/>
      <c r="AE254" s="64"/>
      <c r="AF254" s="64"/>
      <c r="AG254" s="64"/>
      <c r="AH254" s="64"/>
      <c r="AI254" s="64"/>
      <c r="AJ254" s="64"/>
      <c r="AK254" s="64"/>
      <c r="AL254" s="64"/>
      <c r="AM254" s="64"/>
      <c r="AN254" s="64"/>
      <c r="AO254" s="64"/>
      <c r="AP254" s="64"/>
      <c r="AQ254" s="64"/>
      <c r="AR254" s="64"/>
      <c r="AS254" s="64"/>
      <c r="AT254" s="64"/>
      <c r="AU254" s="64"/>
      <c r="AV254" s="64"/>
      <c r="AW254" s="64"/>
      <c r="AX254" s="64"/>
      <c r="AY254" s="64"/>
      <c r="AZ254" s="64"/>
      <c r="BA254" s="64"/>
      <c r="BB254" s="64"/>
      <c r="BC254" s="64"/>
      <c r="BD254" s="64"/>
      <c r="BE254" s="64"/>
      <c r="BF254" s="64"/>
      <c r="BG254" s="64"/>
    </row>
    <row r="255" spans="1:292">
      <c r="D255" s="64"/>
      <c r="E255" s="64"/>
      <c r="F255" s="64"/>
      <c r="G255" s="64"/>
      <c r="H255" s="64"/>
      <c r="I255" s="64"/>
      <c r="J255" s="64"/>
      <c r="K255" s="64"/>
      <c r="L255" s="64"/>
      <c r="M255" s="64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/>
      <c r="AA255" s="64"/>
      <c r="AB255" s="64"/>
      <c r="AC255" s="64"/>
      <c r="AD255" s="64"/>
      <c r="AE255" s="64"/>
      <c r="AF255" s="64"/>
      <c r="AG255" s="64"/>
      <c r="AH255" s="64"/>
      <c r="AI255" s="64"/>
      <c r="AJ255" s="64"/>
      <c r="AK255" s="64"/>
      <c r="AL255" s="64"/>
      <c r="AM255" s="64"/>
      <c r="AN255" s="64"/>
      <c r="AO255" s="64"/>
      <c r="AP255" s="64"/>
      <c r="AQ255" s="64"/>
      <c r="AR255" s="64"/>
      <c r="AS255" s="64"/>
      <c r="AT255" s="64"/>
      <c r="AU255" s="64"/>
      <c r="AV255" s="64"/>
      <c r="AW255" s="64"/>
      <c r="AX255" s="64"/>
      <c r="AY255" s="64"/>
      <c r="AZ255" s="64"/>
      <c r="BA255" s="64"/>
      <c r="BB255" s="64"/>
      <c r="BC255" s="64"/>
      <c r="BD255" s="64"/>
      <c r="BE255" s="64"/>
      <c r="BF255" s="64"/>
      <c r="BG255" s="64"/>
    </row>
    <row r="256" spans="1:292">
      <c r="D256" s="64"/>
      <c r="E256" s="64"/>
      <c r="F256" s="64"/>
      <c r="G256" s="64"/>
      <c r="H256" s="64"/>
      <c r="I256" s="64"/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  <c r="AA256" s="64"/>
      <c r="AB256" s="64"/>
      <c r="AC256" s="64"/>
      <c r="AD256" s="64"/>
      <c r="AE256" s="64"/>
      <c r="AF256" s="64"/>
      <c r="AG256" s="64"/>
      <c r="AH256" s="64"/>
      <c r="AI256" s="64"/>
      <c r="AJ256" s="64"/>
      <c r="AK256" s="64"/>
      <c r="AL256" s="64"/>
      <c r="AM256" s="64"/>
      <c r="AN256" s="64"/>
      <c r="AO256" s="64"/>
      <c r="AP256" s="64"/>
      <c r="AQ256" s="64"/>
      <c r="AR256" s="64"/>
      <c r="AS256" s="64"/>
      <c r="AT256" s="64"/>
      <c r="AU256" s="64"/>
      <c r="AV256" s="64"/>
      <c r="AW256" s="64"/>
      <c r="AX256" s="64"/>
      <c r="AY256" s="64"/>
      <c r="AZ256" s="64"/>
      <c r="BA256" s="64"/>
      <c r="BB256" s="64"/>
      <c r="BC256" s="64"/>
      <c r="BD256" s="64"/>
      <c r="BE256" s="64"/>
      <c r="BF256" s="64"/>
      <c r="BG256" s="64"/>
    </row>
    <row r="257" spans="4:59">
      <c r="D257" s="64"/>
      <c r="E257" s="64"/>
      <c r="F257" s="64"/>
      <c r="G257" s="64"/>
      <c r="H257" s="64"/>
      <c r="I257" s="64"/>
      <c r="J257" s="64"/>
      <c r="K257" s="64"/>
      <c r="L257" s="64"/>
      <c r="M257" s="64"/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/>
      <c r="AA257" s="64"/>
      <c r="AB257" s="64"/>
      <c r="AC257" s="64"/>
      <c r="AD257" s="64"/>
      <c r="AE257" s="64"/>
      <c r="AF257" s="64"/>
      <c r="AG257" s="64"/>
      <c r="AH257" s="64"/>
      <c r="AI257" s="64"/>
      <c r="AJ257" s="64"/>
      <c r="AK257" s="64"/>
      <c r="AL257" s="64"/>
      <c r="AM257" s="64"/>
      <c r="AN257" s="64"/>
      <c r="AO257" s="64"/>
      <c r="AP257" s="64"/>
      <c r="AQ257" s="64"/>
      <c r="AR257" s="64"/>
      <c r="AS257" s="64"/>
      <c r="AT257" s="64"/>
      <c r="AU257" s="64"/>
      <c r="AV257" s="64"/>
      <c r="AW257" s="64"/>
      <c r="AX257" s="64"/>
      <c r="AY257" s="64"/>
      <c r="AZ257" s="64"/>
      <c r="BA257" s="64"/>
      <c r="BB257" s="64"/>
      <c r="BC257" s="64"/>
      <c r="BD257" s="64"/>
      <c r="BE257" s="64"/>
      <c r="BF257" s="64"/>
      <c r="BG257" s="64"/>
    </row>
    <row r="258" spans="4:59">
      <c r="D258" s="64"/>
      <c r="E258" s="64"/>
      <c r="F258" s="64"/>
      <c r="G258" s="64"/>
      <c r="H258" s="64"/>
      <c r="I258" s="64"/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  <c r="AA258" s="64"/>
      <c r="AB258" s="64"/>
      <c r="AC258" s="64"/>
      <c r="AD258" s="64"/>
      <c r="AE258" s="64"/>
      <c r="AF258" s="64"/>
      <c r="AG258" s="64"/>
      <c r="AH258" s="64"/>
      <c r="AI258" s="64"/>
      <c r="AJ258" s="64"/>
      <c r="AK258" s="64"/>
      <c r="AL258" s="64"/>
      <c r="AM258" s="64"/>
      <c r="AN258" s="64"/>
      <c r="AO258" s="64"/>
      <c r="AP258" s="64"/>
      <c r="AQ258" s="64"/>
      <c r="AR258" s="64"/>
      <c r="AS258" s="64"/>
      <c r="AT258" s="64"/>
      <c r="AU258" s="64"/>
      <c r="AV258" s="64"/>
      <c r="AW258" s="64"/>
      <c r="AX258" s="64"/>
      <c r="AY258" s="64"/>
      <c r="AZ258" s="64"/>
      <c r="BA258" s="64"/>
      <c r="BB258" s="64"/>
      <c r="BC258" s="64"/>
      <c r="BD258" s="64"/>
      <c r="BE258" s="64"/>
      <c r="BF258" s="64"/>
      <c r="BG258" s="64"/>
    </row>
    <row r="259" spans="4:59">
      <c r="D259" s="64"/>
      <c r="E259" s="64"/>
      <c r="F259" s="64"/>
      <c r="G259" s="64"/>
      <c r="H259" s="64"/>
      <c r="I259" s="64"/>
      <c r="J259" s="64"/>
      <c r="K259" s="64"/>
      <c r="L259" s="64"/>
      <c r="M259" s="64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  <c r="Z259" s="64"/>
      <c r="AA259" s="64"/>
      <c r="AB259" s="64"/>
      <c r="AC259" s="64"/>
      <c r="AD259" s="64"/>
      <c r="AE259" s="64"/>
      <c r="AF259" s="64"/>
      <c r="AG259" s="64"/>
      <c r="AH259" s="64"/>
      <c r="AI259" s="64"/>
      <c r="AJ259" s="64"/>
      <c r="AK259" s="64"/>
      <c r="AL259" s="64"/>
      <c r="AM259" s="64"/>
      <c r="AN259" s="64"/>
      <c r="AO259" s="64"/>
      <c r="AP259" s="64"/>
      <c r="AQ259" s="64"/>
      <c r="AR259" s="64"/>
      <c r="AS259" s="64"/>
      <c r="AT259" s="64"/>
      <c r="AU259" s="64"/>
      <c r="AV259" s="64"/>
      <c r="AW259" s="64"/>
      <c r="AX259" s="64"/>
      <c r="AY259" s="64"/>
      <c r="AZ259" s="64"/>
      <c r="BA259" s="64"/>
      <c r="BB259" s="64"/>
      <c r="BC259" s="64"/>
      <c r="BD259" s="64"/>
      <c r="BE259" s="64"/>
      <c r="BF259" s="64"/>
      <c r="BG259" s="64"/>
    </row>
    <row r="260" spans="4:59">
      <c r="D260" s="64"/>
      <c r="E260" s="64"/>
      <c r="F260" s="64"/>
      <c r="G260" s="64"/>
      <c r="H260" s="64"/>
      <c r="I260" s="64"/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  <c r="AA260" s="64"/>
      <c r="AB260" s="64"/>
      <c r="AC260" s="64"/>
      <c r="AD260" s="64"/>
      <c r="AE260" s="64"/>
      <c r="AF260" s="64"/>
      <c r="AG260" s="64"/>
      <c r="AH260" s="64"/>
      <c r="AI260" s="64"/>
      <c r="AJ260" s="64"/>
      <c r="AK260" s="64"/>
      <c r="AL260" s="64"/>
      <c r="AM260" s="64"/>
      <c r="AN260" s="64"/>
      <c r="AO260" s="64"/>
      <c r="AP260" s="64"/>
      <c r="AQ260" s="64"/>
      <c r="AR260" s="64"/>
      <c r="AS260" s="64"/>
      <c r="AT260" s="64"/>
      <c r="AU260" s="64"/>
      <c r="AV260" s="64"/>
      <c r="AW260" s="64"/>
      <c r="AX260" s="64"/>
      <c r="AY260" s="64"/>
      <c r="AZ260" s="64"/>
      <c r="BA260" s="64"/>
      <c r="BB260" s="64"/>
      <c r="BC260" s="64"/>
      <c r="BD260" s="64"/>
      <c r="BE260" s="64"/>
      <c r="BF260" s="64"/>
      <c r="BG260" s="64"/>
    </row>
    <row r="261" spans="4:59">
      <c r="D261" s="64"/>
      <c r="E261" s="64"/>
      <c r="F261" s="64"/>
      <c r="G261" s="64"/>
      <c r="H261" s="64"/>
      <c r="I261" s="64"/>
      <c r="J261" s="64"/>
      <c r="K261" s="64"/>
      <c r="L261" s="64"/>
      <c r="M261" s="64"/>
      <c r="N261" s="64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4"/>
      <c r="AA261" s="64"/>
      <c r="AB261" s="64"/>
      <c r="AC261" s="64"/>
      <c r="AD261" s="64"/>
      <c r="AE261" s="64"/>
      <c r="AF261" s="64"/>
      <c r="AG261" s="64"/>
      <c r="AH261" s="64"/>
      <c r="AI261" s="64"/>
      <c r="AJ261" s="64"/>
      <c r="AK261" s="64"/>
      <c r="AL261" s="64"/>
      <c r="AM261" s="64"/>
      <c r="AN261" s="64"/>
      <c r="AO261" s="64"/>
      <c r="AP261" s="64"/>
      <c r="AQ261" s="64"/>
      <c r="AR261" s="64"/>
      <c r="AS261" s="64"/>
      <c r="AT261" s="64"/>
      <c r="AU261" s="64"/>
      <c r="AV261" s="64"/>
      <c r="AW261" s="64"/>
      <c r="AX261" s="64"/>
      <c r="AY261" s="64"/>
      <c r="AZ261" s="64"/>
      <c r="BA261" s="64"/>
      <c r="BB261" s="64"/>
      <c r="BC261" s="64"/>
      <c r="BD261" s="64"/>
      <c r="BE261" s="64"/>
      <c r="BF261" s="64"/>
      <c r="BG261" s="64"/>
    </row>
    <row r="262" spans="4:59"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  <c r="AA262" s="64"/>
      <c r="AB262" s="64"/>
      <c r="AC262" s="64"/>
      <c r="AD262" s="64"/>
      <c r="AE262" s="64"/>
      <c r="AF262" s="64"/>
      <c r="AG262" s="64"/>
      <c r="AH262" s="64"/>
      <c r="AI262" s="64"/>
      <c r="AJ262" s="64"/>
      <c r="AK262" s="64"/>
      <c r="AL262" s="64"/>
      <c r="AM262" s="64"/>
      <c r="AN262" s="64"/>
      <c r="AO262" s="64"/>
      <c r="AP262" s="64"/>
      <c r="AQ262" s="64"/>
      <c r="AR262" s="64"/>
      <c r="AS262" s="64"/>
      <c r="AT262" s="64"/>
      <c r="AU262" s="64"/>
      <c r="AV262" s="64"/>
      <c r="AW262" s="64"/>
      <c r="AX262" s="64"/>
      <c r="AY262" s="64"/>
      <c r="AZ262" s="64"/>
      <c r="BA262" s="64"/>
      <c r="BB262" s="64"/>
      <c r="BC262" s="64"/>
      <c r="BD262" s="64"/>
      <c r="BE262" s="64"/>
      <c r="BF262" s="64"/>
      <c r="BG262" s="64"/>
    </row>
    <row r="263" spans="4:59">
      <c r="D263" s="64"/>
      <c r="E263" s="64"/>
      <c r="F263" s="64"/>
      <c r="G263" s="64"/>
      <c r="H263" s="64"/>
      <c r="I263" s="64"/>
      <c r="J263" s="64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  <c r="AA263" s="64"/>
      <c r="AB263" s="64"/>
      <c r="AC263" s="64"/>
      <c r="AD263" s="64"/>
      <c r="AE263" s="64"/>
      <c r="AF263" s="64"/>
      <c r="AG263" s="64"/>
      <c r="AH263" s="64"/>
      <c r="AI263" s="64"/>
      <c r="AJ263" s="64"/>
      <c r="AK263" s="64"/>
      <c r="AL263" s="64"/>
      <c r="AM263" s="64"/>
      <c r="AN263" s="64"/>
      <c r="AO263" s="64"/>
      <c r="AP263" s="64"/>
      <c r="AQ263" s="64"/>
      <c r="AR263" s="64"/>
      <c r="AS263" s="64"/>
      <c r="AT263" s="64"/>
      <c r="AU263" s="64"/>
      <c r="AV263" s="64"/>
      <c r="AW263" s="64"/>
      <c r="AX263" s="64"/>
      <c r="AY263" s="64"/>
      <c r="AZ263" s="64"/>
      <c r="BA263" s="64"/>
      <c r="BB263" s="64"/>
      <c r="BC263" s="64"/>
      <c r="BD263" s="64"/>
      <c r="BE263" s="64"/>
      <c r="BF263" s="64"/>
      <c r="BG263" s="64"/>
    </row>
    <row r="264" spans="4:59"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  <c r="AA264" s="64"/>
      <c r="AB264" s="64"/>
      <c r="AC264" s="64"/>
      <c r="AD264" s="64"/>
      <c r="AE264" s="64"/>
      <c r="AF264" s="64"/>
      <c r="AG264" s="64"/>
      <c r="AH264" s="64"/>
      <c r="AI264" s="64"/>
      <c r="AJ264" s="64"/>
      <c r="AK264" s="64"/>
      <c r="AL264" s="64"/>
      <c r="AM264" s="64"/>
      <c r="AN264" s="64"/>
      <c r="AO264" s="64"/>
      <c r="AP264" s="64"/>
      <c r="AQ264" s="64"/>
      <c r="AR264" s="64"/>
      <c r="AS264" s="64"/>
      <c r="AT264" s="64"/>
      <c r="AU264" s="64"/>
      <c r="AV264" s="64"/>
      <c r="AW264" s="64"/>
      <c r="AX264" s="64"/>
      <c r="AY264" s="64"/>
      <c r="AZ264" s="64"/>
      <c r="BA264" s="64"/>
      <c r="BB264" s="64"/>
      <c r="BC264" s="64"/>
      <c r="BD264" s="64"/>
      <c r="BE264" s="64"/>
      <c r="BF264" s="64"/>
      <c r="BG264" s="64"/>
    </row>
    <row r="265" spans="4:59">
      <c r="D265" s="64"/>
      <c r="E265" s="64"/>
      <c r="F265" s="64"/>
      <c r="G265" s="64"/>
      <c r="H265" s="64"/>
      <c r="I265" s="64"/>
      <c r="J265" s="64"/>
      <c r="K265" s="64"/>
      <c r="L265" s="64"/>
      <c r="M265" s="64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/>
      <c r="AA265" s="64"/>
      <c r="AB265" s="64"/>
      <c r="AC265" s="64"/>
      <c r="AD265" s="64"/>
      <c r="AE265" s="64"/>
      <c r="AF265" s="64"/>
      <c r="AG265" s="64"/>
      <c r="AH265" s="64"/>
      <c r="AI265" s="64"/>
      <c r="AJ265" s="64"/>
      <c r="AK265" s="64"/>
      <c r="AL265" s="64"/>
      <c r="AM265" s="64"/>
      <c r="AN265" s="64"/>
      <c r="AO265" s="64"/>
      <c r="AP265" s="64"/>
      <c r="AQ265" s="64"/>
      <c r="AR265" s="64"/>
      <c r="AS265" s="64"/>
      <c r="AT265" s="64"/>
      <c r="AU265" s="64"/>
      <c r="AV265" s="64"/>
      <c r="AW265" s="64"/>
      <c r="AX265" s="64"/>
      <c r="AY265" s="64"/>
      <c r="AZ265" s="64"/>
      <c r="BA265" s="64"/>
      <c r="BB265" s="64"/>
      <c r="BC265" s="64"/>
      <c r="BD265" s="64"/>
      <c r="BE265" s="64"/>
      <c r="BF265" s="64"/>
      <c r="BG265" s="64"/>
    </row>
    <row r="266" spans="4:59">
      <c r="D266" s="64"/>
      <c r="E266" s="64"/>
      <c r="F266" s="64"/>
      <c r="G266" s="64"/>
      <c r="H266" s="64"/>
      <c r="I266" s="64"/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  <c r="AA266" s="64"/>
      <c r="AB266" s="64"/>
      <c r="AC266" s="64"/>
      <c r="AD266" s="64"/>
      <c r="AE266" s="64"/>
      <c r="AF266" s="64"/>
      <c r="AG266" s="64"/>
      <c r="AH266" s="64"/>
      <c r="AI266" s="64"/>
      <c r="AJ266" s="64"/>
      <c r="AK266" s="64"/>
      <c r="AL266" s="64"/>
      <c r="AM266" s="64"/>
      <c r="AN266" s="64"/>
      <c r="AO266" s="64"/>
      <c r="AP266" s="64"/>
      <c r="AQ266" s="64"/>
      <c r="AR266" s="64"/>
      <c r="AS266" s="64"/>
      <c r="AT266" s="64"/>
      <c r="AU266" s="64"/>
      <c r="AV266" s="64"/>
      <c r="AW266" s="64"/>
      <c r="AX266" s="64"/>
      <c r="AY266" s="64"/>
      <c r="AZ266" s="64"/>
      <c r="BA266" s="64"/>
      <c r="BB266" s="64"/>
      <c r="BC266" s="64"/>
      <c r="BD266" s="64"/>
      <c r="BE266" s="64"/>
      <c r="BF266" s="64"/>
      <c r="BG266" s="64"/>
    </row>
    <row r="267" spans="4:59">
      <c r="D267" s="64"/>
      <c r="E267" s="64"/>
      <c r="F267" s="64"/>
      <c r="G267" s="64"/>
      <c r="H267" s="64"/>
      <c r="I267" s="64"/>
      <c r="J267" s="64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  <c r="AA267" s="64"/>
      <c r="AB267" s="64"/>
      <c r="AC267" s="64"/>
      <c r="AD267" s="64"/>
      <c r="AE267" s="64"/>
      <c r="AF267" s="64"/>
      <c r="AG267" s="64"/>
      <c r="AH267" s="64"/>
      <c r="AI267" s="64"/>
      <c r="AJ267" s="64"/>
      <c r="AK267" s="64"/>
      <c r="AL267" s="64"/>
      <c r="AM267" s="64"/>
      <c r="AN267" s="64"/>
      <c r="AO267" s="64"/>
      <c r="AP267" s="64"/>
      <c r="AQ267" s="64"/>
      <c r="AR267" s="64"/>
      <c r="AS267" s="64"/>
      <c r="AT267" s="64"/>
      <c r="AU267" s="64"/>
      <c r="AV267" s="64"/>
      <c r="AW267" s="64"/>
      <c r="AX267" s="64"/>
      <c r="AY267" s="64"/>
      <c r="AZ267" s="64"/>
      <c r="BA267" s="64"/>
      <c r="BB267" s="64"/>
      <c r="BC267" s="64"/>
      <c r="BD267" s="64"/>
      <c r="BE267" s="64"/>
      <c r="BF267" s="64"/>
      <c r="BG267" s="64"/>
    </row>
    <row r="268" spans="4:59">
      <c r="D268" s="64"/>
      <c r="E268" s="64"/>
      <c r="F268" s="64"/>
      <c r="G268" s="64"/>
      <c r="H268" s="64"/>
      <c r="I268" s="64"/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  <c r="AA268" s="64"/>
      <c r="AB268" s="64"/>
      <c r="AC268" s="64"/>
      <c r="AD268" s="64"/>
      <c r="AE268" s="64"/>
      <c r="AF268" s="64"/>
      <c r="AG268" s="64"/>
      <c r="AH268" s="64"/>
      <c r="AI268" s="64"/>
      <c r="AJ268" s="64"/>
      <c r="AK268" s="64"/>
      <c r="AL268" s="64"/>
      <c r="AM268" s="64"/>
      <c r="AN268" s="64"/>
      <c r="AO268" s="64"/>
      <c r="AP268" s="64"/>
      <c r="AQ268" s="64"/>
      <c r="AR268" s="64"/>
      <c r="AS268" s="64"/>
      <c r="AT268" s="64"/>
      <c r="AU268" s="64"/>
      <c r="AV268" s="64"/>
      <c r="AW268" s="64"/>
      <c r="AX268" s="64"/>
      <c r="AY268" s="64"/>
      <c r="AZ268" s="64"/>
      <c r="BA268" s="64"/>
      <c r="BB268" s="64"/>
      <c r="BC268" s="64"/>
      <c r="BD268" s="64"/>
      <c r="BE268" s="64"/>
      <c r="BF268" s="64"/>
      <c r="BG268" s="64"/>
    </row>
    <row r="269" spans="4:59">
      <c r="D269" s="64"/>
      <c r="E269" s="64"/>
      <c r="F269" s="64"/>
      <c r="G269" s="64"/>
      <c r="H269" s="64"/>
      <c r="I269" s="64"/>
      <c r="J269" s="64"/>
      <c r="K269" s="64"/>
      <c r="L269" s="64"/>
      <c r="M269" s="64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  <c r="AA269" s="64"/>
      <c r="AB269" s="64"/>
      <c r="AC269" s="64"/>
      <c r="AD269" s="64"/>
      <c r="AE269" s="64"/>
      <c r="AF269" s="64"/>
      <c r="AG269" s="64"/>
      <c r="AH269" s="64"/>
      <c r="AI269" s="64"/>
      <c r="AJ269" s="64"/>
      <c r="AK269" s="64"/>
      <c r="AL269" s="64"/>
      <c r="AM269" s="64"/>
      <c r="AN269" s="64"/>
      <c r="AO269" s="64"/>
      <c r="AP269" s="64"/>
      <c r="AQ269" s="64"/>
      <c r="AR269" s="64"/>
      <c r="AS269" s="64"/>
      <c r="AT269" s="64"/>
      <c r="AU269" s="64"/>
      <c r="AV269" s="64"/>
      <c r="AW269" s="64"/>
      <c r="AX269" s="64"/>
      <c r="AY269" s="64"/>
      <c r="AZ269" s="64"/>
      <c r="BA269" s="64"/>
      <c r="BB269" s="64"/>
      <c r="BC269" s="64"/>
      <c r="BD269" s="64"/>
      <c r="BE269" s="64"/>
      <c r="BF269" s="64"/>
      <c r="BG269" s="64"/>
    </row>
    <row r="270" spans="4:59">
      <c r="D270" s="64"/>
      <c r="E270" s="64"/>
      <c r="F270" s="64"/>
      <c r="G270" s="64"/>
      <c r="H270" s="64"/>
      <c r="I270" s="64"/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  <c r="AA270" s="64"/>
      <c r="AB270" s="64"/>
      <c r="AC270" s="64"/>
      <c r="AD270" s="64"/>
      <c r="AE270" s="64"/>
      <c r="AF270" s="64"/>
      <c r="AG270" s="64"/>
      <c r="AH270" s="64"/>
      <c r="AI270" s="64"/>
      <c r="AJ270" s="64"/>
      <c r="AK270" s="64"/>
      <c r="AL270" s="64"/>
      <c r="AM270" s="64"/>
      <c r="AN270" s="64"/>
      <c r="AO270" s="64"/>
      <c r="AP270" s="64"/>
      <c r="AQ270" s="64"/>
      <c r="AR270" s="64"/>
      <c r="AS270" s="64"/>
      <c r="AT270" s="64"/>
      <c r="AU270" s="64"/>
      <c r="AV270" s="64"/>
      <c r="AW270" s="64"/>
      <c r="AX270" s="64"/>
      <c r="AY270" s="64"/>
      <c r="AZ270" s="64"/>
      <c r="BA270" s="64"/>
      <c r="BB270" s="64"/>
      <c r="BC270" s="64"/>
      <c r="BD270" s="64"/>
      <c r="BE270" s="64"/>
      <c r="BF270" s="64"/>
      <c r="BG270" s="64"/>
    </row>
    <row r="271" spans="4:59">
      <c r="D271" s="64"/>
      <c r="E271" s="64"/>
      <c r="F271" s="64"/>
      <c r="G271" s="64"/>
      <c r="H271" s="64"/>
      <c r="I271" s="64"/>
      <c r="J271" s="64"/>
      <c r="K271" s="64"/>
      <c r="L271" s="64"/>
      <c r="M271" s="64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  <c r="AA271" s="64"/>
      <c r="AB271" s="64"/>
      <c r="AC271" s="64"/>
      <c r="AD271" s="64"/>
      <c r="AE271" s="64"/>
      <c r="AF271" s="64"/>
      <c r="AG271" s="64"/>
      <c r="AH271" s="64"/>
      <c r="AI271" s="64"/>
      <c r="AJ271" s="64"/>
      <c r="AK271" s="64"/>
      <c r="AL271" s="64"/>
      <c r="AM271" s="64"/>
      <c r="AN271" s="64"/>
      <c r="AO271" s="64"/>
      <c r="AP271" s="64"/>
      <c r="AQ271" s="64"/>
      <c r="AR271" s="64"/>
      <c r="AS271" s="64"/>
      <c r="AT271" s="64"/>
      <c r="AU271" s="64"/>
      <c r="AV271" s="64"/>
      <c r="AW271" s="64"/>
      <c r="AX271" s="64"/>
      <c r="AY271" s="64"/>
      <c r="AZ271" s="64"/>
      <c r="BA271" s="64"/>
      <c r="BB271" s="64"/>
      <c r="BC271" s="64"/>
      <c r="BD271" s="64"/>
      <c r="BE271" s="64"/>
      <c r="BF271" s="64"/>
      <c r="BG271" s="64"/>
    </row>
    <row r="272" spans="4:59">
      <c r="D272" s="64"/>
      <c r="E272" s="64"/>
      <c r="F272" s="64"/>
      <c r="G272" s="64"/>
      <c r="H272" s="64"/>
      <c r="I272" s="64"/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  <c r="AA272" s="64"/>
      <c r="AB272" s="64"/>
      <c r="AC272" s="64"/>
      <c r="AD272" s="64"/>
      <c r="AE272" s="64"/>
      <c r="AF272" s="64"/>
      <c r="AG272" s="64"/>
      <c r="AH272" s="64"/>
      <c r="AI272" s="64"/>
      <c r="AJ272" s="64"/>
      <c r="AK272" s="64"/>
      <c r="AL272" s="64"/>
      <c r="AM272" s="64"/>
      <c r="AN272" s="64"/>
      <c r="AO272" s="64"/>
      <c r="AP272" s="64"/>
      <c r="AQ272" s="64"/>
      <c r="AR272" s="64"/>
      <c r="AS272" s="64"/>
      <c r="AT272" s="64"/>
      <c r="AU272" s="64"/>
      <c r="AV272" s="64"/>
      <c r="AW272" s="64"/>
      <c r="AX272" s="64"/>
      <c r="AY272" s="64"/>
      <c r="AZ272" s="64"/>
      <c r="BA272" s="64"/>
      <c r="BB272" s="64"/>
      <c r="BC272" s="64"/>
      <c r="BD272" s="64"/>
      <c r="BE272" s="64"/>
      <c r="BF272" s="64"/>
      <c r="BG272" s="64"/>
    </row>
    <row r="273" spans="4:59">
      <c r="D273" s="64"/>
      <c r="E273" s="64"/>
      <c r="F273" s="64"/>
      <c r="G273" s="64"/>
      <c r="H273" s="64"/>
      <c r="I273" s="64"/>
      <c r="J273" s="64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  <c r="AA273" s="64"/>
      <c r="AB273" s="64"/>
      <c r="AC273" s="64"/>
      <c r="AD273" s="64"/>
      <c r="AE273" s="64"/>
      <c r="AF273" s="64"/>
      <c r="AG273" s="64"/>
      <c r="AH273" s="64"/>
      <c r="AI273" s="64"/>
      <c r="AJ273" s="64"/>
      <c r="AK273" s="64"/>
      <c r="AL273" s="64"/>
      <c r="AM273" s="64"/>
      <c r="AN273" s="64"/>
      <c r="AO273" s="64"/>
      <c r="AP273" s="64"/>
      <c r="AQ273" s="64"/>
      <c r="AR273" s="64"/>
      <c r="AS273" s="64"/>
      <c r="AT273" s="64"/>
      <c r="AU273" s="64"/>
      <c r="AV273" s="64"/>
      <c r="AW273" s="64"/>
      <c r="AX273" s="64"/>
      <c r="AY273" s="64"/>
      <c r="AZ273" s="64"/>
      <c r="BA273" s="64"/>
      <c r="BB273" s="64"/>
      <c r="BC273" s="64"/>
      <c r="BD273" s="64"/>
      <c r="BE273" s="64"/>
      <c r="BF273" s="64"/>
      <c r="BG273" s="64"/>
    </row>
    <row r="274" spans="4:59">
      <c r="D274" s="64"/>
      <c r="E274" s="64"/>
      <c r="F274" s="64"/>
      <c r="G274" s="64"/>
      <c r="H274" s="64"/>
      <c r="I274" s="64"/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  <c r="AA274" s="64"/>
      <c r="AB274" s="64"/>
      <c r="AC274" s="64"/>
      <c r="AD274" s="64"/>
      <c r="AE274" s="64"/>
      <c r="AF274" s="64"/>
      <c r="AG274" s="64"/>
      <c r="AH274" s="64"/>
      <c r="AI274" s="64"/>
      <c r="AJ274" s="64"/>
      <c r="AK274" s="64"/>
      <c r="AL274" s="64"/>
      <c r="AM274" s="64"/>
      <c r="AN274" s="64"/>
      <c r="AO274" s="64"/>
      <c r="AP274" s="64"/>
      <c r="AQ274" s="64"/>
      <c r="AR274" s="64"/>
      <c r="AS274" s="64"/>
      <c r="AT274" s="64"/>
      <c r="AU274" s="64"/>
      <c r="AV274" s="64"/>
      <c r="AW274" s="64"/>
      <c r="AX274" s="64"/>
      <c r="AY274" s="64"/>
      <c r="AZ274" s="64"/>
      <c r="BA274" s="64"/>
      <c r="BB274" s="64"/>
      <c r="BC274" s="64"/>
      <c r="BD274" s="64"/>
      <c r="BE274" s="64"/>
      <c r="BF274" s="64"/>
      <c r="BG274" s="64"/>
    </row>
    <row r="275" spans="4:59">
      <c r="D275" s="64"/>
      <c r="E275" s="64"/>
      <c r="F275" s="64"/>
      <c r="G275" s="64"/>
      <c r="H275" s="64"/>
      <c r="I275" s="64"/>
      <c r="J275" s="64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  <c r="AA275" s="64"/>
      <c r="AB275" s="64"/>
      <c r="AC275" s="64"/>
      <c r="AD275" s="64"/>
      <c r="AE275" s="64"/>
      <c r="AF275" s="64"/>
      <c r="AG275" s="64"/>
      <c r="AH275" s="64"/>
      <c r="AI275" s="64"/>
      <c r="AJ275" s="64"/>
      <c r="AK275" s="64"/>
      <c r="AL275" s="64"/>
      <c r="AM275" s="64"/>
      <c r="AN275" s="64"/>
      <c r="AO275" s="64"/>
      <c r="AP275" s="64"/>
      <c r="AQ275" s="64"/>
      <c r="AR275" s="64"/>
      <c r="AS275" s="64"/>
      <c r="AT275" s="64"/>
      <c r="AU275" s="64"/>
      <c r="AV275" s="64"/>
      <c r="AW275" s="64"/>
      <c r="AX275" s="64"/>
      <c r="AY275" s="64"/>
      <c r="AZ275" s="64"/>
      <c r="BA275" s="64"/>
      <c r="BB275" s="64"/>
      <c r="BC275" s="64"/>
      <c r="BD275" s="64"/>
      <c r="BE275" s="64"/>
      <c r="BF275" s="64"/>
      <c r="BG275" s="64"/>
    </row>
    <row r="276" spans="4:59">
      <c r="D276" s="64"/>
      <c r="E276" s="64"/>
      <c r="F276" s="64"/>
      <c r="G276" s="64"/>
      <c r="H276" s="64"/>
      <c r="I276" s="64"/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  <c r="AA276" s="64"/>
      <c r="AB276" s="64"/>
      <c r="AC276" s="64"/>
      <c r="AD276" s="64"/>
      <c r="AE276" s="64"/>
      <c r="AF276" s="64"/>
      <c r="AG276" s="64"/>
      <c r="AH276" s="64"/>
      <c r="AI276" s="64"/>
      <c r="AJ276" s="64"/>
      <c r="AK276" s="64"/>
      <c r="AL276" s="64"/>
      <c r="AM276" s="64"/>
      <c r="AN276" s="64"/>
      <c r="AO276" s="64"/>
      <c r="AP276" s="64"/>
      <c r="AQ276" s="64"/>
      <c r="AR276" s="64"/>
      <c r="AS276" s="64"/>
      <c r="AT276" s="64"/>
      <c r="AU276" s="64"/>
      <c r="AV276" s="64"/>
      <c r="AW276" s="64"/>
      <c r="AX276" s="64"/>
      <c r="AY276" s="64"/>
      <c r="AZ276" s="64"/>
      <c r="BA276" s="64"/>
      <c r="BB276" s="64"/>
      <c r="BC276" s="64"/>
      <c r="BD276" s="64"/>
      <c r="BE276" s="64"/>
      <c r="BF276" s="64"/>
      <c r="BG276" s="64"/>
    </row>
    <row r="277" spans="4:59">
      <c r="D277" s="64"/>
      <c r="E277" s="64"/>
      <c r="F277" s="64"/>
      <c r="G277" s="64"/>
      <c r="H277" s="64"/>
      <c r="I277" s="64"/>
      <c r="J277" s="64"/>
      <c r="K277" s="64"/>
      <c r="L277" s="64"/>
      <c r="M277" s="64"/>
      <c r="N277" s="64"/>
      <c r="O277" s="64"/>
      <c r="P277" s="64"/>
      <c r="Q277" s="64"/>
      <c r="R277" s="64"/>
      <c r="S277" s="64"/>
      <c r="T277" s="64"/>
      <c r="U277" s="64"/>
      <c r="V277" s="64"/>
      <c r="W277" s="64"/>
      <c r="X277" s="64"/>
      <c r="Y277" s="64"/>
      <c r="Z277" s="64"/>
      <c r="AA277" s="64"/>
      <c r="AB277" s="64"/>
      <c r="AC277" s="64"/>
      <c r="AD277" s="64"/>
      <c r="AE277" s="64"/>
      <c r="AF277" s="64"/>
      <c r="AG277" s="64"/>
      <c r="AH277" s="64"/>
      <c r="AI277" s="64"/>
      <c r="AJ277" s="64"/>
      <c r="AK277" s="64"/>
      <c r="AL277" s="64"/>
      <c r="AM277" s="64"/>
      <c r="AN277" s="64"/>
      <c r="AO277" s="64"/>
      <c r="AP277" s="64"/>
      <c r="AQ277" s="64"/>
      <c r="AR277" s="64"/>
      <c r="AS277" s="64"/>
      <c r="AT277" s="64"/>
      <c r="AU277" s="64"/>
      <c r="AV277" s="64"/>
      <c r="AW277" s="64"/>
      <c r="AX277" s="64"/>
      <c r="AY277" s="64"/>
      <c r="AZ277" s="64"/>
      <c r="BA277" s="64"/>
      <c r="BB277" s="64"/>
      <c r="BC277" s="64"/>
      <c r="BD277" s="64"/>
      <c r="BE277" s="64"/>
      <c r="BF277" s="64"/>
      <c r="BG277" s="64"/>
    </row>
    <row r="278" spans="4:59">
      <c r="D278" s="64"/>
      <c r="E278" s="64"/>
      <c r="F278" s="64"/>
      <c r="G278" s="64"/>
      <c r="H278" s="64"/>
      <c r="I278" s="64"/>
      <c r="J278" s="64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  <c r="AA278" s="64"/>
      <c r="AB278" s="64"/>
      <c r="AC278" s="64"/>
      <c r="AD278" s="64"/>
      <c r="AE278" s="64"/>
      <c r="AF278" s="64"/>
      <c r="AG278" s="64"/>
      <c r="AH278" s="64"/>
      <c r="AI278" s="64"/>
      <c r="AJ278" s="64"/>
      <c r="AK278" s="64"/>
      <c r="AL278" s="64"/>
      <c r="AM278" s="64"/>
      <c r="AN278" s="64"/>
      <c r="AO278" s="64"/>
      <c r="AP278" s="64"/>
      <c r="AQ278" s="64"/>
      <c r="AR278" s="64"/>
      <c r="AS278" s="64"/>
      <c r="AT278" s="64"/>
      <c r="AU278" s="64"/>
      <c r="AV278" s="64"/>
      <c r="AW278" s="64"/>
      <c r="AX278" s="64"/>
      <c r="AY278" s="64"/>
      <c r="AZ278" s="64"/>
      <c r="BA278" s="64"/>
      <c r="BB278" s="64"/>
      <c r="BC278" s="64"/>
      <c r="BD278" s="64"/>
      <c r="BE278" s="64"/>
      <c r="BF278" s="64"/>
      <c r="BG278" s="64"/>
    </row>
    <row r="279" spans="4:59">
      <c r="D279" s="64"/>
      <c r="E279" s="64"/>
      <c r="F279" s="64"/>
      <c r="G279" s="64"/>
      <c r="H279" s="64"/>
      <c r="I279" s="64"/>
      <c r="J279" s="64"/>
      <c r="K279" s="64"/>
      <c r="L279" s="64"/>
      <c r="M279" s="64"/>
      <c r="N279" s="64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  <c r="Z279" s="64"/>
      <c r="AA279" s="64"/>
      <c r="AB279" s="64"/>
      <c r="AC279" s="64"/>
      <c r="AD279" s="64"/>
      <c r="AE279" s="64"/>
      <c r="AF279" s="64"/>
      <c r="AG279" s="64"/>
      <c r="AH279" s="64"/>
      <c r="AI279" s="64"/>
      <c r="AJ279" s="64"/>
      <c r="AK279" s="64"/>
      <c r="AL279" s="64"/>
      <c r="AM279" s="64"/>
      <c r="AN279" s="64"/>
      <c r="AO279" s="64"/>
      <c r="AP279" s="64"/>
      <c r="AQ279" s="64"/>
      <c r="AR279" s="64"/>
      <c r="AS279" s="64"/>
      <c r="AT279" s="64"/>
      <c r="AU279" s="64"/>
      <c r="AV279" s="64"/>
      <c r="AW279" s="64"/>
      <c r="AX279" s="64"/>
      <c r="AY279" s="64"/>
      <c r="AZ279" s="64"/>
      <c r="BA279" s="64"/>
      <c r="BB279" s="64"/>
      <c r="BC279" s="64"/>
      <c r="BD279" s="64"/>
      <c r="BE279" s="64"/>
      <c r="BF279" s="64"/>
      <c r="BG279" s="64"/>
    </row>
    <row r="280" spans="4:59">
      <c r="D280" s="64"/>
      <c r="E280" s="64"/>
      <c r="F280" s="64"/>
      <c r="G280" s="64"/>
      <c r="H280" s="64"/>
      <c r="I280" s="64"/>
      <c r="J280" s="64"/>
      <c r="K280" s="64"/>
      <c r="L280" s="64"/>
      <c r="M280" s="64"/>
      <c r="N280" s="64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  <c r="AA280" s="64"/>
      <c r="AB280" s="64"/>
      <c r="AC280" s="64"/>
      <c r="AD280" s="64"/>
      <c r="AE280" s="64"/>
      <c r="AF280" s="64"/>
      <c r="AG280" s="64"/>
      <c r="AH280" s="64"/>
      <c r="AI280" s="64"/>
      <c r="AJ280" s="64"/>
      <c r="AK280" s="64"/>
      <c r="AL280" s="64"/>
      <c r="AM280" s="64"/>
      <c r="AN280" s="64"/>
      <c r="AO280" s="64"/>
      <c r="AP280" s="64"/>
      <c r="AQ280" s="64"/>
      <c r="AR280" s="64"/>
      <c r="AS280" s="64"/>
      <c r="AT280" s="64"/>
      <c r="AU280" s="64"/>
      <c r="AV280" s="64"/>
      <c r="AW280" s="64"/>
      <c r="AX280" s="64"/>
      <c r="AY280" s="64"/>
      <c r="AZ280" s="64"/>
      <c r="BA280" s="64"/>
      <c r="BB280" s="64"/>
      <c r="BC280" s="64"/>
      <c r="BD280" s="64"/>
      <c r="BE280" s="64"/>
      <c r="BF280" s="64"/>
      <c r="BG280" s="64"/>
    </row>
    <row r="281" spans="4:59">
      <c r="D281" s="64"/>
      <c r="E281" s="64"/>
      <c r="F281" s="64"/>
      <c r="G281" s="64"/>
      <c r="H281" s="64"/>
      <c r="I281" s="64"/>
      <c r="J281" s="64"/>
      <c r="K281" s="64"/>
      <c r="L281" s="64"/>
      <c r="M281" s="64"/>
      <c r="N281" s="64"/>
      <c r="O281" s="64"/>
      <c r="P281" s="64"/>
      <c r="Q281" s="64"/>
      <c r="R281" s="64"/>
      <c r="S281" s="64"/>
      <c r="T281" s="64"/>
      <c r="U281" s="64"/>
      <c r="V281" s="64"/>
      <c r="W281" s="64"/>
      <c r="X281" s="64"/>
      <c r="Y281" s="64"/>
      <c r="Z281" s="64"/>
      <c r="AA281" s="64"/>
      <c r="AB281" s="64"/>
      <c r="AC281" s="64"/>
      <c r="AD281" s="64"/>
      <c r="AE281" s="64"/>
      <c r="AF281" s="64"/>
      <c r="AG281" s="64"/>
      <c r="AH281" s="64"/>
      <c r="AI281" s="64"/>
      <c r="AJ281" s="64"/>
      <c r="AK281" s="64"/>
      <c r="AL281" s="64"/>
      <c r="AM281" s="64"/>
      <c r="AN281" s="64"/>
      <c r="AO281" s="64"/>
      <c r="AP281" s="64"/>
      <c r="AQ281" s="64"/>
      <c r="AR281" s="64"/>
      <c r="AS281" s="64"/>
      <c r="AT281" s="64"/>
      <c r="AU281" s="64"/>
      <c r="AV281" s="64"/>
      <c r="AW281" s="64"/>
      <c r="AX281" s="64"/>
      <c r="AY281" s="64"/>
      <c r="AZ281" s="64"/>
      <c r="BA281" s="64"/>
      <c r="BB281" s="64"/>
      <c r="BC281" s="64"/>
      <c r="BD281" s="64"/>
      <c r="BE281" s="64"/>
      <c r="BF281" s="64"/>
      <c r="BG281" s="64"/>
    </row>
    <row r="282" spans="4:59">
      <c r="D282" s="64"/>
      <c r="E282" s="64"/>
      <c r="F282" s="64"/>
      <c r="G282" s="64"/>
      <c r="H282" s="64"/>
      <c r="I282" s="64"/>
      <c r="J282" s="64"/>
      <c r="K282" s="64"/>
      <c r="L282" s="64"/>
      <c r="M282" s="64"/>
      <c r="N282" s="64"/>
      <c r="O282" s="64"/>
      <c r="P282" s="64"/>
      <c r="Q282" s="64"/>
      <c r="R282" s="64"/>
      <c r="S282" s="64"/>
      <c r="T282" s="64"/>
      <c r="U282" s="64"/>
      <c r="V282" s="64"/>
      <c r="W282" s="64"/>
      <c r="X282" s="64"/>
      <c r="Y282" s="64"/>
      <c r="Z282" s="64"/>
      <c r="AA282" s="64"/>
      <c r="AB282" s="64"/>
      <c r="AC282" s="64"/>
      <c r="AD282" s="64"/>
      <c r="AE282" s="64"/>
      <c r="AF282" s="64"/>
      <c r="AG282" s="64"/>
      <c r="AH282" s="64"/>
      <c r="AI282" s="64"/>
      <c r="AJ282" s="64"/>
      <c r="AK282" s="64"/>
      <c r="AL282" s="64"/>
      <c r="AM282" s="64"/>
      <c r="AN282" s="64"/>
      <c r="AO282" s="64"/>
      <c r="AP282" s="64"/>
      <c r="AQ282" s="64"/>
      <c r="AR282" s="64"/>
      <c r="AS282" s="64"/>
      <c r="AT282" s="64"/>
      <c r="AU282" s="64"/>
      <c r="AV282" s="64"/>
      <c r="AW282" s="64"/>
      <c r="AX282" s="64"/>
      <c r="AY282" s="64"/>
      <c r="AZ282" s="64"/>
      <c r="BA282" s="64"/>
      <c r="BB282" s="64"/>
      <c r="BC282" s="64"/>
      <c r="BD282" s="64"/>
      <c r="BE282" s="64"/>
      <c r="BF282" s="64"/>
      <c r="BG282" s="64"/>
    </row>
    <row r="283" spans="4:59">
      <c r="D283" s="64"/>
      <c r="E283" s="64"/>
      <c r="F283" s="64"/>
      <c r="G283" s="64"/>
      <c r="H283" s="64"/>
      <c r="I283" s="64"/>
      <c r="J283" s="64"/>
      <c r="K283" s="64"/>
      <c r="L283" s="64"/>
      <c r="M283" s="64"/>
      <c r="N283" s="64"/>
      <c r="O283" s="64"/>
      <c r="P283" s="64"/>
      <c r="Q283" s="64"/>
      <c r="R283" s="64"/>
      <c r="S283" s="64"/>
      <c r="T283" s="64"/>
      <c r="U283" s="64"/>
      <c r="V283" s="64"/>
      <c r="W283" s="64"/>
      <c r="X283" s="64"/>
      <c r="Y283" s="64"/>
      <c r="Z283" s="64"/>
      <c r="AA283" s="64"/>
      <c r="AB283" s="64"/>
      <c r="AC283" s="64"/>
      <c r="AD283" s="64"/>
      <c r="AE283" s="64"/>
      <c r="AF283" s="64"/>
      <c r="AG283" s="64"/>
      <c r="AH283" s="64"/>
      <c r="AI283" s="64"/>
      <c r="AJ283" s="64"/>
      <c r="AK283" s="64"/>
      <c r="AL283" s="64"/>
      <c r="AM283" s="64"/>
      <c r="AN283" s="64"/>
      <c r="AO283" s="64"/>
      <c r="AP283" s="64"/>
      <c r="AQ283" s="64"/>
      <c r="AR283" s="64"/>
      <c r="AS283" s="64"/>
      <c r="AT283" s="64"/>
      <c r="AU283" s="64"/>
      <c r="AV283" s="64"/>
      <c r="AW283" s="64"/>
      <c r="AX283" s="64"/>
      <c r="AY283" s="64"/>
      <c r="AZ283" s="64"/>
      <c r="BA283" s="64"/>
      <c r="BB283" s="64"/>
      <c r="BC283" s="64"/>
      <c r="BD283" s="64"/>
      <c r="BE283" s="64"/>
      <c r="BF283" s="64"/>
      <c r="BG283" s="64"/>
    </row>
    <row r="284" spans="4:59">
      <c r="D284" s="64"/>
      <c r="E284" s="64"/>
      <c r="F284" s="64"/>
      <c r="G284" s="64"/>
      <c r="H284" s="64"/>
      <c r="I284" s="64"/>
      <c r="J284" s="64"/>
      <c r="K284" s="64"/>
      <c r="L284" s="64"/>
      <c r="M284" s="64"/>
      <c r="N284" s="64"/>
      <c r="O284" s="64"/>
      <c r="P284" s="64"/>
      <c r="Q284" s="64"/>
      <c r="R284" s="64"/>
      <c r="S284" s="64"/>
      <c r="T284" s="64"/>
      <c r="U284" s="64"/>
      <c r="V284" s="64"/>
      <c r="W284" s="64"/>
      <c r="X284" s="64"/>
      <c r="Y284" s="64"/>
      <c r="Z284" s="64"/>
      <c r="AA284" s="64"/>
      <c r="AB284" s="64"/>
      <c r="AC284" s="64"/>
      <c r="AD284" s="64"/>
      <c r="AE284" s="64"/>
      <c r="AF284" s="64"/>
      <c r="AG284" s="64"/>
      <c r="AH284" s="64"/>
      <c r="AI284" s="64"/>
      <c r="AJ284" s="64"/>
      <c r="AK284" s="64"/>
      <c r="AL284" s="64"/>
      <c r="AM284" s="64"/>
      <c r="AN284" s="64"/>
      <c r="AO284" s="64"/>
      <c r="AP284" s="64"/>
      <c r="AQ284" s="64"/>
      <c r="AR284" s="64"/>
      <c r="AS284" s="64"/>
      <c r="AT284" s="64"/>
      <c r="AU284" s="64"/>
      <c r="AV284" s="64"/>
      <c r="AW284" s="64"/>
      <c r="AX284" s="64"/>
      <c r="AY284" s="64"/>
      <c r="AZ284" s="64"/>
      <c r="BA284" s="64"/>
      <c r="BB284" s="64"/>
      <c r="BC284" s="64"/>
      <c r="BD284" s="64"/>
      <c r="BE284" s="64"/>
      <c r="BF284" s="64"/>
      <c r="BG284" s="64"/>
    </row>
    <row r="285" spans="4:59">
      <c r="D285" s="64"/>
      <c r="E285" s="64"/>
      <c r="F285" s="64"/>
      <c r="G285" s="64"/>
      <c r="H285" s="64"/>
      <c r="I285" s="64"/>
      <c r="J285" s="64"/>
      <c r="K285" s="64"/>
      <c r="L285" s="64"/>
      <c r="M285" s="64"/>
      <c r="N285" s="64"/>
      <c r="O285" s="64"/>
      <c r="P285" s="64"/>
      <c r="Q285" s="64"/>
      <c r="R285" s="64"/>
      <c r="S285" s="64"/>
      <c r="T285" s="64"/>
      <c r="U285" s="64"/>
      <c r="V285" s="64"/>
      <c r="W285" s="64"/>
      <c r="X285" s="64"/>
      <c r="Y285" s="64"/>
      <c r="Z285" s="64"/>
      <c r="AA285" s="64"/>
      <c r="AB285" s="64"/>
      <c r="AC285" s="64"/>
      <c r="AD285" s="64"/>
      <c r="AE285" s="64"/>
      <c r="AF285" s="64"/>
      <c r="AG285" s="64"/>
      <c r="AH285" s="64"/>
      <c r="AI285" s="64"/>
      <c r="AJ285" s="64"/>
      <c r="AK285" s="64"/>
      <c r="AL285" s="64"/>
      <c r="AM285" s="64"/>
      <c r="AN285" s="64"/>
      <c r="AO285" s="64"/>
      <c r="AP285" s="64"/>
      <c r="AQ285" s="64"/>
      <c r="AR285" s="64"/>
      <c r="AS285" s="64"/>
      <c r="AT285" s="64"/>
      <c r="AU285" s="64"/>
      <c r="AV285" s="64"/>
      <c r="AW285" s="64"/>
      <c r="AX285" s="64"/>
      <c r="AY285" s="64"/>
      <c r="AZ285" s="64"/>
      <c r="BA285" s="64"/>
      <c r="BB285" s="64"/>
      <c r="BC285" s="64"/>
      <c r="BD285" s="64"/>
      <c r="BE285" s="64"/>
      <c r="BF285" s="64"/>
      <c r="BG285" s="64"/>
    </row>
    <row r="286" spans="4:59">
      <c r="D286" s="64"/>
      <c r="E286" s="64"/>
      <c r="F286" s="64"/>
      <c r="G286" s="64"/>
      <c r="H286" s="64"/>
      <c r="I286" s="64"/>
      <c r="J286" s="64"/>
      <c r="K286" s="64"/>
      <c r="L286" s="64"/>
      <c r="M286" s="64"/>
      <c r="N286" s="64"/>
      <c r="O286" s="64"/>
      <c r="P286" s="64"/>
      <c r="Q286" s="64"/>
      <c r="R286" s="64"/>
      <c r="S286" s="64"/>
      <c r="T286" s="64"/>
      <c r="U286" s="64"/>
      <c r="V286" s="64"/>
      <c r="W286" s="64"/>
      <c r="X286" s="64"/>
      <c r="Y286" s="64"/>
      <c r="Z286" s="64"/>
      <c r="AA286" s="64"/>
      <c r="AB286" s="64"/>
      <c r="AC286" s="64"/>
      <c r="AD286" s="64"/>
      <c r="AE286" s="64"/>
      <c r="AF286" s="64"/>
      <c r="AG286" s="64"/>
      <c r="AH286" s="64"/>
      <c r="AI286" s="64"/>
      <c r="AJ286" s="64"/>
      <c r="AK286" s="64"/>
      <c r="AL286" s="64"/>
      <c r="AM286" s="64"/>
      <c r="AN286" s="64"/>
      <c r="AO286" s="64"/>
      <c r="AP286" s="64"/>
      <c r="AQ286" s="64"/>
      <c r="AR286" s="64"/>
      <c r="AS286" s="64"/>
      <c r="AT286" s="64"/>
      <c r="AU286" s="64"/>
      <c r="AV286" s="64"/>
      <c r="AW286" s="64"/>
      <c r="AX286" s="64"/>
      <c r="AY286" s="64"/>
      <c r="AZ286" s="64"/>
      <c r="BA286" s="64"/>
      <c r="BB286" s="64"/>
      <c r="BC286" s="64"/>
      <c r="BD286" s="64"/>
      <c r="BE286" s="64"/>
      <c r="BF286" s="64"/>
      <c r="BG286" s="64"/>
    </row>
    <row r="287" spans="4:59">
      <c r="D287" s="64"/>
      <c r="E287" s="64"/>
      <c r="F287" s="64"/>
      <c r="G287" s="64"/>
      <c r="H287" s="64"/>
      <c r="I287" s="64"/>
      <c r="J287" s="64"/>
      <c r="K287" s="64"/>
      <c r="L287" s="64"/>
      <c r="M287" s="64"/>
      <c r="N287" s="64"/>
      <c r="O287" s="64"/>
      <c r="P287" s="64"/>
      <c r="Q287" s="64"/>
      <c r="R287" s="64"/>
      <c r="S287" s="64"/>
      <c r="T287" s="64"/>
      <c r="U287" s="64"/>
      <c r="V287" s="64"/>
      <c r="W287" s="64"/>
      <c r="X287" s="64"/>
      <c r="Y287" s="64"/>
      <c r="Z287" s="64"/>
      <c r="AA287" s="64"/>
      <c r="AB287" s="64"/>
      <c r="AC287" s="64"/>
      <c r="AD287" s="64"/>
      <c r="AE287" s="64"/>
      <c r="AF287" s="64"/>
      <c r="AG287" s="64"/>
      <c r="AH287" s="64"/>
      <c r="AI287" s="64"/>
      <c r="AJ287" s="64"/>
      <c r="AK287" s="64"/>
      <c r="AL287" s="64"/>
      <c r="AM287" s="64"/>
      <c r="AN287" s="64"/>
      <c r="AO287" s="64"/>
      <c r="AP287" s="64"/>
      <c r="AQ287" s="64"/>
      <c r="AR287" s="64"/>
      <c r="AS287" s="64"/>
      <c r="AT287" s="64"/>
      <c r="AU287" s="64"/>
      <c r="AV287" s="64"/>
      <c r="AW287" s="64"/>
      <c r="AX287" s="64"/>
      <c r="AY287" s="64"/>
      <c r="AZ287" s="64"/>
      <c r="BA287" s="64"/>
      <c r="BB287" s="64"/>
      <c r="BC287" s="64"/>
      <c r="BD287" s="64"/>
      <c r="BE287" s="64"/>
      <c r="BF287" s="64"/>
      <c r="BG287" s="64"/>
    </row>
    <row r="288" spans="4:59">
      <c r="D288" s="64"/>
      <c r="E288" s="64"/>
      <c r="F288" s="64"/>
      <c r="G288" s="64"/>
      <c r="H288" s="64"/>
      <c r="I288" s="64"/>
      <c r="J288" s="64"/>
      <c r="K288" s="64"/>
      <c r="L288" s="64"/>
      <c r="M288" s="64"/>
      <c r="N288" s="64"/>
      <c r="O288" s="64"/>
      <c r="P288" s="64"/>
      <c r="Q288" s="64"/>
      <c r="R288" s="64"/>
      <c r="S288" s="64"/>
      <c r="T288" s="64"/>
      <c r="U288" s="64"/>
      <c r="V288" s="64"/>
      <c r="W288" s="64"/>
      <c r="X288" s="64"/>
      <c r="Y288" s="64"/>
      <c r="Z288" s="64"/>
      <c r="AA288" s="64"/>
      <c r="AB288" s="64"/>
      <c r="AC288" s="64"/>
      <c r="AD288" s="64"/>
      <c r="AE288" s="64"/>
      <c r="AF288" s="64"/>
      <c r="AG288" s="64"/>
      <c r="AH288" s="64"/>
      <c r="AI288" s="64"/>
      <c r="AJ288" s="64"/>
      <c r="AK288" s="64"/>
      <c r="AL288" s="64"/>
      <c r="AM288" s="64"/>
      <c r="AN288" s="64"/>
      <c r="AO288" s="64"/>
      <c r="AP288" s="64"/>
      <c r="AQ288" s="64"/>
      <c r="AR288" s="64"/>
      <c r="AS288" s="64"/>
      <c r="AT288" s="64"/>
      <c r="AU288" s="64"/>
      <c r="AV288" s="64"/>
      <c r="AW288" s="64"/>
      <c r="AX288" s="64"/>
      <c r="AY288" s="64"/>
      <c r="AZ288" s="64"/>
      <c r="BA288" s="64"/>
      <c r="BB288" s="64"/>
      <c r="BC288" s="64"/>
      <c r="BD288" s="64"/>
      <c r="BE288" s="64"/>
      <c r="BF288" s="64"/>
      <c r="BG288" s="64"/>
    </row>
    <row r="289" spans="4:59">
      <c r="D289" s="64"/>
      <c r="E289" s="64"/>
      <c r="F289" s="64"/>
      <c r="G289" s="64"/>
      <c r="H289" s="64"/>
      <c r="I289" s="64"/>
      <c r="J289" s="64"/>
      <c r="K289" s="64"/>
      <c r="L289" s="64"/>
      <c r="M289" s="64"/>
      <c r="N289" s="64"/>
      <c r="O289" s="64"/>
      <c r="P289" s="64"/>
      <c r="Q289" s="64"/>
      <c r="R289" s="64"/>
      <c r="S289" s="64"/>
      <c r="T289" s="64"/>
      <c r="U289" s="64"/>
      <c r="V289" s="64"/>
      <c r="W289" s="64"/>
      <c r="X289" s="64"/>
      <c r="Y289" s="64"/>
      <c r="Z289" s="64"/>
      <c r="AA289" s="64"/>
      <c r="AB289" s="64"/>
      <c r="AC289" s="64"/>
      <c r="AD289" s="64"/>
      <c r="AE289" s="64"/>
      <c r="AF289" s="64"/>
      <c r="AG289" s="64"/>
      <c r="AH289" s="64"/>
      <c r="AI289" s="64"/>
      <c r="AJ289" s="64"/>
      <c r="AK289" s="64"/>
      <c r="AL289" s="64"/>
      <c r="AM289" s="64"/>
      <c r="AN289" s="64"/>
      <c r="AO289" s="64"/>
      <c r="AP289" s="64"/>
      <c r="AQ289" s="64"/>
      <c r="AR289" s="64"/>
      <c r="AS289" s="64"/>
      <c r="AT289" s="64"/>
      <c r="AU289" s="64"/>
      <c r="AV289" s="64"/>
      <c r="AW289" s="64"/>
      <c r="AX289" s="64"/>
      <c r="AY289" s="64"/>
      <c r="AZ289" s="64"/>
      <c r="BA289" s="64"/>
      <c r="BB289" s="64"/>
      <c r="BC289" s="64"/>
      <c r="BD289" s="64"/>
      <c r="BE289" s="64"/>
      <c r="BF289" s="64"/>
      <c r="BG289" s="64"/>
    </row>
    <row r="290" spans="4:59">
      <c r="D290" s="64"/>
      <c r="E290" s="64"/>
      <c r="F290" s="64"/>
      <c r="G290" s="64"/>
      <c r="H290" s="64"/>
      <c r="I290" s="64"/>
      <c r="J290" s="64"/>
      <c r="K290" s="64"/>
      <c r="L290" s="64"/>
      <c r="M290" s="64"/>
      <c r="N290" s="64"/>
      <c r="O290" s="64"/>
      <c r="P290" s="64"/>
      <c r="Q290" s="64"/>
      <c r="R290" s="64"/>
      <c r="S290" s="64"/>
      <c r="T290" s="64"/>
      <c r="U290" s="64"/>
      <c r="V290" s="64"/>
      <c r="W290" s="64"/>
      <c r="X290" s="64"/>
      <c r="Y290" s="64"/>
      <c r="Z290" s="64"/>
      <c r="AA290" s="64"/>
      <c r="AB290" s="64"/>
      <c r="AC290" s="64"/>
      <c r="AD290" s="64"/>
      <c r="AE290" s="64"/>
      <c r="AF290" s="64"/>
      <c r="AG290" s="64"/>
      <c r="AH290" s="64"/>
      <c r="AI290" s="64"/>
      <c r="AJ290" s="64"/>
      <c r="AK290" s="64"/>
      <c r="AL290" s="64"/>
      <c r="AM290" s="64"/>
      <c r="AN290" s="64"/>
      <c r="AO290" s="64"/>
      <c r="AP290" s="64"/>
      <c r="AQ290" s="64"/>
      <c r="AR290" s="64"/>
      <c r="AS290" s="64"/>
      <c r="AT290" s="64"/>
      <c r="AU290" s="64"/>
      <c r="AV290" s="64"/>
      <c r="AW290" s="64"/>
      <c r="AX290" s="64"/>
      <c r="AY290" s="64"/>
      <c r="AZ290" s="64"/>
      <c r="BA290" s="64"/>
      <c r="BB290" s="64"/>
      <c r="BC290" s="64"/>
      <c r="BD290" s="64"/>
      <c r="BE290" s="64"/>
      <c r="BF290" s="64"/>
      <c r="BG290" s="64"/>
    </row>
    <row r="291" spans="4:59"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  <c r="P291" s="64"/>
      <c r="Q291" s="64"/>
      <c r="R291" s="64"/>
      <c r="S291" s="64"/>
      <c r="T291" s="64"/>
      <c r="U291" s="64"/>
      <c r="V291" s="64"/>
      <c r="W291" s="64"/>
      <c r="X291" s="64"/>
      <c r="Y291" s="64"/>
      <c r="Z291" s="64"/>
      <c r="AA291" s="64"/>
      <c r="AB291" s="64"/>
      <c r="AC291" s="64"/>
      <c r="AD291" s="64"/>
      <c r="AE291" s="64"/>
      <c r="AF291" s="64"/>
      <c r="AG291" s="64"/>
      <c r="AH291" s="64"/>
      <c r="AI291" s="64"/>
      <c r="AJ291" s="64"/>
      <c r="AK291" s="64"/>
      <c r="AL291" s="64"/>
      <c r="AM291" s="64"/>
      <c r="AN291" s="64"/>
      <c r="AO291" s="64"/>
      <c r="AP291" s="64"/>
      <c r="AQ291" s="64"/>
      <c r="AR291" s="64"/>
      <c r="AS291" s="64"/>
      <c r="AT291" s="64"/>
      <c r="AU291" s="64"/>
      <c r="AV291" s="64"/>
      <c r="AW291" s="64"/>
      <c r="AX291" s="64"/>
      <c r="AY291" s="64"/>
      <c r="AZ291" s="64"/>
      <c r="BA291" s="64"/>
      <c r="BB291" s="64"/>
      <c r="BC291" s="64"/>
      <c r="BD291" s="64"/>
      <c r="BE291" s="64"/>
      <c r="BF291" s="64"/>
      <c r="BG291" s="64"/>
    </row>
    <row r="292" spans="4:59">
      <c r="D292" s="64"/>
      <c r="E292" s="64"/>
      <c r="F292" s="64"/>
      <c r="G292" s="64"/>
      <c r="H292" s="64"/>
      <c r="I292" s="64"/>
      <c r="J292" s="64"/>
      <c r="K292" s="64"/>
      <c r="L292" s="64"/>
      <c r="M292" s="64"/>
      <c r="N292" s="64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  <c r="Z292" s="64"/>
      <c r="AA292" s="64"/>
      <c r="AB292" s="64"/>
      <c r="AC292" s="64"/>
      <c r="AD292" s="64"/>
      <c r="AE292" s="64"/>
      <c r="AF292" s="64"/>
      <c r="AG292" s="64"/>
      <c r="AH292" s="64"/>
      <c r="AI292" s="64"/>
      <c r="AJ292" s="64"/>
      <c r="AK292" s="64"/>
      <c r="AL292" s="64"/>
      <c r="AM292" s="64"/>
      <c r="AN292" s="64"/>
      <c r="AO292" s="64"/>
      <c r="AP292" s="64"/>
      <c r="AQ292" s="64"/>
      <c r="AR292" s="64"/>
      <c r="AS292" s="64"/>
      <c r="AT292" s="64"/>
      <c r="AU292" s="64"/>
      <c r="AV292" s="64"/>
      <c r="AW292" s="64"/>
      <c r="AX292" s="64"/>
      <c r="AY292" s="64"/>
      <c r="AZ292" s="64"/>
      <c r="BA292" s="64"/>
      <c r="BB292" s="64"/>
      <c r="BC292" s="64"/>
      <c r="BD292" s="64"/>
      <c r="BE292" s="64"/>
      <c r="BF292" s="64"/>
      <c r="BG292" s="64"/>
    </row>
    <row r="293" spans="4:59"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  <c r="P293" s="64"/>
      <c r="Q293" s="64"/>
      <c r="R293" s="64"/>
      <c r="S293" s="64"/>
      <c r="T293" s="64"/>
      <c r="U293" s="64"/>
      <c r="V293" s="64"/>
      <c r="W293" s="64"/>
      <c r="X293" s="64"/>
      <c r="Y293" s="64"/>
      <c r="Z293" s="64"/>
      <c r="AA293" s="64"/>
      <c r="AB293" s="64"/>
      <c r="AC293" s="64"/>
      <c r="AD293" s="64"/>
      <c r="AE293" s="64"/>
      <c r="AF293" s="64"/>
      <c r="AG293" s="64"/>
      <c r="AH293" s="64"/>
      <c r="AI293" s="64"/>
      <c r="AJ293" s="64"/>
      <c r="AK293" s="64"/>
      <c r="AL293" s="64"/>
      <c r="AM293" s="64"/>
      <c r="AN293" s="64"/>
      <c r="AO293" s="64"/>
      <c r="AP293" s="64"/>
      <c r="AQ293" s="64"/>
      <c r="AR293" s="64"/>
      <c r="AS293" s="64"/>
      <c r="AT293" s="64"/>
      <c r="AU293" s="64"/>
      <c r="AV293" s="64"/>
      <c r="AW293" s="64"/>
      <c r="AX293" s="64"/>
      <c r="AY293" s="64"/>
      <c r="AZ293" s="64"/>
      <c r="BA293" s="64"/>
      <c r="BB293" s="64"/>
      <c r="BC293" s="64"/>
      <c r="BD293" s="64"/>
      <c r="BE293" s="64"/>
      <c r="BF293" s="64"/>
      <c r="BG293" s="64"/>
    </row>
    <row r="294" spans="4:59">
      <c r="D294" s="64"/>
      <c r="E294" s="64"/>
      <c r="F294" s="64"/>
      <c r="G294" s="64"/>
      <c r="H294" s="64"/>
      <c r="I294" s="64"/>
      <c r="J294" s="64"/>
      <c r="K294" s="64"/>
      <c r="L294" s="64"/>
      <c r="M294" s="64"/>
      <c r="N294" s="64"/>
      <c r="O294" s="64"/>
      <c r="P294" s="64"/>
      <c r="Q294" s="64"/>
      <c r="R294" s="64"/>
      <c r="S294" s="64"/>
      <c r="T294" s="64"/>
      <c r="U294" s="64"/>
      <c r="V294" s="64"/>
      <c r="W294" s="64"/>
      <c r="X294" s="64"/>
      <c r="Y294" s="64"/>
      <c r="Z294" s="64"/>
      <c r="AA294" s="64"/>
      <c r="AB294" s="64"/>
      <c r="AC294" s="64"/>
      <c r="AD294" s="64"/>
      <c r="AE294" s="64"/>
      <c r="AF294" s="64"/>
      <c r="AG294" s="64"/>
      <c r="AH294" s="64"/>
      <c r="AI294" s="64"/>
      <c r="AJ294" s="64"/>
      <c r="AK294" s="64"/>
      <c r="AL294" s="64"/>
      <c r="AM294" s="64"/>
      <c r="AN294" s="64"/>
      <c r="AO294" s="64"/>
      <c r="AP294" s="64"/>
      <c r="AQ294" s="64"/>
      <c r="AR294" s="64"/>
      <c r="AS294" s="64"/>
      <c r="AT294" s="64"/>
      <c r="AU294" s="64"/>
      <c r="AV294" s="64"/>
      <c r="AW294" s="64"/>
      <c r="AX294" s="64"/>
      <c r="AY294" s="64"/>
      <c r="AZ294" s="64"/>
      <c r="BA294" s="64"/>
      <c r="BB294" s="64"/>
      <c r="BC294" s="64"/>
      <c r="BD294" s="64"/>
      <c r="BE294" s="64"/>
      <c r="BF294" s="64"/>
      <c r="BG294" s="64"/>
    </row>
    <row r="295" spans="4:59">
      <c r="D295" s="64"/>
      <c r="E295" s="64"/>
      <c r="F295" s="64"/>
      <c r="G295" s="64"/>
      <c r="H295" s="64"/>
      <c r="I295" s="64"/>
      <c r="J295" s="64"/>
      <c r="K295" s="64"/>
      <c r="L295" s="64"/>
      <c r="M295" s="64"/>
      <c r="N295" s="64"/>
      <c r="O295" s="64"/>
      <c r="P295" s="64"/>
      <c r="Q295" s="64"/>
      <c r="R295" s="64"/>
      <c r="S295" s="64"/>
      <c r="T295" s="64"/>
      <c r="U295" s="64"/>
      <c r="V295" s="64"/>
      <c r="W295" s="64"/>
      <c r="X295" s="64"/>
      <c r="Y295" s="64"/>
      <c r="Z295" s="64"/>
      <c r="AA295" s="64"/>
      <c r="AB295" s="64"/>
      <c r="AC295" s="64"/>
      <c r="AD295" s="64"/>
      <c r="AE295" s="64"/>
      <c r="AF295" s="64"/>
      <c r="AG295" s="64"/>
      <c r="AH295" s="64"/>
      <c r="AI295" s="64"/>
      <c r="AJ295" s="64"/>
      <c r="AK295" s="64"/>
      <c r="AL295" s="64"/>
      <c r="AM295" s="64"/>
      <c r="AN295" s="64"/>
      <c r="AO295" s="64"/>
      <c r="AP295" s="64"/>
      <c r="AQ295" s="64"/>
      <c r="AR295" s="64"/>
      <c r="AS295" s="64"/>
      <c r="AT295" s="64"/>
      <c r="AU295" s="64"/>
      <c r="AV295" s="64"/>
      <c r="AW295" s="64"/>
      <c r="AX295" s="64"/>
      <c r="AY295" s="64"/>
      <c r="AZ295" s="64"/>
      <c r="BA295" s="64"/>
      <c r="BB295" s="64"/>
      <c r="BC295" s="64"/>
      <c r="BD295" s="64"/>
      <c r="BE295" s="64"/>
      <c r="BF295" s="64"/>
      <c r="BG295" s="64"/>
    </row>
    <row r="296" spans="4:59">
      <c r="D296" s="64"/>
      <c r="E296" s="64"/>
      <c r="F296" s="64"/>
      <c r="G296" s="64"/>
      <c r="H296" s="64"/>
      <c r="I296" s="64"/>
      <c r="J296" s="64"/>
      <c r="K296" s="64"/>
      <c r="L296" s="64"/>
      <c r="M296" s="64"/>
      <c r="N296" s="64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  <c r="Z296" s="64"/>
      <c r="AA296" s="64"/>
      <c r="AB296" s="64"/>
      <c r="AC296" s="64"/>
      <c r="AD296" s="64"/>
      <c r="AE296" s="64"/>
      <c r="AF296" s="64"/>
      <c r="AG296" s="64"/>
      <c r="AH296" s="64"/>
      <c r="AI296" s="64"/>
      <c r="AJ296" s="64"/>
      <c r="AK296" s="64"/>
      <c r="AL296" s="64"/>
      <c r="AM296" s="64"/>
      <c r="AN296" s="64"/>
      <c r="AO296" s="64"/>
      <c r="AP296" s="64"/>
      <c r="AQ296" s="64"/>
      <c r="AR296" s="64"/>
      <c r="AS296" s="64"/>
      <c r="AT296" s="64"/>
      <c r="AU296" s="64"/>
      <c r="AV296" s="64"/>
      <c r="AW296" s="64"/>
      <c r="AX296" s="64"/>
      <c r="AY296" s="64"/>
      <c r="AZ296" s="64"/>
      <c r="BA296" s="64"/>
      <c r="BB296" s="64"/>
      <c r="BC296" s="64"/>
      <c r="BD296" s="64"/>
      <c r="BE296" s="64"/>
      <c r="BF296" s="64"/>
      <c r="BG296" s="64"/>
    </row>
    <row r="297" spans="4:59">
      <c r="D297" s="64"/>
      <c r="E297" s="64"/>
      <c r="F297" s="64"/>
      <c r="G297" s="64"/>
      <c r="H297" s="64"/>
      <c r="I297" s="64"/>
      <c r="J297" s="64"/>
      <c r="K297" s="64"/>
      <c r="L297" s="64"/>
      <c r="M297" s="64"/>
      <c r="N297" s="64"/>
      <c r="O297" s="64"/>
      <c r="P297" s="64"/>
      <c r="Q297" s="64"/>
      <c r="R297" s="64"/>
      <c r="S297" s="64"/>
      <c r="T297" s="64"/>
      <c r="U297" s="64"/>
      <c r="V297" s="64"/>
      <c r="W297" s="64"/>
      <c r="X297" s="64"/>
      <c r="Y297" s="64"/>
      <c r="Z297" s="64"/>
      <c r="AA297" s="64"/>
      <c r="AB297" s="64"/>
      <c r="AC297" s="64"/>
      <c r="AD297" s="64"/>
      <c r="AE297" s="64"/>
      <c r="AF297" s="64"/>
      <c r="AG297" s="64"/>
      <c r="AH297" s="64"/>
      <c r="AI297" s="64"/>
      <c r="AJ297" s="64"/>
      <c r="AK297" s="64"/>
      <c r="AL297" s="64"/>
      <c r="AM297" s="64"/>
      <c r="AN297" s="64"/>
      <c r="AO297" s="64"/>
      <c r="AP297" s="64"/>
      <c r="AQ297" s="64"/>
      <c r="AR297" s="64"/>
      <c r="AS297" s="64"/>
      <c r="AT297" s="64"/>
      <c r="AU297" s="64"/>
      <c r="AV297" s="64"/>
      <c r="AW297" s="64"/>
      <c r="AX297" s="64"/>
      <c r="AY297" s="64"/>
      <c r="AZ297" s="64"/>
      <c r="BA297" s="64"/>
      <c r="BB297" s="64"/>
      <c r="BC297" s="64"/>
      <c r="BD297" s="64"/>
      <c r="BE297" s="64"/>
      <c r="BF297" s="64"/>
      <c r="BG297" s="64"/>
    </row>
    <row r="298" spans="4:59">
      <c r="D298" s="64"/>
      <c r="E298" s="64"/>
      <c r="F298" s="64"/>
      <c r="G298" s="64"/>
      <c r="H298" s="64"/>
      <c r="I298" s="64"/>
      <c r="J298" s="64"/>
      <c r="K298" s="64"/>
      <c r="L298" s="64"/>
      <c r="M298" s="64"/>
      <c r="N298" s="64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  <c r="Z298" s="64"/>
      <c r="AA298" s="64"/>
      <c r="AB298" s="64"/>
      <c r="AC298" s="64"/>
      <c r="AD298" s="64"/>
      <c r="AE298" s="64"/>
      <c r="AF298" s="64"/>
      <c r="AG298" s="64"/>
      <c r="AH298" s="64"/>
      <c r="AI298" s="64"/>
      <c r="AJ298" s="64"/>
      <c r="AK298" s="64"/>
      <c r="AL298" s="64"/>
      <c r="AM298" s="64"/>
      <c r="AN298" s="64"/>
      <c r="AO298" s="64"/>
      <c r="AP298" s="64"/>
      <c r="AQ298" s="64"/>
      <c r="AR298" s="64"/>
      <c r="AS298" s="64"/>
      <c r="AT298" s="64"/>
      <c r="AU298" s="64"/>
      <c r="AV298" s="64"/>
      <c r="AW298" s="64"/>
      <c r="AX298" s="64"/>
      <c r="AY298" s="64"/>
      <c r="AZ298" s="64"/>
      <c r="BA298" s="64"/>
      <c r="BB298" s="64"/>
      <c r="BC298" s="64"/>
      <c r="BD298" s="64"/>
      <c r="BE298" s="64"/>
      <c r="BF298" s="64"/>
      <c r="BG298" s="64"/>
    </row>
    <row r="299" spans="4:59">
      <c r="D299" s="64"/>
      <c r="E299" s="64"/>
      <c r="F299" s="64"/>
      <c r="G299" s="64"/>
      <c r="H299" s="64"/>
      <c r="I299" s="64"/>
      <c r="J299" s="64"/>
      <c r="K299" s="64"/>
      <c r="L299" s="64"/>
      <c r="M299" s="64"/>
      <c r="N299" s="64"/>
      <c r="O299" s="64"/>
      <c r="P299" s="64"/>
      <c r="Q299" s="64"/>
      <c r="R299" s="64"/>
      <c r="S299" s="64"/>
      <c r="T299" s="64"/>
      <c r="U299" s="64"/>
      <c r="V299" s="64"/>
      <c r="W299" s="64"/>
      <c r="X299" s="64"/>
      <c r="Y299" s="64"/>
      <c r="Z299" s="64"/>
      <c r="AA299" s="64"/>
      <c r="AB299" s="64"/>
      <c r="AC299" s="64"/>
      <c r="AD299" s="64"/>
      <c r="AE299" s="64"/>
      <c r="AF299" s="64"/>
      <c r="AG299" s="64"/>
      <c r="AH299" s="64"/>
      <c r="AI299" s="64"/>
      <c r="AJ299" s="64"/>
      <c r="AK299" s="64"/>
      <c r="AL299" s="64"/>
      <c r="AM299" s="64"/>
      <c r="AN299" s="64"/>
      <c r="AO299" s="64"/>
      <c r="AP299" s="64"/>
      <c r="AQ299" s="64"/>
      <c r="AR299" s="64"/>
      <c r="AS299" s="64"/>
      <c r="AT299" s="64"/>
      <c r="AU299" s="64"/>
      <c r="AV299" s="64"/>
      <c r="AW299" s="64"/>
      <c r="AX299" s="64"/>
      <c r="AY299" s="64"/>
      <c r="AZ299" s="64"/>
      <c r="BA299" s="64"/>
      <c r="BB299" s="64"/>
      <c r="BC299" s="64"/>
      <c r="BD299" s="64"/>
      <c r="BE299" s="64"/>
      <c r="BF299" s="64"/>
      <c r="BG299" s="64"/>
    </row>
    <row r="300" spans="4:59">
      <c r="D300" s="64"/>
      <c r="E300" s="64"/>
      <c r="F300" s="64"/>
      <c r="G300" s="64"/>
      <c r="H300" s="64"/>
      <c r="I300" s="64"/>
      <c r="J300" s="64"/>
      <c r="K300" s="64"/>
      <c r="L300" s="64"/>
      <c r="M300" s="64"/>
      <c r="N300" s="64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  <c r="Z300" s="64"/>
      <c r="AA300" s="64"/>
      <c r="AB300" s="64"/>
      <c r="AC300" s="64"/>
      <c r="AD300" s="64"/>
      <c r="AE300" s="64"/>
      <c r="AF300" s="64"/>
      <c r="AG300" s="64"/>
      <c r="AH300" s="64"/>
      <c r="AI300" s="64"/>
      <c r="AJ300" s="64"/>
      <c r="AK300" s="64"/>
      <c r="AL300" s="64"/>
      <c r="AM300" s="64"/>
      <c r="AN300" s="64"/>
      <c r="AO300" s="64"/>
      <c r="AP300" s="64"/>
      <c r="AQ300" s="64"/>
      <c r="AR300" s="64"/>
      <c r="AS300" s="64"/>
      <c r="AT300" s="64"/>
      <c r="AU300" s="64"/>
      <c r="AV300" s="64"/>
      <c r="AW300" s="64"/>
      <c r="AX300" s="64"/>
      <c r="AY300" s="64"/>
      <c r="AZ300" s="64"/>
      <c r="BA300" s="64"/>
      <c r="BB300" s="64"/>
      <c r="BC300" s="64"/>
      <c r="BD300" s="64"/>
      <c r="BE300" s="64"/>
      <c r="BF300" s="64"/>
      <c r="BG300" s="64"/>
    </row>
    <row r="301" spans="4:59">
      <c r="D301" s="64"/>
      <c r="E301" s="64"/>
      <c r="F301" s="64"/>
      <c r="G301" s="64"/>
      <c r="H301" s="64"/>
      <c r="I301" s="64"/>
      <c r="J301" s="64"/>
      <c r="K301" s="64"/>
      <c r="L301" s="64"/>
      <c r="M301" s="64"/>
      <c r="N301" s="64"/>
      <c r="O301" s="64"/>
      <c r="P301" s="64"/>
      <c r="Q301" s="64"/>
      <c r="R301" s="64"/>
      <c r="S301" s="64"/>
      <c r="T301" s="64"/>
      <c r="U301" s="64"/>
      <c r="V301" s="64"/>
      <c r="W301" s="64"/>
      <c r="X301" s="64"/>
      <c r="Y301" s="64"/>
      <c r="Z301" s="64"/>
      <c r="AA301" s="64"/>
      <c r="AB301" s="64"/>
      <c r="AC301" s="64"/>
      <c r="AD301" s="64"/>
      <c r="AE301" s="64"/>
      <c r="AF301" s="64"/>
      <c r="AG301" s="64"/>
      <c r="AH301" s="64"/>
      <c r="AI301" s="64"/>
      <c r="AJ301" s="64"/>
      <c r="AK301" s="64"/>
      <c r="AL301" s="64"/>
      <c r="AM301" s="64"/>
      <c r="AN301" s="64"/>
      <c r="AO301" s="64"/>
      <c r="AP301" s="64"/>
      <c r="AQ301" s="64"/>
      <c r="AR301" s="64"/>
      <c r="AS301" s="64"/>
      <c r="AT301" s="64"/>
      <c r="AU301" s="64"/>
      <c r="AV301" s="64"/>
      <c r="AW301" s="64"/>
      <c r="AX301" s="64"/>
      <c r="AY301" s="64"/>
      <c r="AZ301" s="64"/>
      <c r="BA301" s="64"/>
      <c r="BB301" s="64"/>
      <c r="BC301" s="64"/>
      <c r="BD301" s="64"/>
      <c r="BE301" s="64"/>
      <c r="BF301" s="64"/>
      <c r="BG301" s="64"/>
    </row>
    <row r="302" spans="4:59">
      <c r="D302" s="64"/>
      <c r="E302" s="64"/>
      <c r="F302" s="64"/>
      <c r="G302" s="64"/>
      <c r="H302" s="64"/>
      <c r="I302" s="64"/>
      <c r="J302" s="64"/>
      <c r="K302" s="64"/>
      <c r="L302" s="64"/>
      <c r="M302" s="64"/>
      <c r="N302" s="64"/>
      <c r="O302" s="64"/>
      <c r="P302" s="64"/>
      <c r="Q302" s="64"/>
      <c r="R302" s="64"/>
      <c r="S302" s="64"/>
      <c r="T302" s="64"/>
      <c r="U302" s="64"/>
      <c r="V302" s="64"/>
      <c r="W302" s="64"/>
      <c r="X302" s="64"/>
      <c r="Y302" s="64"/>
      <c r="Z302" s="64"/>
      <c r="AA302" s="64"/>
      <c r="AB302" s="64"/>
      <c r="AC302" s="64"/>
      <c r="AD302" s="64"/>
      <c r="AE302" s="64"/>
      <c r="AF302" s="64"/>
      <c r="AG302" s="64"/>
      <c r="AH302" s="64"/>
      <c r="AI302" s="64"/>
      <c r="AJ302" s="64"/>
      <c r="AK302" s="64"/>
      <c r="AL302" s="64"/>
      <c r="AM302" s="64"/>
      <c r="AN302" s="64"/>
      <c r="AO302" s="64"/>
      <c r="AP302" s="64"/>
      <c r="AQ302" s="64"/>
      <c r="AR302" s="64"/>
      <c r="AS302" s="64"/>
      <c r="AT302" s="64"/>
      <c r="AU302" s="64"/>
      <c r="AV302" s="64"/>
      <c r="AW302" s="64"/>
      <c r="AX302" s="64"/>
      <c r="AY302" s="64"/>
      <c r="AZ302" s="64"/>
      <c r="BA302" s="64"/>
      <c r="BB302" s="64"/>
      <c r="BC302" s="64"/>
      <c r="BD302" s="64"/>
      <c r="BE302" s="64"/>
      <c r="BF302" s="64"/>
      <c r="BG302" s="64"/>
    </row>
    <row r="303" spans="4:59">
      <c r="D303" s="64"/>
      <c r="E303" s="64"/>
      <c r="F303" s="64"/>
      <c r="G303" s="64"/>
      <c r="H303" s="64"/>
      <c r="I303" s="64"/>
      <c r="J303" s="64"/>
      <c r="K303" s="64"/>
      <c r="L303" s="64"/>
      <c r="M303" s="64"/>
      <c r="N303" s="64"/>
      <c r="O303" s="64"/>
      <c r="P303" s="64"/>
      <c r="Q303" s="64"/>
      <c r="R303" s="64"/>
      <c r="S303" s="64"/>
      <c r="T303" s="64"/>
      <c r="U303" s="64"/>
      <c r="V303" s="64"/>
      <c r="W303" s="64"/>
      <c r="X303" s="64"/>
      <c r="Y303" s="64"/>
      <c r="Z303" s="64"/>
      <c r="AA303" s="64"/>
      <c r="AB303" s="64"/>
      <c r="AC303" s="64"/>
      <c r="AD303" s="64"/>
      <c r="AE303" s="64"/>
      <c r="AF303" s="64"/>
      <c r="AG303" s="64"/>
      <c r="AH303" s="64"/>
      <c r="AI303" s="64"/>
      <c r="AJ303" s="64"/>
      <c r="AK303" s="64"/>
      <c r="AL303" s="64"/>
      <c r="AM303" s="64"/>
      <c r="AN303" s="64"/>
      <c r="AO303" s="64"/>
      <c r="AP303" s="64"/>
      <c r="AQ303" s="64"/>
      <c r="AR303" s="64"/>
      <c r="AS303" s="64"/>
      <c r="AT303" s="64"/>
      <c r="AU303" s="64"/>
      <c r="AV303" s="64"/>
      <c r="AW303" s="64"/>
      <c r="AX303" s="64"/>
      <c r="AY303" s="64"/>
      <c r="AZ303" s="64"/>
      <c r="BA303" s="64"/>
      <c r="BB303" s="64"/>
      <c r="BC303" s="64"/>
      <c r="BD303" s="64"/>
      <c r="BE303" s="64"/>
      <c r="BF303" s="64"/>
      <c r="BG303" s="64"/>
    </row>
    <row r="304" spans="4:59">
      <c r="D304" s="64"/>
      <c r="E304" s="64"/>
      <c r="F304" s="64"/>
      <c r="G304" s="64"/>
      <c r="H304" s="64"/>
      <c r="I304" s="64"/>
      <c r="J304" s="64"/>
      <c r="K304" s="64"/>
      <c r="L304" s="64"/>
      <c r="M304" s="64"/>
      <c r="N304" s="64"/>
      <c r="O304" s="64"/>
      <c r="P304" s="64"/>
      <c r="Q304" s="64"/>
      <c r="R304" s="64"/>
      <c r="S304" s="64"/>
      <c r="T304" s="64"/>
      <c r="U304" s="64"/>
      <c r="V304" s="64"/>
      <c r="W304" s="64"/>
      <c r="X304" s="64"/>
      <c r="Y304" s="64"/>
      <c r="Z304" s="64"/>
      <c r="AA304" s="64"/>
      <c r="AB304" s="64"/>
      <c r="AC304" s="64"/>
      <c r="AD304" s="64"/>
      <c r="AE304" s="64"/>
      <c r="AF304" s="64"/>
      <c r="AG304" s="64"/>
      <c r="AH304" s="64"/>
      <c r="AI304" s="64"/>
      <c r="AJ304" s="64"/>
      <c r="AK304" s="64"/>
      <c r="AL304" s="64"/>
      <c r="AM304" s="64"/>
      <c r="AN304" s="64"/>
      <c r="AO304" s="64"/>
      <c r="AP304" s="64"/>
      <c r="AQ304" s="64"/>
      <c r="AR304" s="64"/>
      <c r="AS304" s="64"/>
      <c r="AT304" s="64"/>
      <c r="AU304" s="64"/>
      <c r="AV304" s="64"/>
      <c r="AW304" s="64"/>
      <c r="AX304" s="64"/>
      <c r="AY304" s="64"/>
      <c r="AZ304" s="64"/>
      <c r="BA304" s="64"/>
      <c r="BB304" s="64"/>
      <c r="BC304" s="64"/>
      <c r="BD304" s="64"/>
      <c r="BE304" s="64"/>
      <c r="BF304" s="64"/>
      <c r="BG304" s="64"/>
    </row>
    <row r="305" spans="4:59">
      <c r="D305" s="64"/>
      <c r="E305" s="64"/>
      <c r="F305" s="64"/>
      <c r="G305" s="64"/>
      <c r="H305" s="64"/>
      <c r="I305" s="64"/>
      <c r="J305" s="64"/>
      <c r="K305" s="64"/>
      <c r="L305" s="64"/>
      <c r="M305" s="64"/>
      <c r="N305" s="64"/>
      <c r="O305" s="64"/>
      <c r="P305" s="64"/>
      <c r="Q305" s="64"/>
      <c r="R305" s="64"/>
      <c r="S305" s="64"/>
      <c r="T305" s="64"/>
      <c r="U305" s="64"/>
      <c r="V305" s="64"/>
      <c r="W305" s="64"/>
      <c r="X305" s="64"/>
      <c r="Y305" s="64"/>
      <c r="Z305" s="64"/>
      <c r="AA305" s="64"/>
      <c r="AB305" s="64"/>
      <c r="AC305" s="64"/>
      <c r="AD305" s="64"/>
      <c r="AE305" s="64"/>
      <c r="AF305" s="64"/>
      <c r="AG305" s="64"/>
      <c r="AH305" s="64"/>
      <c r="AI305" s="64"/>
      <c r="AJ305" s="64"/>
      <c r="AK305" s="64"/>
      <c r="AL305" s="64"/>
      <c r="AM305" s="64"/>
      <c r="AN305" s="64"/>
      <c r="AO305" s="64"/>
      <c r="AP305" s="64"/>
      <c r="AQ305" s="64"/>
      <c r="AR305" s="64"/>
      <c r="AS305" s="64"/>
      <c r="AT305" s="64"/>
      <c r="AU305" s="64"/>
      <c r="AV305" s="64"/>
      <c r="AW305" s="64"/>
      <c r="AX305" s="64"/>
      <c r="AY305" s="64"/>
      <c r="AZ305" s="64"/>
      <c r="BA305" s="64"/>
      <c r="BB305" s="64"/>
      <c r="BC305" s="64"/>
      <c r="BD305" s="64"/>
      <c r="BE305" s="64"/>
      <c r="BF305" s="64"/>
      <c r="BG305" s="64"/>
    </row>
    <row r="306" spans="4:59">
      <c r="D306" s="64"/>
      <c r="E306" s="64"/>
      <c r="F306" s="64"/>
      <c r="G306" s="64"/>
      <c r="H306" s="64"/>
      <c r="I306" s="64"/>
      <c r="J306" s="64"/>
      <c r="K306" s="64"/>
      <c r="L306" s="64"/>
      <c r="M306" s="64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64"/>
      <c r="AA306" s="64"/>
      <c r="AB306" s="64"/>
      <c r="AC306" s="64"/>
      <c r="AD306" s="64"/>
      <c r="AE306" s="64"/>
      <c r="AF306" s="64"/>
      <c r="AG306" s="64"/>
      <c r="AH306" s="64"/>
      <c r="AI306" s="64"/>
      <c r="AJ306" s="64"/>
      <c r="AK306" s="64"/>
      <c r="AL306" s="64"/>
      <c r="AM306" s="64"/>
      <c r="AN306" s="64"/>
      <c r="AO306" s="64"/>
      <c r="AP306" s="64"/>
      <c r="AQ306" s="64"/>
      <c r="AR306" s="64"/>
      <c r="AS306" s="64"/>
      <c r="AT306" s="64"/>
      <c r="AU306" s="64"/>
      <c r="AV306" s="64"/>
      <c r="AW306" s="64"/>
      <c r="AX306" s="64"/>
      <c r="AY306" s="64"/>
      <c r="AZ306" s="64"/>
      <c r="BA306" s="64"/>
      <c r="BB306" s="64"/>
      <c r="BC306" s="64"/>
      <c r="BD306" s="64"/>
      <c r="BE306" s="64"/>
      <c r="BF306" s="64"/>
      <c r="BG306" s="64"/>
    </row>
    <row r="307" spans="4:59">
      <c r="D307" s="64"/>
      <c r="E307" s="64"/>
      <c r="F307" s="64"/>
      <c r="G307" s="64"/>
      <c r="H307" s="64"/>
      <c r="I307" s="64"/>
      <c r="J307" s="64"/>
      <c r="K307" s="64"/>
      <c r="L307" s="64"/>
      <c r="M307" s="64"/>
      <c r="N307" s="64"/>
      <c r="O307" s="64"/>
      <c r="P307" s="64"/>
      <c r="Q307" s="64"/>
      <c r="R307" s="64"/>
      <c r="S307" s="64"/>
      <c r="T307" s="64"/>
      <c r="U307" s="64"/>
      <c r="V307" s="64"/>
      <c r="W307" s="64"/>
      <c r="X307" s="64"/>
      <c r="Y307" s="64"/>
      <c r="Z307" s="64"/>
      <c r="AA307" s="64"/>
      <c r="AB307" s="64"/>
      <c r="AC307" s="64"/>
      <c r="AD307" s="64"/>
      <c r="AE307" s="64"/>
      <c r="AF307" s="64"/>
      <c r="AG307" s="64"/>
      <c r="AH307" s="64"/>
      <c r="AI307" s="64"/>
      <c r="AJ307" s="64"/>
      <c r="AK307" s="64"/>
      <c r="AL307" s="64"/>
      <c r="AM307" s="64"/>
      <c r="AN307" s="64"/>
      <c r="AO307" s="64"/>
      <c r="AP307" s="64"/>
      <c r="AQ307" s="64"/>
      <c r="AR307" s="64"/>
      <c r="AS307" s="64"/>
      <c r="AT307" s="64"/>
      <c r="AU307" s="64"/>
      <c r="AV307" s="64"/>
      <c r="AW307" s="64"/>
      <c r="AX307" s="64"/>
      <c r="AY307" s="64"/>
      <c r="AZ307" s="64"/>
      <c r="BA307" s="64"/>
      <c r="BB307" s="64"/>
      <c r="BC307" s="64"/>
      <c r="BD307" s="64"/>
      <c r="BE307" s="64"/>
      <c r="BF307" s="64"/>
      <c r="BG307" s="64"/>
    </row>
    <row r="308" spans="4:59">
      <c r="D308" s="64"/>
      <c r="E308" s="64"/>
      <c r="F308" s="64"/>
      <c r="G308" s="64"/>
      <c r="H308" s="64"/>
      <c r="I308" s="64"/>
      <c r="J308" s="64"/>
      <c r="K308" s="64"/>
      <c r="L308" s="64"/>
      <c r="M308" s="64"/>
      <c r="N308" s="64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  <c r="Z308" s="64"/>
      <c r="AA308" s="64"/>
      <c r="AB308" s="64"/>
      <c r="AC308" s="64"/>
      <c r="AD308" s="64"/>
      <c r="AE308" s="64"/>
      <c r="AF308" s="64"/>
      <c r="AG308" s="64"/>
      <c r="AH308" s="64"/>
      <c r="AI308" s="64"/>
      <c r="AJ308" s="64"/>
      <c r="AK308" s="64"/>
      <c r="AL308" s="64"/>
      <c r="AM308" s="64"/>
      <c r="AN308" s="64"/>
      <c r="AO308" s="64"/>
      <c r="AP308" s="64"/>
      <c r="AQ308" s="64"/>
      <c r="AR308" s="64"/>
      <c r="AS308" s="64"/>
      <c r="AT308" s="64"/>
      <c r="AU308" s="64"/>
      <c r="AV308" s="64"/>
      <c r="AW308" s="64"/>
      <c r="AX308" s="64"/>
      <c r="AY308" s="64"/>
      <c r="AZ308" s="64"/>
      <c r="BA308" s="64"/>
      <c r="BB308" s="64"/>
      <c r="BC308" s="64"/>
      <c r="BD308" s="64"/>
      <c r="BE308" s="64"/>
      <c r="BF308" s="64"/>
      <c r="BG308" s="64"/>
    </row>
    <row r="309" spans="4:59">
      <c r="D309" s="64"/>
      <c r="E309" s="64"/>
      <c r="F309" s="64"/>
      <c r="G309" s="64"/>
      <c r="H309" s="64"/>
      <c r="I309" s="64"/>
      <c r="J309" s="64"/>
      <c r="K309" s="64"/>
      <c r="L309" s="64"/>
      <c r="M309" s="64"/>
      <c r="N309" s="64"/>
      <c r="O309" s="64"/>
      <c r="P309" s="64"/>
      <c r="Q309" s="64"/>
      <c r="R309" s="64"/>
      <c r="S309" s="64"/>
      <c r="T309" s="64"/>
      <c r="U309" s="64"/>
      <c r="V309" s="64"/>
      <c r="W309" s="64"/>
      <c r="X309" s="64"/>
      <c r="Y309" s="64"/>
      <c r="Z309" s="64"/>
      <c r="AA309" s="64"/>
      <c r="AB309" s="64"/>
      <c r="AC309" s="64"/>
      <c r="AD309" s="64"/>
      <c r="AE309" s="64"/>
      <c r="AF309" s="64"/>
      <c r="AG309" s="64"/>
      <c r="AH309" s="64"/>
      <c r="AI309" s="64"/>
      <c r="AJ309" s="64"/>
      <c r="AK309" s="64"/>
      <c r="AL309" s="64"/>
      <c r="AM309" s="64"/>
      <c r="AN309" s="64"/>
      <c r="AO309" s="64"/>
      <c r="AP309" s="64"/>
      <c r="AQ309" s="64"/>
      <c r="AR309" s="64"/>
      <c r="AS309" s="64"/>
      <c r="AT309" s="64"/>
      <c r="AU309" s="64"/>
      <c r="AV309" s="64"/>
      <c r="AW309" s="64"/>
      <c r="AX309" s="64"/>
      <c r="AY309" s="64"/>
      <c r="AZ309" s="64"/>
      <c r="BA309" s="64"/>
      <c r="BB309" s="64"/>
      <c r="BC309" s="64"/>
      <c r="BD309" s="64"/>
      <c r="BE309" s="64"/>
      <c r="BF309" s="64"/>
      <c r="BG309" s="64"/>
    </row>
    <row r="310" spans="4:59">
      <c r="D310" s="64"/>
      <c r="E310" s="64"/>
      <c r="F310" s="64"/>
      <c r="G310" s="64"/>
      <c r="H310" s="64"/>
      <c r="I310" s="64"/>
      <c r="J310" s="64"/>
      <c r="K310" s="64"/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64"/>
      <c r="AA310" s="64"/>
      <c r="AB310" s="64"/>
      <c r="AC310" s="64"/>
      <c r="AD310" s="64"/>
      <c r="AE310" s="64"/>
      <c r="AF310" s="64"/>
      <c r="AG310" s="64"/>
      <c r="AH310" s="64"/>
      <c r="AI310" s="64"/>
      <c r="AJ310" s="64"/>
      <c r="AK310" s="64"/>
      <c r="AL310" s="64"/>
      <c r="AM310" s="64"/>
      <c r="AN310" s="64"/>
      <c r="AO310" s="64"/>
      <c r="AP310" s="64"/>
      <c r="AQ310" s="64"/>
      <c r="AR310" s="64"/>
      <c r="AS310" s="64"/>
      <c r="AT310" s="64"/>
      <c r="AU310" s="64"/>
      <c r="AV310" s="64"/>
      <c r="AW310" s="64"/>
      <c r="AX310" s="64"/>
      <c r="AY310" s="64"/>
      <c r="AZ310" s="64"/>
      <c r="BA310" s="64"/>
      <c r="BB310" s="64"/>
      <c r="BC310" s="64"/>
      <c r="BD310" s="64"/>
      <c r="BE310" s="64"/>
      <c r="BF310" s="64"/>
      <c r="BG310" s="64"/>
    </row>
    <row r="311" spans="4:59">
      <c r="D311" s="64"/>
      <c r="E311" s="64"/>
      <c r="F311" s="64"/>
      <c r="G311" s="64"/>
      <c r="H311" s="64"/>
      <c r="I311" s="64"/>
      <c r="J311" s="64"/>
      <c r="K311" s="64"/>
      <c r="L311" s="64"/>
      <c r="M311" s="64"/>
      <c r="N311" s="64"/>
      <c r="O311" s="64"/>
      <c r="P311" s="64"/>
      <c r="Q311" s="64"/>
      <c r="R311" s="64"/>
      <c r="S311" s="64"/>
      <c r="T311" s="64"/>
      <c r="U311" s="64"/>
      <c r="V311" s="64"/>
      <c r="W311" s="64"/>
      <c r="X311" s="64"/>
      <c r="Y311" s="64"/>
      <c r="Z311" s="64"/>
      <c r="AA311" s="64"/>
      <c r="AB311" s="64"/>
      <c r="AC311" s="64"/>
      <c r="AD311" s="64"/>
      <c r="AE311" s="64"/>
      <c r="AF311" s="64"/>
      <c r="AG311" s="64"/>
      <c r="AH311" s="64"/>
      <c r="AI311" s="64"/>
      <c r="AJ311" s="64"/>
      <c r="AK311" s="64"/>
      <c r="AL311" s="64"/>
      <c r="AM311" s="64"/>
      <c r="AN311" s="64"/>
      <c r="AO311" s="64"/>
      <c r="AP311" s="64"/>
      <c r="AQ311" s="64"/>
      <c r="AR311" s="64"/>
      <c r="AS311" s="64"/>
      <c r="AT311" s="64"/>
      <c r="AU311" s="64"/>
      <c r="AV311" s="64"/>
      <c r="AW311" s="64"/>
      <c r="AX311" s="64"/>
      <c r="AY311" s="64"/>
      <c r="AZ311" s="64"/>
      <c r="BA311" s="64"/>
      <c r="BB311" s="64"/>
      <c r="BC311" s="64"/>
      <c r="BD311" s="64"/>
      <c r="BE311" s="64"/>
      <c r="BF311" s="64"/>
      <c r="BG311" s="64"/>
    </row>
    <row r="312" spans="4:59">
      <c r="D312" s="64"/>
      <c r="E312" s="64"/>
      <c r="F312" s="64"/>
      <c r="G312" s="64"/>
      <c r="H312" s="64"/>
      <c r="I312" s="64"/>
      <c r="J312" s="64"/>
      <c r="K312" s="64"/>
      <c r="L312" s="64"/>
      <c r="M312" s="64"/>
      <c r="N312" s="64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  <c r="Z312" s="64"/>
      <c r="AA312" s="64"/>
      <c r="AB312" s="64"/>
      <c r="AC312" s="64"/>
      <c r="AD312" s="64"/>
      <c r="AE312" s="64"/>
      <c r="AF312" s="64"/>
      <c r="AG312" s="64"/>
      <c r="AH312" s="64"/>
      <c r="AI312" s="64"/>
      <c r="AJ312" s="64"/>
      <c r="AK312" s="64"/>
      <c r="AL312" s="64"/>
      <c r="AM312" s="64"/>
      <c r="AN312" s="64"/>
      <c r="AO312" s="64"/>
      <c r="AP312" s="64"/>
      <c r="AQ312" s="64"/>
      <c r="AR312" s="64"/>
      <c r="AS312" s="64"/>
      <c r="AT312" s="64"/>
      <c r="AU312" s="64"/>
      <c r="AV312" s="64"/>
      <c r="AW312" s="64"/>
      <c r="AX312" s="64"/>
      <c r="AY312" s="64"/>
      <c r="AZ312" s="64"/>
      <c r="BA312" s="64"/>
      <c r="BB312" s="64"/>
      <c r="BC312" s="64"/>
      <c r="BD312" s="64"/>
      <c r="BE312" s="64"/>
      <c r="BF312" s="64"/>
      <c r="BG312" s="64"/>
    </row>
    <row r="313" spans="4:59">
      <c r="D313" s="64"/>
      <c r="E313" s="64"/>
      <c r="F313" s="64"/>
      <c r="G313" s="64"/>
      <c r="H313" s="64"/>
      <c r="I313" s="64"/>
      <c r="J313" s="64"/>
      <c r="K313" s="64"/>
      <c r="L313" s="64"/>
      <c r="M313" s="64"/>
      <c r="N313" s="64"/>
      <c r="O313" s="64"/>
      <c r="P313" s="64"/>
      <c r="Q313" s="64"/>
      <c r="R313" s="64"/>
      <c r="S313" s="64"/>
      <c r="T313" s="64"/>
      <c r="U313" s="64"/>
      <c r="V313" s="64"/>
      <c r="W313" s="64"/>
      <c r="X313" s="64"/>
      <c r="Y313" s="64"/>
      <c r="Z313" s="64"/>
      <c r="AA313" s="64"/>
      <c r="AB313" s="64"/>
      <c r="AC313" s="64"/>
      <c r="AD313" s="64"/>
      <c r="AE313" s="64"/>
      <c r="AF313" s="64"/>
      <c r="AG313" s="64"/>
      <c r="AH313" s="64"/>
      <c r="AI313" s="64"/>
      <c r="AJ313" s="64"/>
      <c r="AK313" s="64"/>
      <c r="AL313" s="64"/>
      <c r="AM313" s="64"/>
      <c r="AN313" s="64"/>
      <c r="AO313" s="64"/>
      <c r="AP313" s="64"/>
      <c r="AQ313" s="64"/>
      <c r="AR313" s="64"/>
      <c r="AS313" s="64"/>
      <c r="AT313" s="64"/>
      <c r="AU313" s="64"/>
      <c r="AV313" s="64"/>
      <c r="AW313" s="64"/>
      <c r="AX313" s="64"/>
      <c r="AY313" s="64"/>
      <c r="AZ313" s="64"/>
      <c r="BA313" s="64"/>
      <c r="BB313" s="64"/>
      <c r="BC313" s="64"/>
      <c r="BD313" s="64"/>
      <c r="BE313" s="64"/>
      <c r="BF313" s="64"/>
      <c r="BG313" s="64"/>
    </row>
    <row r="314" spans="4:59">
      <c r="D314" s="64"/>
      <c r="E314" s="64"/>
      <c r="F314" s="64"/>
      <c r="G314" s="64"/>
      <c r="H314" s="64"/>
      <c r="I314" s="64"/>
      <c r="J314" s="64"/>
      <c r="K314" s="64"/>
      <c r="L314" s="64"/>
      <c r="M314" s="64"/>
      <c r="N314" s="64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  <c r="Z314" s="64"/>
      <c r="AA314" s="64"/>
      <c r="AB314" s="64"/>
      <c r="AC314" s="64"/>
      <c r="AD314" s="64"/>
      <c r="AE314" s="64"/>
      <c r="AF314" s="64"/>
      <c r="AG314" s="64"/>
      <c r="AH314" s="64"/>
      <c r="AI314" s="64"/>
      <c r="AJ314" s="64"/>
      <c r="AK314" s="64"/>
      <c r="AL314" s="64"/>
      <c r="AM314" s="64"/>
      <c r="AN314" s="64"/>
      <c r="AO314" s="64"/>
      <c r="AP314" s="64"/>
      <c r="AQ314" s="64"/>
      <c r="AR314" s="64"/>
      <c r="AS314" s="64"/>
      <c r="AT314" s="64"/>
      <c r="AU314" s="64"/>
      <c r="AV314" s="64"/>
      <c r="AW314" s="64"/>
      <c r="AX314" s="64"/>
      <c r="AY314" s="64"/>
      <c r="AZ314" s="64"/>
      <c r="BA314" s="64"/>
      <c r="BB314" s="64"/>
      <c r="BC314" s="64"/>
      <c r="BD314" s="64"/>
      <c r="BE314" s="64"/>
      <c r="BF314" s="64"/>
      <c r="BG314" s="64"/>
    </row>
    <row r="315" spans="4:59">
      <c r="D315" s="64"/>
      <c r="E315" s="64"/>
      <c r="F315" s="64"/>
      <c r="G315" s="64"/>
      <c r="H315" s="64"/>
      <c r="I315" s="64"/>
      <c r="J315" s="64"/>
      <c r="K315" s="64"/>
      <c r="L315" s="64"/>
      <c r="M315" s="64"/>
      <c r="N315" s="64"/>
      <c r="O315" s="64"/>
      <c r="P315" s="64"/>
      <c r="Q315" s="64"/>
      <c r="R315" s="64"/>
      <c r="S315" s="64"/>
      <c r="T315" s="64"/>
      <c r="U315" s="64"/>
      <c r="V315" s="64"/>
      <c r="W315" s="64"/>
      <c r="X315" s="64"/>
      <c r="Y315" s="64"/>
      <c r="Z315" s="64"/>
      <c r="AA315" s="64"/>
      <c r="AB315" s="64"/>
      <c r="AC315" s="64"/>
      <c r="AD315" s="64"/>
      <c r="AE315" s="64"/>
      <c r="AF315" s="64"/>
      <c r="AG315" s="64"/>
      <c r="AH315" s="64"/>
      <c r="AI315" s="64"/>
      <c r="AJ315" s="64"/>
      <c r="AK315" s="64"/>
      <c r="AL315" s="64"/>
      <c r="AM315" s="64"/>
      <c r="AN315" s="64"/>
      <c r="AO315" s="64"/>
      <c r="AP315" s="64"/>
      <c r="AQ315" s="64"/>
      <c r="AR315" s="64"/>
      <c r="AS315" s="64"/>
      <c r="AT315" s="64"/>
      <c r="AU315" s="64"/>
      <c r="AV315" s="64"/>
      <c r="AW315" s="64"/>
      <c r="AX315" s="64"/>
      <c r="AY315" s="64"/>
      <c r="AZ315" s="64"/>
      <c r="BA315" s="64"/>
      <c r="BB315" s="64"/>
      <c r="BC315" s="64"/>
      <c r="BD315" s="64"/>
      <c r="BE315" s="64"/>
      <c r="BF315" s="64"/>
      <c r="BG315" s="64"/>
    </row>
    <row r="316" spans="4:59">
      <c r="D316" s="64"/>
      <c r="E316" s="64"/>
      <c r="F316" s="64"/>
      <c r="G316" s="64"/>
      <c r="H316" s="64"/>
      <c r="I316" s="64"/>
      <c r="J316" s="64"/>
      <c r="K316" s="64"/>
      <c r="L316" s="64"/>
      <c r="M316" s="64"/>
      <c r="N316" s="64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  <c r="Z316" s="64"/>
      <c r="AA316" s="64"/>
      <c r="AB316" s="64"/>
      <c r="AC316" s="64"/>
      <c r="AD316" s="64"/>
      <c r="AE316" s="64"/>
      <c r="AF316" s="64"/>
      <c r="AG316" s="64"/>
      <c r="AH316" s="64"/>
      <c r="AI316" s="64"/>
      <c r="AJ316" s="64"/>
      <c r="AK316" s="64"/>
      <c r="AL316" s="64"/>
      <c r="AM316" s="64"/>
      <c r="AN316" s="64"/>
      <c r="AO316" s="64"/>
      <c r="AP316" s="64"/>
      <c r="AQ316" s="64"/>
      <c r="AR316" s="64"/>
      <c r="AS316" s="64"/>
      <c r="AT316" s="64"/>
      <c r="AU316" s="64"/>
      <c r="AV316" s="64"/>
      <c r="AW316" s="64"/>
      <c r="AX316" s="64"/>
      <c r="AY316" s="64"/>
      <c r="AZ316" s="64"/>
      <c r="BA316" s="64"/>
      <c r="BB316" s="64"/>
      <c r="BC316" s="64"/>
      <c r="BD316" s="64"/>
      <c r="BE316" s="64"/>
      <c r="BF316" s="64"/>
      <c r="BG316" s="64"/>
    </row>
    <row r="317" spans="4:59">
      <c r="D317" s="64"/>
      <c r="E317" s="64"/>
      <c r="F317" s="64"/>
      <c r="G317" s="64"/>
      <c r="H317" s="64"/>
      <c r="I317" s="64"/>
      <c r="J317" s="64"/>
      <c r="K317" s="64"/>
      <c r="L317" s="64"/>
      <c r="M317" s="64"/>
      <c r="N317" s="64"/>
      <c r="O317" s="64"/>
      <c r="P317" s="64"/>
      <c r="Q317" s="64"/>
      <c r="R317" s="64"/>
      <c r="S317" s="64"/>
      <c r="T317" s="64"/>
      <c r="U317" s="64"/>
      <c r="V317" s="64"/>
      <c r="W317" s="64"/>
      <c r="X317" s="64"/>
      <c r="Y317" s="64"/>
      <c r="Z317" s="64"/>
      <c r="AA317" s="64"/>
      <c r="AB317" s="64"/>
      <c r="AC317" s="64"/>
      <c r="AD317" s="64"/>
      <c r="AE317" s="64"/>
      <c r="AF317" s="64"/>
      <c r="AG317" s="64"/>
      <c r="AH317" s="64"/>
      <c r="AI317" s="64"/>
      <c r="AJ317" s="64"/>
      <c r="AK317" s="64"/>
      <c r="AL317" s="64"/>
      <c r="AM317" s="64"/>
      <c r="AN317" s="64"/>
      <c r="AO317" s="64"/>
      <c r="AP317" s="64"/>
      <c r="AQ317" s="64"/>
      <c r="AR317" s="64"/>
      <c r="AS317" s="64"/>
      <c r="AT317" s="64"/>
      <c r="AU317" s="64"/>
      <c r="AV317" s="64"/>
      <c r="AW317" s="64"/>
      <c r="AX317" s="64"/>
      <c r="AY317" s="64"/>
      <c r="AZ317" s="64"/>
      <c r="BA317" s="64"/>
      <c r="BB317" s="64"/>
      <c r="BC317" s="64"/>
      <c r="BD317" s="64"/>
      <c r="BE317" s="64"/>
      <c r="BF317" s="64"/>
      <c r="BG317" s="64"/>
    </row>
    <row r="318" spans="4:59">
      <c r="D318" s="64"/>
      <c r="E318" s="64"/>
      <c r="F318" s="64"/>
      <c r="G318" s="64"/>
      <c r="H318" s="64"/>
      <c r="I318" s="64"/>
      <c r="J318" s="64"/>
      <c r="K318" s="64"/>
      <c r="L318" s="64"/>
      <c r="M318" s="64"/>
      <c r="N318" s="64"/>
      <c r="O318" s="64"/>
      <c r="P318" s="64"/>
      <c r="Q318" s="64"/>
      <c r="R318" s="64"/>
      <c r="S318" s="64"/>
      <c r="T318" s="64"/>
      <c r="U318" s="64"/>
      <c r="V318" s="64"/>
      <c r="W318" s="64"/>
      <c r="X318" s="64"/>
      <c r="Y318" s="64"/>
      <c r="Z318" s="64"/>
      <c r="AA318" s="64"/>
      <c r="AB318" s="64"/>
      <c r="AC318" s="64"/>
      <c r="AD318" s="64"/>
      <c r="AE318" s="64"/>
      <c r="AF318" s="64"/>
      <c r="AG318" s="64"/>
      <c r="AH318" s="64"/>
      <c r="AI318" s="64"/>
      <c r="AJ318" s="64"/>
      <c r="AK318" s="64"/>
      <c r="AL318" s="64"/>
      <c r="AM318" s="64"/>
      <c r="AN318" s="64"/>
      <c r="AO318" s="64"/>
      <c r="AP318" s="64"/>
      <c r="AQ318" s="64"/>
      <c r="AR318" s="64"/>
      <c r="AS318" s="64"/>
      <c r="AT318" s="64"/>
      <c r="AU318" s="64"/>
      <c r="AV318" s="64"/>
      <c r="AW318" s="64"/>
      <c r="AX318" s="64"/>
      <c r="AY318" s="64"/>
      <c r="AZ318" s="64"/>
      <c r="BA318" s="64"/>
      <c r="BB318" s="64"/>
      <c r="BC318" s="64"/>
      <c r="BD318" s="64"/>
      <c r="BE318" s="64"/>
      <c r="BF318" s="64"/>
      <c r="BG318" s="64"/>
    </row>
    <row r="319" spans="4:59">
      <c r="D319" s="64"/>
      <c r="E319" s="64"/>
      <c r="F319" s="64"/>
      <c r="G319" s="64"/>
      <c r="H319" s="64"/>
      <c r="I319" s="64"/>
      <c r="J319" s="64"/>
      <c r="K319" s="64"/>
      <c r="L319" s="64"/>
      <c r="M319" s="64"/>
      <c r="N319" s="64"/>
      <c r="O319" s="64"/>
      <c r="P319" s="64"/>
      <c r="Q319" s="64"/>
      <c r="R319" s="64"/>
      <c r="S319" s="64"/>
      <c r="T319" s="64"/>
      <c r="U319" s="64"/>
      <c r="V319" s="64"/>
      <c r="W319" s="64"/>
      <c r="X319" s="64"/>
      <c r="Y319" s="64"/>
      <c r="Z319" s="64"/>
      <c r="AA319" s="64"/>
      <c r="AB319" s="64"/>
      <c r="AC319" s="64"/>
      <c r="AD319" s="64"/>
      <c r="AE319" s="64"/>
      <c r="AF319" s="64"/>
      <c r="AG319" s="64"/>
      <c r="AH319" s="64"/>
      <c r="AI319" s="64"/>
      <c r="AJ319" s="64"/>
      <c r="AK319" s="64"/>
      <c r="AL319" s="64"/>
      <c r="AM319" s="64"/>
      <c r="AN319" s="64"/>
      <c r="AO319" s="64"/>
      <c r="AP319" s="64"/>
      <c r="AQ319" s="64"/>
      <c r="AR319" s="64"/>
      <c r="AS319" s="64"/>
      <c r="AT319" s="64"/>
      <c r="AU319" s="64"/>
      <c r="AV319" s="64"/>
      <c r="AW319" s="64"/>
      <c r="AX319" s="64"/>
      <c r="AY319" s="64"/>
      <c r="AZ319" s="64"/>
      <c r="BA319" s="64"/>
      <c r="BB319" s="64"/>
      <c r="BC319" s="64"/>
      <c r="BD319" s="64"/>
      <c r="BE319" s="64"/>
      <c r="BF319" s="64"/>
      <c r="BG319" s="64"/>
    </row>
    <row r="320" spans="4:59"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  <c r="P320" s="64"/>
      <c r="Q320" s="64"/>
      <c r="R320" s="64"/>
      <c r="S320" s="64"/>
      <c r="T320" s="64"/>
      <c r="U320" s="64"/>
      <c r="V320" s="64"/>
      <c r="W320" s="64"/>
      <c r="X320" s="64"/>
      <c r="Y320" s="64"/>
      <c r="Z320" s="64"/>
      <c r="AA320" s="64"/>
      <c r="AB320" s="64"/>
      <c r="AC320" s="64"/>
      <c r="AD320" s="64"/>
      <c r="AE320" s="64"/>
      <c r="AF320" s="64"/>
      <c r="AG320" s="64"/>
      <c r="AH320" s="64"/>
      <c r="AI320" s="64"/>
      <c r="AJ320" s="64"/>
      <c r="AK320" s="64"/>
      <c r="AL320" s="64"/>
      <c r="AM320" s="64"/>
      <c r="AN320" s="64"/>
      <c r="AO320" s="64"/>
      <c r="AP320" s="64"/>
      <c r="AQ320" s="64"/>
      <c r="AR320" s="64"/>
      <c r="AS320" s="64"/>
      <c r="AT320" s="64"/>
      <c r="AU320" s="64"/>
      <c r="AV320" s="64"/>
      <c r="AW320" s="64"/>
      <c r="AX320" s="64"/>
      <c r="AY320" s="64"/>
      <c r="AZ320" s="64"/>
      <c r="BA320" s="64"/>
      <c r="BB320" s="64"/>
      <c r="BC320" s="64"/>
      <c r="BD320" s="64"/>
      <c r="BE320" s="64"/>
      <c r="BF320" s="64"/>
      <c r="BG320" s="64"/>
    </row>
    <row r="321" spans="4:59">
      <c r="D321" s="64"/>
      <c r="E321" s="64"/>
      <c r="F321" s="64"/>
      <c r="G321" s="64"/>
      <c r="H321" s="64"/>
      <c r="I321" s="64"/>
      <c r="J321" s="64"/>
      <c r="K321" s="64"/>
      <c r="L321" s="64"/>
      <c r="M321" s="64"/>
      <c r="N321" s="64"/>
      <c r="O321" s="64"/>
      <c r="P321" s="64"/>
      <c r="Q321" s="64"/>
      <c r="R321" s="64"/>
      <c r="S321" s="64"/>
      <c r="T321" s="64"/>
      <c r="U321" s="64"/>
      <c r="V321" s="64"/>
      <c r="W321" s="64"/>
      <c r="X321" s="64"/>
      <c r="Y321" s="64"/>
      <c r="Z321" s="64"/>
      <c r="AA321" s="64"/>
      <c r="AB321" s="64"/>
      <c r="AC321" s="64"/>
      <c r="AD321" s="64"/>
      <c r="AE321" s="64"/>
      <c r="AF321" s="64"/>
      <c r="AG321" s="64"/>
      <c r="AH321" s="64"/>
      <c r="AI321" s="64"/>
      <c r="AJ321" s="64"/>
      <c r="AK321" s="64"/>
      <c r="AL321" s="64"/>
      <c r="AM321" s="64"/>
      <c r="AN321" s="64"/>
      <c r="AO321" s="64"/>
      <c r="AP321" s="64"/>
      <c r="AQ321" s="64"/>
      <c r="AR321" s="64"/>
      <c r="AS321" s="64"/>
      <c r="AT321" s="64"/>
      <c r="AU321" s="64"/>
      <c r="AV321" s="64"/>
      <c r="AW321" s="64"/>
      <c r="AX321" s="64"/>
      <c r="AY321" s="64"/>
      <c r="AZ321" s="64"/>
      <c r="BA321" s="64"/>
      <c r="BB321" s="64"/>
      <c r="BC321" s="64"/>
      <c r="BD321" s="64"/>
      <c r="BE321" s="64"/>
      <c r="BF321" s="64"/>
      <c r="BG321" s="64"/>
    </row>
    <row r="322" spans="4:59"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  <c r="P322" s="64"/>
      <c r="Q322" s="64"/>
      <c r="R322" s="64"/>
      <c r="S322" s="64"/>
      <c r="T322" s="64"/>
      <c r="U322" s="64"/>
      <c r="V322" s="64"/>
      <c r="W322" s="64"/>
      <c r="X322" s="64"/>
      <c r="Y322" s="64"/>
      <c r="Z322" s="64"/>
      <c r="AA322" s="64"/>
      <c r="AB322" s="64"/>
      <c r="AC322" s="64"/>
      <c r="AD322" s="64"/>
      <c r="AE322" s="64"/>
      <c r="AF322" s="64"/>
      <c r="AG322" s="64"/>
      <c r="AH322" s="64"/>
      <c r="AI322" s="64"/>
      <c r="AJ322" s="64"/>
      <c r="AK322" s="64"/>
      <c r="AL322" s="64"/>
      <c r="AM322" s="64"/>
      <c r="AN322" s="64"/>
      <c r="AO322" s="64"/>
      <c r="AP322" s="64"/>
      <c r="AQ322" s="64"/>
      <c r="AR322" s="64"/>
      <c r="AS322" s="64"/>
      <c r="AT322" s="64"/>
      <c r="AU322" s="64"/>
      <c r="AV322" s="64"/>
      <c r="AW322" s="64"/>
      <c r="AX322" s="64"/>
      <c r="AY322" s="64"/>
      <c r="AZ322" s="64"/>
      <c r="BA322" s="64"/>
      <c r="BB322" s="64"/>
      <c r="BC322" s="64"/>
      <c r="BD322" s="64"/>
      <c r="BE322" s="64"/>
      <c r="BF322" s="64"/>
      <c r="BG322" s="64"/>
    </row>
    <row r="323" spans="4:59">
      <c r="D323" s="64"/>
      <c r="E323" s="64"/>
      <c r="F323" s="64"/>
      <c r="G323" s="64"/>
      <c r="H323" s="64"/>
      <c r="I323" s="64"/>
      <c r="J323" s="64"/>
      <c r="K323" s="64"/>
      <c r="L323" s="64"/>
      <c r="M323" s="64"/>
      <c r="N323" s="64"/>
      <c r="O323" s="64"/>
      <c r="P323" s="64"/>
      <c r="Q323" s="64"/>
      <c r="R323" s="64"/>
      <c r="S323" s="64"/>
      <c r="T323" s="64"/>
      <c r="U323" s="64"/>
      <c r="V323" s="64"/>
      <c r="W323" s="64"/>
      <c r="X323" s="64"/>
      <c r="Y323" s="64"/>
      <c r="Z323" s="64"/>
      <c r="AA323" s="64"/>
      <c r="AB323" s="64"/>
      <c r="AC323" s="64"/>
      <c r="AD323" s="64"/>
      <c r="AE323" s="64"/>
      <c r="AF323" s="64"/>
      <c r="AG323" s="64"/>
      <c r="AH323" s="64"/>
      <c r="AI323" s="64"/>
      <c r="AJ323" s="64"/>
      <c r="AK323" s="64"/>
      <c r="AL323" s="64"/>
      <c r="AM323" s="64"/>
      <c r="AN323" s="64"/>
      <c r="AO323" s="64"/>
      <c r="AP323" s="64"/>
      <c r="AQ323" s="64"/>
      <c r="AR323" s="64"/>
      <c r="AS323" s="64"/>
      <c r="AT323" s="64"/>
      <c r="AU323" s="64"/>
      <c r="AV323" s="64"/>
      <c r="AW323" s="64"/>
      <c r="AX323" s="64"/>
      <c r="AY323" s="64"/>
      <c r="AZ323" s="64"/>
      <c r="BA323" s="64"/>
      <c r="BB323" s="64"/>
      <c r="BC323" s="64"/>
      <c r="BD323" s="64"/>
      <c r="BE323" s="64"/>
      <c r="BF323" s="64"/>
      <c r="BG323" s="64"/>
    </row>
    <row r="324" spans="4:59">
      <c r="D324" s="64"/>
      <c r="E324" s="64"/>
      <c r="F324" s="64"/>
      <c r="G324" s="64"/>
      <c r="H324" s="64"/>
      <c r="I324" s="64"/>
      <c r="J324" s="64"/>
      <c r="K324" s="64"/>
      <c r="L324" s="64"/>
      <c r="M324" s="64"/>
      <c r="N324" s="64"/>
      <c r="O324" s="64"/>
      <c r="P324" s="64"/>
      <c r="Q324" s="64"/>
      <c r="R324" s="64"/>
      <c r="S324" s="64"/>
      <c r="T324" s="64"/>
      <c r="U324" s="64"/>
      <c r="V324" s="64"/>
      <c r="W324" s="64"/>
      <c r="X324" s="64"/>
      <c r="Y324" s="64"/>
      <c r="Z324" s="64"/>
      <c r="AA324" s="64"/>
      <c r="AB324" s="64"/>
      <c r="AC324" s="64"/>
      <c r="AD324" s="64"/>
      <c r="AE324" s="64"/>
      <c r="AF324" s="64"/>
      <c r="AG324" s="64"/>
      <c r="AH324" s="64"/>
      <c r="AI324" s="64"/>
      <c r="AJ324" s="64"/>
      <c r="AK324" s="64"/>
      <c r="AL324" s="64"/>
      <c r="AM324" s="64"/>
      <c r="AN324" s="64"/>
      <c r="AO324" s="64"/>
      <c r="AP324" s="64"/>
      <c r="AQ324" s="64"/>
      <c r="AR324" s="64"/>
      <c r="AS324" s="64"/>
      <c r="AT324" s="64"/>
      <c r="AU324" s="64"/>
      <c r="AV324" s="64"/>
      <c r="AW324" s="64"/>
      <c r="AX324" s="64"/>
      <c r="AY324" s="64"/>
      <c r="AZ324" s="64"/>
      <c r="BA324" s="64"/>
      <c r="BB324" s="64"/>
      <c r="BC324" s="64"/>
      <c r="BD324" s="64"/>
      <c r="BE324" s="64"/>
      <c r="BF324" s="64"/>
      <c r="BG324" s="64"/>
    </row>
    <row r="325" spans="4:59">
      <c r="D325" s="64"/>
      <c r="E325" s="64"/>
      <c r="F325" s="64"/>
      <c r="G325" s="64"/>
      <c r="H325" s="64"/>
      <c r="I325" s="64"/>
      <c r="J325" s="64"/>
      <c r="K325" s="64"/>
      <c r="L325" s="64"/>
      <c r="M325" s="64"/>
      <c r="N325" s="64"/>
      <c r="O325" s="64"/>
      <c r="P325" s="64"/>
      <c r="Q325" s="64"/>
      <c r="R325" s="64"/>
      <c r="S325" s="64"/>
      <c r="T325" s="64"/>
      <c r="U325" s="64"/>
      <c r="V325" s="64"/>
      <c r="W325" s="64"/>
      <c r="X325" s="64"/>
      <c r="Y325" s="64"/>
      <c r="Z325" s="64"/>
      <c r="AA325" s="64"/>
      <c r="AB325" s="64"/>
      <c r="AC325" s="64"/>
      <c r="AD325" s="64"/>
      <c r="AE325" s="64"/>
      <c r="AF325" s="64"/>
      <c r="AG325" s="64"/>
      <c r="AH325" s="64"/>
      <c r="AI325" s="64"/>
      <c r="AJ325" s="64"/>
      <c r="AK325" s="64"/>
      <c r="AL325" s="64"/>
      <c r="AM325" s="64"/>
      <c r="AN325" s="64"/>
      <c r="AO325" s="64"/>
      <c r="AP325" s="64"/>
      <c r="AQ325" s="64"/>
      <c r="AR325" s="64"/>
      <c r="AS325" s="64"/>
      <c r="AT325" s="64"/>
      <c r="AU325" s="64"/>
      <c r="AV325" s="64"/>
      <c r="AW325" s="64"/>
      <c r="AX325" s="64"/>
      <c r="AY325" s="64"/>
      <c r="AZ325" s="64"/>
      <c r="BA325" s="64"/>
      <c r="BB325" s="64"/>
      <c r="BC325" s="64"/>
      <c r="BD325" s="64"/>
      <c r="BE325" s="64"/>
      <c r="BF325" s="64"/>
      <c r="BG325" s="64"/>
    </row>
    <row r="326" spans="4:59">
      <c r="D326" s="64"/>
      <c r="E326" s="64"/>
      <c r="F326" s="64"/>
      <c r="G326" s="64"/>
      <c r="H326" s="64"/>
      <c r="I326" s="64"/>
      <c r="J326" s="64"/>
      <c r="K326" s="64"/>
      <c r="L326" s="64"/>
      <c r="M326" s="64"/>
      <c r="N326" s="64"/>
      <c r="O326" s="64"/>
      <c r="P326" s="64"/>
      <c r="Q326" s="64"/>
      <c r="R326" s="64"/>
      <c r="S326" s="64"/>
      <c r="T326" s="64"/>
      <c r="U326" s="64"/>
      <c r="V326" s="64"/>
      <c r="W326" s="64"/>
      <c r="X326" s="64"/>
      <c r="Y326" s="64"/>
      <c r="Z326" s="64"/>
      <c r="AA326" s="64"/>
      <c r="AB326" s="64"/>
      <c r="AC326" s="64"/>
      <c r="AD326" s="64"/>
      <c r="AE326" s="64"/>
      <c r="AF326" s="64"/>
      <c r="AG326" s="64"/>
      <c r="AH326" s="64"/>
      <c r="AI326" s="64"/>
      <c r="AJ326" s="64"/>
      <c r="AK326" s="64"/>
      <c r="AL326" s="64"/>
      <c r="AM326" s="64"/>
      <c r="AN326" s="64"/>
      <c r="AO326" s="64"/>
      <c r="AP326" s="64"/>
      <c r="AQ326" s="64"/>
      <c r="AR326" s="64"/>
      <c r="AS326" s="64"/>
      <c r="AT326" s="64"/>
      <c r="AU326" s="64"/>
      <c r="AV326" s="64"/>
      <c r="AW326" s="64"/>
      <c r="AX326" s="64"/>
      <c r="AY326" s="64"/>
      <c r="AZ326" s="64"/>
      <c r="BA326" s="64"/>
      <c r="BB326" s="64"/>
      <c r="BC326" s="64"/>
      <c r="BD326" s="64"/>
      <c r="BE326" s="64"/>
      <c r="BF326" s="64"/>
      <c r="BG326" s="64"/>
    </row>
    <row r="327" spans="4:59">
      <c r="D327" s="64"/>
      <c r="E327" s="64"/>
      <c r="F327" s="64"/>
      <c r="G327" s="64"/>
      <c r="H327" s="64"/>
      <c r="I327" s="64"/>
      <c r="J327" s="64"/>
      <c r="K327" s="64"/>
      <c r="L327" s="64"/>
      <c r="M327" s="64"/>
      <c r="N327" s="64"/>
      <c r="O327" s="64"/>
      <c r="P327" s="64"/>
      <c r="Q327" s="64"/>
      <c r="R327" s="64"/>
      <c r="S327" s="64"/>
      <c r="T327" s="64"/>
      <c r="U327" s="64"/>
      <c r="V327" s="64"/>
      <c r="W327" s="64"/>
      <c r="X327" s="64"/>
      <c r="Y327" s="64"/>
      <c r="Z327" s="64"/>
      <c r="AA327" s="64"/>
      <c r="AB327" s="64"/>
      <c r="AC327" s="64"/>
      <c r="AD327" s="64"/>
      <c r="AE327" s="64"/>
      <c r="AF327" s="64"/>
      <c r="AG327" s="64"/>
      <c r="AH327" s="64"/>
      <c r="AI327" s="64"/>
      <c r="AJ327" s="64"/>
      <c r="AK327" s="64"/>
      <c r="AL327" s="64"/>
      <c r="AM327" s="64"/>
      <c r="AN327" s="64"/>
      <c r="AO327" s="64"/>
      <c r="AP327" s="64"/>
      <c r="AQ327" s="64"/>
      <c r="AR327" s="64"/>
      <c r="AS327" s="64"/>
      <c r="AT327" s="64"/>
      <c r="AU327" s="64"/>
      <c r="AV327" s="64"/>
      <c r="AW327" s="64"/>
      <c r="AX327" s="64"/>
      <c r="AY327" s="64"/>
      <c r="AZ327" s="64"/>
      <c r="BA327" s="64"/>
      <c r="BB327" s="64"/>
      <c r="BC327" s="64"/>
      <c r="BD327" s="64"/>
      <c r="BE327" s="64"/>
      <c r="BF327" s="64"/>
      <c r="BG327" s="64"/>
    </row>
    <row r="328" spans="4:59">
      <c r="D328" s="64"/>
      <c r="E328" s="64"/>
      <c r="F328" s="64"/>
      <c r="G328" s="64"/>
      <c r="H328" s="64"/>
      <c r="I328" s="64"/>
      <c r="J328" s="64"/>
      <c r="K328" s="64"/>
      <c r="L328" s="64"/>
      <c r="M328" s="64"/>
      <c r="N328" s="64"/>
      <c r="O328" s="64"/>
      <c r="P328" s="64"/>
      <c r="Q328" s="64"/>
      <c r="R328" s="64"/>
      <c r="S328" s="64"/>
      <c r="T328" s="64"/>
      <c r="U328" s="64"/>
      <c r="V328" s="64"/>
      <c r="W328" s="64"/>
      <c r="X328" s="64"/>
      <c r="Y328" s="64"/>
      <c r="Z328" s="64"/>
      <c r="AA328" s="64"/>
      <c r="AB328" s="64"/>
      <c r="AC328" s="64"/>
      <c r="AD328" s="64"/>
      <c r="AE328" s="64"/>
      <c r="AF328" s="64"/>
      <c r="AG328" s="64"/>
      <c r="AH328" s="64"/>
      <c r="AI328" s="64"/>
      <c r="AJ328" s="64"/>
      <c r="AK328" s="64"/>
      <c r="AL328" s="64"/>
      <c r="AM328" s="64"/>
      <c r="AN328" s="64"/>
      <c r="AO328" s="64"/>
      <c r="AP328" s="64"/>
      <c r="AQ328" s="64"/>
      <c r="AR328" s="64"/>
      <c r="AS328" s="64"/>
      <c r="AT328" s="64"/>
      <c r="AU328" s="64"/>
      <c r="AV328" s="64"/>
      <c r="AW328" s="64"/>
      <c r="AX328" s="64"/>
      <c r="AY328" s="64"/>
      <c r="AZ328" s="64"/>
      <c r="BA328" s="64"/>
      <c r="BB328" s="64"/>
      <c r="BC328" s="64"/>
      <c r="BD328" s="64"/>
      <c r="BE328" s="64"/>
      <c r="BF328" s="64"/>
      <c r="BG328" s="64"/>
    </row>
    <row r="329" spans="4:59">
      <c r="D329" s="64"/>
      <c r="E329" s="64"/>
      <c r="F329" s="64"/>
      <c r="G329" s="64"/>
      <c r="H329" s="64"/>
      <c r="I329" s="64"/>
      <c r="J329" s="64"/>
      <c r="K329" s="64"/>
      <c r="L329" s="64"/>
      <c r="M329" s="64"/>
      <c r="N329" s="64"/>
      <c r="O329" s="64"/>
      <c r="P329" s="64"/>
      <c r="Q329" s="64"/>
      <c r="R329" s="64"/>
      <c r="S329" s="64"/>
      <c r="T329" s="64"/>
      <c r="U329" s="64"/>
      <c r="V329" s="64"/>
      <c r="W329" s="64"/>
      <c r="X329" s="64"/>
      <c r="Y329" s="64"/>
      <c r="Z329" s="64"/>
      <c r="AA329" s="64"/>
      <c r="AB329" s="64"/>
      <c r="AC329" s="64"/>
      <c r="AD329" s="64"/>
      <c r="AE329" s="64"/>
      <c r="AF329" s="64"/>
      <c r="AG329" s="64"/>
      <c r="AH329" s="64"/>
      <c r="AI329" s="64"/>
      <c r="AJ329" s="64"/>
      <c r="AK329" s="64"/>
      <c r="AL329" s="64"/>
      <c r="AM329" s="64"/>
      <c r="AN329" s="64"/>
      <c r="AO329" s="64"/>
      <c r="AP329" s="64"/>
      <c r="AQ329" s="64"/>
      <c r="AR329" s="64"/>
      <c r="AS329" s="64"/>
      <c r="AT329" s="64"/>
      <c r="AU329" s="64"/>
      <c r="AV329" s="64"/>
      <c r="AW329" s="64"/>
      <c r="AX329" s="64"/>
      <c r="AY329" s="64"/>
      <c r="AZ329" s="64"/>
      <c r="BA329" s="64"/>
      <c r="BB329" s="64"/>
      <c r="BC329" s="64"/>
      <c r="BD329" s="64"/>
      <c r="BE329" s="64"/>
      <c r="BF329" s="64"/>
      <c r="BG329" s="64"/>
    </row>
    <row r="330" spans="4:59">
      <c r="D330" s="64"/>
      <c r="E330" s="64"/>
      <c r="F330" s="64"/>
      <c r="G330" s="64"/>
      <c r="H330" s="64"/>
      <c r="I330" s="64"/>
      <c r="J330" s="64"/>
      <c r="K330" s="64"/>
      <c r="L330" s="64"/>
      <c r="M330" s="64"/>
      <c r="N330" s="64"/>
      <c r="O330" s="64"/>
      <c r="P330" s="64"/>
      <c r="Q330" s="64"/>
      <c r="R330" s="64"/>
      <c r="S330" s="64"/>
      <c r="T330" s="64"/>
      <c r="U330" s="64"/>
      <c r="V330" s="64"/>
      <c r="W330" s="64"/>
      <c r="X330" s="64"/>
      <c r="Y330" s="64"/>
      <c r="Z330" s="64"/>
      <c r="AA330" s="64"/>
      <c r="AB330" s="64"/>
      <c r="AC330" s="64"/>
      <c r="AD330" s="64"/>
      <c r="AE330" s="64"/>
      <c r="AF330" s="64"/>
      <c r="AG330" s="64"/>
      <c r="AH330" s="64"/>
      <c r="AI330" s="64"/>
      <c r="AJ330" s="64"/>
      <c r="AK330" s="64"/>
      <c r="AL330" s="64"/>
      <c r="AM330" s="64"/>
      <c r="AN330" s="64"/>
      <c r="AO330" s="64"/>
      <c r="AP330" s="64"/>
      <c r="AQ330" s="64"/>
      <c r="AR330" s="64"/>
      <c r="AS330" s="64"/>
      <c r="AT330" s="64"/>
      <c r="AU330" s="64"/>
      <c r="AV330" s="64"/>
      <c r="AW330" s="64"/>
      <c r="AX330" s="64"/>
      <c r="AY330" s="64"/>
      <c r="AZ330" s="64"/>
      <c r="BA330" s="64"/>
      <c r="BB330" s="64"/>
      <c r="BC330" s="64"/>
      <c r="BD330" s="64"/>
      <c r="BE330" s="64"/>
      <c r="BF330" s="64"/>
      <c r="BG330" s="64"/>
    </row>
    <row r="331" spans="4:59">
      <c r="D331" s="64"/>
      <c r="E331" s="64"/>
      <c r="F331" s="64"/>
      <c r="G331" s="64"/>
      <c r="H331" s="64"/>
      <c r="I331" s="64"/>
      <c r="J331" s="64"/>
      <c r="K331" s="64"/>
      <c r="L331" s="64"/>
      <c r="M331" s="64"/>
      <c r="N331" s="64"/>
      <c r="O331" s="64"/>
      <c r="P331" s="64"/>
      <c r="Q331" s="64"/>
      <c r="R331" s="64"/>
      <c r="S331" s="64"/>
      <c r="T331" s="64"/>
      <c r="U331" s="64"/>
      <c r="V331" s="64"/>
      <c r="W331" s="64"/>
      <c r="X331" s="64"/>
      <c r="Y331" s="64"/>
      <c r="Z331" s="64"/>
      <c r="AA331" s="64"/>
      <c r="AB331" s="64"/>
      <c r="AC331" s="64"/>
      <c r="AD331" s="64"/>
      <c r="AE331" s="64"/>
      <c r="AF331" s="64"/>
      <c r="AG331" s="64"/>
      <c r="AH331" s="64"/>
      <c r="AI331" s="64"/>
      <c r="AJ331" s="64"/>
      <c r="AK331" s="64"/>
      <c r="AL331" s="64"/>
      <c r="AM331" s="64"/>
      <c r="AN331" s="64"/>
      <c r="AO331" s="64"/>
      <c r="AP331" s="64"/>
      <c r="AQ331" s="64"/>
      <c r="AR331" s="64"/>
      <c r="AS331" s="64"/>
      <c r="AT331" s="64"/>
      <c r="AU331" s="64"/>
      <c r="AV331" s="64"/>
      <c r="AW331" s="64"/>
      <c r="AX331" s="64"/>
      <c r="AY331" s="64"/>
      <c r="AZ331" s="64"/>
      <c r="BA331" s="64"/>
      <c r="BB331" s="64"/>
      <c r="BC331" s="64"/>
      <c r="BD331" s="64"/>
      <c r="BE331" s="64"/>
      <c r="BF331" s="64"/>
      <c r="BG331" s="64"/>
    </row>
    <row r="332" spans="4:59">
      <c r="D332" s="64"/>
      <c r="E332" s="64"/>
      <c r="F332" s="64"/>
      <c r="G332" s="64"/>
      <c r="H332" s="64"/>
      <c r="I332" s="64"/>
      <c r="J332" s="64"/>
      <c r="K332" s="64"/>
      <c r="L332" s="64"/>
      <c r="M332" s="64"/>
      <c r="N332" s="64"/>
      <c r="O332" s="64"/>
      <c r="P332" s="64"/>
      <c r="Q332" s="64"/>
      <c r="R332" s="64"/>
      <c r="S332" s="64"/>
      <c r="T332" s="64"/>
      <c r="U332" s="64"/>
      <c r="V332" s="64"/>
      <c r="W332" s="64"/>
      <c r="X332" s="64"/>
      <c r="Y332" s="64"/>
      <c r="Z332" s="64"/>
      <c r="AA332" s="64"/>
      <c r="AB332" s="64"/>
      <c r="AC332" s="64"/>
      <c r="AD332" s="64"/>
      <c r="AE332" s="64"/>
      <c r="AF332" s="64"/>
      <c r="AG332" s="64"/>
      <c r="AH332" s="64"/>
      <c r="AI332" s="64"/>
      <c r="AJ332" s="64"/>
      <c r="AK332" s="64"/>
      <c r="AL332" s="64"/>
      <c r="AM332" s="64"/>
      <c r="AN332" s="64"/>
      <c r="AO332" s="64"/>
      <c r="AP332" s="64"/>
      <c r="AQ332" s="64"/>
      <c r="AR332" s="64"/>
      <c r="AS332" s="64"/>
      <c r="AT332" s="64"/>
      <c r="AU332" s="64"/>
      <c r="AV332" s="64"/>
      <c r="AW332" s="64"/>
      <c r="AX332" s="64"/>
      <c r="AY332" s="64"/>
      <c r="AZ332" s="64"/>
      <c r="BA332" s="64"/>
      <c r="BB332" s="64"/>
      <c r="BC332" s="64"/>
      <c r="BD332" s="64"/>
      <c r="BE332" s="64"/>
      <c r="BF332" s="64"/>
      <c r="BG332" s="64"/>
    </row>
    <row r="333" spans="4:59">
      <c r="D333" s="64"/>
      <c r="E333" s="64"/>
      <c r="F333" s="64"/>
      <c r="G333" s="64"/>
      <c r="H333" s="64"/>
      <c r="I333" s="64"/>
      <c r="J333" s="64"/>
      <c r="K333" s="64"/>
      <c r="L333" s="64"/>
      <c r="M333" s="64"/>
      <c r="N333" s="64"/>
      <c r="O333" s="64"/>
      <c r="P333" s="64"/>
      <c r="Q333" s="64"/>
      <c r="R333" s="64"/>
      <c r="S333" s="64"/>
      <c r="T333" s="64"/>
      <c r="U333" s="64"/>
      <c r="V333" s="64"/>
      <c r="W333" s="64"/>
      <c r="X333" s="64"/>
      <c r="Y333" s="64"/>
      <c r="Z333" s="64"/>
      <c r="AA333" s="64"/>
      <c r="AB333" s="64"/>
      <c r="AC333" s="64"/>
      <c r="AD333" s="64"/>
      <c r="AE333" s="64"/>
      <c r="AF333" s="64"/>
      <c r="AG333" s="64"/>
      <c r="AH333" s="64"/>
      <c r="AI333" s="64"/>
      <c r="AJ333" s="64"/>
      <c r="AK333" s="64"/>
      <c r="AL333" s="64"/>
      <c r="AM333" s="64"/>
      <c r="AN333" s="64"/>
      <c r="AO333" s="64"/>
      <c r="AP333" s="64"/>
      <c r="AQ333" s="64"/>
      <c r="AR333" s="64"/>
      <c r="AS333" s="64"/>
      <c r="AT333" s="64"/>
      <c r="AU333" s="64"/>
      <c r="AV333" s="64"/>
      <c r="AW333" s="64"/>
      <c r="AX333" s="64"/>
      <c r="AY333" s="64"/>
      <c r="AZ333" s="64"/>
      <c r="BA333" s="64"/>
      <c r="BB333" s="64"/>
      <c r="BC333" s="64"/>
      <c r="BD333" s="64"/>
      <c r="BE333" s="64"/>
      <c r="BF333" s="64"/>
      <c r="BG333" s="64"/>
    </row>
    <row r="334" spans="4:59">
      <c r="D334" s="64"/>
      <c r="E334" s="64"/>
      <c r="F334" s="64"/>
      <c r="G334" s="64"/>
      <c r="H334" s="64"/>
      <c r="I334" s="64"/>
      <c r="J334" s="64"/>
      <c r="K334" s="64"/>
      <c r="L334" s="64"/>
      <c r="M334" s="64"/>
      <c r="N334" s="64"/>
      <c r="O334" s="64"/>
      <c r="P334" s="64"/>
      <c r="Q334" s="64"/>
      <c r="R334" s="64"/>
      <c r="S334" s="64"/>
      <c r="T334" s="64"/>
      <c r="U334" s="64"/>
      <c r="V334" s="64"/>
      <c r="W334" s="64"/>
      <c r="X334" s="64"/>
      <c r="Y334" s="64"/>
      <c r="Z334" s="64"/>
      <c r="AA334" s="64"/>
      <c r="AB334" s="64"/>
      <c r="AC334" s="64"/>
      <c r="AD334" s="64"/>
      <c r="AE334" s="64"/>
      <c r="AF334" s="64"/>
      <c r="AG334" s="64"/>
      <c r="AH334" s="64"/>
      <c r="AI334" s="64"/>
      <c r="AJ334" s="64"/>
      <c r="AK334" s="64"/>
      <c r="AL334" s="64"/>
      <c r="AM334" s="64"/>
      <c r="AN334" s="64"/>
      <c r="AO334" s="64"/>
      <c r="AP334" s="64"/>
      <c r="AQ334" s="64"/>
      <c r="AR334" s="64"/>
      <c r="AS334" s="64"/>
      <c r="AT334" s="64"/>
      <c r="AU334" s="64"/>
      <c r="AV334" s="64"/>
      <c r="AW334" s="64"/>
      <c r="AX334" s="64"/>
      <c r="AY334" s="64"/>
      <c r="AZ334" s="64"/>
      <c r="BA334" s="64"/>
      <c r="BB334" s="64"/>
      <c r="BC334" s="64"/>
      <c r="BD334" s="64"/>
      <c r="BE334" s="64"/>
      <c r="BF334" s="64"/>
      <c r="BG334" s="64"/>
    </row>
    <row r="335" spans="4:59">
      <c r="D335" s="64"/>
      <c r="E335" s="64"/>
      <c r="F335" s="64"/>
      <c r="G335" s="64"/>
      <c r="H335" s="64"/>
      <c r="I335" s="64"/>
      <c r="J335" s="64"/>
      <c r="K335" s="64"/>
      <c r="L335" s="64"/>
      <c r="M335" s="64"/>
      <c r="N335" s="64"/>
      <c r="O335" s="64"/>
      <c r="P335" s="64"/>
      <c r="Q335" s="64"/>
      <c r="R335" s="64"/>
      <c r="S335" s="64"/>
      <c r="T335" s="64"/>
      <c r="U335" s="64"/>
      <c r="V335" s="64"/>
      <c r="W335" s="64"/>
      <c r="X335" s="64"/>
      <c r="Y335" s="64"/>
      <c r="Z335" s="64"/>
      <c r="AA335" s="64"/>
      <c r="AB335" s="64"/>
      <c r="AC335" s="64"/>
      <c r="AD335" s="64"/>
      <c r="AE335" s="64"/>
      <c r="AF335" s="64"/>
      <c r="AG335" s="64"/>
      <c r="AH335" s="64"/>
      <c r="AI335" s="64"/>
      <c r="AJ335" s="64"/>
      <c r="AK335" s="64"/>
      <c r="AL335" s="64"/>
      <c r="AM335" s="64"/>
      <c r="AN335" s="64"/>
      <c r="AO335" s="64"/>
      <c r="AP335" s="64"/>
      <c r="AQ335" s="64"/>
      <c r="AR335" s="64"/>
      <c r="AS335" s="64"/>
      <c r="AT335" s="64"/>
      <c r="AU335" s="64"/>
      <c r="AV335" s="64"/>
      <c r="AW335" s="64"/>
      <c r="AX335" s="64"/>
      <c r="AY335" s="64"/>
      <c r="AZ335" s="64"/>
      <c r="BA335" s="64"/>
      <c r="BB335" s="64"/>
      <c r="BC335" s="64"/>
      <c r="BD335" s="64"/>
      <c r="BE335" s="64"/>
      <c r="BF335" s="64"/>
      <c r="BG335" s="64"/>
    </row>
    <row r="336" spans="4:59">
      <c r="D336" s="64"/>
      <c r="E336" s="64"/>
      <c r="F336" s="64"/>
      <c r="G336" s="64"/>
      <c r="H336" s="64"/>
      <c r="I336" s="64"/>
      <c r="J336" s="64"/>
      <c r="K336" s="64"/>
      <c r="L336" s="64"/>
      <c r="M336" s="64"/>
      <c r="N336" s="64"/>
      <c r="O336" s="64"/>
      <c r="P336" s="64"/>
      <c r="Q336" s="64"/>
      <c r="R336" s="64"/>
      <c r="S336" s="64"/>
      <c r="T336" s="64"/>
      <c r="U336" s="64"/>
      <c r="V336" s="64"/>
      <c r="W336" s="64"/>
      <c r="X336" s="64"/>
      <c r="Y336" s="64"/>
      <c r="Z336" s="64"/>
      <c r="AA336" s="64"/>
      <c r="AB336" s="64"/>
      <c r="AC336" s="64"/>
      <c r="AD336" s="64"/>
      <c r="AE336" s="64"/>
      <c r="AF336" s="64"/>
      <c r="AG336" s="64"/>
      <c r="AH336" s="64"/>
      <c r="AI336" s="64"/>
      <c r="AJ336" s="64"/>
      <c r="AK336" s="64"/>
      <c r="AL336" s="64"/>
      <c r="AM336" s="64"/>
      <c r="AN336" s="64"/>
      <c r="AO336" s="64"/>
      <c r="AP336" s="64"/>
      <c r="AQ336" s="64"/>
      <c r="AR336" s="64"/>
      <c r="AS336" s="64"/>
      <c r="AT336" s="64"/>
      <c r="AU336" s="64"/>
      <c r="AV336" s="64"/>
      <c r="AW336" s="64"/>
      <c r="AX336" s="64"/>
      <c r="AY336" s="64"/>
      <c r="AZ336" s="64"/>
      <c r="BA336" s="64"/>
      <c r="BB336" s="64"/>
      <c r="BC336" s="64"/>
      <c r="BD336" s="64"/>
      <c r="BE336" s="64"/>
      <c r="BF336" s="64"/>
      <c r="BG336" s="64"/>
    </row>
    <row r="337" spans="4:59">
      <c r="D337" s="64"/>
      <c r="E337" s="64"/>
      <c r="F337" s="64"/>
      <c r="G337" s="64"/>
      <c r="H337" s="64"/>
      <c r="I337" s="64"/>
      <c r="J337" s="64"/>
      <c r="K337" s="64"/>
      <c r="L337" s="64"/>
      <c r="M337" s="64"/>
      <c r="N337" s="64"/>
      <c r="O337" s="64"/>
      <c r="P337" s="64"/>
      <c r="Q337" s="64"/>
      <c r="R337" s="64"/>
      <c r="S337" s="64"/>
      <c r="T337" s="64"/>
      <c r="U337" s="64"/>
      <c r="V337" s="64"/>
      <c r="W337" s="64"/>
      <c r="X337" s="64"/>
      <c r="Y337" s="64"/>
      <c r="Z337" s="64"/>
      <c r="AA337" s="64"/>
      <c r="AB337" s="64"/>
      <c r="AC337" s="64"/>
      <c r="AD337" s="64"/>
      <c r="AE337" s="64"/>
      <c r="AF337" s="64"/>
      <c r="AG337" s="64"/>
      <c r="AH337" s="64"/>
      <c r="AI337" s="64"/>
      <c r="AJ337" s="64"/>
      <c r="AK337" s="64"/>
      <c r="AL337" s="64"/>
      <c r="AM337" s="64"/>
      <c r="AN337" s="64"/>
      <c r="AO337" s="64"/>
      <c r="AP337" s="64"/>
      <c r="AQ337" s="64"/>
      <c r="AR337" s="64"/>
      <c r="AS337" s="64"/>
      <c r="AT337" s="64"/>
      <c r="AU337" s="64"/>
      <c r="AV337" s="64"/>
      <c r="AW337" s="64"/>
      <c r="AX337" s="64"/>
      <c r="AY337" s="64"/>
      <c r="AZ337" s="64"/>
      <c r="BA337" s="64"/>
      <c r="BB337" s="64"/>
      <c r="BC337" s="64"/>
      <c r="BD337" s="64"/>
      <c r="BE337" s="64"/>
      <c r="BF337" s="64"/>
      <c r="BG337" s="64"/>
    </row>
    <row r="338" spans="4:59">
      <c r="D338" s="64"/>
      <c r="E338" s="64"/>
      <c r="F338" s="64"/>
      <c r="G338" s="64"/>
      <c r="H338" s="64"/>
      <c r="I338" s="64"/>
      <c r="J338" s="64"/>
      <c r="K338" s="64"/>
      <c r="L338" s="64"/>
      <c r="M338" s="64"/>
      <c r="N338" s="64"/>
      <c r="O338" s="64"/>
      <c r="P338" s="64"/>
      <c r="Q338" s="64"/>
      <c r="R338" s="64"/>
      <c r="S338" s="64"/>
      <c r="T338" s="64"/>
      <c r="U338" s="64"/>
      <c r="V338" s="64"/>
      <c r="W338" s="64"/>
      <c r="X338" s="64"/>
      <c r="Y338" s="64"/>
      <c r="Z338" s="64"/>
      <c r="AA338" s="64"/>
      <c r="AB338" s="64"/>
      <c r="AC338" s="64"/>
      <c r="AD338" s="64"/>
      <c r="AE338" s="64"/>
      <c r="AF338" s="64"/>
      <c r="AG338" s="64"/>
      <c r="AH338" s="64"/>
      <c r="AI338" s="64"/>
      <c r="AJ338" s="64"/>
      <c r="AK338" s="64"/>
      <c r="AL338" s="64"/>
      <c r="AM338" s="64"/>
      <c r="AN338" s="64"/>
      <c r="AO338" s="64"/>
      <c r="AP338" s="64"/>
      <c r="AQ338" s="64"/>
      <c r="AR338" s="64"/>
      <c r="AS338" s="64"/>
      <c r="AT338" s="64"/>
      <c r="AU338" s="64"/>
      <c r="AV338" s="64"/>
      <c r="AW338" s="64"/>
      <c r="AX338" s="64"/>
      <c r="AY338" s="64"/>
      <c r="AZ338" s="64"/>
      <c r="BA338" s="64"/>
      <c r="BB338" s="64"/>
      <c r="BC338" s="64"/>
      <c r="BD338" s="64"/>
      <c r="BE338" s="64"/>
      <c r="BF338" s="64"/>
      <c r="BG338" s="64"/>
    </row>
    <row r="339" spans="4:59">
      <c r="D339" s="64"/>
      <c r="E339" s="64"/>
      <c r="F339" s="64"/>
      <c r="G339" s="64"/>
      <c r="H339" s="64"/>
      <c r="I339" s="64"/>
      <c r="J339" s="64"/>
      <c r="K339" s="64"/>
      <c r="L339" s="64"/>
      <c r="M339" s="64"/>
      <c r="N339" s="64"/>
      <c r="O339" s="64"/>
      <c r="P339" s="64"/>
      <c r="Q339" s="64"/>
      <c r="R339" s="64"/>
      <c r="S339" s="64"/>
      <c r="T339" s="64"/>
      <c r="U339" s="64"/>
      <c r="V339" s="64"/>
      <c r="W339" s="64"/>
      <c r="X339" s="64"/>
      <c r="Y339" s="64"/>
      <c r="Z339" s="64"/>
      <c r="AA339" s="64"/>
      <c r="AB339" s="64"/>
      <c r="AC339" s="64"/>
      <c r="AD339" s="64"/>
      <c r="AE339" s="64"/>
      <c r="AF339" s="64"/>
      <c r="AG339" s="64"/>
      <c r="AH339" s="64"/>
      <c r="AI339" s="64"/>
      <c r="AJ339" s="64"/>
      <c r="AK339" s="64"/>
      <c r="AL339" s="64"/>
      <c r="AM339" s="64"/>
      <c r="AN339" s="64"/>
      <c r="AO339" s="64"/>
      <c r="AP339" s="64"/>
      <c r="AQ339" s="64"/>
      <c r="AR339" s="64"/>
      <c r="AS339" s="64"/>
      <c r="AT339" s="64"/>
      <c r="AU339" s="64"/>
      <c r="AV339" s="64"/>
      <c r="AW339" s="64"/>
      <c r="AX339" s="64"/>
      <c r="AY339" s="64"/>
      <c r="AZ339" s="64"/>
      <c r="BA339" s="64"/>
      <c r="BB339" s="64"/>
      <c r="BC339" s="64"/>
      <c r="BD339" s="64"/>
      <c r="BE339" s="64"/>
      <c r="BF339" s="64"/>
      <c r="BG339" s="64"/>
    </row>
    <row r="340" spans="4:59">
      <c r="D340" s="64"/>
      <c r="E340" s="64"/>
      <c r="F340" s="64"/>
      <c r="G340" s="64"/>
      <c r="H340" s="64"/>
      <c r="I340" s="64"/>
      <c r="J340" s="64"/>
      <c r="K340" s="64"/>
      <c r="L340" s="64"/>
      <c r="M340" s="64"/>
      <c r="N340" s="64"/>
      <c r="O340" s="64"/>
      <c r="P340" s="64"/>
      <c r="Q340" s="64"/>
      <c r="R340" s="64"/>
      <c r="S340" s="64"/>
      <c r="T340" s="64"/>
      <c r="U340" s="64"/>
      <c r="V340" s="64"/>
      <c r="W340" s="64"/>
      <c r="X340" s="64"/>
      <c r="Y340" s="64"/>
      <c r="Z340" s="64"/>
      <c r="AA340" s="64"/>
      <c r="AB340" s="64"/>
      <c r="AC340" s="64"/>
      <c r="AD340" s="64"/>
      <c r="AE340" s="64"/>
      <c r="AF340" s="64"/>
      <c r="AG340" s="64"/>
      <c r="AH340" s="64"/>
      <c r="AI340" s="64"/>
      <c r="AJ340" s="64"/>
      <c r="AK340" s="64"/>
      <c r="AL340" s="64"/>
      <c r="AM340" s="64"/>
      <c r="AN340" s="64"/>
      <c r="AO340" s="64"/>
      <c r="AP340" s="64"/>
      <c r="AQ340" s="64"/>
      <c r="AR340" s="64"/>
      <c r="AS340" s="64"/>
      <c r="AT340" s="64"/>
      <c r="AU340" s="64"/>
      <c r="AV340" s="64"/>
      <c r="AW340" s="64"/>
      <c r="AX340" s="64"/>
      <c r="AY340" s="64"/>
      <c r="AZ340" s="64"/>
      <c r="BA340" s="64"/>
      <c r="BB340" s="64"/>
      <c r="BC340" s="64"/>
      <c r="BD340" s="64"/>
      <c r="BE340" s="64"/>
      <c r="BF340" s="64"/>
      <c r="BG340" s="64"/>
    </row>
    <row r="341" spans="4:59">
      <c r="D341" s="64"/>
      <c r="E341" s="64"/>
      <c r="F341" s="64"/>
      <c r="G341" s="64"/>
      <c r="H341" s="64"/>
      <c r="I341" s="64"/>
      <c r="J341" s="64"/>
      <c r="K341" s="64"/>
      <c r="L341" s="64"/>
      <c r="M341" s="64"/>
      <c r="N341" s="64"/>
      <c r="O341" s="64"/>
      <c r="P341" s="64"/>
      <c r="Q341" s="64"/>
      <c r="R341" s="64"/>
      <c r="S341" s="64"/>
      <c r="T341" s="64"/>
      <c r="U341" s="64"/>
      <c r="V341" s="64"/>
      <c r="W341" s="64"/>
      <c r="X341" s="64"/>
      <c r="Y341" s="64"/>
      <c r="Z341" s="64"/>
      <c r="AA341" s="64"/>
      <c r="AB341" s="64"/>
      <c r="AC341" s="64"/>
      <c r="AD341" s="64"/>
      <c r="AE341" s="64"/>
      <c r="AF341" s="64"/>
      <c r="AG341" s="64"/>
      <c r="AH341" s="64"/>
      <c r="AI341" s="64"/>
      <c r="AJ341" s="64"/>
      <c r="AK341" s="64"/>
      <c r="AL341" s="64"/>
      <c r="AM341" s="64"/>
      <c r="AN341" s="64"/>
      <c r="AO341" s="64"/>
      <c r="AP341" s="64"/>
      <c r="AQ341" s="64"/>
      <c r="AR341" s="64"/>
      <c r="AS341" s="64"/>
      <c r="AT341" s="64"/>
      <c r="AU341" s="64"/>
      <c r="AV341" s="64"/>
      <c r="AW341" s="64"/>
      <c r="AX341" s="64"/>
      <c r="AY341" s="64"/>
      <c r="AZ341" s="64"/>
      <c r="BA341" s="64"/>
      <c r="BB341" s="64"/>
      <c r="BC341" s="64"/>
      <c r="BD341" s="64"/>
      <c r="BE341" s="64"/>
      <c r="BF341" s="64"/>
      <c r="BG341" s="64"/>
    </row>
    <row r="342" spans="4:59">
      <c r="D342" s="64"/>
      <c r="E342" s="64"/>
      <c r="F342" s="64"/>
      <c r="G342" s="64"/>
      <c r="H342" s="64"/>
      <c r="I342" s="64"/>
      <c r="J342" s="64"/>
      <c r="K342" s="64"/>
      <c r="L342" s="64"/>
      <c r="M342" s="64"/>
      <c r="N342" s="64"/>
      <c r="O342" s="64"/>
      <c r="P342" s="64"/>
      <c r="Q342" s="64"/>
      <c r="R342" s="64"/>
      <c r="S342" s="64"/>
      <c r="T342" s="64"/>
      <c r="U342" s="64"/>
      <c r="V342" s="64"/>
      <c r="W342" s="64"/>
      <c r="X342" s="64"/>
      <c r="Y342" s="64"/>
      <c r="Z342" s="64"/>
      <c r="AA342" s="64"/>
      <c r="AB342" s="64"/>
      <c r="AC342" s="64"/>
      <c r="AD342" s="64"/>
      <c r="AE342" s="64"/>
      <c r="AF342" s="64"/>
      <c r="AG342" s="64"/>
      <c r="AH342" s="64"/>
      <c r="AI342" s="64"/>
      <c r="AJ342" s="64"/>
      <c r="AK342" s="64"/>
      <c r="AL342" s="64"/>
      <c r="AM342" s="64"/>
      <c r="AN342" s="64"/>
      <c r="AO342" s="64"/>
      <c r="AP342" s="64"/>
      <c r="AQ342" s="64"/>
      <c r="AR342" s="64"/>
      <c r="AS342" s="64"/>
      <c r="AT342" s="64"/>
      <c r="AU342" s="64"/>
      <c r="AV342" s="64"/>
      <c r="AW342" s="64"/>
      <c r="AX342" s="64"/>
      <c r="AY342" s="64"/>
      <c r="AZ342" s="64"/>
      <c r="BA342" s="64"/>
      <c r="BB342" s="64"/>
      <c r="BC342" s="64"/>
      <c r="BD342" s="64"/>
      <c r="BE342" s="64"/>
      <c r="BF342" s="64"/>
      <c r="BG342" s="64"/>
    </row>
    <row r="343" spans="4:59">
      <c r="D343" s="64"/>
      <c r="E343" s="64"/>
      <c r="F343" s="64"/>
      <c r="G343" s="64"/>
      <c r="H343" s="64"/>
      <c r="I343" s="64"/>
      <c r="J343" s="64"/>
      <c r="K343" s="64"/>
      <c r="L343" s="64"/>
      <c r="M343" s="64"/>
      <c r="N343" s="64"/>
      <c r="O343" s="64"/>
      <c r="P343" s="64"/>
      <c r="Q343" s="64"/>
      <c r="R343" s="64"/>
      <c r="S343" s="64"/>
      <c r="T343" s="64"/>
      <c r="U343" s="64"/>
      <c r="V343" s="64"/>
      <c r="W343" s="64"/>
      <c r="X343" s="64"/>
      <c r="Y343" s="64"/>
      <c r="Z343" s="64"/>
      <c r="AA343" s="64"/>
      <c r="AB343" s="64"/>
      <c r="AC343" s="64"/>
      <c r="AD343" s="64"/>
      <c r="AE343" s="64"/>
      <c r="AF343" s="64"/>
      <c r="AG343" s="64"/>
      <c r="AH343" s="64"/>
      <c r="AI343" s="64"/>
      <c r="AJ343" s="64"/>
      <c r="AK343" s="64"/>
      <c r="AL343" s="64"/>
      <c r="AM343" s="64"/>
      <c r="AN343" s="64"/>
      <c r="AO343" s="64"/>
      <c r="AP343" s="64"/>
      <c r="AQ343" s="64"/>
      <c r="AR343" s="64"/>
      <c r="AS343" s="64"/>
      <c r="AT343" s="64"/>
      <c r="AU343" s="64"/>
      <c r="AV343" s="64"/>
      <c r="AW343" s="64"/>
      <c r="AX343" s="64"/>
      <c r="AY343" s="64"/>
      <c r="AZ343" s="64"/>
      <c r="BA343" s="64"/>
      <c r="BB343" s="64"/>
      <c r="BC343" s="64"/>
      <c r="BD343" s="64"/>
      <c r="BE343" s="64"/>
      <c r="BF343" s="64"/>
      <c r="BG343" s="64"/>
    </row>
    <row r="344" spans="4:59">
      <c r="D344" s="64"/>
      <c r="E344" s="64"/>
      <c r="F344" s="64"/>
      <c r="G344" s="64"/>
      <c r="H344" s="64"/>
      <c r="I344" s="64"/>
      <c r="J344" s="64"/>
      <c r="K344" s="64"/>
      <c r="L344" s="64"/>
      <c r="M344" s="64"/>
      <c r="N344" s="64"/>
      <c r="O344" s="64"/>
      <c r="P344" s="64"/>
      <c r="Q344" s="64"/>
      <c r="R344" s="64"/>
      <c r="S344" s="64"/>
      <c r="T344" s="64"/>
      <c r="U344" s="64"/>
      <c r="V344" s="64"/>
      <c r="W344" s="64"/>
      <c r="X344" s="64"/>
      <c r="Y344" s="64"/>
      <c r="Z344" s="64"/>
      <c r="AA344" s="64"/>
      <c r="AB344" s="64"/>
      <c r="AC344" s="64"/>
      <c r="AD344" s="64"/>
      <c r="AE344" s="64"/>
      <c r="AF344" s="64"/>
      <c r="AG344" s="64"/>
      <c r="AH344" s="64"/>
      <c r="AI344" s="64"/>
      <c r="AJ344" s="64"/>
      <c r="AK344" s="64"/>
      <c r="AL344" s="64"/>
      <c r="AM344" s="64"/>
      <c r="AN344" s="64"/>
      <c r="AO344" s="64"/>
      <c r="AP344" s="64"/>
      <c r="AQ344" s="64"/>
      <c r="AR344" s="64"/>
      <c r="AS344" s="64"/>
      <c r="AT344" s="64"/>
      <c r="AU344" s="64"/>
      <c r="AV344" s="64"/>
      <c r="AW344" s="64"/>
      <c r="AX344" s="64"/>
      <c r="AY344" s="64"/>
      <c r="AZ344" s="64"/>
      <c r="BA344" s="64"/>
      <c r="BB344" s="64"/>
      <c r="BC344" s="64"/>
      <c r="BD344" s="64"/>
      <c r="BE344" s="64"/>
      <c r="BF344" s="64"/>
      <c r="BG344" s="64"/>
    </row>
    <row r="345" spans="4:59">
      <c r="D345" s="64"/>
      <c r="E345" s="64"/>
      <c r="F345" s="64"/>
      <c r="G345" s="64"/>
      <c r="H345" s="64"/>
      <c r="I345" s="64"/>
      <c r="J345" s="64"/>
      <c r="K345" s="64"/>
      <c r="L345" s="64"/>
      <c r="M345" s="64"/>
      <c r="N345" s="64"/>
      <c r="O345" s="64"/>
      <c r="P345" s="64"/>
      <c r="Q345" s="64"/>
      <c r="R345" s="64"/>
      <c r="S345" s="64"/>
      <c r="T345" s="64"/>
      <c r="U345" s="64"/>
      <c r="V345" s="64"/>
      <c r="W345" s="64"/>
      <c r="X345" s="64"/>
      <c r="Y345" s="64"/>
      <c r="Z345" s="64"/>
      <c r="AA345" s="64"/>
      <c r="AB345" s="64"/>
      <c r="AC345" s="64"/>
      <c r="AD345" s="64"/>
      <c r="AE345" s="64"/>
      <c r="AF345" s="64"/>
      <c r="AG345" s="64"/>
      <c r="AH345" s="64"/>
      <c r="AI345" s="64"/>
      <c r="AJ345" s="64"/>
      <c r="AK345" s="64"/>
      <c r="AL345" s="64"/>
      <c r="AM345" s="64"/>
      <c r="AN345" s="64"/>
      <c r="AO345" s="64"/>
      <c r="AP345" s="64"/>
      <c r="AQ345" s="64"/>
      <c r="AR345" s="64"/>
      <c r="AS345" s="64"/>
      <c r="AT345" s="64"/>
      <c r="AU345" s="64"/>
      <c r="AV345" s="64"/>
      <c r="AW345" s="64"/>
      <c r="AX345" s="64"/>
      <c r="AY345" s="64"/>
      <c r="AZ345" s="64"/>
      <c r="BA345" s="64"/>
      <c r="BB345" s="64"/>
      <c r="BC345" s="64"/>
      <c r="BD345" s="64"/>
      <c r="BE345" s="64"/>
      <c r="BF345" s="64"/>
      <c r="BG345" s="64"/>
    </row>
    <row r="346" spans="4:59">
      <c r="D346" s="64"/>
      <c r="E346" s="64"/>
      <c r="F346" s="64"/>
      <c r="G346" s="64"/>
      <c r="H346" s="64"/>
      <c r="I346" s="64"/>
      <c r="J346" s="64"/>
      <c r="K346" s="64"/>
      <c r="L346" s="64"/>
      <c r="M346" s="64"/>
      <c r="N346" s="64"/>
      <c r="O346" s="64"/>
      <c r="P346" s="64"/>
      <c r="Q346" s="64"/>
      <c r="R346" s="64"/>
      <c r="S346" s="64"/>
      <c r="T346" s="64"/>
      <c r="U346" s="64"/>
      <c r="V346" s="64"/>
      <c r="W346" s="64"/>
      <c r="X346" s="64"/>
      <c r="Y346" s="64"/>
      <c r="Z346" s="64"/>
      <c r="AA346" s="64"/>
      <c r="AB346" s="64"/>
      <c r="AC346" s="64"/>
      <c r="AD346" s="64"/>
      <c r="AE346" s="64"/>
      <c r="AF346" s="64"/>
      <c r="AG346" s="64"/>
      <c r="AH346" s="64"/>
      <c r="AI346" s="64"/>
      <c r="AJ346" s="64"/>
      <c r="AK346" s="64"/>
      <c r="AL346" s="64"/>
      <c r="AM346" s="64"/>
      <c r="AN346" s="64"/>
      <c r="AO346" s="64"/>
      <c r="AP346" s="64"/>
      <c r="AQ346" s="64"/>
      <c r="AR346" s="64"/>
      <c r="AS346" s="64"/>
      <c r="AT346" s="64"/>
      <c r="AU346" s="64"/>
      <c r="AV346" s="64"/>
      <c r="AW346" s="64"/>
      <c r="AX346" s="64"/>
      <c r="AY346" s="64"/>
      <c r="AZ346" s="64"/>
      <c r="BA346" s="64"/>
      <c r="BB346" s="64"/>
      <c r="BC346" s="64"/>
      <c r="BD346" s="64"/>
      <c r="BE346" s="64"/>
      <c r="BF346" s="64"/>
      <c r="BG346" s="64"/>
    </row>
    <row r="347" spans="4:59">
      <c r="D347" s="64"/>
      <c r="E347" s="64"/>
      <c r="F347" s="64"/>
      <c r="G347" s="64"/>
      <c r="H347" s="64"/>
      <c r="I347" s="64"/>
      <c r="J347" s="64"/>
      <c r="K347" s="64"/>
      <c r="L347" s="64"/>
      <c r="M347" s="64"/>
      <c r="N347" s="64"/>
      <c r="O347" s="64"/>
      <c r="P347" s="64"/>
      <c r="Q347" s="64"/>
      <c r="R347" s="64"/>
      <c r="S347" s="64"/>
      <c r="T347" s="64"/>
      <c r="U347" s="64"/>
      <c r="V347" s="64"/>
      <c r="W347" s="64"/>
      <c r="X347" s="64"/>
      <c r="Y347" s="64"/>
      <c r="Z347" s="64"/>
      <c r="AA347" s="64"/>
      <c r="AB347" s="64"/>
      <c r="AC347" s="64"/>
      <c r="AD347" s="64"/>
      <c r="AE347" s="64"/>
      <c r="AF347" s="64"/>
      <c r="AG347" s="64"/>
      <c r="AH347" s="64"/>
      <c r="AI347" s="64"/>
      <c r="AJ347" s="64"/>
      <c r="AK347" s="64"/>
      <c r="AL347" s="64"/>
      <c r="AM347" s="64"/>
      <c r="AN347" s="64"/>
      <c r="AO347" s="64"/>
      <c r="AP347" s="64"/>
      <c r="AQ347" s="64"/>
      <c r="AR347" s="64"/>
      <c r="AS347" s="64"/>
      <c r="AT347" s="64"/>
      <c r="AU347" s="64"/>
      <c r="AV347" s="64"/>
      <c r="AW347" s="64"/>
      <c r="AX347" s="64"/>
      <c r="AY347" s="64"/>
      <c r="AZ347" s="64"/>
      <c r="BA347" s="64"/>
      <c r="BB347" s="64"/>
      <c r="BC347" s="64"/>
      <c r="BD347" s="64"/>
      <c r="BE347" s="64"/>
      <c r="BF347" s="64"/>
      <c r="BG347" s="64"/>
    </row>
    <row r="348" spans="4:59">
      <c r="D348" s="64"/>
      <c r="E348" s="64"/>
      <c r="F348" s="64"/>
      <c r="G348" s="64"/>
      <c r="H348" s="64"/>
      <c r="I348" s="64"/>
      <c r="J348" s="64"/>
      <c r="K348" s="64"/>
      <c r="L348" s="64"/>
      <c r="M348" s="64"/>
      <c r="N348" s="64"/>
      <c r="O348" s="64"/>
      <c r="P348" s="64"/>
      <c r="Q348" s="64"/>
      <c r="R348" s="64"/>
      <c r="S348" s="64"/>
      <c r="T348" s="64"/>
      <c r="U348" s="64"/>
      <c r="V348" s="64"/>
      <c r="W348" s="64"/>
      <c r="X348" s="64"/>
      <c r="Y348" s="64"/>
      <c r="Z348" s="64"/>
      <c r="AA348" s="64"/>
      <c r="AB348" s="64"/>
      <c r="AC348" s="64"/>
      <c r="AD348" s="64"/>
      <c r="AE348" s="64"/>
      <c r="AF348" s="64"/>
      <c r="AG348" s="64"/>
      <c r="AH348" s="64"/>
      <c r="AI348" s="64"/>
      <c r="AJ348" s="64"/>
      <c r="AK348" s="64"/>
      <c r="AL348" s="64"/>
      <c r="AM348" s="64"/>
      <c r="AN348" s="64"/>
      <c r="AO348" s="64"/>
      <c r="AP348" s="64"/>
      <c r="AQ348" s="64"/>
      <c r="AR348" s="64"/>
      <c r="AS348" s="64"/>
      <c r="AT348" s="64"/>
      <c r="AU348" s="64"/>
      <c r="AV348" s="64"/>
      <c r="AW348" s="64"/>
      <c r="AX348" s="64"/>
      <c r="AY348" s="64"/>
      <c r="AZ348" s="64"/>
      <c r="BA348" s="64"/>
      <c r="BB348" s="64"/>
      <c r="BC348" s="64"/>
      <c r="BD348" s="64"/>
      <c r="BE348" s="64"/>
      <c r="BF348" s="64"/>
      <c r="BG348" s="64"/>
    </row>
    <row r="349" spans="4:59"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  <c r="P349" s="64"/>
      <c r="Q349" s="64"/>
      <c r="R349" s="64"/>
      <c r="S349" s="64"/>
      <c r="T349" s="64"/>
      <c r="U349" s="64"/>
      <c r="V349" s="64"/>
      <c r="W349" s="64"/>
      <c r="X349" s="64"/>
      <c r="Y349" s="64"/>
      <c r="Z349" s="64"/>
      <c r="AA349" s="64"/>
      <c r="AB349" s="64"/>
      <c r="AC349" s="64"/>
      <c r="AD349" s="64"/>
      <c r="AE349" s="64"/>
      <c r="AF349" s="64"/>
      <c r="AG349" s="64"/>
      <c r="AH349" s="64"/>
      <c r="AI349" s="64"/>
      <c r="AJ349" s="64"/>
      <c r="AK349" s="64"/>
      <c r="AL349" s="64"/>
      <c r="AM349" s="64"/>
      <c r="AN349" s="64"/>
      <c r="AO349" s="64"/>
      <c r="AP349" s="64"/>
      <c r="AQ349" s="64"/>
      <c r="AR349" s="64"/>
      <c r="AS349" s="64"/>
      <c r="AT349" s="64"/>
      <c r="AU349" s="64"/>
      <c r="AV349" s="64"/>
      <c r="AW349" s="64"/>
      <c r="AX349" s="64"/>
      <c r="AY349" s="64"/>
      <c r="AZ349" s="64"/>
      <c r="BA349" s="64"/>
      <c r="BB349" s="64"/>
      <c r="BC349" s="64"/>
      <c r="BD349" s="64"/>
      <c r="BE349" s="64"/>
      <c r="BF349" s="64"/>
      <c r="BG349" s="64"/>
    </row>
    <row r="350" spans="4:59">
      <c r="D350" s="64"/>
      <c r="E350" s="64"/>
      <c r="F350" s="64"/>
      <c r="G350" s="64"/>
      <c r="H350" s="64"/>
      <c r="I350" s="64"/>
      <c r="J350" s="64"/>
      <c r="K350" s="64"/>
      <c r="L350" s="64"/>
      <c r="M350" s="64"/>
      <c r="N350" s="64"/>
      <c r="O350" s="64"/>
      <c r="P350" s="64"/>
      <c r="Q350" s="64"/>
      <c r="R350" s="64"/>
      <c r="S350" s="64"/>
      <c r="T350" s="64"/>
      <c r="U350" s="64"/>
      <c r="V350" s="64"/>
      <c r="W350" s="64"/>
      <c r="X350" s="64"/>
      <c r="Y350" s="64"/>
      <c r="Z350" s="64"/>
      <c r="AA350" s="64"/>
      <c r="AB350" s="64"/>
      <c r="AC350" s="64"/>
      <c r="AD350" s="64"/>
      <c r="AE350" s="64"/>
      <c r="AF350" s="64"/>
      <c r="AG350" s="64"/>
      <c r="AH350" s="64"/>
      <c r="AI350" s="64"/>
      <c r="AJ350" s="64"/>
      <c r="AK350" s="64"/>
      <c r="AL350" s="64"/>
      <c r="AM350" s="64"/>
      <c r="AN350" s="64"/>
      <c r="AO350" s="64"/>
      <c r="AP350" s="64"/>
      <c r="AQ350" s="64"/>
      <c r="AR350" s="64"/>
      <c r="AS350" s="64"/>
      <c r="AT350" s="64"/>
      <c r="AU350" s="64"/>
      <c r="AV350" s="64"/>
      <c r="AW350" s="64"/>
      <c r="AX350" s="64"/>
      <c r="AY350" s="64"/>
      <c r="AZ350" s="64"/>
      <c r="BA350" s="64"/>
      <c r="BB350" s="64"/>
      <c r="BC350" s="64"/>
      <c r="BD350" s="64"/>
      <c r="BE350" s="64"/>
      <c r="BF350" s="64"/>
      <c r="BG350" s="64"/>
    </row>
    <row r="351" spans="4:59"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  <c r="P351" s="64"/>
      <c r="Q351" s="64"/>
      <c r="R351" s="64"/>
      <c r="S351" s="64"/>
      <c r="T351" s="64"/>
      <c r="U351" s="64"/>
      <c r="V351" s="64"/>
      <c r="W351" s="64"/>
      <c r="X351" s="64"/>
      <c r="Y351" s="64"/>
      <c r="Z351" s="64"/>
      <c r="AA351" s="64"/>
      <c r="AB351" s="64"/>
      <c r="AC351" s="64"/>
      <c r="AD351" s="64"/>
      <c r="AE351" s="64"/>
      <c r="AF351" s="64"/>
      <c r="AG351" s="64"/>
      <c r="AH351" s="64"/>
      <c r="AI351" s="64"/>
      <c r="AJ351" s="64"/>
      <c r="AK351" s="64"/>
      <c r="AL351" s="64"/>
      <c r="AM351" s="64"/>
      <c r="AN351" s="64"/>
      <c r="AO351" s="64"/>
      <c r="AP351" s="64"/>
      <c r="AQ351" s="64"/>
      <c r="AR351" s="64"/>
      <c r="AS351" s="64"/>
      <c r="AT351" s="64"/>
      <c r="AU351" s="64"/>
      <c r="AV351" s="64"/>
      <c r="AW351" s="64"/>
      <c r="AX351" s="64"/>
      <c r="AY351" s="64"/>
      <c r="AZ351" s="64"/>
      <c r="BA351" s="64"/>
      <c r="BB351" s="64"/>
      <c r="BC351" s="64"/>
      <c r="BD351" s="64"/>
      <c r="BE351" s="64"/>
      <c r="BF351" s="64"/>
      <c r="BG351" s="64"/>
    </row>
    <row r="352" spans="4:59">
      <c r="D352" s="64"/>
      <c r="E352" s="64"/>
      <c r="F352" s="64"/>
      <c r="G352" s="64"/>
      <c r="H352" s="64"/>
      <c r="I352" s="64"/>
      <c r="J352" s="64"/>
      <c r="K352" s="64"/>
      <c r="L352" s="64"/>
      <c r="M352" s="64"/>
      <c r="N352" s="64"/>
      <c r="O352" s="64"/>
      <c r="P352" s="64"/>
      <c r="Q352" s="64"/>
      <c r="R352" s="64"/>
      <c r="S352" s="64"/>
      <c r="T352" s="64"/>
      <c r="U352" s="64"/>
      <c r="V352" s="64"/>
      <c r="W352" s="64"/>
      <c r="X352" s="64"/>
      <c r="Y352" s="64"/>
      <c r="Z352" s="64"/>
      <c r="AA352" s="64"/>
      <c r="AB352" s="64"/>
      <c r="AC352" s="64"/>
      <c r="AD352" s="64"/>
      <c r="AE352" s="64"/>
      <c r="AF352" s="64"/>
      <c r="AG352" s="64"/>
      <c r="AH352" s="64"/>
      <c r="AI352" s="64"/>
      <c r="AJ352" s="64"/>
      <c r="AK352" s="64"/>
      <c r="AL352" s="64"/>
      <c r="AM352" s="64"/>
      <c r="AN352" s="64"/>
      <c r="AO352" s="64"/>
      <c r="AP352" s="64"/>
      <c r="AQ352" s="64"/>
      <c r="AR352" s="64"/>
      <c r="AS352" s="64"/>
      <c r="AT352" s="64"/>
      <c r="AU352" s="64"/>
      <c r="AV352" s="64"/>
      <c r="AW352" s="64"/>
      <c r="AX352" s="64"/>
      <c r="AY352" s="64"/>
      <c r="AZ352" s="64"/>
      <c r="BA352" s="64"/>
      <c r="BB352" s="64"/>
      <c r="BC352" s="64"/>
      <c r="BD352" s="64"/>
      <c r="BE352" s="64"/>
      <c r="BF352" s="64"/>
      <c r="BG352" s="64"/>
    </row>
    <row r="353" spans="4:59">
      <c r="D353" s="64"/>
      <c r="E353" s="64"/>
      <c r="F353" s="64"/>
      <c r="G353" s="64"/>
      <c r="H353" s="64"/>
      <c r="I353" s="64"/>
      <c r="J353" s="64"/>
      <c r="K353" s="64"/>
      <c r="L353" s="64"/>
      <c r="M353" s="64"/>
      <c r="N353" s="64"/>
      <c r="O353" s="64"/>
      <c r="P353" s="64"/>
      <c r="Q353" s="64"/>
      <c r="R353" s="64"/>
      <c r="S353" s="64"/>
      <c r="T353" s="64"/>
      <c r="U353" s="64"/>
      <c r="V353" s="64"/>
      <c r="W353" s="64"/>
      <c r="X353" s="64"/>
      <c r="Y353" s="64"/>
      <c r="Z353" s="64"/>
      <c r="AA353" s="64"/>
      <c r="AB353" s="64"/>
      <c r="AC353" s="64"/>
      <c r="AD353" s="64"/>
      <c r="AE353" s="64"/>
      <c r="AF353" s="64"/>
      <c r="AG353" s="64"/>
      <c r="AH353" s="64"/>
      <c r="AI353" s="64"/>
      <c r="AJ353" s="64"/>
      <c r="AK353" s="64"/>
      <c r="AL353" s="64"/>
      <c r="AM353" s="64"/>
      <c r="AN353" s="64"/>
      <c r="AO353" s="64"/>
      <c r="AP353" s="64"/>
      <c r="AQ353" s="64"/>
      <c r="AR353" s="64"/>
      <c r="AS353" s="64"/>
      <c r="AT353" s="64"/>
      <c r="AU353" s="64"/>
      <c r="AV353" s="64"/>
      <c r="AW353" s="64"/>
      <c r="AX353" s="64"/>
      <c r="AY353" s="64"/>
      <c r="AZ353" s="64"/>
      <c r="BA353" s="64"/>
      <c r="BB353" s="64"/>
      <c r="BC353" s="64"/>
      <c r="BD353" s="64"/>
      <c r="BE353" s="64"/>
      <c r="BF353" s="64"/>
      <c r="BG353" s="64"/>
    </row>
    <row r="354" spans="4:59">
      <c r="D354" s="64"/>
      <c r="E354" s="64"/>
      <c r="F354" s="64"/>
      <c r="G354" s="64"/>
      <c r="H354" s="64"/>
      <c r="I354" s="64"/>
      <c r="J354" s="64"/>
      <c r="K354" s="64"/>
      <c r="L354" s="64"/>
      <c r="M354" s="64"/>
      <c r="N354" s="64"/>
      <c r="O354" s="64"/>
      <c r="P354" s="64"/>
      <c r="Q354" s="64"/>
      <c r="R354" s="64"/>
      <c r="S354" s="64"/>
      <c r="T354" s="64"/>
      <c r="U354" s="64"/>
      <c r="V354" s="64"/>
      <c r="W354" s="64"/>
      <c r="X354" s="64"/>
      <c r="Y354" s="64"/>
      <c r="Z354" s="64"/>
      <c r="AA354" s="64"/>
      <c r="AB354" s="64"/>
      <c r="AC354" s="64"/>
      <c r="AD354" s="64"/>
      <c r="AE354" s="64"/>
      <c r="AF354" s="64"/>
      <c r="AG354" s="64"/>
      <c r="AH354" s="64"/>
      <c r="AI354" s="64"/>
      <c r="AJ354" s="64"/>
      <c r="AK354" s="64"/>
      <c r="AL354" s="64"/>
      <c r="AM354" s="64"/>
      <c r="AN354" s="64"/>
      <c r="AO354" s="64"/>
      <c r="AP354" s="64"/>
      <c r="AQ354" s="64"/>
      <c r="AR354" s="64"/>
      <c r="AS354" s="64"/>
      <c r="AT354" s="64"/>
      <c r="AU354" s="64"/>
      <c r="AV354" s="64"/>
      <c r="AW354" s="64"/>
      <c r="AX354" s="64"/>
      <c r="AY354" s="64"/>
      <c r="AZ354" s="64"/>
      <c r="BA354" s="64"/>
      <c r="BB354" s="64"/>
      <c r="BC354" s="64"/>
      <c r="BD354" s="64"/>
      <c r="BE354" s="64"/>
      <c r="BF354" s="64"/>
      <c r="BG354" s="64"/>
    </row>
    <row r="355" spans="4:59">
      <c r="D355" s="64"/>
      <c r="E355" s="64"/>
      <c r="F355" s="64"/>
      <c r="G355" s="64"/>
      <c r="H355" s="64"/>
      <c r="I355" s="64"/>
      <c r="J355" s="64"/>
      <c r="K355" s="64"/>
      <c r="L355" s="64"/>
      <c r="M355" s="64"/>
      <c r="N355" s="64"/>
      <c r="O355" s="64"/>
      <c r="P355" s="64"/>
      <c r="Q355" s="64"/>
      <c r="R355" s="64"/>
      <c r="S355" s="64"/>
      <c r="T355" s="64"/>
      <c r="U355" s="64"/>
      <c r="V355" s="64"/>
      <c r="W355" s="64"/>
      <c r="X355" s="64"/>
      <c r="Y355" s="64"/>
      <c r="Z355" s="64"/>
      <c r="AA355" s="64"/>
      <c r="AB355" s="64"/>
      <c r="AC355" s="64"/>
      <c r="AD355" s="64"/>
      <c r="AE355" s="64"/>
      <c r="AF355" s="64"/>
      <c r="AG355" s="64"/>
      <c r="AH355" s="64"/>
      <c r="AI355" s="64"/>
      <c r="AJ355" s="64"/>
      <c r="AK355" s="64"/>
      <c r="AL355" s="64"/>
      <c r="AM355" s="64"/>
      <c r="AN355" s="64"/>
      <c r="AO355" s="64"/>
      <c r="AP355" s="64"/>
      <c r="AQ355" s="64"/>
      <c r="AR355" s="64"/>
      <c r="AS355" s="64"/>
      <c r="AT355" s="64"/>
      <c r="AU355" s="64"/>
      <c r="AV355" s="64"/>
      <c r="AW355" s="64"/>
      <c r="AX355" s="64"/>
      <c r="AY355" s="64"/>
      <c r="AZ355" s="64"/>
      <c r="BA355" s="64"/>
      <c r="BB355" s="64"/>
      <c r="BC355" s="64"/>
      <c r="BD355" s="64"/>
      <c r="BE355" s="64"/>
      <c r="BF355" s="64"/>
      <c r="BG355" s="64"/>
    </row>
    <row r="356" spans="4:59">
      <c r="D356" s="64"/>
      <c r="E356" s="64"/>
      <c r="F356" s="64"/>
      <c r="G356" s="64"/>
      <c r="H356" s="64"/>
      <c r="I356" s="64"/>
      <c r="J356" s="64"/>
      <c r="K356" s="64"/>
      <c r="L356" s="64"/>
      <c r="M356" s="64"/>
      <c r="N356" s="64"/>
      <c r="O356" s="64"/>
      <c r="P356" s="64"/>
      <c r="Q356" s="64"/>
      <c r="R356" s="64"/>
      <c r="S356" s="64"/>
      <c r="T356" s="64"/>
      <c r="U356" s="64"/>
      <c r="V356" s="64"/>
      <c r="W356" s="64"/>
      <c r="X356" s="64"/>
      <c r="Y356" s="64"/>
      <c r="Z356" s="64"/>
      <c r="AA356" s="64"/>
      <c r="AB356" s="64"/>
      <c r="AC356" s="64"/>
      <c r="AD356" s="64"/>
      <c r="AE356" s="64"/>
      <c r="AF356" s="64"/>
      <c r="AG356" s="64"/>
      <c r="AH356" s="64"/>
      <c r="AI356" s="64"/>
      <c r="AJ356" s="64"/>
      <c r="AK356" s="64"/>
      <c r="AL356" s="64"/>
      <c r="AM356" s="64"/>
      <c r="AN356" s="64"/>
      <c r="AO356" s="64"/>
      <c r="AP356" s="64"/>
      <c r="AQ356" s="64"/>
      <c r="AR356" s="64"/>
      <c r="AS356" s="64"/>
      <c r="AT356" s="64"/>
      <c r="AU356" s="64"/>
      <c r="AV356" s="64"/>
      <c r="AW356" s="64"/>
      <c r="AX356" s="64"/>
      <c r="AY356" s="64"/>
      <c r="AZ356" s="64"/>
      <c r="BA356" s="64"/>
      <c r="BB356" s="64"/>
      <c r="BC356" s="64"/>
      <c r="BD356" s="64"/>
      <c r="BE356" s="64"/>
      <c r="BF356" s="64"/>
      <c r="BG356" s="64"/>
    </row>
    <row r="357" spans="4:59">
      <c r="D357" s="64"/>
      <c r="E357" s="64"/>
      <c r="F357" s="64"/>
      <c r="G357" s="64"/>
      <c r="H357" s="64"/>
      <c r="I357" s="64"/>
      <c r="J357" s="64"/>
      <c r="K357" s="64"/>
      <c r="L357" s="64"/>
      <c r="M357" s="64"/>
      <c r="N357" s="64"/>
      <c r="O357" s="64"/>
      <c r="P357" s="64"/>
      <c r="Q357" s="64"/>
      <c r="R357" s="64"/>
      <c r="S357" s="64"/>
      <c r="T357" s="64"/>
      <c r="U357" s="64"/>
      <c r="V357" s="64"/>
      <c r="W357" s="64"/>
      <c r="X357" s="64"/>
      <c r="Y357" s="64"/>
      <c r="Z357" s="64"/>
      <c r="AA357" s="64"/>
      <c r="AB357" s="64"/>
      <c r="AC357" s="64"/>
      <c r="AD357" s="64"/>
      <c r="AE357" s="64"/>
      <c r="AF357" s="64"/>
      <c r="AG357" s="64"/>
      <c r="AH357" s="64"/>
      <c r="AI357" s="64"/>
      <c r="AJ357" s="64"/>
      <c r="AK357" s="64"/>
      <c r="AL357" s="64"/>
      <c r="AM357" s="64"/>
      <c r="AN357" s="64"/>
      <c r="AO357" s="64"/>
      <c r="AP357" s="64"/>
      <c r="AQ357" s="64"/>
      <c r="AR357" s="64"/>
      <c r="AS357" s="64"/>
      <c r="AT357" s="64"/>
      <c r="AU357" s="64"/>
      <c r="AV357" s="64"/>
      <c r="AW357" s="64"/>
      <c r="AX357" s="64"/>
      <c r="AY357" s="64"/>
      <c r="AZ357" s="64"/>
      <c r="BA357" s="64"/>
      <c r="BB357" s="64"/>
      <c r="BC357" s="64"/>
      <c r="BD357" s="64"/>
      <c r="BE357" s="64"/>
      <c r="BF357" s="64"/>
      <c r="BG357" s="64"/>
    </row>
    <row r="358" spans="4:59">
      <c r="D358" s="64"/>
      <c r="E358" s="64"/>
      <c r="F358" s="64"/>
      <c r="G358" s="64"/>
      <c r="H358" s="64"/>
      <c r="I358" s="64"/>
      <c r="J358" s="64"/>
      <c r="K358" s="64"/>
      <c r="L358" s="64"/>
      <c r="M358" s="64"/>
      <c r="N358" s="64"/>
      <c r="O358" s="64"/>
      <c r="P358" s="64"/>
      <c r="Q358" s="64"/>
      <c r="R358" s="64"/>
      <c r="S358" s="64"/>
      <c r="T358" s="64"/>
      <c r="U358" s="64"/>
      <c r="V358" s="64"/>
      <c r="W358" s="64"/>
      <c r="X358" s="64"/>
      <c r="Y358" s="64"/>
      <c r="Z358" s="64"/>
      <c r="AA358" s="64"/>
      <c r="AB358" s="64"/>
      <c r="AC358" s="64"/>
      <c r="AD358" s="64"/>
      <c r="AE358" s="64"/>
      <c r="AF358" s="64"/>
      <c r="AG358" s="64"/>
      <c r="AH358" s="64"/>
      <c r="AI358" s="64"/>
      <c r="AJ358" s="64"/>
      <c r="AK358" s="64"/>
      <c r="AL358" s="64"/>
      <c r="AM358" s="64"/>
      <c r="AN358" s="64"/>
      <c r="AO358" s="64"/>
      <c r="AP358" s="64"/>
      <c r="AQ358" s="64"/>
      <c r="AR358" s="64"/>
      <c r="AS358" s="64"/>
      <c r="AT358" s="64"/>
      <c r="AU358" s="64"/>
      <c r="AV358" s="64"/>
      <c r="AW358" s="64"/>
      <c r="AX358" s="64"/>
      <c r="AY358" s="64"/>
      <c r="AZ358" s="64"/>
      <c r="BA358" s="64"/>
      <c r="BB358" s="64"/>
      <c r="BC358" s="64"/>
      <c r="BD358" s="64"/>
      <c r="BE358" s="64"/>
      <c r="BF358" s="64"/>
      <c r="BG358" s="64"/>
    </row>
    <row r="359" spans="4:59">
      <c r="D359" s="64"/>
      <c r="E359" s="64"/>
      <c r="F359" s="64"/>
      <c r="G359" s="64"/>
      <c r="H359" s="64"/>
      <c r="I359" s="64"/>
      <c r="J359" s="64"/>
      <c r="K359" s="64"/>
      <c r="L359" s="64"/>
      <c r="M359" s="64"/>
      <c r="N359" s="64"/>
      <c r="O359" s="64"/>
      <c r="P359" s="64"/>
      <c r="Q359" s="64"/>
      <c r="R359" s="64"/>
      <c r="S359" s="64"/>
      <c r="T359" s="64"/>
      <c r="U359" s="64"/>
      <c r="V359" s="64"/>
      <c r="W359" s="64"/>
      <c r="X359" s="64"/>
      <c r="Y359" s="64"/>
      <c r="Z359" s="64"/>
      <c r="AA359" s="64"/>
      <c r="AB359" s="64"/>
      <c r="AC359" s="64"/>
      <c r="AD359" s="64"/>
      <c r="AE359" s="64"/>
      <c r="AF359" s="64"/>
      <c r="AG359" s="64"/>
      <c r="AH359" s="64"/>
      <c r="AI359" s="64"/>
      <c r="AJ359" s="64"/>
      <c r="AK359" s="64"/>
      <c r="AL359" s="64"/>
      <c r="AM359" s="64"/>
      <c r="AN359" s="64"/>
      <c r="AO359" s="64"/>
      <c r="AP359" s="64"/>
      <c r="AQ359" s="64"/>
      <c r="AR359" s="64"/>
      <c r="AS359" s="64"/>
      <c r="AT359" s="64"/>
      <c r="AU359" s="64"/>
      <c r="AV359" s="64"/>
      <c r="AW359" s="64"/>
      <c r="AX359" s="64"/>
      <c r="AY359" s="64"/>
      <c r="AZ359" s="64"/>
      <c r="BA359" s="64"/>
      <c r="BB359" s="64"/>
      <c r="BC359" s="64"/>
      <c r="BD359" s="64"/>
      <c r="BE359" s="64"/>
      <c r="BF359" s="64"/>
      <c r="BG359" s="64"/>
    </row>
    <row r="360" spans="4:59">
      <c r="D360" s="64"/>
      <c r="E360" s="64"/>
      <c r="F360" s="64"/>
      <c r="G360" s="64"/>
      <c r="H360" s="64"/>
      <c r="I360" s="64"/>
      <c r="J360" s="64"/>
      <c r="K360" s="64"/>
      <c r="L360" s="64"/>
      <c r="M360" s="64"/>
      <c r="N360" s="64"/>
      <c r="O360" s="64"/>
      <c r="P360" s="64"/>
      <c r="Q360" s="64"/>
      <c r="R360" s="64"/>
      <c r="S360" s="64"/>
      <c r="T360" s="64"/>
      <c r="U360" s="64"/>
      <c r="V360" s="64"/>
      <c r="W360" s="64"/>
      <c r="X360" s="64"/>
      <c r="Y360" s="64"/>
      <c r="Z360" s="64"/>
      <c r="AA360" s="64"/>
      <c r="AB360" s="64"/>
      <c r="AC360" s="64"/>
      <c r="AD360" s="64"/>
      <c r="AE360" s="64"/>
      <c r="AF360" s="64"/>
      <c r="AG360" s="64"/>
      <c r="AH360" s="64"/>
      <c r="AI360" s="64"/>
      <c r="AJ360" s="64"/>
      <c r="AK360" s="64"/>
      <c r="AL360" s="64"/>
      <c r="AM360" s="64"/>
      <c r="AN360" s="64"/>
      <c r="AO360" s="64"/>
      <c r="AP360" s="64"/>
      <c r="AQ360" s="64"/>
      <c r="AR360" s="64"/>
      <c r="AS360" s="64"/>
      <c r="AT360" s="64"/>
      <c r="AU360" s="64"/>
      <c r="AV360" s="64"/>
      <c r="AW360" s="64"/>
      <c r="AX360" s="64"/>
      <c r="AY360" s="64"/>
      <c r="AZ360" s="64"/>
      <c r="BA360" s="64"/>
      <c r="BB360" s="64"/>
      <c r="BC360" s="64"/>
      <c r="BD360" s="64"/>
      <c r="BE360" s="64"/>
      <c r="BF360" s="64"/>
      <c r="BG360" s="64"/>
    </row>
    <row r="361" spans="4:59">
      <c r="D361" s="64"/>
      <c r="E361" s="64"/>
      <c r="F361" s="64"/>
      <c r="G361" s="64"/>
      <c r="H361" s="64"/>
      <c r="I361" s="64"/>
      <c r="J361" s="64"/>
      <c r="K361" s="64"/>
      <c r="L361" s="64"/>
      <c r="M361" s="64"/>
      <c r="N361" s="64"/>
      <c r="O361" s="64"/>
      <c r="P361" s="64"/>
      <c r="Q361" s="64"/>
      <c r="R361" s="64"/>
      <c r="S361" s="64"/>
      <c r="T361" s="64"/>
      <c r="U361" s="64"/>
      <c r="V361" s="64"/>
      <c r="W361" s="64"/>
      <c r="X361" s="64"/>
      <c r="Y361" s="64"/>
      <c r="Z361" s="64"/>
      <c r="AA361" s="64"/>
      <c r="AB361" s="64"/>
      <c r="AC361" s="64"/>
      <c r="AD361" s="64"/>
      <c r="AE361" s="64"/>
      <c r="AF361" s="64"/>
      <c r="AG361" s="64"/>
      <c r="AH361" s="64"/>
      <c r="AI361" s="64"/>
      <c r="AJ361" s="64"/>
      <c r="AK361" s="64"/>
      <c r="AL361" s="64"/>
      <c r="AM361" s="64"/>
      <c r="AN361" s="64"/>
      <c r="AO361" s="64"/>
      <c r="AP361" s="64"/>
      <c r="AQ361" s="64"/>
      <c r="AR361" s="64"/>
      <c r="AS361" s="64"/>
      <c r="AT361" s="64"/>
      <c r="AU361" s="64"/>
      <c r="AV361" s="64"/>
      <c r="AW361" s="64"/>
      <c r="AX361" s="64"/>
      <c r="AY361" s="64"/>
      <c r="AZ361" s="64"/>
      <c r="BA361" s="64"/>
      <c r="BB361" s="64"/>
      <c r="BC361" s="64"/>
      <c r="BD361" s="64"/>
      <c r="BE361" s="64"/>
      <c r="BF361" s="64"/>
      <c r="BG361" s="64"/>
    </row>
    <row r="362" spans="4:59">
      <c r="D362" s="64"/>
      <c r="E362" s="64"/>
      <c r="F362" s="64"/>
      <c r="G362" s="64"/>
      <c r="H362" s="64"/>
      <c r="I362" s="64"/>
      <c r="J362" s="64"/>
      <c r="K362" s="64"/>
      <c r="L362" s="64"/>
      <c r="M362" s="64"/>
      <c r="N362" s="64"/>
      <c r="O362" s="64"/>
      <c r="P362" s="64"/>
      <c r="Q362" s="64"/>
      <c r="R362" s="64"/>
      <c r="S362" s="64"/>
      <c r="T362" s="64"/>
      <c r="U362" s="64"/>
      <c r="V362" s="64"/>
      <c r="W362" s="64"/>
      <c r="X362" s="64"/>
      <c r="Y362" s="64"/>
      <c r="Z362" s="64"/>
      <c r="AA362" s="64"/>
      <c r="AB362" s="64"/>
      <c r="AC362" s="64"/>
      <c r="AD362" s="64"/>
      <c r="AE362" s="64"/>
      <c r="AF362" s="64"/>
      <c r="AG362" s="64"/>
      <c r="AH362" s="64"/>
      <c r="AI362" s="64"/>
      <c r="AJ362" s="64"/>
      <c r="AK362" s="64"/>
      <c r="AL362" s="64"/>
      <c r="AM362" s="64"/>
      <c r="AN362" s="64"/>
      <c r="AO362" s="64"/>
      <c r="AP362" s="64"/>
      <c r="AQ362" s="64"/>
      <c r="AR362" s="64"/>
      <c r="AS362" s="64"/>
      <c r="AT362" s="64"/>
      <c r="AU362" s="64"/>
      <c r="AV362" s="64"/>
      <c r="AW362" s="64"/>
      <c r="AX362" s="64"/>
      <c r="AY362" s="64"/>
      <c r="AZ362" s="64"/>
      <c r="BA362" s="64"/>
      <c r="BB362" s="64"/>
      <c r="BC362" s="64"/>
      <c r="BD362" s="64"/>
      <c r="BE362" s="64"/>
      <c r="BF362" s="64"/>
      <c r="BG362" s="64"/>
    </row>
    <row r="363" spans="4:59">
      <c r="D363" s="64"/>
      <c r="E363" s="64"/>
      <c r="F363" s="64"/>
      <c r="G363" s="64"/>
      <c r="H363" s="64"/>
      <c r="I363" s="64"/>
      <c r="J363" s="64"/>
      <c r="K363" s="64"/>
      <c r="L363" s="64"/>
      <c r="M363" s="64"/>
      <c r="N363" s="64"/>
      <c r="O363" s="64"/>
      <c r="P363" s="64"/>
      <c r="Q363" s="64"/>
      <c r="R363" s="64"/>
      <c r="S363" s="64"/>
      <c r="T363" s="64"/>
      <c r="U363" s="64"/>
      <c r="V363" s="64"/>
      <c r="W363" s="64"/>
      <c r="X363" s="64"/>
      <c r="Y363" s="64"/>
      <c r="Z363" s="64"/>
      <c r="AA363" s="64"/>
      <c r="AB363" s="64"/>
      <c r="AC363" s="64"/>
      <c r="AD363" s="64"/>
      <c r="AE363" s="64"/>
      <c r="AF363" s="64"/>
      <c r="AG363" s="64"/>
      <c r="AH363" s="64"/>
      <c r="AI363" s="64"/>
      <c r="AJ363" s="64"/>
      <c r="AK363" s="64"/>
      <c r="AL363" s="64"/>
      <c r="AM363" s="64"/>
      <c r="AN363" s="64"/>
      <c r="AO363" s="64"/>
      <c r="AP363" s="64"/>
      <c r="AQ363" s="64"/>
      <c r="AR363" s="64"/>
      <c r="AS363" s="64"/>
      <c r="AT363" s="64"/>
      <c r="AU363" s="64"/>
      <c r="AV363" s="64"/>
      <c r="AW363" s="64"/>
      <c r="AX363" s="64"/>
      <c r="AY363" s="64"/>
      <c r="AZ363" s="64"/>
      <c r="BA363" s="64"/>
      <c r="BB363" s="64"/>
      <c r="BC363" s="64"/>
      <c r="BD363" s="64"/>
      <c r="BE363" s="64"/>
      <c r="BF363" s="64"/>
      <c r="BG363" s="64"/>
    </row>
    <row r="364" spans="4:59">
      <c r="D364" s="64"/>
      <c r="E364" s="64"/>
      <c r="F364" s="64"/>
      <c r="G364" s="64"/>
      <c r="H364" s="64"/>
      <c r="I364" s="64"/>
      <c r="J364" s="64"/>
      <c r="K364" s="64"/>
      <c r="L364" s="64"/>
      <c r="M364" s="64"/>
      <c r="N364" s="64"/>
      <c r="O364" s="64"/>
      <c r="P364" s="64"/>
      <c r="Q364" s="64"/>
      <c r="R364" s="64"/>
      <c r="S364" s="64"/>
      <c r="T364" s="64"/>
      <c r="U364" s="64"/>
      <c r="V364" s="64"/>
      <c r="W364" s="64"/>
      <c r="X364" s="64"/>
      <c r="Y364" s="64"/>
      <c r="Z364" s="64"/>
      <c r="AA364" s="64"/>
      <c r="AB364" s="64"/>
      <c r="AC364" s="64"/>
      <c r="AD364" s="64"/>
      <c r="AE364" s="64"/>
      <c r="AF364" s="64"/>
      <c r="AG364" s="64"/>
      <c r="AH364" s="64"/>
      <c r="AI364" s="64"/>
      <c r="AJ364" s="64"/>
      <c r="AK364" s="64"/>
      <c r="AL364" s="64"/>
      <c r="AM364" s="64"/>
      <c r="AN364" s="64"/>
      <c r="AO364" s="64"/>
      <c r="AP364" s="64"/>
      <c r="AQ364" s="64"/>
      <c r="AR364" s="64"/>
      <c r="AS364" s="64"/>
      <c r="AT364" s="64"/>
      <c r="AU364" s="64"/>
      <c r="AV364" s="64"/>
      <c r="AW364" s="64"/>
      <c r="AX364" s="64"/>
      <c r="AY364" s="64"/>
      <c r="AZ364" s="64"/>
      <c r="BA364" s="64"/>
      <c r="BB364" s="64"/>
      <c r="BC364" s="64"/>
      <c r="BD364" s="64"/>
      <c r="BE364" s="64"/>
      <c r="BF364" s="64"/>
      <c r="BG364" s="64"/>
    </row>
    <row r="365" spans="4:59">
      <c r="D365" s="64"/>
      <c r="E365" s="64"/>
      <c r="F365" s="64"/>
      <c r="G365" s="64"/>
      <c r="H365" s="64"/>
      <c r="I365" s="64"/>
      <c r="J365" s="64"/>
      <c r="K365" s="64"/>
      <c r="L365" s="64"/>
      <c r="M365" s="64"/>
      <c r="N365" s="64"/>
      <c r="O365" s="64"/>
      <c r="P365" s="64"/>
      <c r="Q365" s="64"/>
      <c r="R365" s="64"/>
      <c r="S365" s="64"/>
      <c r="T365" s="64"/>
      <c r="U365" s="64"/>
      <c r="V365" s="64"/>
      <c r="W365" s="64"/>
      <c r="X365" s="64"/>
      <c r="Y365" s="64"/>
      <c r="Z365" s="64"/>
      <c r="AA365" s="64"/>
      <c r="AB365" s="64"/>
      <c r="AC365" s="64"/>
      <c r="AD365" s="64"/>
      <c r="AE365" s="64"/>
      <c r="AF365" s="64"/>
      <c r="AG365" s="64"/>
      <c r="AH365" s="64"/>
      <c r="AI365" s="64"/>
      <c r="AJ365" s="64"/>
      <c r="AK365" s="64"/>
      <c r="AL365" s="64"/>
      <c r="AM365" s="64"/>
      <c r="AN365" s="64"/>
      <c r="AO365" s="64"/>
      <c r="AP365" s="64"/>
      <c r="AQ365" s="64"/>
      <c r="AR365" s="64"/>
      <c r="AS365" s="64"/>
      <c r="AT365" s="64"/>
      <c r="AU365" s="64"/>
      <c r="AV365" s="64"/>
      <c r="AW365" s="64"/>
      <c r="AX365" s="64"/>
      <c r="AY365" s="64"/>
      <c r="AZ365" s="64"/>
      <c r="BA365" s="64"/>
      <c r="BB365" s="64"/>
      <c r="BC365" s="64"/>
      <c r="BD365" s="64"/>
      <c r="BE365" s="64"/>
      <c r="BF365" s="64"/>
      <c r="BG365" s="64"/>
    </row>
    <row r="366" spans="4:59">
      <c r="D366" s="64"/>
      <c r="E366" s="64"/>
      <c r="F366" s="64"/>
      <c r="G366" s="64"/>
      <c r="H366" s="64"/>
      <c r="I366" s="64"/>
      <c r="J366" s="64"/>
      <c r="K366" s="64"/>
      <c r="L366" s="64"/>
      <c r="M366" s="64"/>
      <c r="N366" s="64"/>
      <c r="O366" s="64"/>
      <c r="P366" s="64"/>
      <c r="Q366" s="64"/>
      <c r="R366" s="64"/>
      <c r="S366" s="64"/>
      <c r="T366" s="64"/>
      <c r="U366" s="64"/>
      <c r="V366" s="64"/>
      <c r="W366" s="64"/>
      <c r="X366" s="64"/>
      <c r="Y366" s="64"/>
      <c r="Z366" s="64"/>
      <c r="AA366" s="64"/>
      <c r="AB366" s="64"/>
      <c r="AC366" s="64"/>
      <c r="AD366" s="64"/>
      <c r="AE366" s="64"/>
      <c r="AF366" s="64"/>
      <c r="AG366" s="64"/>
      <c r="AH366" s="64"/>
      <c r="AI366" s="64"/>
      <c r="AJ366" s="64"/>
      <c r="AK366" s="64"/>
      <c r="AL366" s="64"/>
      <c r="AM366" s="64"/>
      <c r="AN366" s="64"/>
      <c r="AO366" s="64"/>
      <c r="AP366" s="64"/>
      <c r="AQ366" s="64"/>
      <c r="AR366" s="64"/>
      <c r="AS366" s="64"/>
      <c r="AT366" s="64"/>
      <c r="AU366" s="64"/>
      <c r="AV366" s="64"/>
      <c r="AW366" s="64"/>
      <c r="AX366" s="64"/>
      <c r="AY366" s="64"/>
      <c r="AZ366" s="64"/>
      <c r="BA366" s="64"/>
      <c r="BB366" s="64"/>
      <c r="BC366" s="64"/>
      <c r="BD366" s="64"/>
      <c r="BE366" s="64"/>
      <c r="BF366" s="64"/>
      <c r="BG366" s="64"/>
    </row>
    <row r="367" spans="4:59">
      <c r="D367" s="64"/>
      <c r="E367" s="64"/>
      <c r="F367" s="64"/>
      <c r="G367" s="64"/>
      <c r="H367" s="64"/>
      <c r="I367" s="64"/>
      <c r="J367" s="64"/>
      <c r="K367" s="64"/>
      <c r="L367" s="64"/>
      <c r="M367" s="64"/>
      <c r="N367" s="64"/>
      <c r="O367" s="64"/>
      <c r="P367" s="64"/>
      <c r="Q367" s="64"/>
      <c r="R367" s="64"/>
      <c r="S367" s="64"/>
      <c r="T367" s="64"/>
      <c r="U367" s="64"/>
      <c r="V367" s="64"/>
      <c r="W367" s="64"/>
      <c r="X367" s="64"/>
      <c r="Y367" s="64"/>
      <c r="Z367" s="64"/>
      <c r="AA367" s="64"/>
      <c r="AB367" s="64"/>
      <c r="AC367" s="64"/>
      <c r="AD367" s="64"/>
      <c r="AE367" s="64"/>
      <c r="AF367" s="64"/>
      <c r="AG367" s="64"/>
      <c r="AH367" s="64"/>
      <c r="AI367" s="64"/>
      <c r="AJ367" s="64"/>
      <c r="AK367" s="64"/>
      <c r="AL367" s="64"/>
      <c r="AM367" s="64"/>
      <c r="AN367" s="64"/>
      <c r="AO367" s="64"/>
      <c r="AP367" s="64"/>
      <c r="AQ367" s="64"/>
      <c r="AR367" s="64"/>
      <c r="AS367" s="64"/>
      <c r="AT367" s="64"/>
      <c r="AU367" s="64"/>
      <c r="AV367" s="64"/>
      <c r="AW367" s="64"/>
      <c r="AX367" s="64"/>
      <c r="AY367" s="64"/>
      <c r="AZ367" s="64"/>
      <c r="BA367" s="64"/>
      <c r="BB367" s="64"/>
      <c r="BC367" s="64"/>
      <c r="BD367" s="64"/>
      <c r="BE367" s="64"/>
      <c r="BF367" s="64"/>
      <c r="BG367" s="64"/>
    </row>
    <row r="368" spans="4:59">
      <c r="D368" s="64"/>
      <c r="E368" s="64"/>
      <c r="F368" s="64"/>
      <c r="G368" s="64"/>
      <c r="H368" s="64"/>
      <c r="I368" s="64"/>
      <c r="J368" s="64"/>
      <c r="K368" s="64"/>
      <c r="L368" s="64"/>
      <c r="M368" s="64"/>
      <c r="N368" s="64"/>
      <c r="O368" s="64"/>
      <c r="P368" s="64"/>
      <c r="Q368" s="64"/>
      <c r="R368" s="64"/>
      <c r="S368" s="64"/>
      <c r="T368" s="64"/>
      <c r="U368" s="64"/>
      <c r="V368" s="64"/>
      <c r="W368" s="64"/>
      <c r="X368" s="64"/>
      <c r="Y368" s="64"/>
      <c r="Z368" s="64"/>
      <c r="AA368" s="64"/>
      <c r="AB368" s="64"/>
      <c r="AC368" s="64"/>
      <c r="AD368" s="64"/>
      <c r="AE368" s="64"/>
      <c r="AF368" s="64"/>
      <c r="AG368" s="64"/>
      <c r="AH368" s="64"/>
      <c r="AI368" s="64"/>
      <c r="AJ368" s="64"/>
      <c r="AK368" s="64"/>
      <c r="AL368" s="64"/>
      <c r="AM368" s="64"/>
      <c r="AN368" s="64"/>
      <c r="AO368" s="64"/>
      <c r="AP368" s="64"/>
      <c r="AQ368" s="64"/>
      <c r="AR368" s="64"/>
      <c r="AS368" s="64"/>
      <c r="AT368" s="64"/>
      <c r="AU368" s="64"/>
      <c r="AV368" s="64"/>
      <c r="AW368" s="64"/>
      <c r="AX368" s="64"/>
      <c r="AY368" s="64"/>
      <c r="AZ368" s="64"/>
      <c r="BA368" s="64"/>
      <c r="BB368" s="64"/>
      <c r="BC368" s="64"/>
      <c r="BD368" s="64"/>
      <c r="BE368" s="64"/>
      <c r="BF368" s="64"/>
      <c r="BG368" s="64"/>
    </row>
    <row r="369" spans="4:59">
      <c r="D369" s="64"/>
      <c r="E369" s="64"/>
      <c r="F369" s="64"/>
      <c r="G369" s="64"/>
      <c r="H369" s="64"/>
      <c r="I369" s="64"/>
      <c r="J369" s="64"/>
      <c r="K369" s="64"/>
      <c r="L369" s="64"/>
      <c r="M369" s="64"/>
      <c r="N369" s="64"/>
      <c r="O369" s="64"/>
      <c r="P369" s="64"/>
      <c r="Q369" s="64"/>
      <c r="R369" s="64"/>
      <c r="S369" s="64"/>
      <c r="T369" s="64"/>
      <c r="U369" s="64"/>
      <c r="V369" s="64"/>
      <c r="W369" s="64"/>
      <c r="X369" s="64"/>
      <c r="Y369" s="64"/>
      <c r="Z369" s="64"/>
      <c r="AA369" s="64"/>
      <c r="AB369" s="64"/>
      <c r="AC369" s="64"/>
      <c r="AD369" s="64"/>
      <c r="AE369" s="64"/>
      <c r="AF369" s="64"/>
      <c r="AG369" s="64"/>
      <c r="AH369" s="64"/>
      <c r="AI369" s="64"/>
      <c r="AJ369" s="64"/>
      <c r="AK369" s="64"/>
      <c r="AL369" s="64"/>
      <c r="AM369" s="64"/>
      <c r="AN369" s="64"/>
      <c r="AO369" s="64"/>
      <c r="AP369" s="64"/>
      <c r="AQ369" s="64"/>
      <c r="AR369" s="64"/>
      <c r="AS369" s="64"/>
      <c r="AT369" s="64"/>
      <c r="AU369" s="64"/>
      <c r="AV369" s="64"/>
      <c r="AW369" s="64"/>
      <c r="AX369" s="64"/>
      <c r="AY369" s="64"/>
      <c r="AZ369" s="64"/>
      <c r="BA369" s="64"/>
      <c r="BB369" s="64"/>
      <c r="BC369" s="64"/>
      <c r="BD369" s="64"/>
      <c r="BE369" s="64"/>
      <c r="BF369" s="64"/>
      <c r="BG369" s="64"/>
    </row>
    <row r="370" spans="4:59">
      <c r="D370" s="64"/>
      <c r="E370" s="64"/>
      <c r="F370" s="64"/>
      <c r="G370" s="64"/>
      <c r="H370" s="64"/>
      <c r="I370" s="64"/>
      <c r="J370" s="64"/>
      <c r="K370" s="64"/>
      <c r="L370" s="64"/>
      <c r="M370" s="64"/>
      <c r="N370" s="64"/>
      <c r="O370" s="64"/>
      <c r="P370" s="64"/>
      <c r="Q370" s="64"/>
      <c r="R370" s="64"/>
      <c r="S370" s="64"/>
      <c r="T370" s="64"/>
      <c r="U370" s="64"/>
      <c r="V370" s="64"/>
      <c r="W370" s="64"/>
      <c r="X370" s="64"/>
      <c r="Y370" s="64"/>
      <c r="Z370" s="64"/>
      <c r="AA370" s="64"/>
      <c r="AB370" s="64"/>
      <c r="AC370" s="64"/>
      <c r="AD370" s="64"/>
      <c r="AE370" s="64"/>
      <c r="AF370" s="64"/>
      <c r="AG370" s="64"/>
      <c r="AH370" s="64"/>
      <c r="AI370" s="64"/>
      <c r="AJ370" s="64"/>
      <c r="AK370" s="64"/>
      <c r="AL370" s="64"/>
      <c r="AM370" s="64"/>
      <c r="AN370" s="64"/>
      <c r="AO370" s="64"/>
      <c r="AP370" s="64"/>
      <c r="AQ370" s="64"/>
      <c r="AR370" s="64"/>
      <c r="AS370" s="64"/>
      <c r="AT370" s="64"/>
      <c r="AU370" s="64"/>
      <c r="AV370" s="64"/>
      <c r="AW370" s="64"/>
      <c r="AX370" s="64"/>
      <c r="AY370" s="64"/>
      <c r="AZ370" s="64"/>
      <c r="BA370" s="64"/>
      <c r="BB370" s="64"/>
      <c r="BC370" s="64"/>
      <c r="BD370" s="64"/>
      <c r="BE370" s="64"/>
      <c r="BF370" s="64"/>
      <c r="BG370" s="64"/>
    </row>
    <row r="371" spans="4:59">
      <c r="D371" s="64"/>
      <c r="E371" s="64"/>
      <c r="F371" s="64"/>
      <c r="G371" s="64"/>
      <c r="H371" s="64"/>
      <c r="I371" s="64"/>
      <c r="J371" s="64"/>
      <c r="K371" s="64"/>
      <c r="L371" s="64"/>
      <c r="M371" s="64"/>
      <c r="N371" s="64"/>
      <c r="O371" s="64"/>
      <c r="P371" s="64"/>
      <c r="Q371" s="64"/>
      <c r="R371" s="64"/>
      <c r="S371" s="64"/>
      <c r="T371" s="64"/>
      <c r="U371" s="64"/>
      <c r="V371" s="64"/>
      <c r="W371" s="64"/>
      <c r="X371" s="64"/>
      <c r="Y371" s="64"/>
      <c r="Z371" s="64"/>
      <c r="AA371" s="64"/>
      <c r="AB371" s="64"/>
      <c r="AC371" s="64"/>
      <c r="AD371" s="64"/>
      <c r="AE371" s="64"/>
      <c r="AF371" s="64"/>
      <c r="AG371" s="64"/>
      <c r="AH371" s="64"/>
      <c r="AI371" s="64"/>
      <c r="AJ371" s="64"/>
      <c r="AK371" s="64"/>
      <c r="AL371" s="64"/>
      <c r="AM371" s="64"/>
      <c r="AN371" s="64"/>
      <c r="AO371" s="64"/>
      <c r="AP371" s="64"/>
      <c r="AQ371" s="64"/>
      <c r="AR371" s="64"/>
      <c r="AS371" s="64"/>
      <c r="AT371" s="64"/>
      <c r="AU371" s="64"/>
      <c r="AV371" s="64"/>
      <c r="AW371" s="64"/>
      <c r="AX371" s="64"/>
      <c r="AY371" s="64"/>
      <c r="AZ371" s="64"/>
      <c r="BA371" s="64"/>
      <c r="BB371" s="64"/>
      <c r="BC371" s="64"/>
      <c r="BD371" s="64"/>
      <c r="BE371" s="64"/>
      <c r="BF371" s="64"/>
      <c r="BG371" s="64"/>
    </row>
    <row r="372" spans="4:59">
      <c r="D372" s="64"/>
      <c r="E372" s="64"/>
      <c r="F372" s="64"/>
      <c r="G372" s="64"/>
      <c r="H372" s="64"/>
      <c r="I372" s="64"/>
      <c r="J372" s="64"/>
      <c r="K372" s="64"/>
      <c r="L372" s="64"/>
      <c r="M372" s="64"/>
      <c r="N372" s="64"/>
      <c r="O372" s="64"/>
      <c r="P372" s="64"/>
      <c r="Q372" s="64"/>
      <c r="R372" s="64"/>
      <c r="S372" s="64"/>
      <c r="T372" s="64"/>
      <c r="U372" s="64"/>
      <c r="V372" s="64"/>
      <c r="W372" s="64"/>
      <c r="X372" s="64"/>
      <c r="Y372" s="64"/>
      <c r="Z372" s="64"/>
      <c r="AA372" s="64"/>
      <c r="AB372" s="64"/>
      <c r="AC372" s="64"/>
      <c r="AD372" s="64"/>
      <c r="AE372" s="64"/>
      <c r="AF372" s="64"/>
      <c r="AG372" s="64"/>
      <c r="AH372" s="64"/>
      <c r="AI372" s="64"/>
      <c r="AJ372" s="64"/>
      <c r="AK372" s="64"/>
      <c r="AL372" s="64"/>
      <c r="AM372" s="64"/>
      <c r="AN372" s="64"/>
      <c r="AO372" s="64"/>
      <c r="AP372" s="64"/>
      <c r="AQ372" s="64"/>
      <c r="AR372" s="64"/>
      <c r="AS372" s="64"/>
      <c r="AT372" s="64"/>
      <c r="AU372" s="64"/>
      <c r="AV372" s="64"/>
      <c r="AW372" s="64"/>
      <c r="AX372" s="64"/>
      <c r="AY372" s="64"/>
      <c r="AZ372" s="64"/>
      <c r="BA372" s="64"/>
      <c r="BB372" s="64"/>
      <c r="BC372" s="64"/>
      <c r="BD372" s="64"/>
      <c r="BE372" s="64"/>
      <c r="BF372" s="64"/>
      <c r="BG372" s="64"/>
    </row>
    <row r="373" spans="4:59">
      <c r="D373" s="64"/>
      <c r="E373" s="64"/>
      <c r="F373" s="64"/>
      <c r="G373" s="64"/>
      <c r="H373" s="64"/>
      <c r="I373" s="64"/>
      <c r="J373" s="64"/>
      <c r="K373" s="64"/>
      <c r="L373" s="64"/>
      <c r="M373" s="64"/>
      <c r="N373" s="64"/>
      <c r="O373" s="64"/>
      <c r="P373" s="64"/>
      <c r="Q373" s="64"/>
      <c r="R373" s="64"/>
      <c r="S373" s="64"/>
      <c r="T373" s="64"/>
      <c r="U373" s="64"/>
      <c r="V373" s="64"/>
      <c r="W373" s="64"/>
      <c r="X373" s="64"/>
      <c r="Y373" s="64"/>
      <c r="Z373" s="64"/>
      <c r="AA373" s="64"/>
      <c r="AB373" s="64"/>
      <c r="AC373" s="64"/>
      <c r="AD373" s="64"/>
      <c r="AE373" s="64"/>
      <c r="AF373" s="64"/>
      <c r="AG373" s="64"/>
      <c r="AH373" s="64"/>
      <c r="AI373" s="64"/>
      <c r="AJ373" s="64"/>
      <c r="AK373" s="64"/>
      <c r="AL373" s="64"/>
      <c r="AM373" s="64"/>
      <c r="AN373" s="64"/>
      <c r="AO373" s="64"/>
      <c r="AP373" s="64"/>
      <c r="AQ373" s="64"/>
      <c r="AR373" s="64"/>
      <c r="AS373" s="64"/>
      <c r="AT373" s="64"/>
      <c r="AU373" s="64"/>
      <c r="AV373" s="64"/>
      <c r="AW373" s="64"/>
      <c r="AX373" s="64"/>
      <c r="AY373" s="64"/>
      <c r="AZ373" s="64"/>
      <c r="BA373" s="64"/>
      <c r="BB373" s="64"/>
      <c r="BC373" s="64"/>
      <c r="BD373" s="64"/>
      <c r="BE373" s="64"/>
      <c r="BF373" s="64"/>
      <c r="BG373" s="64"/>
    </row>
    <row r="374" spans="4:59">
      <c r="D374" s="64"/>
      <c r="E374" s="64"/>
      <c r="F374" s="64"/>
      <c r="G374" s="64"/>
      <c r="H374" s="64"/>
      <c r="I374" s="64"/>
      <c r="J374" s="64"/>
      <c r="K374" s="64"/>
      <c r="L374" s="64"/>
      <c r="M374" s="64"/>
      <c r="N374" s="64"/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  <c r="Z374" s="64"/>
      <c r="AA374" s="64"/>
      <c r="AB374" s="64"/>
      <c r="AC374" s="64"/>
      <c r="AD374" s="64"/>
      <c r="AE374" s="64"/>
      <c r="AF374" s="64"/>
      <c r="AG374" s="64"/>
      <c r="AH374" s="64"/>
      <c r="AI374" s="64"/>
      <c r="AJ374" s="64"/>
      <c r="AK374" s="64"/>
      <c r="AL374" s="64"/>
      <c r="AM374" s="64"/>
      <c r="AN374" s="64"/>
      <c r="AO374" s="64"/>
      <c r="AP374" s="64"/>
      <c r="AQ374" s="64"/>
      <c r="AR374" s="64"/>
      <c r="AS374" s="64"/>
      <c r="AT374" s="64"/>
      <c r="AU374" s="64"/>
      <c r="AV374" s="64"/>
      <c r="AW374" s="64"/>
      <c r="AX374" s="64"/>
      <c r="AY374" s="64"/>
      <c r="AZ374" s="64"/>
      <c r="BA374" s="64"/>
      <c r="BB374" s="64"/>
      <c r="BC374" s="64"/>
      <c r="BD374" s="64"/>
      <c r="BE374" s="64"/>
      <c r="BF374" s="64"/>
      <c r="BG374" s="64"/>
    </row>
    <row r="375" spans="4:59">
      <c r="D375" s="64"/>
      <c r="E375" s="64"/>
      <c r="F375" s="64"/>
      <c r="G375" s="64"/>
      <c r="H375" s="64"/>
      <c r="I375" s="64"/>
      <c r="J375" s="64"/>
      <c r="K375" s="64"/>
      <c r="L375" s="64"/>
      <c r="M375" s="64"/>
      <c r="N375" s="64"/>
      <c r="O375" s="64"/>
      <c r="P375" s="64"/>
      <c r="Q375" s="64"/>
      <c r="R375" s="64"/>
      <c r="S375" s="64"/>
      <c r="T375" s="64"/>
      <c r="U375" s="64"/>
      <c r="V375" s="64"/>
      <c r="W375" s="64"/>
      <c r="X375" s="64"/>
      <c r="Y375" s="64"/>
      <c r="Z375" s="64"/>
      <c r="AA375" s="64"/>
      <c r="AB375" s="64"/>
      <c r="AC375" s="64"/>
      <c r="AD375" s="64"/>
      <c r="AE375" s="64"/>
      <c r="AF375" s="64"/>
      <c r="AG375" s="64"/>
      <c r="AH375" s="64"/>
      <c r="AI375" s="64"/>
      <c r="AJ375" s="64"/>
      <c r="AK375" s="64"/>
      <c r="AL375" s="64"/>
      <c r="AM375" s="64"/>
      <c r="AN375" s="64"/>
      <c r="AO375" s="64"/>
      <c r="AP375" s="64"/>
      <c r="AQ375" s="64"/>
      <c r="AR375" s="64"/>
      <c r="AS375" s="64"/>
      <c r="AT375" s="64"/>
      <c r="AU375" s="64"/>
      <c r="AV375" s="64"/>
      <c r="AW375" s="64"/>
      <c r="AX375" s="64"/>
      <c r="AY375" s="64"/>
      <c r="AZ375" s="64"/>
      <c r="BA375" s="64"/>
      <c r="BB375" s="64"/>
      <c r="BC375" s="64"/>
      <c r="BD375" s="64"/>
      <c r="BE375" s="64"/>
      <c r="BF375" s="64"/>
      <c r="BG375" s="64"/>
    </row>
    <row r="376" spans="4:59">
      <c r="D376" s="64"/>
      <c r="E376" s="64"/>
      <c r="F376" s="64"/>
      <c r="G376" s="64"/>
      <c r="H376" s="64"/>
      <c r="I376" s="64"/>
      <c r="J376" s="64"/>
      <c r="K376" s="64"/>
      <c r="L376" s="64"/>
      <c r="M376" s="64"/>
      <c r="N376" s="64"/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  <c r="Z376" s="64"/>
      <c r="AA376" s="64"/>
      <c r="AB376" s="64"/>
      <c r="AC376" s="64"/>
      <c r="AD376" s="64"/>
      <c r="AE376" s="64"/>
      <c r="AF376" s="64"/>
      <c r="AG376" s="64"/>
      <c r="AH376" s="64"/>
      <c r="AI376" s="64"/>
      <c r="AJ376" s="64"/>
      <c r="AK376" s="64"/>
      <c r="AL376" s="64"/>
      <c r="AM376" s="64"/>
      <c r="AN376" s="64"/>
      <c r="AO376" s="64"/>
      <c r="AP376" s="64"/>
      <c r="AQ376" s="64"/>
      <c r="AR376" s="64"/>
      <c r="AS376" s="64"/>
      <c r="AT376" s="64"/>
      <c r="AU376" s="64"/>
      <c r="AV376" s="64"/>
      <c r="AW376" s="64"/>
      <c r="AX376" s="64"/>
      <c r="AY376" s="64"/>
      <c r="AZ376" s="64"/>
      <c r="BA376" s="64"/>
      <c r="BB376" s="64"/>
      <c r="BC376" s="64"/>
      <c r="BD376" s="64"/>
      <c r="BE376" s="64"/>
      <c r="BF376" s="64"/>
      <c r="BG376" s="64"/>
    </row>
    <row r="377" spans="4:59">
      <c r="D377" s="64"/>
      <c r="E377" s="64"/>
      <c r="F377" s="64"/>
      <c r="G377" s="64"/>
      <c r="H377" s="64"/>
      <c r="I377" s="64"/>
      <c r="J377" s="64"/>
      <c r="K377" s="64"/>
      <c r="L377" s="64"/>
      <c r="M377" s="64"/>
      <c r="N377" s="64"/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  <c r="AA377" s="64"/>
      <c r="AB377" s="64"/>
      <c r="AC377" s="64"/>
      <c r="AD377" s="64"/>
      <c r="AE377" s="64"/>
      <c r="AF377" s="64"/>
      <c r="AG377" s="64"/>
      <c r="AH377" s="64"/>
      <c r="AI377" s="64"/>
      <c r="AJ377" s="64"/>
      <c r="AK377" s="64"/>
      <c r="AL377" s="64"/>
      <c r="AM377" s="64"/>
      <c r="AN377" s="64"/>
      <c r="AO377" s="64"/>
      <c r="AP377" s="64"/>
      <c r="AQ377" s="64"/>
      <c r="AR377" s="64"/>
      <c r="AS377" s="64"/>
      <c r="AT377" s="64"/>
      <c r="AU377" s="64"/>
      <c r="AV377" s="64"/>
      <c r="AW377" s="64"/>
      <c r="AX377" s="64"/>
      <c r="AY377" s="64"/>
      <c r="AZ377" s="64"/>
      <c r="BA377" s="64"/>
      <c r="BB377" s="64"/>
      <c r="BC377" s="64"/>
      <c r="BD377" s="64"/>
      <c r="BE377" s="64"/>
      <c r="BF377" s="64"/>
      <c r="BG377" s="64"/>
    </row>
    <row r="378" spans="4:59"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  <c r="P378" s="64"/>
      <c r="Q378" s="64"/>
      <c r="R378" s="64"/>
      <c r="S378" s="64"/>
      <c r="T378" s="64"/>
      <c r="U378" s="64"/>
      <c r="V378" s="64"/>
      <c r="W378" s="64"/>
      <c r="X378" s="64"/>
      <c r="Y378" s="64"/>
      <c r="Z378" s="64"/>
      <c r="AA378" s="64"/>
      <c r="AB378" s="64"/>
      <c r="AC378" s="64"/>
      <c r="AD378" s="64"/>
      <c r="AE378" s="64"/>
      <c r="AF378" s="64"/>
      <c r="AG378" s="64"/>
      <c r="AH378" s="64"/>
      <c r="AI378" s="64"/>
      <c r="AJ378" s="64"/>
      <c r="AK378" s="64"/>
      <c r="AL378" s="64"/>
      <c r="AM378" s="64"/>
      <c r="AN378" s="64"/>
      <c r="AO378" s="64"/>
      <c r="AP378" s="64"/>
      <c r="AQ378" s="64"/>
      <c r="AR378" s="64"/>
      <c r="AS378" s="64"/>
      <c r="AT378" s="64"/>
      <c r="AU378" s="64"/>
      <c r="AV378" s="64"/>
      <c r="AW378" s="64"/>
      <c r="AX378" s="64"/>
      <c r="AY378" s="64"/>
      <c r="AZ378" s="64"/>
      <c r="BA378" s="64"/>
      <c r="BB378" s="64"/>
      <c r="BC378" s="64"/>
      <c r="BD378" s="64"/>
      <c r="BE378" s="64"/>
      <c r="BF378" s="64"/>
      <c r="BG378" s="64"/>
    </row>
    <row r="379" spans="4:59">
      <c r="D379" s="64"/>
      <c r="E379" s="64"/>
      <c r="F379" s="64"/>
      <c r="G379" s="64"/>
      <c r="H379" s="64"/>
      <c r="I379" s="64"/>
      <c r="J379" s="64"/>
      <c r="K379" s="64"/>
      <c r="L379" s="64"/>
      <c r="M379" s="64"/>
      <c r="N379" s="64"/>
      <c r="O379" s="64"/>
      <c r="P379" s="64"/>
      <c r="Q379" s="64"/>
      <c r="R379" s="64"/>
      <c r="S379" s="64"/>
      <c r="T379" s="64"/>
      <c r="U379" s="64"/>
      <c r="V379" s="64"/>
      <c r="W379" s="64"/>
      <c r="X379" s="64"/>
      <c r="Y379" s="64"/>
      <c r="Z379" s="64"/>
      <c r="AA379" s="64"/>
      <c r="AB379" s="64"/>
      <c r="AC379" s="64"/>
      <c r="AD379" s="64"/>
      <c r="AE379" s="64"/>
      <c r="AF379" s="64"/>
      <c r="AG379" s="64"/>
      <c r="AH379" s="64"/>
      <c r="AI379" s="64"/>
      <c r="AJ379" s="64"/>
      <c r="AK379" s="64"/>
      <c r="AL379" s="64"/>
      <c r="AM379" s="64"/>
      <c r="AN379" s="64"/>
      <c r="AO379" s="64"/>
      <c r="AP379" s="64"/>
      <c r="AQ379" s="64"/>
      <c r="AR379" s="64"/>
      <c r="AS379" s="64"/>
      <c r="AT379" s="64"/>
      <c r="AU379" s="64"/>
      <c r="AV379" s="64"/>
      <c r="AW379" s="64"/>
      <c r="AX379" s="64"/>
      <c r="AY379" s="64"/>
      <c r="AZ379" s="64"/>
      <c r="BA379" s="64"/>
      <c r="BB379" s="64"/>
      <c r="BC379" s="64"/>
      <c r="BD379" s="64"/>
      <c r="BE379" s="64"/>
      <c r="BF379" s="64"/>
      <c r="BG379" s="64"/>
    </row>
    <row r="380" spans="4:59"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  <c r="P380" s="64"/>
      <c r="Q380" s="64"/>
      <c r="R380" s="64"/>
      <c r="S380" s="64"/>
      <c r="T380" s="64"/>
      <c r="U380" s="64"/>
      <c r="V380" s="64"/>
      <c r="W380" s="64"/>
      <c r="X380" s="64"/>
      <c r="Y380" s="64"/>
      <c r="Z380" s="64"/>
      <c r="AA380" s="64"/>
      <c r="AB380" s="64"/>
      <c r="AC380" s="64"/>
      <c r="AD380" s="64"/>
      <c r="AE380" s="64"/>
      <c r="AF380" s="64"/>
      <c r="AG380" s="64"/>
      <c r="AH380" s="64"/>
      <c r="AI380" s="64"/>
      <c r="AJ380" s="64"/>
      <c r="AK380" s="64"/>
      <c r="AL380" s="64"/>
      <c r="AM380" s="64"/>
      <c r="AN380" s="64"/>
      <c r="AO380" s="64"/>
      <c r="AP380" s="64"/>
      <c r="AQ380" s="64"/>
      <c r="AR380" s="64"/>
      <c r="AS380" s="64"/>
      <c r="AT380" s="64"/>
      <c r="AU380" s="64"/>
      <c r="AV380" s="64"/>
      <c r="AW380" s="64"/>
      <c r="AX380" s="64"/>
      <c r="AY380" s="64"/>
      <c r="AZ380" s="64"/>
      <c r="BA380" s="64"/>
      <c r="BB380" s="64"/>
      <c r="BC380" s="64"/>
      <c r="BD380" s="64"/>
      <c r="BE380" s="64"/>
      <c r="BF380" s="64"/>
      <c r="BG380" s="64"/>
    </row>
    <row r="381" spans="4:59">
      <c r="D381" s="64"/>
      <c r="E381" s="64"/>
      <c r="F381" s="64"/>
      <c r="G381" s="64"/>
      <c r="H381" s="64"/>
      <c r="I381" s="64"/>
      <c r="J381" s="64"/>
      <c r="K381" s="64"/>
      <c r="L381" s="64"/>
      <c r="M381" s="64"/>
      <c r="N381" s="64"/>
      <c r="O381" s="64"/>
      <c r="P381" s="64"/>
      <c r="Q381" s="64"/>
      <c r="R381" s="64"/>
      <c r="S381" s="64"/>
      <c r="T381" s="64"/>
      <c r="U381" s="64"/>
      <c r="V381" s="64"/>
      <c r="W381" s="64"/>
      <c r="X381" s="64"/>
      <c r="Y381" s="64"/>
      <c r="Z381" s="64"/>
      <c r="AA381" s="64"/>
      <c r="AB381" s="64"/>
      <c r="AC381" s="64"/>
      <c r="AD381" s="64"/>
      <c r="AE381" s="64"/>
      <c r="AF381" s="64"/>
      <c r="AG381" s="64"/>
      <c r="AH381" s="64"/>
      <c r="AI381" s="64"/>
      <c r="AJ381" s="64"/>
      <c r="AK381" s="64"/>
      <c r="AL381" s="64"/>
      <c r="AM381" s="64"/>
      <c r="AN381" s="64"/>
      <c r="AO381" s="64"/>
      <c r="AP381" s="64"/>
      <c r="AQ381" s="64"/>
      <c r="AR381" s="64"/>
      <c r="AS381" s="64"/>
      <c r="AT381" s="64"/>
      <c r="AU381" s="64"/>
      <c r="AV381" s="64"/>
      <c r="AW381" s="64"/>
      <c r="AX381" s="64"/>
      <c r="AY381" s="64"/>
      <c r="AZ381" s="64"/>
      <c r="BA381" s="64"/>
      <c r="BB381" s="64"/>
      <c r="BC381" s="64"/>
      <c r="BD381" s="64"/>
      <c r="BE381" s="64"/>
      <c r="BF381" s="64"/>
      <c r="BG381" s="64"/>
    </row>
    <row r="382" spans="4:59">
      <c r="D382" s="64"/>
      <c r="E382" s="64"/>
      <c r="F382" s="64"/>
      <c r="G382" s="64"/>
      <c r="H382" s="64"/>
      <c r="I382" s="64"/>
      <c r="J382" s="64"/>
      <c r="K382" s="64"/>
      <c r="L382" s="64"/>
      <c r="M382" s="64"/>
      <c r="N382" s="64"/>
      <c r="O382" s="64"/>
      <c r="P382" s="64"/>
      <c r="Q382" s="64"/>
      <c r="R382" s="64"/>
      <c r="S382" s="64"/>
      <c r="T382" s="64"/>
      <c r="U382" s="64"/>
      <c r="V382" s="64"/>
      <c r="W382" s="64"/>
      <c r="X382" s="64"/>
      <c r="Y382" s="64"/>
      <c r="Z382" s="64"/>
      <c r="AA382" s="64"/>
      <c r="AB382" s="64"/>
      <c r="AC382" s="64"/>
      <c r="AD382" s="64"/>
      <c r="AE382" s="64"/>
      <c r="AF382" s="64"/>
      <c r="AG382" s="64"/>
      <c r="AH382" s="64"/>
      <c r="AI382" s="64"/>
      <c r="AJ382" s="64"/>
      <c r="AK382" s="64"/>
      <c r="AL382" s="64"/>
      <c r="AM382" s="64"/>
      <c r="AN382" s="64"/>
      <c r="AO382" s="64"/>
      <c r="AP382" s="64"/>
      <c r="AQ382" s="64"/>
      <c r="AR382" s="64"/>
      <c r="AS382" s="64"/>
      <c r="AT382" s="64"/>
      <c r="AU382" s="64"/>
      <c r="AV382" s="64"/>
      <c r="AW382" s="64"/>
      <c r="AX382" s="64"/>
      <c r="AY382" s="64"/>
      <c r="AZ382" s="64"/>
      <c r="BA382" s="64"/>
      <c r="BB382" s="64"/>
      <c r="BC382" s="64"/>
      <c r="BD382" s="64"/>
      <c r="BE382" s="64"/>
      <c r="BF382" s="64"/>
      <c r="BG382" s="64"/>
    </row>
    <row r="383" spans="4:59">
      <c r="D383" s="64"/>
      <c r="E383" s="64"/>
      <c r="F383" s="64"/>
      <c r="G383" s="64"/>
      <c r="H383" s="64"/>
      <c r="I383" s="64"/>
      <c r="J383" s="64"/>
      <c r="K383" s="64"/>
      <c r="L383" s="64"/>
      <c r="M383" s="64"/>
      <c r="N383" s="64"/>
      <c r="O383" s="64"/>
      <c r="P383" s="64"/>
      <c r="Q383" s="64"/>
      <c r="R383" s="64"/>
      <c r="S383" s="64"/>
      <c r="T383" s="64"/>
      <c r="U383" s="64"/>
      <c r="V383" s="64"/>
      <c r="W383" s="64"/>
      <c r="X383" s="64"/>
      <c r="Y383" s="64"/>
      <c r="Z383" s="64"/>
      <c r="AA383" s="64"/>
      <c r="AB383" s="64"/>
      <c r="AC383" s="64"/>
      <c r="AD383" s="64"/>
      <c r="AE383" s="64"/>
      <c r="AF383" s="64"/>
      <c r="AG383" s="64"/>
      <c r="AH383" s="64"/>
      <c r="AI383" s="64"/>
      <c r="AJ383" s="64"/>
      <c r="AK383" s="64"/>
      <c r="AL383" s="64"/>
      <c r="AM383" s="64"/>
      <c r="AN383" s="64"/>
      <c r="AO383" s="64"/>
      <c r="AP383" s="64"/>
      <c r="AQ383" s="64"/>
      <c r="AR383" s="64"/>
      <c r="AS383" s="64"/>
      <c r="AT383" s="64"/>
      <c r="AU383" s="64"/>
      <c r="AV383" s="64"/>
      <c r="AW383" s="64"/>
      <c r="AX383" s="64"/>
      <c r="AY383" s="64"/>
      <c r="AZ383" s="64"/>
      <c r="BA383" s="64"/>
      <c r="BB383" s="64"/>
      <c r="BC383" s="64"/>
      <c r="BD383" s="64"/>
      <c r="BE383" s="64"/>
      <c r="BF383" s="64"/>
      <c r="BG383" s="64"/>
    </row>
    <row r="384" spans="4:59">
      <c r="D384" s="64"/>
      <c r="E384" s="64"/>
      <c r="F384" s="64"/>
      <c r="G384" s="64"/>
      <c r="H384" s="64"/>
      <c r="I384" s="64"/>
      <c r="J384" s="64"/>
      <c r="K384" s="64"/>
      <c r="L384" s="64"/>
      <c r="M384" s="64"/>
      <c r="N384" s="64"/>
      <c r="O384" s="64"/>
      <c r="P384" s="64"/>
      <c r="Q384" s="64"/>
      <c r="R384" s="64"/>
      <c r="S384" s="64"/>
      <c r="T384" s="64"/>
      <c r="U384" s="64"/>
      <c r="V384" s="64"/>
      <c r="W384" s="64"/>
      <c r="X384" s="64"/>
      <c r="Y384" s="64"/>
      <c r="Z384" s="64"/>
      <c r="AA384" s="64"/>
      <c r="AB384" s="64"/>
      <c r="AC384" s="64"/>
      <c r="AD384" s="64"/>
      <c r="AE384" s="64"/>
      <c r="AF384" s="64"/>
      <c r="AG384" s="64"/>
      <c r="AH384" s="64"/>
      <c r="AI384" s="64"/>
      <c r="AJ384" s="64"/>
      <c r="AK384" s="64"/>
      <c r="AL384" s="64"/>
      <c r="AM384" s="64"/>
      <c r="AN384" s="64"/>
      <c r="AO384" s="64"/>
      <c r="AP384" s="64"/>
      <c r="AQ384" s="64"/>
      <c r="AR384" s="64"/>
      <c r="AS384" s="64"/>
      <c r="AT384" s="64"/>
      <c r="AU384" s="64"/>
      <c r="AV384" s="64"/>
      <c r="AW384" s="64"/>
      <c r="AX384" s="64"/>
      <c r="AY384" s="64"/>
      <c r="AZ384" s="64"/>
      <c r="BA384" s="64"/>
      <c r="BB384" s="64"/>
      <c r="BC384" s="64"/>
      <c r="BD384" s="64"/>
      <c r="BE384" s="64"/>
      <c r="BF384" s="64"/>
      <c r="BG384" s="64"/>
    </row>
    <row r="385" spans="4:59">
      <c r="D385" s="64"/>
      <c r="E385" s="64"/>
      <c r="F385" s="64"/>
      <c r="G385" s="64"/>
      <c r="H385" s="64"/>
      <c r="I385" s="64"/>
      <c r="J385" s="64"/>
      <c r="K385" s="64"/>
      <c r="L385" s="64"/>
      <c r="M385" s="64"/>
      <c r="N385" s="64"/>
      <c r="O385" s="64"/>
      <c r="P385" s="64"/>
      <c r="Q385" s="64"/>
      <c r="R385" s="64"/>
      <c r="S385" s="64"/>
      <c r="T385" s="64"/>
      <c r="U385" s="64"/>
      <c r="V385" s="64"/>
      <c r="W385" s="64"/>
      <c r="X385" s="64"/>
      <c r="Y385" s="64"/>
      <c r="Z385" s="64"/>
      <c r="AA385" s="64"/>
      <c r="AB385" s="64"/>
      <c r="AC385" s="64"/>
      <c r="AD385" s="64"/>
      <c r="AE385" s="64"/>
      <c r="AF385" s="64"/>
      <c r="AG385" s="64"/>
      <c r="AH385" s="64"/>
      <c r="AI385" s="64"/>
      <c r="AJ385" s="64"/>
      <c r="AK385" s="64"/>
      <c r="AL385" s="64"/>
      <c r="AM385" s="64"/>
      <c r="AN385" s="64"/>
      <c r="AO385" s="64"/>
      <c r="AP385" s="64"/>
      <c r="AQ385" s="64"/>
      <c r="AR385" s="64"/>
      <c r="AS385" s="64"/>
      <c r="AT385" s="64"/>
      <c r="AU385" s="64"/>
      <c r="AV385" s="64"/>
      <c r="AW385" s="64"/>
      <c r="AX385" s="64"/>
      <c r="AY385" s="64"/>
      <c r="AZ385" s="64"/>
      <c r="BA385" s="64"/>
      <c r="BB385" s="64"/>
      <c r="BC385" s="64"/>
      <c r="BD385" s="64"/>
      <c r="BE385" s="64"/>
      <c r="BF385" s="64"/>
      <c r="BG385" s="64"/>
    </row>
    <row r="386" spans="4:59">
      <c r="D386" s="64"/>
      <c r="E386" s="64"/>
      <c r="F386" s="64"/>
      <c r="G386" s="64"/>
      <c r="H386" s="64"/>
      <c r="I386" s="64"/>
      <c r="J386" s="64"/>
      <c r="K386" s="64"/>
      <c r="L386" s="64"/>
      <c r="M386" s="64"/>
      <c r="N386" s="64"/>
      <c r="O386" s="64"/>
      <c r="P386" s="64"/>
      <c r="Q386" s="64"/>
      <c r="R386" s="64"/>
      <c r="S386" s="64"/>
      <c r="T386" s="64"/>
      <c r="U386" s="64"/>
      <c r="V386" s="64"/>
      <c r="W386" s="64"/>
      <c r="X386" s="64"/>
      <c r="Y386" s="64"/>
      <c r="Z386" s="64"/>
      <c r="AA386" s="64"/>
      <c r="AB386" s="64"/>
      <c r="AC386" s="64"/>
      <c r="AD386" s="64"/>
      <c r="AE386" s="64"/>
      <c r="AF386" s="64"/>
      <c r="AG386" s="64"/>
      <c r="AH386" s="64"/>
      <c r="AI386" s="64"/>
      <c r="AJ386" s="64"/>
      <c r="AK386" s="64"/>
      <c r="AL386" s="64"/>
      <c r="AM386" s="64"/>
      <c r="AN386" s="64"/>
      <c r="AO386" s="64"/>
      <c r="AP386" s="64"/>
      <c r="AQ386" s="64"/>
      <c r="AR386" s="64"/>
      <c r="AS386" s="64"/>
      <c r="AT386" s="64"/>
      <c r="AU386" s="64"/>
      <c r="AV386" s="64"/>
      <c r="AW386" s="64"/>
      <c r="AX386" s="64"/>
      <c r="AY386" s="64"/>
      <c r="AZ386" s="64"/>
      <c r="BA386" s="64"/>
      <c r="BB386" s="64"/>
      <c r="BC386" s="64"/>
      <c r="BD386" s="64"/>
      <c r="BE386" s="64"/>
      <c r="BF386" s="64"/>
      <c r="BG386" s="64"/>
    </row>
    <row r="387" spans="4:59">
      <c r="D387" s="64"/>
      <c r="E387" s="64"/>
      <c r="F387" s="64"/>
      <c r="G387" s="64"/>
      <c r="H387" s="64"/>
      <c r="I387" s="64"/>
      <c r="J387" s="64"/>
      <c r="K387" s="64"/>
      <c r="L387" s="64"/>
      <c r="M387" s="64"/>
      <c r="N387" s="64"/>
      <c r="O387" s="64"/>
      <c r="P387" s="64"/>
      <c r="Q387" s="64"/>
      <c r="R387" s="64"/>
      <c r="S387" s="64"/>
      <c r="T387" s="64"/>
      <c r="U387" s="64"/>
      <c r="V387" s="64"/>
      <c r="W387" s="64"/>
      <c r="X387" s="64"/>
      <c r="Y387" s="64"/>
      <c r="Z387" s="64"/>
      <c r="AA387" s="64"/>
      <c r="AB387" s="64"/>
      <c r="AC387" s="64"/>
      <c r="AD387" s="64"/>
      <c r="AE387" s="64"/>
      <c r="AF387" s="64"/>
      <c r="AG387" s="64"/>
      <c r="AH387" s="64"/>
      <c r="AI387" s="64"/>
      <c r="AJ387" s="64"/>
      <c r="AK387" s="64"/>
      <c r="AL387" s="64"/>
      <c r="AM387" s="64"/>
      <c r="AN387" s="64"/>
      <c r="AO387" s="64"/>
      <c r="AP387" s="64"/>
      <c r="AQ387" s="64"/>
      <c r="AR387" s="64"/>
      <c r="AS387" s="64"/>
      <c r="AT387" s="64"/>
      <c r="AU387" s="64"/>
      <c r="AV387" s="64"/>
      <c r="AW387" s="64"/>
      <c r="AX387" s="64"/>
      <c r="AY387" s="64"/>
      <c r="AZ387" s="64"/>
      <c r="BA387" s="64"/>
      <c r="BB387" s="64"/>
      <c r="BC387" s="64"/>
      <c r="BD387" s="64"/>
      <c r="BE387" s="64"/>
      <c r="BF387" s="64"/>
      <c r="BG387" s="64"/>
    </row>
    <row r="388" spans="4:59">
      <c r="D388" s="64"/>
      <c r="E388" s="64"/>
      <c r="F388" s="64"/>
      <c r="G388" s="64"/>
      <c r="H388" s="64"/>
      <c r="I388" s="64"/>
      <c r="J388" s="64"/>
      <c r="K388" s="64"/>
      <c r="L388" s="64"/>
      <c r="M388" s="64"/>
      <c r="N388" s="64"/>
      <c r="O388" s="64"/>
      <c r="P388" s="64"/>
      <c r="Q388" s="64"/>
      <c r="R388" s="64"/>
      <c r="S388" s="64"/>
      <c r="T388" s="64"/>
      <c r="U388" s="64"/>
      <c r="V388" s="64"/>
      <c r="W388" s="64"/>
      <c r="X388" s="64"/>
      <c r="Y388" s="64"/>
      <c r="Z388" s="64"/>
      <c r="AA388" s="64"/>
      <c r="AB388" s="64"/>
      <c r="AC388" s="64"/>
      <c r="AD388" s="64"/>
      <c r="AE388" s="64"/>
      <c r="AF388" s="64"/>
      <c r="AG388" s="64"/>
      <c r="AH388" s="64"/>
      <c r="AI388" s="64"/>
      <c r="AJ388" s="64"/>
      <c r="AK388" s="64"/>
      <c r="AL388" s="64"/>
      <c r="AM388" s="64"/>
      <c r="AN388" s="64"/>
      <c r="AO388" s="64"/>
      <c r="AP388" s="64"/>
      <c r="AQ388" s="64"/>
      <c r="AR388" s="64"/>
      <c r="AS388" s="64"/>
      <c r="AT388" s="64"/>
      <c r="AU388" s="64"/>
      <c r="AV388" s="64"/>
      <c r="AW388" s="64"/>
      <c r="AX388" s="64"/>
      <c r="AY388" s="64"/>
      <c r="AZ388" s="64"/>
      <c r="BA388" s="64"/>
      <c r="BB388" s="64"/>
      <c r="BC388" s="64"/>
      <c r="BD388" s="64"/>
      <c r="BE388" s="64"/>
      <c r="BF388" s="64"/>
      <c r="BG388" s="64"/>
    </row>
    <row r="389" spans="4:59">
      <c r="D389" s="64"/>
      <c r="E389" s="64"/>
      <c r="F389" s="64"/>
      <c r="G389" s="64"/>
      <c r="H389" s="64"/>
      <c r="I389" s="64"/>
      <c r="J389" s="64"/>
      <c r="K389" s="64"/>
      <c r="L389" s="64"/>
      <c r="M389" s="64"/>
      <c r="N389" s="64"/>
      <c r="O389" s="64"/>
      <c r="P389" s="64"/>
      <c r="Q389" s="64"/>
      <c r="R389" s="64"/>
      <c r="S389" s="64"/>
      <c r="T389" s="64"/>
      <c r="U389" s="64"/>
      <c r="V389" s="64"/>
      <c r="W389" s="64"/>
      <c r="X389" s="64"/>
      <c r="Y389" s="64"/>
      <c r="Z389" s="64"/>
      <c r="AA389" s="64"/>
      <c r="AB389" s="64"/>
      <c r="AC389" s="64"/>
      <c r="AD389" s="64"/>
      <c r="AE389" s="64"/>
      <c r="AF389" s="64"/>
      <c r="AG389" s="64"/>
      <c r="AH389" s="64"/>
      <c r="AI389" s="64"/>
      <c r="AJ389" s="64"/>
      <c r="AK389" s="64"/>
      <c r="AL389" s="64"/>
      <c r="AM389" s="64"/>
      <c r="AN389" s="64"/>
      <c r="AO389" s="64"/>
      <c r="AP389" s="64"/>
      <c r="AQ389" s="64"/>
      <c r="AR389" s="64"/>
      <c r="AS389" s="64"/>
      <c r="AT389" s="64"/>
      <c r="AU389" s="64"/>
      <c r="AV389" s="64"/>
      <c r="AW389" s="64"/>
      <c r="AX389" s="64"/>
      <c r="AY389" s="64"/>
      <c r="AZ389" s="64"/>
      <c r="BA389" s="64"/>
      <c r="BB389" s="64"/>
      <c r="BC389" s="64"/>
      <c r="BD389" s="64"/>
      <c r="BE389" s="64"/>
      <c r="BF389" s="64"/>
      <c r="BG389" s="64"/>
    </row>
    <row r="390" spans="4:59">
      <c r="D390" s="64"/>
      <c r="E390" s="64"/>
      <c r="F390" s="64"/>
      <c r="G390" s="64"/>
      <c r="H390" s="64"/>
      <c r="I390" s="64"/>
      <c r="J390" s="64"/>
      <c r="K390" s="64"/>
      <c r="L390" s="64"/>
      <c r="M390" s="64"/>
      <c r="N390" s="64"/>
      <c r="O390" s="64"/>
      <c r="P390" s="64"/>
      <c r="Q390" s="64"/>
      <c r="R390" s="64"/>
      <c r="S390" s="64"/>
      <c r="T390" s="64"/>
      <c r="U390" s="64"/>
      <c r="V390" s="64"/>
      <c r="W390" s="64"/>
      <c r="X390" s="64"/>
      <c r="Y390" s="64"/>
      <c r="Z390" s="64"/>
      <c r="AA390" s="64"/>
      <c r="AB390" s="64"/>
      <c r="AC390" s="64"/>
      <c r="AD390" s="64"/>
      <c r="AE390" s="64"/>
      <c r="AF390" s="64"/>
      <c r="AG390" s="64"/>
      <c r="AH390" s="64"/>
      <c r="AI390" s="64"/>
      <c r="AJ390" s="64"/>
      <c r="AK390" s="64"/>
      <c r="AL390" s="64"/>
      <c r="AM390" s="64"/>
      <c r="AN390" s="64"/>
      <c r="AO390" s="64"/>
      <c r="AP390" s="64"/>
      <c r="AQ390" s="64"/>
      <c r="AR390" s="64"/>
      <c r="AS390" s="64"/>
      <c r="AT390" s="64"/>
      <c r="AU390" s="64"/>
      <c r="AV390" s="64"/>
      <c r="AW390" s="64"/>
      <c r="AX390" s="64"/>
      <c r="AY390" s="64"/>
      <c r="AZ390" s="64"/>
      <c r="BA390" s="64"/>
      <c r="BB390" s="64"/>
      <c r="BC390" s="64"/>
      <c r="BD390" s="64"/>
      <c r="BE390" s="64"/>
      <c r="BF390" s="64"/>
      <c r="BG390" s="64"/>
    </row>
    <row r="391" spans="4:59">
      <c r="D391" s="64"/>
      <c r="E391" s="64"/>
      <c r="F391" s="64"/>
      <c r="G391" s="64"/>
      <c r="H391" s="64"/>
      <c r="I391" s="64"/>
      <c r="J391" s="64"/>
      <c r="K391" s="64"/>
      <c r="L391" s="64"/>
      <c r="M391" s="64"/>
      <c r="N391" s="64"/>
      <c r="O391" s="64"/>
      <c r="P391" s="64"/>
      <c r="Q391" s="64"/>
      <c r="R391" s="64"/>
      <c r="S391" s="64"/>
      <c r="T391" s="64"/>
      <c r="U391" s="64"/>
      <c r="V391" s="64"/>
      <c r="W391" s="64"/>
      <c r="X391" s="64"/>
      <c r="Y391" s="64"/>
      <c r="Z391" s="64"/>
      <c r="AA391" s="64"/>
      <c r="AB391" s="64"/>
      <c r="AC391" s="64"/>
      <c r="AD391" s="64"/>
      <c r="AE391" s="64"/>
      <c r="AF391" s="64"/>
      <c r="AG391" s="64"/>
      <c r="AH391" s="64"/>
      <c r="AI391" s="64"/>
      <c r="AJ391" s="64"/>
      <c r="AK391" s="64"/>
      <c r="AL391" s="64"/>
      <c r="AM391" s="64"/>
      <c r="AN391" s="64"/>
      <c r="AO391" s="64"/>
      <c r="AP391" s="64"/>
      <c r="AQ391" s="64"/>
      <c r="AR391" s="64"/>
      <c r="AS391" s="64"/>
      <c r="AT391" s="64"/>
      <c r="AU391" s="64"/>
      <c r="AV391" s="64"/>
      <c r="AW391" s="64"/>
      <c r="AX391" s="64"/>
      <c r="AY391" s="64"/>
      <c r="AZ391" s="64"/>
      <c r="BA391" s="64"/>
      <c r="BB391" s="64"/>
      <c r="BC391" s="64"/>
      <c r="BD391" s="64"/>
      <c r="BE391" s="64"/>
      <c r="BF391" s="64"/>
      <c r="BG391" s="64"/>
    </row>
    <row r="392" spans="4:59">
      <c r="D392" s="64"/>
      <c r="E392" s="64"/>
      <c r="F392" s="64"/>
      <c r="G392" s="64"/>
      <c r="H392" s="64"/>
      <c r="I392" s="64"/>
      <c r="J392" s="64"/>
      <c r="K392" s="64"/>
      <c r="L392" s="64"/>
      <c r="M392" s="64"/>
      <c r="N392" s="64"/>
      <c r="O392" s="64"/>
      <c r="P392" s="64"/>
      <c r="Q392" s="64"/>
      <c r="R392" s="64"/>
      <c r="S392" s="64"/>
      <c r="T392" s="64"/>
      <c r="U392" s="64"/>
      <c r="V392" s="64"/>
      <c r="W392" s="64"/>
      <c r="X392" s="64"/>
      <c r="Y392" s="64"/>
      <c r="Z392" s="64"/>
      <c r="AA392" s="64"/>
      <c r="AB392" s="64"/>
      <c r="AC392" s="64"/>
      <c r="AD392" s="64"/>
      <c r="AE392" s="64"/>
      <c r="AF392" s="64"/>
      <c r="AG392" s="64"/>
      <c r="AH392" s="64"/>
      <c r="AI392" s="64"/>
      <c r="AJ392" s="64"/>
      <c r="AK392" s="64"/>
      <c r="AL392" s="64"/>
      <c r="AM392" s="64"/>
      <c r="AN392" s="64"/>
      <c r="AO392" s="64"/>
      <c r="AP392" s="64"/>
      <c r="AQ392" s="64"/>
      <c r="AR392" s="64"/>
      <c r="AS392" s="64"/>
      <c r="AT392" s="64"/>
      <c r="AU392" s="64"/>
      <c r="AV392" s="64"/>
      <c r="AW392" s="64"/>
      <c r="AX392" s="64"/>
      <c r="AY392" s="64"/>
      <c r="AZ392" s="64"/>
      <c r="BA392" s="64"/>
      <c r="BB392" s="64"/>
      <c r="BC392" s="64"/>
      <c r="BD392" s="64"/>
      <c r="BE392" s="64"/>
      <c r="BF392" s="64"/>
      <c r="BG392" s="64"/>
    </row>
    <row r="393" spans="4:59">
      <c r="D393" s="64"/>
      <c r="E393" s="64"/>
      <c r="F393" s="64"/>
      <c r="G393" s="64"/>
      <c r="H393" s="64"/>
      <c r="I393" s="64"/>
      <c r="J393" s="64"/>
      <c r="K393" s="64"/>
      <c r="L393" s="64"/>
      <c r="M393" s="64"/>
      <c r="N393" s="64"/>
      <c r="O393" s="64"/>
      <c r="P393" s="64"/>
      <c r="Q393" s="64"/>
      <c r="R393" s="64"/>
      <c r="S393" s="64"/>
      <c r="T393" s="64"/>
      <c r="U393" s="64"/>
      <c r="V393" s="64"/>
      <c r="W393" s="64"/>
      <c r="X393" s="64"/>
      <c r="Y393" s="64"/>
      <c r="Z393" s="64"/>
      <c r="AA393" s="64"/>
      <c r="AB393" s="64"/>
      <c r="AC393" s="64"/>
      <c r="AD393" s="64"/>
      <c r="AE393" s="64"/>
      <c r="AF393" s="64"/>
      <c r="AG393" s="64"/>
      <c r="AH393" s="64"/>
      <c r="AI393" s="64"/>
      <c r="AJ393" s="64"/>
      <c r="AK393" s="64"/>
      <c r="AL393" s="64"/>
      <c r="AM393" s="64"/>
      <c r="AN393" s="64"/>
      <c r="AO393" s="64"/>
      <c r="AP393" s="64"/>
      <c r="AQ393" s="64"/>
      <c r="AR393" s="64"/>
      <c r="AS393" s="64"/>
      <c r="AT393" s="64"/>
      <c r="AU393" s="64"/>
      <c r="AV393" s="64"/>
      <c r="AW393" s="64"/>
      <c r="AX393" s="64"/>
      <c r="AY393" s="64"/>
      <c r="AZ393" s="64"/>
      <c r="BA393" s="64"/>
      <c r="BB393" s="64"/>
      <c r="BC393" s="64"/>
      <c r="BD393" s="64"/>
      <c r="BE393" s="64"/>
      <c r="BF393" s="64"/>
      <c r="BG393" s="64"/>
    </row>
    <row r="394" spans="4:59">
      <c r="D394" s="64"/>
      <c r="E394" s="64"/>
      <c r="F394" s="64"/>
      <c r="G394" s="64"/>
      <c r="H394" s="64"/>
      <c r="I394" s="64"/>
      <c r="J394" s="64"/>
      <c r="K394" s="64"/>
      <c r="L394" s="64"/>
      <c r="M394" s="64"/>
      <c r="N394" s="64"/>
      <c r="O394" s="64"/>
      <c r="P394" s="64"/>
      <c r="Q394" s="64"/>
      <c r="R394" s="64"/>
      <c r="S394" s="64"/>
      <c r="T394" s="64"/>
      <c r="U394" s="64"/>
      <c r="V394" s="64"/>
      <c r="W394" s="64"/>
      <c r="X394" s="64"/>
      <c r="Y394" s="64"/>
      <c r="Z394" s="64"/>
      <c r="AA394" s="64"/>
      <c r="AB394" s="64"/>
      <c r="AC394" s="64"/>
      <c r="AD394" s="64"/>
      <c r="AE394" s="64"/>
      <c r="AF394" s="64"/>
      <c r="AG394" s="64"/>
      <c r="AH394" s="64"/>
      <c r="AI394" s="64"/>
      <c r="AJ394" s="64"/>
      <c r="AK394" s="64"/>
      <c r="AL394" s="64"/>
      <c r="AM394" s="64"/>
      <c r="AN394" s="64"/>
      <c r="AO394" s="64"/>
      <c r="AP394" s="64"/>
      <c r="AQ394" s="64"/>
      <c r="AR394" s="64"/>
      <c r="AS394" s="64"/>
      <c r="AT394" s="64"/>
      <c r="AU394" s="64"/>
      <c r="AV394" s="64"/>
      <c r="AW394" s="64"/>
      <c r="AX394" s="64"/>
      <c r="AY394" s="64"/>
      <c r="AZ394" s="64"/>
      <c r="BA394" s="64"/>
      <c r="BB394" s="64"/>
      <c r="BC394" s="64"/>
      <c r="BD394" s="64"/>
      <c r="BE394" s="64"/>
      <c r="BF394" s="64"/>
      <c r="BG394" s="64"/>
    </row>
    <row r="395" spans="4:59">
      <c r="D395" s="64"/>
      <c r="E395" s="64"/>
      <c r="F395" s="64"/>
      <c r="G395" s="64"/>
      <c r="H395" s="64"/>
      <c r="I395" s="64"/>
      <c r="J395" s="64"/>
      <c r="K395" s="64"/>
      <c r="L395" s="64"/>
      <c r="M395" s="64"/>
      <c r="N395" s="64"/>
      <c r="O395" s="64"/>
      <c r="P395" s="64"/>
      <c r="Q395" s="64"/>
      <c r="R395" s="64"/>
      <c r="S395" s="64"/>
      <c r="T395" s="64"/>
      <c r="U395" s="64"/>
      <c r="V395" s="64"/>
      <c r="W395" s="64"/>
      <c r="X395" s="64"/>
      <c r="Y395" s="64"/>
      <c r="Z395" s="64"/>
      <c r="AA395" s="64"/>
      <c r="AB395" s="64"/>
      <c r="AC395" s="64"/>
      <c r="AD395" s="64"/>
      <c r="AE395" s="64"/>
      <c r="AF395" s="64"/>
      <c r="AG395" s="64"/>
      <c r="AH395" s="64"/>
      <c r="AI395" s="64"/>
      <c r="AJ395" s="64"/>
      <c r="AK395" s="64"/>
      <c r="AL395" s="64"/>
      <c r="AM395" s="64"/>
      <c r="AN395" s="64"/>
      <c r="AO395" s="64"/>
      <c r="AP395" s="64"/>
      <c r="AQ395" s="64"/>
      <c r="AR395" s="64"/>
      <c r="AS395" s="64"/>
      <c r="AT395" s="64"/>
      <c r="AU395" s="64"/>
      <c r="AV395" s="64"/>
      <c r="AW395" s="64"/>
      <c r="AX395" s="64"/>
      <c r="AY395" s="64"/>
      <c r="AZ395" s="64"/>
      <c r="BA395" s="64"/>
      <c r="BB395" s="64"/>
      <c r="BC395" s="64"/>
      <c r="BD395" s="64"/>
      <c r="BE395" s="64"/>
      <c r="BF395" s="64"/>
      <c r="BG395" s="64"/>
    </row>
    <row r="396" spans="4:59">
      <c r="D396" s="64"/>
      <c r="E396" s="64"/>
      <c r="F396" s="64"/>
      <c r="G396" s="64"/>
      <c r="H396" s="64"/>
      <c r="I396" s="64"/>
      <c r="J396" s="64"/>
      <c r="K396" s="64"/>
      <c r="L396" s="64"/>
      <c r="M396" s="64"/>
      <c r="N396" s="64"/>
      <c r="O396" s="64"/>
      <c r="P396" s="64"/>
      <c r="Q396" s="64"/>
      <c r="R396" s="64"/>
      <c r="S396" s="64"/>
      <c r="T396" s="64"/>
      <c r="U396" s="64"/>
      <c r="V396" s="64"/>
      <c r="W396" s="64"/>
      <c r="X396" s="64"/>
      <c r="Y396" s="64"/>
      <c r="Z396" s="64"/>
      <c r="AA396" s="64"/>
      <c r="AB396" s="64"/>
      <c r="AC396" s="64"/>
      <c r="AD396" s="64"/>
      <c r="AE396" s="64"/>
      <c r="AF396" s="64"/>
      <c r="AG396" s="64"/>
      <c r="AH396" s="64"/>
      <c r="AI396" s="64"/>
      <c r="AJ396" s="64"/>
      <c r="AK396" s="64"/>
      <c r="AL396" s="64"/>
      <c r="AM396" s="64"/>
      <c r="AN396" s="64"/>
      <c r="AO396" s="64"/>
      <c r="AP396" s="64"/>
      <c r="AQ396" s="64"/>
      <c r="AR396" s="64"/>
      <c r="AS396" s="64"/>
      <c r="AT396" s="64"/>
      <c r="AU396" s="64"/>
      <c r="AV396" s="64"/>
      <c r="AW396" s="64"/>
      <c r="AX396" s="64"/>
      <c r="AY396" s="64"/>
      <c r="AZ396" s="64"/>
      <c r="BA396" s="64"/>
      <c r="BB396" s="64"/>
      <c r="BC396" s="64"/>
      <c r="BD396" s="64"/>
      <c r="BE396" s="64"/>
      <c r="BF396" s="64"/>
      <c r="BG396" s="64"/>
    </row>
    <row r="397" spans="4:59">
      <c r="D397" s="64"/>
      <c r="E397" s="64"/>
      <c r="F397" s="64"/>
      <c r="G397" s="64"/>
      <c r="H397" s="64"/>
      <c r="I397" s="64"/>
      <c r="J397" s="64"/>
      <c r="K397" s="64"/>
      <c r="L397" s="64"/>
      <c r="M397" s="64"/>
      <c r="N397" s="64"/>
      <c r="O397" s="64"/>
      <c r="P397" s="64"/>
      <c r="Q397" s="64"/>
      <c r="R397" s="64"/>
      <c r="S397" s="64"/>
      <c r="T397" s="64"/>
      <c r="U397" s="64"/>
      <c r="V397" s="64"/>
      <c r="W397" s="64"/>
      <c r="X397" s="64"/>
      <c r="Y397" s="64"/>
      <c r="Z397" s="64"/>
      <c r="AA397" s="64"/>
      <c r="AB397" s="64"/>
      <c r="AC397" s="64"/>
      <c r="AD397" s="64"/>
      <c r="AE397" s="64"/>
      <c r="AF397" s="64"/>
      <c r="AG397" s="64"/>
      <c r="AH397" s="64"/>
      <c r="AI397" s="64"/>
      <c r="AJ397" s="64"/>
      <c r="AK397" s="64"/>
      <c r="AL397" s="64"/>
      <c r="AM397" s="64"/>
      <c r="AN397" s="64"/>
      <c r="AO397" s="64"/>
      <c r="AP397" s="64"/>
      <c r="AQ397" s="64"/>
      <c r="AR397" s="64"/>
      <c r="AS397" s="64"/>
      <c r="AT397" s="64"/>
      <c r="AU397" s="64"/>
      <c r="AV397" s="64"/>
      <c r="AW397" s="64"/>
      <c r="AX397" s="64"/>
      <c r="AY397" s="64"/>
      <c r="AZ397" s="64"/>
      <c r="BA397" s="64"/>
      <c r="BB397" s="64"/>
      <c r="BC397" s="64"/>
      <c r="BD397" s="64"/>
      <c r="BE397" s="64"/>
      <c r="BF397" s="64"/>
      <c r="BG397" s="64"/>
    </row>
    <row r="398" spans="4:59">
      <c r="D398" s="64"/>
      <c r="E398" s="64"/>
      <c r="F398" s="64"/>
      <c r="G398" s="64"/>
      <c r="H398" s="64"/>
      <c r="I398" s="64"/>
      <c r="J398" s="64"/>
      <c r="K398" s="64"/>
      <c r="L398" s="64"/>
      <c r="M398" s="64"/>
      <c r="N398" s="64"/>
      <c r="O398" s="64"/>
      <c r="P398" s="64"/>
      <c r="Q398" s="64"/>
      <c r="R398" s="64"/>
      <c r="S398" s="64"/>
      <c r="T398" s="64"/>
      <c r="U398" s="64"/>
      <c r="V398" s="64"/>
      <c r="W398" s="64"/>
      <c r="X398" s="64"/>
      <c r="Y398" s="64"/>
      <c r="Z398" s="64"/>
      <c r="AA398" s="64"/>
      <c r="AB398" s="64"/>
      <c r="AC398" s="64"/>
      <c r="AD398" s="64"/>
      <c r="AE398" s="64"/>
      <c r="AF398" s="64"/>
      <c r="AG398" s="64"/>
      <c r="AH398" s="64"/>
      <c r="AI398" s="64"/>
      <c r="AJ398" s="64"/>
      <c r="AK398" s="64"/>
      <c r="AL398" s="64"/>
      <c r="AM398" s="64"/>
      <c r="AN398" s="64"/>
      <c r="AO398" s="64"/>
      <c r="AP398" s="64"/>
      <c r="AQ398" s="64"/>
      <c r="AR398" s="64"/>
      <c r="AS398" s="64"/>
      <c r="AT398" s="64"/>
      <c r="AU398" s="64"/>
      <c r="AV398" s="64"/>
      <c r="AW398" s="64"/>
      <c r="AX398" s="64"/>
      <c r="AY398" s="64"/>
      <c r="AZ398" s="64"/>
      <c r="BA398" s="64"/>
      <c r="BB398" s="64"/>
      <c r="BC398" s="64"/>
      <c r="BD398" s="64"/>
      <c r="BE398" s="64"/>
      <c r="BF398" s="64"/>
      <c r="BG398" s="64"/>
    </row>
    <row r="399" spans="4:59">
      <c r="D399" s="64"/>
      <c r="E399" s="64"/>
      <c r="F399" s="64"/>
      <c r="G399" s="64"/>
      <c r="H399" s="64"/>
      <c r="I399" s="64"/>
      <c r="J399" s="64"/>
      <c r="K399" s="64"/>
      <c r="L399" s="64"/>
      <c r="M399" s="64"/>
      <c r="N399" s="64"/>
      <c r="O399" s="64"/>
      <c r="P399" s="64"/>
      <c r="Q399" s="64"/>
      <c r="R399" s="64"/>
      <c r="S399" s="64"/>
      <c r="T399" s="64"/>
      <c r="U399" s="64"/>
      <c r="V399" s="64"/>
      <c r="W399" s="64"/>
      <c r="X399" s="64"/>
      <c r="Y399" s="64"/>
      <c r="Z399" s="64"/>
      <c r="AA399" s="64"/>
      <c r="AB399" s="64"/>
      <c r="AC399" s="64"/>
      <c r="AD399" s="64"/>
      <c r="AE399" s="64"/>
      <c r="AF399" s="64"/>
      <c r="AG399" s="64"/>
      <c r="AH399" s="64"/>
      <c r="AI399" s="64"/>
      <c r="AJ399" s="64"/>
      <c r="AK399" s="64"/>
      <c r="AL399" s="64"/>
      <c r="AM399" s="64"/>
      <c r="AN399" s="64"/>
      <c r="AO399" s="64"/>
      <c r="AP399" s="64"/>
      <c r="AQ399" s="64"/>
      <c r="AR399" s="64"/>
      <c r="AS399" s="64"/>
      <c r="AT399" s="64"/>
      <c r="AU399" s="64"/>
      <c r="AV399" s="64"/>
      <c r="AW399" s="64"/>
      <c r="AX399" s="64"/>
      <c r="AY399" s="64"/>
      <c r="AZ399" s="64"/>
      <c r="BA399" s="64"/>
      <c r="BB399" s="64"/>
      <c r="BC399" s="64"/>
      <c r="BD399" s="64"/>
      <c r="BE399" s="64"/>
      <c r="BF399" s="64"/>
      <c r="BG399" s="64"/>
    </row>
    <row r="400" spans="4:59">
      <c r="D400" s="64"/>
      <c r="E400" s="64"/>
      <c r="F400" s="64"/>
      <c r="G400" s="64"/>
      <c r="H400" s="64"/>
      <c r="I400" s="64"/>
      <c r="J400" s="64"/>
      <c r="K400" s="64"/>
      <c r="L400" s="64"/>
      <c r="M400" s="64"/>
      <c r="N400" s="64"/>
      <c r="O400" s="64"/>
      <c r="P400" s="64"/>
      <c r="Q400" s="64"/>
      <c r="R400" s="64"/>
      <c r="S400" s="64"/>
      <c r="T400" s="64"/>
      <c r="U400" s="64"/>
      <c r="V400" s="64"/>
      <c r="W400" s="64"/>
      <c r="X400" s="64"/>
      <c r="Y400" s="64"/>
      <c r="Z400" s="64"/>
      <c r="AA400" s="64"/>
      <c r="AB400" s="64"/>
      <c r="AC400" s="64"/>
      <c r="AD400" s="64"/>
      <c r="AE400" s="64"/>
      <c r="AF400" s="64"/>
      <c r="AG400" s="64"/>
      <c r="AH400" s="64"/>
      <c r="AI400" s="64"/>
      <c r="AJ400" s="64"/>
      <c r="AK400" s="64"/>
      <c r="AL400" s="64"/>
      <c r="AM400" s="64"/>
      <c r="AN400" s="64"/>
      <c r="AO400" s="64"/>
      <c r="AP400" s="64"/>
      <c r="AQ400" s="64"/>
      <c r="AR400" s="64"/>
      <c r="AS400" s="64"/>
      <c r="AT400" s="64"/>
      <c r="AU400" s="64"/>
      <c r="AV400" s="64"/>
      <c r="AW400" s="64"/>
      <c r="AX400" s="64"/>
      <c r="AY400" s="64"/>
      <c r="AZ400" s="64"/>
      <c r="BA400" s="64"/>
      <c r="BB400" s="64"/>
      <c r="BC400" s="64"/>
      <c r="BD400" s="64"/>
      <c r="BE400" s="64"/>
      <c r="BF400" s="64"/>
      <c r="BG400" s="64"/>
    </row>
    <row r="401" spans="4:59">
      <c r="D401" s="64"/>
      <c r="E401" s="64"/>
      <c r="F401" s="64"/>
      <c r="G401" s="64"/>
      <c r="H401" s="64"/>
      <c r="I401" s="64"/>
      <c r="J401" s="64"/>
      <c r="K401" s="64"/>
      <c r="L401" s="64"/>
      <c r="M401" s="64"/>
      <c r="N401" s="64"/>
      <c r="O401" s="64"/>
      <c r="P401" s="64"/>
      <c r="Q401" s="64"/>
      <c r="R401" s="64"/>
      <c r="S401" s="64"/>
      <c r="T401" s="64"/>
      <c r="U401" s="64"/>
      <c r="V401" s="64"/>
      <c r="W401" s="64"/>
      <c r="X401" s="64"/>
      <c r="Y401" s="64"/>
      <c r="Z401" s="64"/>
      <c r="AA401" s="64"/>
      <c r="AB401" s="64"/>
      <c r="AC401" s="64"/>
      <c r="AD401" s="64"/>
      <c r="AE401" s="64"/>
      <c r="AF401" s="64"/>
      <c r="AG401" s="64"/>
      <c r="AH401" s="64"/>
      <c r="AI401" s="64"/>
      <c r="AJ401" s="64"/>
      <c r="AK401" s="64"/>
      <c r="AL401" s="64"/>
      <c r="AM401" s="64"/>
      <c r="AN401" s="64"/>
      <c r="AO401" s="64"/>
      <c r="AP401" s="64"/>
      <c r="AQ401" s="64"/>
      <c r="AR401" s="64"/>
      <c r="AS401" s="64"/>
      <c r="AT401" s="64"/>
      <c r="AU401" s="64"/>
      <c r="AV401" s="64"/>
      <c r="AW401" s="64"/>
      <c r="AX401" s="64"/>
      <c r="AY401" s="64"/>
      <c r="AZ401" s="64"/>
      <c r="BA401" s="64"/>
      <c r="BB401" s="64"/>
      <c r="BC401" s="64"/>
      <c r="BD401" s="64"/>
      <c r="BE401" s="64"/>
      <c r="BF401" s="64"/>
      <c r="BG401" s="64"/>
    </row>
    <row r="402" spans="4:59">
      <c r="D402" s="64"/>
      <c r="E402" s="64"/>
      <c r="F402" s="64"/>
      <c r="G402" s="64"/>
      <c r="H402" s="64"/>
      <c r="I402" s="64"/>
      <c r="J402" s="64"/>
      <c r="K402" s="64"/>
      <c r="L402" s="64"/>
      <c r="M402" s="64"/>
      <c r="N402" s="64"/>
      <c r="O402" s="64"/>
      <c r="P402" s="64"/>
      <c r="Q402" s="64"/>
      <c r="R402" s="64"/>
      <c r="S402" s="64"/>
      <c r="T402" s="64"/>
      <c r="U402" s="64"/>
      <c r="V402" s="64"/>
      <c r="W402" s="64"/>
      <c r="X402" s="64"/>
      <c r="Y402" s="64"/>
      <c r="Z402" s="64"/>
      <c r="AA402" s="64"/>
      <c r="AB402" s="64"/>
      <c r="AC402" s="64"/>
      <c r="AD402" s="64"/>
      <c r="AE402" s="64"/>
      <c r="AF402" s="64"/>
      <c r="AG402" s="64"/>
      <c r="AH402" s="64"/>
      <c r="AI402" s="64"/>
      <c r="AJ402" s="64"/>
      <c r="AK402" s="64"/>
      <c r="AL402" s="64"/>
      <c r="AM402" s="64"/>
      <c r="AN402" s="64"/>
      <c r="AO402" s="64"/>
      <c r="AP402" s="64"/>
      <c r="AQ402" s="64"/>
      <c r="AR402" s="64"/>
      <c r="AS402" s="64"/>
      <c r="AT402" s="64"/>
      <c r="AU402" s="64"/>
      <c r="AV402" s="64"/>
      <c r="AW402" s="64"/>
      <c r="AX402" s="64"/>
      <c r="AY402" s="64"/>
      <c r="AZ402" s="64"/>
      <c r="BA402" s="64"/>
      <c r="BB402" s="64"/>
      <c r="BC402" s="64"/>
      <c r="BD402" s="64"/>
      <c r="BE402" s="64"/>
      <c r="BF402" s="64"/>
      <c r="BG402" s="64"/>
    </row>
    <row r="403" spans="4:59">
      <c r="D403" s="64"/>
      <c r="E403" s="64"/>
      <c r="F403" s="64"/>
      <c r="G403" s="64"/>
      <c r="H403" s="64"/>
      <c r="I403" s="64"/>
      <c r="J403" s="64"/>
      <c r="K403" s="64"/>
      <c r="L403" s="64"/>
      <c r="M403" s="64"/>
      <c r="N403" s="64"/>
      <c r="O403" s="64"/>
      <c r="P403" s="64"/>
      <c r="Q403" s="64"/>
      <c r="R403" s="64"/>
      <c r="S403" s="64"/>
      <c r="T403" s="64"/>
      <c r="U403" s="64"/>
      <c r="V403" s="64"/>
      <c r="W403" s="64"/>
      <c r="X403" s="64"/>
      <c r="Y403" s="64"/>
      <c r="Z403" s="64"/>
      <c r="AA403" s="64"/>
      <c r="AB403" s="64"/>
      <c r="AC403" s="64"/>
      <c r="AD403" s="64"/>
      <c r="AE403" s="64"/>
      <c r="AF403" s="64"/>
      <c r="AG403" s="64"/>
      <c r="AH403" s="64"/>
      <c r="AI403" s="64"/>
      <c r="AJ403" s="64"/>
      <c r="AK403" s="64"/>
      <c r="AL403" s="64"/>
      <c r="AM403" s="64"/>
      <c r="AN403" s="64"/>
      <c r="AO403" s="64"/>
      <c r="AP403" s="64"/>
      <c r="AQ403" s="64"/>
      <c r="AR403" s="64"/>
      <c r="AS403" s="64"/>
      <c r="AT403" s="64"/>
      <c r="AU403" s="64"/>
      <c r="AV403" s="64"/>
      <c r="AW403" s="64"/>
      <c r="AX403" s="64"/>
      <c r="AY403" s="64"/>
      <c r="AZ403" s="64"/>
      <c r="BA403" s="64"/>
      <c r="BB403" s="64"/>
      <c r="BC403" s="64"/>
      <c r="BD403" s="64"/>
      <c r="BE403" s="64"/>
      <c r="BF403" s="64"/>
      <c r="BG403" s="64"/>
    </row>
    <row r="404" spans="4:59">
      <c r="D404" s="64"/>
      <c r="E404" s="64"/>
      <c r="F404" s="64"/>
      <c r="G404" s="64"/>
      <c r="H404" s="64"/>
      <c r="I404" s="64"/>
      <c r="J404" s="64"/>
      <c r="K404" s="64"/>
      <c r="L404" s="64"/>
      <c r="M404" s="64"/>
      <c r="N404" s="64"/>
      <c r="O404" s="64"/>
      <c r="P404" s="64"/>
      <c r="Q404" s="64"/>
      <c r="R404" s="64"/>
      <c r="S404" s="64"/>
      <c r="T404" s="64"/>
      <c r="U404" s="64"/>
      <c r="V404" s="64"/>
      <c r="W404" s="64"/>
      <c r="X404" s="64"/>
      <c r="Y404" s="64"/>
      <c r="Z404" s="64"/>
      <c r="AA404" s="64"/>
      <c r="AB404" s="64"/>
      <c r="AC404" s="64"/>
      <c r="AD404" s="64"/>
      <c r="AE404" s="64"/>
      <c r="AF404" s="64"/>
      <c r="AG404" s="64"/>
      <c r="AH404" s="64"/>
      <c r="AI404" s="64"/>
      <c r="AJ404" s="64"/>
      <c r="AK404" s="64"/>
      <c r="AL404" s="64"/>
      <c r="AM404" s="64"/>
      <c r="AN404" s="64"/>
      <c r="AO404" s="64"/>
      <c r="AP404" s="64"/>
      <c r="AQ404" s="64"/>
      <c r="AR404" s="64"/>
      <c r="AS404" s="64"/>
      <c r="AT404" s="64"/>
      <c r="AU404" s="64"/>
      <c r="AV404" s="64"/>
      <c r="AW404" s="64"/>
      <c r="AX404" s="64"/>
      <c r="AY404" s="64"/>
      <c r="AZ404" s="64"/>
      <c r="BA404" s="64"/>
      <c r="BB404" s="64"/>
      <c r="BC404" s="64"/>
      <c r="BD404" s="64"/>
      <c r="BE404" s="64"/>
      <c r="BF404" s="64"/>
      <c r="BG404" s="64"/>
    </row>
    <row r="405" spans="4:59">
      <c r="D405" s="64"/>
      <c r="E405" s="64"/>
      <c r="F405" s="64"/>
      <c r="G405" s="64"/>
      <c r="H405" s="64"/>
      <c r="I405" s="64"/>
      <c r="J405" s="64"/>
      <c r="K405" s="64"/>
      <c r="L405" s="64"/>
      <c r="M405" s="64"/>
      <c r="N405" s="64"/>
      <c r="O405" s="64"/>
      <c r="P405" s="64"/>
      <c r="Q405" s="64"/>
      <c r="R405" s="64"/>
      <c r="S405" s="64"/>
      <c r="T405" s="64"/>
      <c r="U405" s="64"/>
      <c r="V405" s="64"/>
      <c r="W405" s="64"/>
      <c r="X405" s="64"/>
      <c r="Y405" s="64"/>
      <c r="Z405" s="64"/>
      <c r="AA405" s="64"/>
      <c r="AB405" s="64"/>
      <c r="AC405" s="64"/>
      <c r="AD405" s="64"/>
      <c r="AE405" s="64"/>
      <c r="AF405" s="64"/>
      <c r="AG405" s="64"/>
      <c r="AH405" s="64"/>
      <c r="AI405" s="64"/>
      <c r="AJ405" s="64"/>
      <c r="AK405" s="64"/>
      <c r="AL405" s="64"/>
      <c r="AM405" s="64"/>
      <c r="AN405" s="64"/>
      <c r="AO405" s="64"/>
      <c r="AP405" s="64"/>
      <c r="AQ405" s="64"/>
      <c r="AR405" s="64"/>
      <c r="AS405" s="64"/>
      <c r="AT405" s="64"/>
      <c r="AU405" s="64"/>
      <c r="AV405" s="64"/>
      <c r="AW405" s="64"/>
      <c r="AX405" s="64"/>
      <c r="AY405" s="64"/>
      <c r="AZ405" s="64"/>
      <c r="BA405" s="64"/>
      <c r="BB405" s="64"/>
      <c r="BC405" s="64"/>
      <c r="BD405" s="64"/>
      <c r="BE405" s="64"/>
      <c r="BF405" s="64"/>
      <c r="BG405" s="64"/>
    </row>
    <row r="406" spans="4:59">
      <c r="D406" s="64"/>
      <c r="E406" s="64"/>
      <c r="F406" s="64"/>
      <c r="G406" s="64"/>
      <c r="H406" s="64"/>
      <c r="I406" s="64"/>
      <c r="J406" s="64"/>
      <c r="K406" s="64"/>
      <c r="L406" s="64"/>
      <c r="M406" s="64"/>
      <c r="N406" s="64"/>
      <c r="O406" s="64"/>
      <c r="P406" s="64"/>
      <c r="Q406" s="64"/>
      <c r="R406" s="64"/>
      <c r="S406" s="64"/>
      <c r="T406" s="64"/>
      <c r="U406" s="64"/>
      <c r="V406" s="64"/>
      <c r="W406" s="64"/>
      <c r="X406" s="64"/>
      <c r="Y406" s="64"/>
      <c r="Z406" s="64"/>
      <c r="AA406" s="64"/>
      <c r="AB406" s="64"/>
      <c r="AC406" s="64"/>
      <c r="AD406" s="64"/>
      <c r="AE406" s="64"/>
      <c r="AF406" s="64"/>
      <c r="AG406" s="64"/>
      <c r="AH406" s="64"/>
      <c r="AI406" s="64"/>
      <c r="AJ406" s="64"/>
      <c r="AK406" s="64"/>
      <c r="AL406" s="64"/>
      <c r="AM406" s="64"/>
      <c r="AN406" s="64"/>
      <c r="AO406" s="64"/>
      <c r="AP406" s="64"/>
      <c r="AQ406" s="64"/>
      <c r="AR406" s="64"/>
      <c r="AS406" s="64"/>
      <c r="AT406" s="64"/>
      <c r="AU406" s="64"/>
      <c r="AV406" s="64"/>
      <c r="AW406" s="64"/>
      <c r="AX406" s="64"/>
      <c r="AY406" s="64"/>
      <c r="AZ406" s="64"/>
      <c r="BA406" s="64"/>
      <c r="BB406" s="64"/>
      <c r="BC406" s="64"/>
      <c r="BD406" s="64"/>
      <c r="BE406" s="64"/>
      <c r="BF406" s="64"/>
      <c r="BG406" s="64"/>
    </row>
    <row r="407" spans="4:59"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  <c r="P407" s="64"/>
      <c r="Q407" s="64"/>
      <c r="R407" s="64"/>
      <c r="S407" s="64"/>
      <c r="T407" s="64"/>
      <c r="U407" s="64"/>
      <c r="V407" s="64"/>
      <c r="W407" s="64"/>
      <c r="X407" s="64"/>
      <c r="Y407" s="64"/>
      <c r="Z407" s="64"/>
      <c r="AA407" s="64"/>
      <c r="AB407" s="64"/>
      <c r="AC407" s="64"/>
      <c r="AD407" s="64"/>
      <c r="AE407" s="64"/>
      <c r="AF407" s="64"/>
      <c r="AG407" s="64"/>
      <c r="AH407" s="64"/>
      <c r="AI407" s="64"/>
      <c r="AJ407" s="64"/>
      <c r="AK407" s="64"/>
      <c r="AL407" s="64"/>
      <c r="AM407" s="64"/>
      <c r="AN407" s="64"/>
      <c r="AO407" s="64"/>
      <c r="AP407" s="64"/>
      <c r="AQ407" s="64"/>
      <c r="AR407" s="64"/>
      <c r="AS407" s="64"/>
      <c r="AT407" s="64"/>
      <c r="AU407" s="64"/>
      <c r="AV407" s="64"/>
      <c r="AW407" s="64"/>
      <c r="AX407" s="64"/>
      <c r="AY407" s="64"/>
      <c r="AZ407" s="64"/>
      <c r="BA407" s="64"/>
      <c r="BB407" s="64"/>
      <c r="BC407" s="64"/>
      <c r="BD407" s="64"/>
      <c r="BE407" s="64"/>
      <c r="BF407" s="64"/>
      <c r="BG407" s="64"/>
    </row>
    <row r="408" spans="4:59">
      <c r="D408" s="64"/>
      <c r="E408" s="64"/>
      <c r="F408" s="64"/>
      <c r="G408" s="64"/>
      <c r="H408" s="64"/>
      <c r="I408" s="64"/>
      <c r="J408" s="64"/>
      <c r="K408" s="64"/>
      <c r="L408" s="64"/>
      <c r="M408" s="64"/>
      <c r="N408" s="64"/>
      <c r="O408" s="64"/>
      <c r="P408" s="64"/>
      <c r="Q408" s="64"/>
      <c r="R408" s="64"/>
      <c r="S408" s="64"/>
      <c r="T408" s="64"/>
      <c r="U408" s="64"/>
      <c r="V408" s="64"/>
      <c r="W408" s="64"/>
      <c r="X408" s="64"/>
      <c r="Y408" s="64"/>
      <c r="Z408" s="64"/>
      <c r="AA408" s="64"/>
      <c r="AB408" s="64"/>
      <c r="AC408" s="64"/>
      <c r="AD408" s="64"/>
      <c r="AE408" s="64"/>
      <c r="AF408" s="64"/>
      <c r="AG408" s="64"/>
      <c r="AH408" s="64"/>
      <c r="AI408" s="64"/>
      <c r="AJ408" s="64"/>
      <c r="AK408" s="64"/>
      <c r="AL408" s="64"/>
      <c r="AM408" s="64"/>
      <c r="AN408" s="64"/>
      <c r="AO408" s="64"/>
      <c r="AP408" s="64"/>
      <c r="AQ408" s="64"/>
      <c r="AR408" s="64"/>
      <c r="AS408" s="64"/>
      <c r="AT408" s="64"/>
      <c r="AU408" s="64"/>
      <c r="AV408" s="64"/>
      <c r="AW408" s="64"/>
      <c r="AX408" s="64"/>
      <c r="AY408" s="64"/>
      <c r="AZ408" s="64"/>
      <c r="BA408" s="64"/>
      <c r="BB408" s="64"/>
      <c r="BC408" s="64"/>
      <c r="BD408" s="64"/>
      <c r="BE408" s="64"/>
      <c r="BF408" s="64"/>
      <c r="BG408" s="64"/>
    </row>
    <row r="409" spans="4:59"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  <c r="P409" s="64"/>
      <c r="Q409" s="64"/>
      <c r="R409" s="64"/>
      <c r="S409" s="64"/>
      <c r="T409" s="64"/>
      <c r="U409" s="64"/>
      <c r="V409" s="64"/>
      <c r="W409" s="64"/>
      <c r="X409" s="64"/>
      <c r="Y409" s="64"/>
      <c r="Z409" s="64"/>
      <c r="AA409" s="64"/>
      <c r="AB409" s="64"/>
      <c r="AC409" s="64"/>
      <c r="AD409" s="64"/>
      <c r="AE409" s="64"/>
      <c r="AF409" s="64"/>
      <c r="AG409" s="64"/>
      <c r="AH409" s="64"/>
      <c r="AI409" s="64"/>
      <c r="AJ409" s="64"/>
      <c r="AK409" s="64"/>
      <c r="AL409" s="64"/>
      <c r="AM409" s="64"/>
      <c r="AN409" s="64"/>
      <c r="AO409" s="64"/>
      <c r="AP409" s="64"/>
      <c r="AQ409" s="64"/>
      <c r="AR409" s="64"/>
      <c r="AS409" s="64"/>
      <c r="AT409" s="64"/>
      <c r="AU409" s="64"/>
      <c r="AV409" s="64"/>
      <c r="AW409" s="64"/>
      <c r="AX409" s="64"/>
      <c r="AY409" s="64"/>
      <c r="AZ409" s="64"/>
      <c r="BA409" s="64"/>
      <c r="BB409" s="64"/>
      <c r="BC409" s="64"/>
      <c r="BD409" s="64"/>
      <c r="BE409" s="64"/>
      <c r="BF409" s="64"/>
      <c r="BG409" s="64"/>
    </row>
    <row r="410" spans="4:59">
      <c r="D410" s="64"/>
      <c r="E410" s="64"/>
      <c r="F410" s="64"/>
      <c r="G410" s="64"/>
      <c r="H410" s="64"/>
      <c r="I410" s="64"/>
      <c r="J410" s="64"/>
      <c r="K410" s="64"/>
      <c r="L410" s="64"/>
      <c r="M410" s="64"/>
      <c r="N410" s="64"/>
      <c r="O410" s="64"/>
      <c r="P410" s="64"/>
      <c r="Q410" s="64"/>
      <c r="R410" s="64"/>
      <c r="S410" s="64"/>
      <c r="T410" s="64"/>
      <c r="U410" s="64"/>
      <c r="V410" s="64"/>
      <c r="W410" s="64"/>
      <c r="X410" s="64"/>
      <c r="Y410" s="64"/>
      <c r="Z410" s="64"/>
      <c r="AA410" s="64"/>
      <c r="AB410" s="64"/>
      <c r="AC410" s="64"/>
      <c r="AD410" s="64"/>
      <c r="AE410" s="64"/>
      <c r="AF410" s="64"/>
      <c r="AG410" s="64"/>
      <c r="AH410" s="64"/>
      <c r="AI410" s="64"/>
      <c r="AJ410" s="64"/>
      <c r="AK410" s="64"/>
      <c r="AL410" s="64"/>
      <c r="AM410" s="64"/>
      <c r="AN410" s="64"/>
      <c r="AO410" s="64"/>
      <c r="AP410" s="64"/>
      <c r="AQ410" s="64"/>
      <c r="AR410" s="64"/>
      <c r="AS410" s="64"/>
      <c r="AT410" s="64"/>
      <c r="AU410" s="64"/>
      <c r="AV410" s="64"/>
      <c r="AW410" s="64"/>
      <c r="AX410" s="64"/>
      <c r="AY410" s="64"/>
      <c r="AZ410" s="64"/>
      <c r="BA410" s="64"/>
      <c r="BB410" s="64"/>
      <c r="BC410" s="64"/>
      <c r="BD410" s="64"/>
      <c r="BE410" s="64"/>
      <c r="BF410" s="64"/>
      <c r="BG410" s="64"/>
    </row>
    <row r="411" spans="4:59">
      <c r="D411" s="64"/>
      <c r="E411" s="64"/>
      <c r="F411" s="64"/>
      <c r="G411" s="64"/>
      <c r="H411" s="64"/>
      <c r="I411" s="64"/>
      <c r="J411" s="64"/>
      <c r="K411" s="64"/>
      <c r="L411" s="64"/>
      <c r="M411" s="64"/>
      <c r="N411" s="64"/>
      <c r="O411" s="64"/>
      <c r="P411" s="64"/>
      <c r="Q411" s="64"/>
      <c r="R411" s="64"/>
      <c r="S411" s="64"/>
      <c r="T411" s="64"/>
      <c r="U411" s="64"/>
      <c r="V411" s="64"/>
      <c r="W411" s="64"/>
      <c r="X411" s="64"/>
      <c r="Y411" s="64"/>
      <c r="Z411" s="64"/>
      <c r="AA411" s="64"/>
      <c r="AB411" s="64"/>
      <c r="AC411" s="64"/>
      <c r="AD411" s="64"/>
      <c r="AE411" s="64"/>
      <c r="AF411" s="64"/>
      <c r="AG411" s="64"/>
      <c r="AH411" s="64"/>
      <c r="AI411" s="64"/>
      <c r="AJ411" s="64"/>
      <c r="AK411" s="64"/>
      <c r="AL411" s="64"/>
      <c r="AM411" s="64"/>
      <c r="AN411" s="64"/>
      <c r="AO411" s="64"/>
      <c r="AP411" s="64"/>
      <c r="AQ411" s="64"/>
      <c r="AR411" s="64"/>
      <c r="AS411" s="64"/>
      <c r="AT411" s="64"/>
      <c r="AU411" s="64"/>
      <c r="AV411" s="64"/>
      <c r="AW411" s="64"/>
      <c r="AX411" s="64"/>
      <c r="AY411" s="64"/>
      <c r="AZ411" s="64"/>
      <c r="BA411" s="64"/>
      <c r="BB411" s="64"/>
      <c r="BC411" s="64"/>
      <c r="BD411" s="64"/>
      <c r="BE411" s="64"/>
      <c r="BF411" s="64"/>
      <c r="BG411" s="64"/>
    </row>
    <row r="412" spans="4:59">
      <c r="D412" s="64"/>
      <c r="E412" s="64"/>
      <c r="F412" s="64"/>
      <c r="G412" s="64"/>
      <c r="H412" s="64"/>
      <c r="I412" s="64"/>
      <c r="J412" s="64"/>
      <c r="K412" s="64"/>
      <c r="L412" s="64"/>
      <c r="M412" s="64"/>
      <c r="N412" s="64"/>
      <c r="O412" s="64"/>
      <c r="P412" s="64"/>
      <c r="Q412" s="64"/>
      <c r="R412" s="64"/>
      <c r="S412" s="64"/>
      <c r="T412" s="64"/>
      <c r="U412" s="64"/>
      <c r="V412" s="64"/>
      <c r="W412" s="64"/>
      <c r="X412" s="64"/>
      <c r="Y412" s="64"/>
      <c r="Z412" s="64"/>
      <c r="AA412" s="64"/>
      <c r="AB412" s="64"/>
      <c r="AC412" s="64"/>
      <c r="AD412" s="64"/>
      <c r="AE412" s="64"/>
      <c r="AF412" s="64"/>
      <c r="AG412" s="64"/>
      <c r="AH412" s="64"/>
      <c r="AI412" s="64"/>
      <c r="AJ412" s="64"/>
      <c r="AK412" s="64"/>
      <c r="AL412" s="64"/>
      <c r="AM412" s="64"/>
      <c r="AN412" s="64"/>
      <c r="AO412" s="64"/>
      <c r="AP412" s="64"/>
      <c r="AQ412" s="64"/>
      <c r="AR412" s="64"/>
      <c r="AS412" s="64"/>
      <c r="AT412" s="64"/>
      <c r="AU412" s="64"/>
      <c r="AV412" s="64"/>
      <c r="AW412" s="64"/>
      <c r="AX412" s="64"/>
      <c r="AY412" s="64"/>
      <c r="AZ412" s="64"/>
      <c r="BA412" s="64"/>
      <c r="BB412" s="64"/>
      <c r="BC412" s="64"/>
      <c r="BD412" s="64"/>
      <c r="BE412" s="64"/>
      <c r="BF412" s="64"/>
      <c r="BG412" s="64"/>
    </row>
    <row r="413" spans="4:59">
      <c r="D413" s="64"/>
      <c r="E413" s="64"/>
      <c r="F413" s="64"/>
      <c r="G413" s="64"/>
      <c r="H413" s="64"/>
      <c r="I413" s="64"/>
      <c r="J413" s="64"/>
      <c r="K413" s="64"/>
      <c r="L413" s="64"/>
      <c r="M413" s="64"/>
      <c r="N413" s="64"/>
      <c r="O413" s="64"/>
      <c r="P413" s="64"/>
      <c r="Q413" s="64"/>
      <c r="R413" s="64"/>
      <c r="S413" s="64"/>
      <c r="T413" s="64"/>
      <c r="U413" s="64"/>
      <c r="V413" s="64"/>
      <c r="W413" s="64"/>
      <c r="X413" s="64"/>
      <c r="Y413" s="64"/>
      <c r="Z413" s="64"/>
      <c r="AA413" s="64"/>
      <c r="AB413" s="64"/>
      <c r="AC413" s="64"/>
      <c r="AD413" s="64"/>
      <c r="AE413" s="64"/>
      <c r="AF413" s="64"/>
      <c r="AG413" s="64"/>
      <c r="AH413" s="64"/>
      <c r="AI413" s="64"/>
      <c r="AJ413" s="64"/>
      <c r="AK413" s="64"/>
      <c r="AL413" s="64"/>
      <c r="AM413" s="64"/>
      <c r="AN413" s="64"/>
      <c r="AO413" s="64"/>
      <c r="AP413" s="64"/>
      <c r="AQ413" s="64"/>
      <c r="AR413" s="64"/>
      <c r="AS413" s="64"/>
      <c r="AT413" s="64"/>
      <c r="AU413" s="64"/>
      <c r="AV413" s="64"/>
      <c r="AW413" s="64"/>
      <c r="AX413" s="64"/>
      <c r="AY413" s="64"/>
      <c r="AZ413" s="64"/>
      <c r="BA413" s="64"/>
      <c r="BB413" s="64"/>
      <c r="BC413" s="64"/>
      <c r="BD413" s="64"/>
      <c r="BE413" s="64"/>
      <c r="BF413" s="64"/>
      <c r="BG413" s="64"/>
    </row>
    <row r="414" spans="4:59">
      <c r="D414" s="64"/>
      <c r="E414" s="64"/>
      <c r="F414" s="64"/>
      <c r="G414" s="64"/>
      <c r="H414" s="64"/>
      <c r="I414" s="64"/>
      <c r="J414" s="64"/>
      <c r="K414" s="64"/>
      <c r="L414" s="64"/>
      <c r="M414" s="64"/>
      <c r="N414" s="64"/>
      <c r="O414" s="64"/>
      <c r="P414" s="64"/>
      <c r="Q414" s="64"/>
      <c r="R414" s="64"/>
      <c r="S414" s="64"/>
      <c r="T414" s="64"/>
      <c r="U414" s="64"/>
      <c r="V414" s="64"/>
      <c r="W414" s="64"/>
      <c r="X414" s="64"/>
      <c r="Y414" s="64"/>
      <c r="Z414" s="64"/>
      <c r="AA414" s="64"/>
      <c r="AB414" s="64"/>
      <c r="AC414" s="64"/>
      <c r="AD414" s="64"/>
      <c r="AE414" s="64"/>
      <c r="AF414" s="64"/>
      <c r="AG414" s="64"/>
      <c r="AH414" s="64"/>
      <c r="AI414" s="64"/>
      <c r="AJ414" s="64"/>
      <c r="AK414" s="64"/>
      <c r="AL414" s="64"/>
      <c r="AM414" s="64"/>
      <c r="AN414" s="64"/>
      <c r="AO414" s="64"/>
      <c r="AP414" s="64"/>
      <c r="AQ414" s="64"/>
      <c r="AR414" s="64"/>
      <c r="AS414" s="64"/>
      <c r="AT414" s="64"/>
      <c r="AU414" s="64"/>
      <c r="AV414" s="64"/>
      <c r="AW414" s="64"/>
      <c r="AX414" s="64"/>
      <c r="AY414" s="64"/>
      <c r="AZ414" s="64"/>
      <c r="BA414" s="64"/>
      <c r="BB414" s="64"/>
      <c r="BC414" s="64"/>
      <c r="BD414" s="64"/>
      <c r="BE414" s="64"/>
      <c r="BF414" s="64"/>
      <c r="BG414" s="64"/>
    </row>
    <row r="415" spans="4:59">
      <c r="D415" s="64"/>
      <c r="E415" s="64"/>
      <c r="F415" s="64"/>
      <c r="G415" s="64"/>
      <c r="H415" s="64"/>
      <c r="I415" s="64"/>
      <c r="J415" s="64"/>
      <c r="K415" s="64"/>
      <c r="L415" s="64"/>
      <c r="M415" s="64"/>
      <c r="N415" s="64"/>
      <c r="O415" s="64"/>
      <c r="P415" s="64"/>
      <c r="Q415" s="64"/>
      <c r="R415" s="64"/>
      <c r="S415" s="64"/>
      <c r="T415" s="64"/>
      <c r="U415" s="64"/>
      <c r="V415" s="64"/>
      <c r="W415" s="64"/>
      <c r="X415" s="64"/>
      <c r="Y415" s="64"/>
      <c r="Z415" s="64"/>
      <c r="AA415" s="64"/>
      <c r="AB415" s="64"/>
      <c r="AC415" s="64"/>
      <c r="AD415" s="64"/>
      <c r="AE415" s="64"/>
      <c r="AF415" s="64"/>
      <c r="AG415" s="64"/>
      <c r="AH415" s="64"/>
      <c r="AI415" s="64"/>
      <c r="AJ415" s="64"/>
      <c r="AK415" s="64"/>
      <c r="AL415" s="64"/>
      <c r="AM415" s="64"/>
      <c r="AN415" s="64"/>
      <c r="AO415" s="64"/>
      <c r="AP415" s="64"/>
      <c r="AQ415" s="64"/>
      <c r="AR415" s="64"/>
      <c r="AS415" s="64"/>
      <c r="AT415" s="64"/>
      <c r="AU415" s="64"/>
      <c r="AV415" s="64"/>
      <c r="AW415" s="64"/>
      <c r="AX415" s="64"/>
      <c r="AY415" s="64"/>
      <c r="AZ415" s="64"/>
      <c r="BA415" s="64"/>
      <c r="BB415" s="64"/>
      <c r="BC415" s="64"/>
      <c r="BD415" s="64"/>
      <c r="BE415" s="64"/>
      <c r="BF415" s="64"/>
      <c r="BG415" s="64"/>
    </row>
    <row r="416" spans="4:59">
      <c r="D416" s="64"/>
      <c r="E416" s="64"/>
      <c r="F416" s="64"/>
      <c r="G416" s="64"/>
      <c r="H416" s="64"/>
      <c r="I416" s="64"/>
      <c r="J416" s="64"/>
      <c r="K416" s="64"/>
      <c r="L416" s="64"/>
      <c r="M416" s="64"/>
      <c r="N416" s="64"/>
      <c r="O416" s="64"/>
      <c r="P416" s="64"/>
      <c r="Q416" s="64"/>
      <c r="R416" s="64"/>
      <c r="S416" s="64"/>
      <c r="T416" s="64"/>
      <c r="U416" s="64"/>
      <c r="V416" s="64"/>
      <c r="W416" s="64"/>
      <c r="X416" s="64"/>
      <c r="Y416" s="64"/>
      <c r="Z416" s="64"/>
      <c r="AA416" s="64"/>
      <c r="AB416" s="64"/>
      <c r="AC416" s="64"/>
      <c r="AD416" s="64"/>
      <c r="AE416" s="64"/>
      <c r="AF416" s="64"/>
      <c r="AG416" s="64"/>
      <c r="AH416" s="64"/>
      <c r="AI416" s="64"/>
      <c r="AJ416" s="64"/>
      <c r="AK416" s="64"/>
      <c r="AL416" s="64"/>
      <c r="AM416" s="64"/>
      <c r="AN416" s="64"/>
      <c r="AO416" s="64"/>
      <c r="AP416" s="64"/>
      <c r="AQ416" s="64"/>
      <c r="AR416" s="64"/>
      <c r="AS416" s="64"/>
      <c r="AT416" s="64"/>
      <c r="AU416" s="64"/>
      <c r="AV416" s="64"/>
      <c r="AW416" s="64"/>
      <c r="AX416" s="64"/>
      <c r="AY416" s="64"/>
      <c r="AZ416" s="64"/>
      <c r="BA416" s="64"/>
      <c r="BB416" s="64"/>
      <c r="BC416" s="64"/>
      <c r="BD416" s="64"/>
      <c r="BE416" s="64"/>
      <c r="BF416" s="64"/>
      <c r="BG416" s="64"/>
    </row>
    <row r="417" spans="4:59">
      <c r="D417" s="64"/>
      <c r="E417" s="64"/>
      <c r="F417" s="64"/>
      <c r="G417" s="64"/>
      <c r="H417" s="64"/>
      <c r="I417" s="64"/>
      <c r="J417" s="64"/>
      <c r="K417" s="64"/>
      <c r="L417" s="64"/>
      <c r="M417" s="64"/>
      <c r="N417" s="64"/>
      <c r="O417" s="64"/>
      <c r="P417" s="64"/>
      <c r="Q417" s="64"/>
      <c r="R417" s="64"/>
      <c r="S417" s="64"/>
      <c r="T417" s="64"/>
      <c r="U417" s="64"/>
      <c r="V417" s="64"/>
      <c r="W417" s="64"/>
      <c r="X417" s="64"/>
      <c r="Y417" s="64"/>
      <c r="Z417" s="64"/>
      <c r="AA417" s="64"/>
      <c r="AB417" s="64"/>
      <c r="AC417" s="64"/>
      <c r="AD417" s="64"/>
      <c r="AE417" s="64"/>
      <c r="AF417" s="64"/>
      <c r="AG417" s="64"/>
      <c r="AH417" s="64"/>
      <c r="AI417" s="64"/>
      <c r="AJ417" s="64"/>
      <c r="AK417" s="64"/>
      <c r="AL417" s="64"/>
      <c r="AM417" s="64"/>
      <c r="AN417" s="64"/>
      <c r="AO417" s="64"/>
      <c r="AP417" s="64"/>
      <c r="AQ417" s="64"/>
      <c r="AR417" s="64"/>
      <c r="AS417" s="64"/>
      <c r="AT417" s="64"/>
      <c r="AU417" s="64"/>
      <c r="AV417" s="64"/>
      <c r="AW417" s="64"/>
      <c r="AX417" s="64"/>
      <c r="AY417" s="64"/>
      <c r="AZ417" s="64"/>
      <c r="BA417" s="64"/>
      <c r="BB417" s="64"/>
      <c r="BC417" s="64"/>
      <c r="BD417" s="64"/>
      <c r="BE417" s="64"/>
      <c r="BF417" s="64"/>
      <c r="BG417" s="64"/>
    </row>
    <row r="418" spans="4:59">
      <c r="D418" s="64"/>
      <c r="E418" s="64"/>
      <c r="F418" s="64"/>
      <c r="G418" s="64"/>
      <c r="H418" s="64"/>
      <c r="I418" s="64"/>
      <c r="J418" s="64"/>
      <c r="K418" s="64"/>
      <c r="L418" s="64"/>
      <c r="M418" s="64"/>
      <c r="N418" s="64"/>
      <c r="O418" s="64"/>
      <c r="P418" s="64"/>
      <c r="Q418" s="64"/>
      <c r="R418" s="64"/>
      <c r="S418" s="64"/>
      <c r="T418" s="64"/>
      <c r="U418" s="64"/>
      <c r="V418" s="64"/>
      <c r="W418" s="64"/>
      <c r="X418" s="64"/>
      <c r="Y418" s="64"/>
      <c r="Z418" s="64"/>
      <c r="AA418" s="64"/>
      <c r="AB418" s="64"/>
      <c r="AC418" s="64"/>
      <c r="AD418" s="64"/>
      <c r="AE418" s="64"/>
      <c r="AF418" s="64"/>
      <c r="AG418" s="64"/>
      <c r="AH418" s="64"/>
      <c r="AI418" s="64"/>
      <c r="AJ418" s="64"/>
      <c r="AK418" s="64"/>
      <c r="AL418" s="64"/>
      <c r="AM418" s="64"/>
      <c r="AN418" s="64"/>
      <c r="AO418" s="64"/>
      <c r="AP418" s="64"/>
      <c r="AQ418" s="64"/>
      <c r="AR418" s="64"/>
      <c r="AS418" s="64"/>
      <c r="AT418" s="64"/>
      <c r="AU418" s="64"/>
      <c r="AV418" s="64"/>
      <c r="AW418" s="64"/>
      <c r="AX418" s="64"/>
      <c r="AY418" s="64"/>
      <c r="AZ418" s="64"/>
      <c r="BA418" s="64"/>
      <c r="BB418" s="64"/>
      <c r="BC418" s="64"/>
      <c r="BD418" s="64"/>
      <c r="BE418" s="64"/>
      <c r="BF418" s="64"/>
      <c r="BG418" s="64"/>
    </row>
    <row r="419" spans="4:59">
      <c r="D419" s="64"/>
      <c r="E419" s="64"/>
      <c r="F419" s="64"/>
      <c r="G419" s="64"/>
      <c r="H419" s="64"/>
      <c r="I419" s="64"/>
      <c r="J419" s="64"/>
      <c r="K419" s="64"/>
      <c r="L419" s="64"/>
      <c r="M419" s="64"/>
      <c r="N419" s="64"/>
      <c r="O419" s="64"/>
      <c r="P419" s="64"/>
      <c r="Q419" s="64"/>
      <c r="R419" s="64"/>
      <c r="S419" s="64"/>
      <c r="T419" s="64"/>
      <c r="U419" s="64"/>
      <c r="V419" s="64"/>
      <c r="W419" s="64"/>
      <c r="X419" s="64"/>
      <c r="Y419" s="64"/>
      <c r="Z419" s="64"/>
      <c r="AA419" s="64"/>
      <c r="AB419" s="64"/>
      <c r="AC419" s="64"/>
      <c r="AD419" s="64"/>
      <c r="AE419" s="64"/>
      <c r="AF419" s="64"/>
      <c r="AG419" s="64"/>
      <c r="AH419" s="64"/>
      <c r="AI419" s="64"/>
      <c r="AJ419" s="64"/>
      <c r="AK419" s="64"/>
      <c r="AL419" s="64"/>
      <c r="AM419" s="64"/>
      <c r="AN419" s="64"/>
      <c r="AO419" s="64"/>
      <c r="AP419" s="64"/>
      <c r="AQ419" s="64"/>
      <c r="AR419" s="64"/>
      <c r="AS419" s="64"/>
      <c r="AT419" s="64"/>
      <c r="AU419" s="64"/>
      <c r="AV419" s="64"/>
      <c r="AW419" s="64"/>
      <c r="AX419" s="64"/>
      <c r="AY419" s="64"/>
      <c r="AZ419" s="64"/>
      <c r="BA419" s="64"/>
      <c r="BB419" s="64"/>
      <c r="BC419" s="64"/>
      <c r="BD419" s="64"/>
      <c r="BE419" s="64"/>
      <c r="BF419" s="64"/>
      <c r="BG419" s="64"/>
    </row>
    <row r="420" spans="4:59">
      <c r="D420" s="64"/>
      <c r="E420" s="64"/>
      <c r="F420" s="64"/>
      <c r="G420" s="64"/>
      <c r="H420" s="64"/>
      <c r="I420" s="64"/>
      <c r="J420" s="64"/>
      <c r="K420" s="64"/>
      <c r="L420" s="64"/>
      <c r="M420" s="64"/>
      <c r="N420" s="64"/>
      <c r="O420" s="64"/>
      <c r="P420" s="64"/>
      <c r="Q420" s="64"/>
      <c r="R420" s="64"/>
      <c r="S420" s="64"/>
      <c r="T420" s="64"/>
      <c r="U420" s="64"/>
      <c r="V420" s="64"/>
      <c r="W420" s="64"/>
      <c r="X420" s="64"/>
      <c r="Y420" s="64"/>
      <c r="Z420" s="64"/>
      <c r="AA420" s="64"/>
      <c r="AB420" s="64"/>
      <c r="AC420" s="64"/>
      <c r="AD420" s="64"/>
      <c r="AE420" s="64"/>
      <c r="AF420" s="64"/>
      <c r="AG420" s="64"/>
      <c r="AH420" s="64"/>
      <c r="AI420" s="64"/>
      <c r="AJ420" s="64"/>
      <c r="AK420" s="64"/>
      <c r="AL420" s="64"/>
      <c r="AM420" s="64"/>
      <c r="AN420" s="64"/>
      <c r="AO420" s="64"/>
      <c r="AP420" s="64"/>
      <c r="AQ420" s="64"/>
      <c r="AR420" s="64"/>
      <c r="AS420" s="64"/>
      <c r="AT420" s="64"/>
      <c r="AU420" s="64"/>
      <c r="AV420" s="64"/>
      <c r="AW420" s="64"/>
      <c r="AX420" s="64"/>
      <c r="AY420" s="64"/>
      <c r="AZ420" s="64"/>
      <c r="BA420" s="64"/>
      <c r="BB420" s="64"/>
      <c r="BC420" s="64"/>
      <c r="BD420" s="64"/>
      <c r="BE420" s="64"/>
      <c r="BF420" s="64"/>
      <c r="BG420" s="64"/>
    </row>
    <row r="421" spans="4:59">
      <c r="D421" s="64"/>
      <c r="E421" s="64"/>
      <c r="F421" s="64"/>
      <c r="G421" s="64"/>
      <c r="H421" s="64"/>
      <c r="I421" s="64"/>
      <c r="J421" s="64"/>
      <c r="K421" s="64"/>
      <c r="L421" s="64"/>
      <c r="M421" s="64"/>
      <c r="N421" s="64"/>
      <c r="O421" s="64"/>
      <c r="P421" s="64"/>
      <c r="Q421" s="64"/>
      <c r="R421" s="64"/>
      <c r="S421" s="64"/>
      <c r="T421" s="64"/>
      <c r="U421" s="64"/>
      <c r="V421" s="64"/>
      <c r="W421" s="64"/>
      <c r="X421" s="64"/>
      <c r="Y421" s="64"/>
      <c r="Z421" s="64"/>
      <c r="AA421" s="64"/>
      <c r="AB421" s="64"/>
      <c r="AC421" s="64"/>
      <c r="AD421" s="64"/>
      <c r="AE421" s="64"/>
      <c r="AF421" s="64"/>
      <c r="AG421" s="64"/>
      <c r="AH421" s="64"/>
      <c r="AI421" s="64"/>
      <c r="AJ421" s="64"/>
      <c r="AK421" s="64"/>
      <c r="AL421" s="64"/>
      <c r="AM421" s="64"/>
      <c r="AN421" s="64"/>
      <c r="AO421" s="64"/>
      <c r="AP421" s="64"/>
      <c r="AQ421" s="64"/>
      <c r="AR421" s="64"/>
      <c r="AS421" s="64"/>
      <c r="AT421" s="64"/>
      <c r="AU421" s="64"/>
      <c r="AV421" s="64"/>
      <c r="AW421" s="64"/>
      <c r="AX421" s="64"/>
      <c r="AY421" s="64"/>
      <c r="AZ421" s="64"/>
      <c r="BA421" s="64"/>
      <c r="BB421" s="64"/>
      <c r="BC421" s="64"/>
      <c r="BD421" s="64"/>
      <c r="BE421" s="64"/>
      <c r="BF421" s="64"/>
      <c r="BG421" s="64"/>
    </row>
    <row r="422" spans="4:59">
      <c r="D422" s="64"/>
      <c r="E422" s="64"/>
      <c r="F422" s="64"/>
      <c r="G422" s="64"/>
      <c r="H422" s="64"/>
      <c r="I422" s="64"/>
      <c r="J422" s="64"/>
      <c r="K422" s="64"/>
      <c r="L422" s="64"/>
      <c r="M422" s="64"/>
      <c r="N422" s="64"/>
      <c r="O422" s="64"/>
      <c r="P422" s="64"/>
      <c r="Q422" s="64"/>
      <c r="R422" s="64"/>
      <c r="S422" s="64"/>
      <c r="T422" s="64"/>
      <c r="U422" s="64"/>
      <c r="V422" s="64"/>
      <c r="W422" s="64"/>
      <c r="X422" s="64"/>
      <c r="Y422" s="64"/>
      <c r="Z422" s="64"/>
      <c r="AA422" s="64"/>
      <c r="AB422" s="64"/>
      <c r="AC422" s="64"/>
      <c r="AD422" s="64"/>
      <c r="AE422" s="64"/>
      <c r="AF422" s="64"/>
      <c r="AG422" s="64"/>
      <c r="AH422" s="64"/>
      <c r="AI422" s="64"/>
      <c r="AJ422" s="64"/>
      <c r="AK422" s="64"/>
      <c r="AL422" s="64"/>
      <c r="AM422" s="64"/>
      <c r="AN422" s="64"/>
      <c r="AO422" s="64"/>
      <c r="AP422" s="64"/>
      <c r="AQ422" s="64"/>
      <c r="AR422" s="64"/>
      <c r="AS422" s="64"/>
      <c r="AT422" s="64"/>
      <c r="AU422" s="64"/>
      <c r="AV422" s="64"/>
      <c r="AW422" s="64"/>
      <c r="AX422" s="64"/>
      <c r="AY422" s="64"/>
      <c r="AZ422" s="64"/>
      <c r="BA422" s="64"/>
      <c r="BB422" s="64"/>
      <c r="BC422" s="64"/>
      <c r="BD422" s="64"/>
      <c r="BE422" s="64"/>
      <c r="BF422" s="64"/>
      <c r="BG422" s="64"/>
    </row>
    <row r="423" spans="4:59">
      <c r="D423" s="64"/>
      <c r="E423" s="64"/>
      <c r="F423" s="64"/>
      <c r="G423" s="64"/>
      <c r="H423" s="64"/>
      <c r="I423" s="64"/>
      <c r="J423" s="64"/>
      <c r="K423" s="64"/>
      <c r="L423" s="64"/>
      <c r="M423" s="64"/>
      <c r="N423" s="64"/>
      <c r="O423" s="64"/>
      <c r="P423" s="64"/>
      <c r="Q423" s="64"/>
      <c r="R423" s="64"/>
      <c r="S423" s="64"/>
      <c r="T423" s="64"/>
      <c r="U423" s="64"/>
      <c r="V423" s="64"/>
      <c r="W423" s="64"/>
      <c r="X423" s="64"/>
      <c r="Y423" s="64"/>
      <c r="Z423" s="64"/>
      <c r="AA423" s="64"/>
      <c r="AB423" s="64"/>
      <c r="AC423" s="64"/>
      <c r="AD423" s="64"/>
      <c r="AE423" s="64"/>
      <c r="AF423" s="64"/>
      <c r="AG423" s="64"/>
      <c r="AH423" s="64"/>
      <c r="AI423" s="64"/>
      <c r="AJ423" s="64"/>
      <c r="AK423" s="64"/>
      <c r="AL423" s="64"/>
      <c r="AM423" s="64"/>
      <c r="AN423" s="64"/>
      <c r="AO423" s="64"/>
      <c r="AP423" s="64"/>
      <c r="AQ423" s="64"/>
      <c r="AR423" s="64"/>
      <c r="AS423" s="64"/>
      <c r="AT423" s="64"/>
      <c r="AU423" s="64"/>
      <c r="AV423" s="64"/>
      <c r="AW423" s="64"/>
      <c r="AX423" s="64"/>
      <c r="AY423" s="64"/>
      <c r="AZ423" s="64"/>
      <c r="BA423" s="64"/>
      <c r="BB423" s="64"/>
      <c r="BC423" s="64"/>
      <c r="BD423" s="64"/>
      <c r="BE423" s="64"/>
      <c r="BF423" s="64"/>
      <c r="BG423" s="64"/>
    </row>
    <row r="424" spans="4:59">
      <c r="D424" s="64"/>
      <c r="E424" s="64"/>
      <c r="F424" s="64"/>
      <c r="G424" s="64"/>
      <c r="H424" s="64"/>
      <c r="I424" s="64"/>
      <c r="J424" s="64"/>
      <c r="K424" s="64"/>
      <c r="L424" s="64"/>
      <c r="M424" s="64"/>
      <c r="N424" s="64"/>
      <c r="O424" s="64"/>
      <c r="P424" s="64"/>
      <c r="Q424" s="64"/>
      <c r="R424" s="64"/>
      <c r="S424" s="64"/>
      <c r="T424" s="64"/>
      <c r="U424" s="64"/>
      <c r="V424" s="64"/>
      <c r="W424" s="64"/>
      <c r="X424" s="64"/>
      <c r="Y424" s="64"/>
      <c r="Z424" s="64"/>
      <c r="AA424" s="64"/>
      <c r="AB424" s="64"/>
      <c r="AC424" s="64"/>
      <c r="AD424" s="64"/>
      <c r="AE424" s="64"/>
      <c r="AF424" s="64"/>
      <c r="AG424" s="64"/>
      <c r="AH424" s="64"/>
      <c r="AI424" s="64"/>
      <c r="AJ424" s="64"/>
      <c r="AK424" s="64"/>
      <c r="AL424" s="64"/>
      <c r="AM424" s="64"/>
      <c r="AN424" s="64"/>
      <c r="AO424" s="64"/>
      <c r="AP424" s="64"/>
      <c r="AQ424" s="64"/>
      <c r="AR424" s="64"/>
      <c r="AS424" s="64"/>
      <c r="AT424" s="64"/>
      <c r="AU424" s="64"/>
      <c r="AV424" s="64"/>
      <c r="AW424" s="64"/>
      <c r="AX424" s="64"/>
      <c r="AY424" s="64"/>
      <c r="AZ424" s="64"/>
      <c r="BA424" s="64"/>
      <c r="BB424" s="64"/>
      <c r="BC424" s="64"/>
      <c r="BD424" s="64"/>
      <c r="BE424" s="64"/>
      <c r="BF424" s="64"/>
      <c r="BG424" s="64"/>
    </row>
    <row r="425" spans="4:59">
      <c r="D425" s="64"/>
      <c r="E425" s="64"/>
      <c r="F425" s="64"/>
      <c r="G425" s="64"/>
      <c r="H425" s="64"/>
      <c r="I425" s="64"/>
      <c r="J425" s="64"/>
      <c r="K425" s="64"/>
      <c r="L425" s="64"/>
      <c r="M425" s="64"/>
      <c r="N425" s="64"/>
      <c r="O425" s="64"/>
      <c r="P425" s="64"/>
      <c r="Q425" s="64"/>
      <c r="R425" s="64"/>
      <c r="S425" s="64"/>
      <c r="T425" s="64"/>
      <c r="U425" s="64"/>
      <c r="V425" s="64"/>
      <c r="W425" s="64"/>
      <c r="X425" s="64"/>
      <c r="Y425" s="64"/>
      <c r="Z425" s="64"/>
      <c r="AA425" s="64"/>
      <c r="AB425" s="64"/>
      <c r="AC425" s="64"/>
      <c r="AD425" s="64"/>
      <c r="AE425" s="64"/>
      <c r="AF425" s="64"/>
      <c r="AG425" s="64"/>
      <c r="AH425" s="64"/>
      <c r="AI425" s="64"/>
      <c r="AJ425" s="64"/>
      <c r="AK425" s="64"/>
      <c r="AL425" s="64"/>
      <c r="AM425" s="64"/>
      <c r="AN425" s="64"/>
      <c r="AO425" s="64"/>
      <c r="AP425" s="64"/>
      <c r="AQ425" s="64"/>
      <c r="AR425" s="64"/>
      <c r="AS425" s="64"/>
      <c r="AT425" s="64"/>
      <c r="AU425" s="64"/>
      <c r="AV425" s="64"/>
      <c r="AW425" s="64"/>
      <c r="AX425" s="64"/>
      <c r="AY425" s="64"/>
      <c r="AZ425" s="64"/>
      <c r="BA425" s="64"/>
      <c r="BB425" s="64"/>
      <c r="BC425" s="64"/>
      <c r="BD425" s="64"/>
      <c r="BE425" s="64"/>
      <c r="BF425" s="64"/>
      <c r="BG425" s="64"/>
    </row>
    <row r="426" spans="4:59">
      <c r="D426" s="64"/>
      <c r="E426" s="64"/>
      <c r="F426" s="64"/>
      <c r="G426" s="64"/>
      <c r="H426" s="64"/>
      <c r="I426" s="64"/>
      <c r="J426" s="64"/>
      <c r="K426" s="64"/>
      <c r="L426" s="64"/>
      <c r="M426" s="64"/>
      <c r="N426" s="64"/>
      <c r="O426" s="64"/>
      <c r="P426" s="64"/>
      <c r="Q426" s="64"/>
      <c r="R426" s="64"/>
      <c r="S426" s="64"/>
      <c r="T426" s="64"/>
      <c r="U426" s="64"/>
      <c r="V426" s="64"/>
      <c r="W426" s="64"/>
      <c r="X426" s="64"/>
      <c r="Y426" s="64"/>
      <c r="Z426" s="64"/>
      <c r="AA426" s="64"/>
      <c r="AB426" s="64"/>
      <c r="AC426" s="64"/>
      <c r="AD426" s="64"/>
      <c r="AE426" s="64"/>
      <c r="AF426" s="64"/>
      <c r="AG426" s="64"/>
      <c r="AH426" s="64"/>
      <c r="AI426" s="64"/>
      <c r="AJ426" s="64"/>
      <c r="AK426" s="64"/>
      <c r="AL426" s="64"/>
      <c r="AM426" s="64"/>
      <c r="AN426" s="64"/>
      <c r="AO426" s="64"/>
      <c r="AP426" s="64"/>
      <c r="AQ426" s="64"/>
      <c r="AR426" s="64"/>
      <c r="AS426" s="64"/>
      <c r="AT426" s="64"/>
      <c r="AU426" s="64"/>
      <c r="AV426" s="64"/>
      <c r="AW426" s="64"/>
      <c r="AX426" s="64"/>
      <c r="AY426" s="64"/>
      <c r="AZ426" s="64"/>
      <c r="BA426" s="64"/>
      <c r="BB426" s="64"/>
      <c r="BC426" s="64"/>
      <c r="BD426" s="64"/>
      <c r="BE426" s="64"/>
      <c r="BF426" s="64"/>
      <c r="BG426" s="64"/>
    </row>
    <row r="427" spans="4:59">
      <c r="D427" s="64"/>
      <c r="E427" s="64"/>
      <c r="F427" s="64"/>
      <c r="G427" s="64"/>
      <c r="H427" s="64"/>
      <c r="I427" s="64"/>
      <c r="J427" s="64"/>
      <c r="K427" s="64"/>
      <c r="L427" s="64"/>
      <c r="M427" s="64"/>
      <c r="N427" s="64"/>
      <c r="O427" s="64"/>
      <c r="P427" s="64"/>
      <c r="Q427" s="64"/>
      <c r="R427" s="64"/>
      <c r="S427" s="64"/>
      <c r="T427" s="64"/>
      <c r="U427" s="64"/>
      <c r="V427" s="64"/>
      <c r="W427" s="64"/>
      <c r="X427" s="64"/>
      <c r="Y427" s="64"/>
      <c r="Z427" s="64"/>
      <c r="AA427" s="64"/>
      <c r="AB427" s="64"/>
      <c r="AC427" s="64"/>
      <c r="AD427" s="64"/>
      <c r="AE427" s="64"/>
      <c r="AF427" s="64"/>
      <c r="AG427" s="64"/>
      <c r="AH427" s="64"/>
      <c r="AI427" s="64"/>
      <c r="AJ427" s="64"/>
      <c r="AK427" s="64"/>
      <c r="AL427" s="64"/>
      <c r="AM427" s="64"/>
      <c r="AN427" s="64"/>
      <c r="AO427" s="64"/>
      <c r="AP427" s="64"/>
      <c r="AQ427" s="64"/>
      <c r="AR427" s="64"/>
      <c r="AS427" s="64"/>
      <c r="AT427" s="64"/>
      <c r="AU427" s="64"/>
      <c r="AV427" s="64"/>
      <c r="AW427" s="64"/>
      <c r="AX427" s="64"/>
      <c r="AY427" s="64"/>
      <c r="AZ427" s="64"/>
      <c r="BA427" s="64"/>
      <c r="BB427" s="64"/>
      <c r="BC427" s="64"/>
      <c r="BD427" s="64"/>
      <c r="BE427" s="64"/>
      <c r="BF427" s="64"/>
      <c r="BG427" s="64"/>
    </row>
    <row r="428" spans="4:59">
      <c r="D428" s="64"/>
      <c r="E428" s="64"/>
      <c r="F428" s="64"/>
      <c r="G428" s="64"/>
      <c r="H428" s="64"/>
      <c r="I428" s="64"/>
      <c r="J428" s="64"/>
      <c r="K428" s="64"/>
      <c r="L428" s="64"/>
      <c r="M428" s="64"/>
      <c r="N428" s="64"/>
      <c r="O428" s="64"/>
      <c r="P428" s="64"/>
      <c r="Q428" s="64"/>
      <c r="R428" s="64"/>
      <c r="S428" s="64"/>
      <c r="T428" s="64"/>
      <c r="U428" s="64"/>
      <c r="V428" s="64"/>
      <c r="W428" s="64"/>
      <c r="X428" s="64"/>
      <c r="Y428" s="64"/>
      <c r="Z428" s="64"/>
      <c r="AA428" s="64"/>
      <c r="AB428" s="64"/>
      <c r="AC428" s="64"/>
      <c r="AD428" s="64"/>
      <c r="AE428" s="64"/>
      <c r="AF428" s="64"/>
      <c r="AG428" s="64"/>
      <c r="AH428" s="64"/>
      <c r="AI428" s="64"/>
      <c r="AJ428" s="64"/>
      <c r="AK428" s="64"/>
      <c r="AL428" s="64"/>
      <c r="AM428" s="64"/>
      <c r="AN428" s="64"/>
      <c r="AO428" s="64"/>
      <c r="AP428" s="64"/>
      <c r="AQ428" s="64"/>
      <c r="AR428" s="64"/>
      <c r="AS428" s="64"/>
      <c r="AT428" s="64"/>
      <c r="AU428" s="64"/>
      <c r="AV428" s="64"/>
      <c r="AW428" s="64"/>
      <c r="AX428" s="64"/>
      <c r="AY428" s="64"/>
      <c r="AZ428" s="64"/>
      <c r="BA428" s="64"/>
      <c r="BB428" s="64"/>
      <c r="BC428" s="64"/>
      <c r="BD428" s="64"/>
      <c r="BE428" s="64"/>
      <c r="BF428" s="64"/>
      <c r="BG428" s="64"/>
    </row>
    <row r="429" spans="4:59">
      <c r="D429" s="64"/>
      <c r="E429" s="64"/>
      <c r="F429" s="64"/>
      <c r="G429" s="64"/>
      <c r="H429" s="64"/>
      <c r="I429" s="64"/>
      <c r="J429" s="64"/>
      <c r="K429" s="64"/>
      <c r="L429" s="64"/>
      <c r="M429" s="64"/>
      <c r="N429" s="64"/>
      <c r="O429" s="64"/>
      <c r="P429" s="64"/>
      <c r="Q429" s="64"/>
      <c r="R429" s="64"/>
      <c r="S429" s="64"/>
      <c r="T429" s="64"/>
      <c r="U429" s="64"/>
      <c r="V429" s="64"/>
      <c r="W429" s="64"/>
      <c r="X429" s="64"/>
      <c r="Y429" s="64"/>
      <c r="Z429" s="64"/>
      <c r="AA429" s="64"/>
      <c r="AB429" s="64"/>
      <c r="AC429" s="64"/>
      <c r="AD429" s="64"/>
      <c r="AE429" s="64"/>
      <c r="AF429" s="64"/>
      <c r="AG429" s="64"/>
      <c r="AH429" s="64"/>
      <c r="AI429" s="64"/>
      <c r="AJ429" s="64"/>
      <c r="AK429" s="64"/>
      <c r="AL429" s="64"/>
      <c r="AM429" s="64"/>
      <c r="AN429" s="64"/>
      <c r="AO429" s="64"/>
      <c r="AP429" s="64"/>
      <c r="AQ429" s="64"/>
      <c r="AR429" s="64"/>
      <c r="AS429" s="64"/>
      <c r="AT429" s="64"/>
      <c r="AU429" s="64"/>
      <c r="AV429" s="64"/>
      <c r="AW429" s="64"/>
      <c r="AX429" s="64"/>
      <c r="AY429" s="64"/>
      <c r="AZ429" s="64"/>
      <c r="BA429" s="64"/>
      <c r="BB429" s="64"/>
      <c r="BC429" s="64"/>
      <c r="BD429" s="64"/>
      <c r="BE429" s="64"/>
      <c r="BF429" s="64"/>
      <c r="BG429" s="64"/>
    </row>
    <row r="430" spans="4:59">
      <c r="D430" s="64"/>
      <c r="E430" s="64"/>
      <c r="F430" s="64"/>
      <c r="G430" s="64"/>
      <c r="H430" s="64"/>
      <c r="I430" s="64"/>
      <c r="J430" s="64"/>
      <c r="K430" s="64"/>
      <c r="L430" s="64"/>
      <c r="M430" s="64"/>
      <c r="N430" s="64"/>
      <c r="O430" s="64"/>
      <c r="P430" s="64"/>
      <c r="Q430" s="64"/>
      <c r="R430" s="64"/>
      <c r="S430" s="64"/>
      <c r="T430" s="64"/>
      <c r="U430" s="64"/>
      <c r="V430" s="64"/>
      <c r="W430" s="64"/>
      <c r="X430" s="64"/>
      <c r="Y430" s="64"/>
      <c r="Z430" s="64"/>
      <c r="AA430" s="64"/>
      <c r="AB430" s="64"/>
      <c r="AC430" s="64"/>
      <c r="AD430" s="64"/>
      <c r="AE430" s="64"/>
      <c r="AF430" s="64"/>
      <c r="AG430" s="64"/>
      <c r="AH430" s="64"/>
      <c r="AI430" s="64"/>
      <c r="AJ430" s="64"/>
      <c r="AK430" s="64"/>
      <c r="AL430" s="64"/>
      <c r="AM430" s="64"/>
      <c r="AN430" s="64"/>
      <c r="AO430" s="64"/>
      <c r="AP430" s="64"/>
      <c r="AQ430" s="64"/>
      <c r="AR430" s="64"/>
      <c r="AS430" s="64"/>
      <c r="AT430" s="64"/>
      <c r="AU430" s="64"/>
      <c r="AV430" s="64"/>
      <c r="AW430" s="64"/>
      <c r="AX430" s="64"/>
      <c r="AY430" s="64"/>
      <c r="AZ430" s="64"/>
      <c r="BA430" s="64"/>
      <c r="BB430" s="64"/>
      <c r="BC430" s="64"/>
      <c r="BD430" s="64"/>
      <c r="BE430" s="64"/>
      <c r="BF430" s="64"/>
      <c r="BG430" s="64"/>
    </row>
    <row r="431" spans="4:59">
      <c r="D431" s="64"/>
      <c r="E431" s="64"/>
      <c r="F431" s="64"/>
      <c r="G431" s="64"/>
      <c r="H431" s="64"/>
      <c r="I431" s="64"/>
      <c r="J431" s="64"/>
      <c r="K431" s="64"/>
      <c r="L431" s="64"/>
      <c r="M431" s="64"/>
      <c r="N431" s="64"/>
      <c r="O431" s="64"/>
      <c r="P431" s="64"/>
      <c r="Q431" s="64"/>
      <c r="R431" s="64"/>
      <c r="S431" s="64"/>
      <c r="T431" s="64"/>
      <c r="U431" s="64"/>
      <c r="V431" s="64"/>
      <c r="W431" s="64"/>
      <c r="X431" s="64"/>
      <c r="Y431" s="64"/>
      <c r="Z431" s="64"/>
      <c r="AA431" s="64"/>
      <c r="AB431" s="64"/>
      <c r="AC431" s="64"/>
      <c r="AD431" s="64"/>
      <c r="AE431" s="64"/>
      <c r="AF431" s="64"/>
      <c r="AG431" s="64"/>
      <c r="AH431" s="64"/>
      <c r="AI431" s="64"/>
      <c r="AJ431" s="64"/>
      <c r="AK431" s="64"/>
      <c r="AL431" s="64"/>
      <c r="AM431" s="64"/>
      <c r="AN431" s="64"/>
      <c r="AO431" s="64"/>
      <c r="AP431" s="64"/>
      <c r="AQ431" s="64"/>
      <c r="AR431" s="64"/>
      <c r="AS431" s="64"/>
      <c r="AT431" s="64"/>
      <c r="AU431" s="64"/>
      <c r="AV431" s="64"/>
      <c r="AW431" s="64"/>
      <c r="AX431" s="64"/>
      <c r="AY431" s="64"/>
      <c r="AZ431" s="64"/>
      <c r="BA431" s="64"/>
      <c r="BB431" s="64"/>
      <c r="BC431" s="64"/>
      <c r="BD431" s="64"/>
      <c r="BE431" s="64"/>
      <c r="BF431" s="64"/>
      <c r="BG431" s="64"/>
    </row>
    <row r="432" spans="4:59">
      <c r="D432" s="64"/>
      <c r="E432" s="64"/>
      <c r="F432" s="64"/>
      <c r="G432" s="64"/>
      <c r="H432" s="64"/>
      <c r="I432" s="64"/>
      <c r="J432" s="64"/>
      <c r="K432" s="64"/>
      <c r="L432" s="64"/>
      <c r="M432" s="64"/>
      <c r="N432" s="64"/>
      <c r="O432" s="64"/>
      <c r="P432" s="64"/>
      <c r="Q432" s="64"/>
      <c r="R432" s="64"/>
      <c r="S432" s="64"/>
      <c r="T432" s="64"/>
      <c r="U432" s="64"/>
      <c r="V432" s="64"/>
      <c r="W432" s="64"/>
      <c r="X432" s="64"/>
      <c r="Y432" s="64"/>
      <c r="Z432" s="64"/>
      <c r="AA432" s="64"/>
      <c r="AB432" s="64"/>
      <c r="AC432" s="64"/>
      <c r="AD432" s="64"/>
      <c r="AE432" s="64"/>
      <c r="AF432" s="64"/>
      <c r="AG432" s="64"/>
      <c r="AH432" s="64"/>
      <c r="AI432" s="64"/>
      <c r="AJ432" s="64"/>
      <c r="AK432" s="64"/>
      <c r="AL432" s="64"/>
      <c r="AM432" s="64"/>
      <c r="AN432" s="64"/>
      <c r="AO432" s="64"/>
      <c r="AP432" s="64"/>
      <c r="AQ432" s="64"/>
      <c r="AR432" s="64"/>
      <c r="AS432" s="64"/>
      <c r="AT432" s="64"/>
      <c r="AU432" s="64"/>
      <c r="AV432" s="64"/>
      <c r="AW432" s="64"/>
      <c r="AX432" s="64"/>
      <c r="AY432" s="64"/>
      <c r="AZ432" s="64"/>
      <c r="BA432" s="64"/>
      <c r="BB432" s="64"/>
      <c r="BC432" s="64"/>
      <c r="BD432" s="64"/>
      <c r="BE432" s="64"/>
      <c r="BF432" s="64"/>
      <c r="BG432" s="64"/>
    </row>
    <row r="433" spans="4:59">
      <c r="D433" s="64"/>
      <c r="E433" s="64"/>
      <c r="F433" s="64"/>
      <c r="G433" s="64"/>
      <c r="H433" s="64"/>
      <c r="I433" s="64"/>
      <c r="J433" s="64"/>
      <c r="K433" s="64"/>
      <c r="L433" s="64"/>
      <c r="M433" s="64"/>
      <c r="N433" s="64"/>
      <c r="O433" s="64"/>
      <c r="P433" s="64"/>
      <c r="Q433" s="64"/>
      <c r="R433" s="64"/>
      <c r="S433" s="64"/>
      <c r="T433" s="64"/>
      <c r="U433" s="64"/>
      <c r="V433" s="64"/>
      <c r="W433" s="64"/>
      <c r="X433" s="64"/>
      <c r="Y433" s="64"/>
      <c r="Z433" s="64"/>
      <c r="AA433" s="64"/>
      <c r="AB433" s="64"/>
      <c r="AC433" s="64"/>
      <c r="AD433" s="64"/>
      <c r="AE433" s="64"/>
      <c r="AF433" s="64"/>
      <c r="AG433" s="64"/>
      <c r="AH433" s="64"/>
      <c r="AI433" s="64"/>
      <c r="AJ433" s="64"/>
      <c r="AK433" s="64"/>
      <c r="AL433" s="64"/>
      <c r="AM433" s="64"/>
      <c r="AN433" s="64"/>
      <c r="AO433" s="64"/>
      <c r="AP433" s="64"/>
      <c r="AQ433" s="64"/>
      <c r="AR433" s="64"/>
      <c r="AS433" s="64"/>
      <c r="AT433" s="64"/>
      <c r="AU433" s="64"/>
      <c r="AV433" s="64"/>
      <c r="AW433" s="64"/>
      <c r="AX433" s="64"/>
      <c r="AY433" s="64"/>
      <c r="AZ433" s="64"/>
      <c r="BA433" s="64"/>
      <c r="BB433" s="64"/>
      <c r="BC433" s="64"/>
      <c r="BD433" s="64"/>
      <c r="BE433" s="64"/>
      <c r="BF433" s="64"/>
      <c r="BG433" s="64"/>
    </row>
    <row r="434" spans="4:59">
      <c r="D434" s="64"/>
      <c r="E434" s="64"/>
      <c r="F434" s="64"/>
      <c r="G434" s="64"/>
      <c r="H434" s="64"/>
      <c r="I434" s="64"/>
      <c r="J434" s="64"/>
      <c r="K434" s="64"/>
      <c r="L434" s="64"/>
      <c r="M434" s="64"/>
      <c r="N434" s="64"/>
      <c r="O434" s="64"/>
      <c r="P434" s="64"/>
      <c r="Q434" s="64"/>
      <c r="R434" s="64"/>
      <c r="S434" s="64"/>
      <c r="T434" s="64"/>
      <c r="U434" s="64"/>
      <c r="V434" s="64"/>
      <c r="W434" s="64"/>
      <c r="X434" s="64"/>
      <c r="Y434" s="64"/>
      <c r="Z434" s="64"/>
      <c r="AA434" s="64"/>
      <c r="AB434" s="64"/>
      <c r="AC434" s="64"/>
      <c r="AD434" s="64"/>
      <c r="AE434" s="64"/>
      <c r="AF434" s="64"/>
      <c r="AG434" s="64"/>
      <c r="AH434" s="64"/>
      <c r="AI434" s="64"/>
      <c r="AJ434" s="64"/>
      <c r="AK434" s="64"/>
      <c r="AL434" s="64"/>
      <c r="AM434" s="64"/>
      <c r="AN434" s="64"/>
      <c r="AO434" s="64"/>
      <c r="AP434" s="64"/>
      <c r="AQ434" s="64"/>
      <c r="AR434" s="64"/>
      <c r="AS434" s="64"/>
      <c r="AT434" s="64"/>
      <c r="AU434" s="64"/>
      <c r="AV434" s="64"/>
      <c r="AW434" s="64"/>
      <c r="AX434" s="64"/>
      <c r="AY434" s="64"/>
      <c r="AZ434" s="64"/>
      <c r="BA434" s="64"/>
      <c r="BB434" s="64"/>
      <c r="BC434" s="64"/>
      <c r="BD434" s="64"/>
      <c r="BE434" s="64"/>
      <c r="BF434" s="64"/>
      <c r="BG434" s="64"/>
    </row>
    <row r="435" spans="4:59">
      <c r="D435" s="64"/>
      <c r="E435" s="64"/>
      <c r="F435" s="64"/>
      <c r="G435" s="64"/>
      <c r="H435" s="64"/>
      <c r="I435" s="64"/>
      <c r="J435" s="64"/>
      <c r="K435" s="64"/>
      <c r="L435" s="64"/>
      <c r="M435" s="64"/>
      <c r="N435" s="64"/>
      <c r="O435" s="64"/>
      <c r="P435" s="64"/>
      <c r="Q435" s="64"/>
      <c r="R435" s="64"/>
      <c r="S435" s="64"/>
      <c r="T435" s="64"/>
      <c r="U435" s="64"/>
      <c r="V435" s="64"/>
      <c r="W435" s="64"/>
      <c r="X435" s="64"/>
      <c r="Y435" s="64"/>
      <c r="Z435" s="64"/>
      <c r="AA435" s="64"/>
      <c r="AB435" s="64"/>
      <c r="AC435" s="64"/>
      <c r="AD435" s="64"/>
      <c r="AE435" s="64"/>
      <c r="AF435" s="64"/>
      <c r="AG435" s="64"/>
      <c r="AH435" s="64"/>
      <c r="AI435" s="64"/>
      <c r="AJ435" s="64"/>
      <c r="AK435" s="64"/>
      <c r="AL435" s="64"/>
      <c r="AM435" s="64"/>
      <c r="AN435" s="64"/>
      <c r="AO435" s="64"/>
      <c r="AP435" s="64"/>
      <c r="AQ435" s="64"/>
      <c r="AR435" s="64"/>
      <c r="AS435" s="64"/>
      <c r="AT435" s="64"/>
      <c r="AU435" s="64"/>
      <c r="AV435" s="64"/>
      <c r="AW435" s="64"/>
      <c r="AX435" s="64"/>
      <c r="AY435" s="64"/>
      <c r="AZ435" s="64"/>
      <c r="BA435" s="64"/>
      <c r="BB435" s="64"/>
      <c r="BC435" s="64"/>
      <c r="BD435" s="64"/>
      <c r="BE435" s="64"/>
      <c r="BF435" s="64"/>
      <c r="BG435" s="64"/>
    </row>
    <row r="436" spans="4:59"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  <c r="P436" s="64"/>
      <c r="Q436" s="64"/>
      <c r="R436" s="64"/>
      <c r="S436" s="64"/>
      <c r="T436" s="64"/>
      <c r="U436" s="64"/>
      <c r="V436" s="64"/>
      <c r="W436" s="64"/>
      <c r="X436" s="64"/>
      <c r="Y436" s="64"/>
      <c r="Z436" s="64"/>
      <c r="AA436" s="64"/>
      <c r="AB436" s="64"/>
      <c r="AC436" s="64"/>
      <c r="AD436" s="64"/>
      <c r="AE436" s="64"/>
      <c r="AF436" s="64"/>
      <c r="AG436" s="64"/>
      <c r="AH436" s="64"/>
      <c r="AI436" s="64"/>
      <c r="AJ436" s="64"/>
      <c r="AK436" s="64"/>
      <c r="AL436" s="64"/>
      <c r="AM436" s="64"/>
      <c r="AN436" s="64"/>
      <c r="AO436" s="64"/>
      <c r="AP436" s="64"/>
      <c r="AQ436" s="64"/>
      <c r="AR436" s="64"/>
      <c r="AS436" s="64"/>
      <c r="AT436" s="64"/>
      <c r="AU436" s="64"/>
      <c r="AV436" s="64"/>
      <c r="AW436" s="64"/>
      <c r="AX436" s="64"/>
      <c r="AY436" s="64"/>
      <c r="AZ436" s="64"/>
      <c r="BA436" s="64"/>
      <c r="BB436" s="64"/>
      <c r="BC436" s="64"/>
      <c r="BD436" s="64"/>
      <c r="BE436" s="64"/>
      <c r="BF436" s="64"/>
      <c r="BG436" s="64"/>
    </row>
    <row r="437" spans="4:59">
      <c r="D437" s="64"/>
      <c r="E437" s="64"/>
      <c r="F437" s="64"/>
      <c r="G437" s="64"/>
      <c r="H437" s="64"/>
      <c r="I437" s="64"/>
      <c r="J437" s="64"/>
      <c r="K437" s="64"/>
      <c r="L437" s="64"/>
      <c r="M437" s="64"/>
      <c r="N437" s="64"/>
      <c r="O437" s="64"/>
      <c r="P437" s="64"/>
      <c r="Q437" s="64"/>
      <c r="R437" s="64"/>
      <c r="S437" s="64"/>
      <c r="T437" s="64"/>
      <c r="U437" s="64"/>
      <c r="V437" s="64"/>
      <c r="W437" s="64"/>
      <c r="X437" s="64"/>
      <c r="Y437" s="64"/>
      <c r="Z437" s="64"/>
      <c r="AA437" s="64"/>
      <c r="AB437" s="64"/>
      <c r="AC437" s="64"/>
      <c r="AD437" s="64"/>
      <c r="AE437" s="64"/>
      <c r="AF437" s="64"/>
      <c r="AG437" s="64"/>
      <c r="AH437" s="64"/>
      <c r="AI437" s="64"/>
      <c r="AJ437" s="64"/>
      <c r="AK437" s="64"/>
      <c r="AL437" s="64"/>
      <c r="AM437" s="64"/>
      <c r="AN437" s="64"/>
      <c r="AO437" s="64"/>
      <c r="AP437" s="64"/>
      <c r="AQ437" s="64"/>
      <c r="AR437" s="64"/>
      <c r="AS437" s="64"/>
      <c r="AT437" s="64"/>
      <c r="AU437" s="64"/>
      <c r="AV437" s="64"/>
      <c r="AW437" s="64"/>
      <c r="AX437" s="64"/>
      <c r="AY437" s="64"/>
      <c r="AZ437" s="64"/>
      <c r="BA437" s="64"/>
      <c r="BB437" s="64"/>
      <c r="BC437" s="64"/>
      <c r="BD437" s="64"/>
      <c r="BE437" s="64"/>
      <c r="BF437" s="64"/>
      <c r="BG437" s="64"/>
    </row>
    <row r="438" spans="4:59"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  <c r="P438" s="64"/>
      <c r="Q438" s="64"/>
      <c r="R438" s="64"/>
      <c r="S438" s="64"/>
      <c r="T438" s="64"/>
      <c r="U438" s="64"/>
      <c r="V438" s="64"/>
      <c r="W438" s="64"/>
      <c r="X438" s="64"/>
      <c r="Y438" s="64"/>
      <c r="Z438" s="64"/>
      <c r="AA438" s="64"/>
      <c r="AB438" s="64"/>
      <c r="AC438" s="64"/>
      <c r="AD438" s="64"/>
      <c r="AE438" s="64"/>
      <c r="AF438" s="64"/>
      <c r="AG438" s="64"/>
      <c r="AH438" s="64"/>
      <c r="AI438" s="64"/>
      <c r="AJ438" s="64"/>
      <c r="AK438" s="64"/>
      <c r="AL438" s="64"/>
      <c r="AM438" s="64"/>
      <c r="AN438" s="64"/>
      <c r="AO438" s="64"/>
      <c r="AP438" s="64"/>
      <c r="AQ438" s="64"/>
      <c r="AR438" s="64"/>
      <c r="AS438" s="64"/>
      <c r="AT438" s="64"/>
      <c r="AU438" s="64"/>
      <c r="AV438" s="64"/>
      <c r="AW438" s="64"/>
      <c r="AX438" s="64"/>
      <c r="AY438" s="64"/>
      <c r="AZ438" s="64"/>
      <c r="BA438" s="64"/>
      <c r="BB438" s="64"/>
      <c r="BC438" s="64"/>
      <c r="BD438" s="64"/>
      <c r="BE438" s="64"/>
      <c r="BF438" s="64"/>
      <c r="BG438" s="64"/>
    </row>
    <row r="439" spans="4:59">
      <c r="D439" s="64"/>
      <c r="E439" s="64"/>
      <c r="F439" s="64"/>
      <c r="G439" s="64"/>
      <c r="H439" s="64"/>
      <c r="I439" s="64"/>
      <c r="J439" s="64"/>
      <c r="K439" s="64"/>
      <c r="L439" s="64"/>
      <c r="M439" s="64"/>
      <c r="N439" s="64"/>
      <c r="O439" s="64"/>
      <c r="P439" s="64"/>
      <c r="Q439" s="64"/>
      <c r="R439" s="64"/>
      <c r="S439" s="64"/>
      <c r="T439" s="64"/>
      <c r="U439" s="64"/>
      <c r="V439" s="64"/>
      <c r="W439" s="64"/>
      <c r="X439" s="64"/>
      <c r="Y439" s="64"/>
      <c r="Z439" s="64"/>
      <c r="AA439" s="64"/>
      <c r="AB439" s="64"/>
      <c r="AC439" s="64"/>
      <c r="AD439" s="64"/>
      <c r="AE439" s="64"/>
      <c r="AF439" s="64"/>
      <c r="AG439" s="64"/>
      <c r="AH439" s="64"/>
      <c r="AI439" s="64"/>
      <c r="AJ439" s="64"/>
      <c r="AK439" s="64"/>
      <c r="AL439" s="64"/>
      <c r="AM439" s="64"/>
      <c r="AN439" s="64"/>
      <c r="AO439" s="64"/>
      <c r="AP439" s="64"/>
      <c r="AQ439" s="64"/>
      <c r="AR439" s="64"/>
      <c r="AS439" s="64"/>
      <c r="AT439" s="64"/>
      <c r="AU439" s="64"/>
      <c r="AV439" s="64"/>
      <c r="AW439" s="64"/>
      <c r="AX439" s="64"/>
      <c r="AY439" s="64"/>
      <c r="AZ439" s="64"/>
      <c r="BA439" s="64"/>
      <c r="BB439" s="64"/>
      <c r="BC439" s="64"/>
      <c r="BD439" s="64"/>
      <c r="BE439" s="64"/>
      <c r="BF439" s="64"/>
      <c r="BG439" s="64"/>
    </row>
    <row r="440" spans="4:59">
      <c r="D440" s="64"/>
      <c r="E440" s="64"/>
      <c r="F440" s="64"/>
      <c r="G440" s="64"/>
      <c r="H440" s="64"/>
      <c r="I440" s="64"/>
      <c r="J440" s="64"/>
      <c r="K440" s="64"/>
      <c r="L440" s="64"/>
      <c r="M440" s="64"/>
      <c r="N440" s="64"/>
      <c r="O440" s="64"/>
      <c r="P440" s="64"/>
      <c r="Q440" s="64"/>
      <c r="R440" s="64"/>
      <c r="S440" s="64"/>
      <c r="T440" s="64"/>
      <c r="U440" s="64"/>
      <c r="V440" s="64"/>
      <c r="W440" s="64"/>
      <c r="X440" s="64"/>
      <c r="Y440" s="64"/>
      <c r="Z440" s="64"/>
      <c r="AA440" s="64"/>
      <c r="AB440" s="64"/>
      <c r="AC440" s="64"/>
      <c r="AD440" s="64"/>
      <c r="AE440" s="64"/>
      <c r="AF440" s="64"/>
      <c r="AG440" s="64"/>
      <c r="AH440" s="64"/>
      <c r="AI440" s="64"/>
      <c r="AJ440" s="64"/>
      <c r="AK440" s="64"/>
      <c r="AL440" s="64"/>
      <c r="AM440" s="64"/>
      <c r="AN440" s="64"/>
      <c r="AO440" s="64"/>
      <c r="AP440" s="64"/>
      <c r="AQ440" s="64"/>
      <c r="AR440" s="64"/>
      <c r="AS440" s="64"/>
      <c r="AT440" s="64"/>
      <c r="AU440" s="64"/>
      <c r="AV440" s="64"/>
      <c r="AW440" s="64"/>
      <c r="AX440" s="64"/>
      <c r="AY440" s="64"/>
      <c r="AZ440" s="64"/>
      <c r="BA440" s="64"/>
      <c r="BB440" s="64"/>
      <c r="BC440" s="64"/>
      <c r="BD440" s="64"/>
      <c r="BE440" s="64"/>
      <c r="BF440" s="64"/>
      <c r="BG440" s="64"/>
    </row>
    <row r="441" spans="4:59">
      <c r="D441" s="64"/>
      <c r="E441" s="64"/>
      <c r="F441" s="64"/>
      <c r="G441" s="64"/>
      <c r="H441" s="64"/>
      <c r="I441" s="64"/>
      <c r="J441" s="64"/>
      <c r="K441" s="64"/>
      <c r="L441" s="64"/>
      <c r="M441" s="64"/>
      <c r="N441" s="64"/>
      <c r="O441" s="64"/>
      <c r="P441" s="64"/>
      <c r="Q441" s="64"/>
      <c r="R441" s="64"/>
      <c r="S441" s="64"/>
      <c r="T441" s="64"/>
      <c r="U441" s="64"/>
      <c r="V441" s="64"/>
      <c r="W441" s="64"/>
      <c r="X441" s="64"/>
      <c r="Y441" s="64"/>
      <c r="Z441" s="64"/>
      <c r="AA441" s="64"/>
      <c r="AB441" s="64"/>
      <c r="AC441" s="64"/>
      <c r="AD441" s="64"/>
      <c r="AE441" s="64"/>
      <c r="AF441" s="64"/>
      <c r="AG441" s="64"/>
      <c r="AH441" s="64"/>
      <c r="AI441" s="64"/>
      <c r="AJ441" s="64"/>
      <c r="AK441" s="64"/>
      <c r="AL441" s="64"/>
      <c r="AM441" s="64"/>
      <c r="AN441" s="64"/>
      <c r="AO441" s="64"/>
      <c r="AP441" s="64"/>
      <c r="AQ441" s="64"/>
      <c r="AR441" s="64"/>
      <c r="AS441" s="64"/>
      <c r="AT441" s="64"/>
      <c r="AU441" s="64"/>
      <c r="AV441" s="64"/>
      <c r="AW441" s="64"/>
      <c r="AX441" s="64"/>
      <c r="AY441" s="64"/>
      <c r="AZ441" s="64"/>
      <c r="BA441" s="64"/>
      <c r="BB441" s="64"/>
      <c r="BC441" s="64"/>
      <c r="BD441" s="64"/>
      <c r="BE441" s="64"/>
      <c r="BF441" s="64"/>
      <c r="BG441" s="64"/>
    </row>
    <row r="442" spans="4:59">
      <c r="D442" s="64"/>
      <c r="E442" s="64"/>
      <c r="F442" s="64"/>
      <c r="G442" s="64"/>
      <c r="H442" s="64"/>
      <c r="I442" s="64"/>
      <c r="J442" s="64"/>
      <c r="K442" s="64"/>
      <c r="L442" s="64"/>
      <c r="M442" s="64"/>
      <c r="N442" s="64"/>
      <c r="O442" s="64"/>
      <c r="P442" s="64"/>
      <c r="Q442" s="64"/>
      <c r="R442" s="64"/>
      <c r="S442" s="64"/>
      <c r="T442" s="64"/>
      <c r="U442" s="64"/>
      <c r="V442" s="64"/>
      <c r="W442" s="64"/>
      <c r="X442" s="64"/>
      <c r="Y442" s="64"/>
      <c r="Z442" s="64"/>
      <c r="AA442" s="64"/>
      <c r="AB442" s="64"/>
      <c r="AC442" s="64"/>
      <c r="AD442" s="64"/>
      <c r="AE442" s="64"/>
      <c r="AF442" s="64"/>
      <c r="AG442" s="64"/>
      <c r="AH442" s="64"/>
      <c r="AI442" s="64"/>
      <c r="AJ442" s="64"/>
      <c r="AK442" s="64"/>
      <c r="AL442" s="64"/>
      <c r="AM442" s="64"/>
      <c r="AN442" s="64"/>
      <c r="AO442" s="64"/>
      <c r="AP442" s="64"/>
      <c r="AQ442" s="64"/>
      <c r="AR442" s="64"/>
      <c r="AS442" s="64"/>
      <c r="AT442" s="64"/>
      <c r="AU442" s="64"/>
      <c r="AV442" s="64"/>
      <c r="AW442" s="64"/>
      <c r="AX442" s="64"/>
      <c r="AY442" s="64"/>
      <c r="AZ442" s="64"/>
      <c r="BA442" s="64"/>
      <c r="BB442" s="64"/>
      <c r="BC442" s="64"/>
      <c r="BD442" s="64"/>
      <c r="BE442" s="64"/>
      <c r="BF442" s="64"/>
      <c r="BG442" s="64"/>
    </row>
    <row r="443" spans="4:59">
      <c r="D443" s="64"/>
      <c r="E443" s="64"/>
      <c r="F443" s="64"/>
      <c r="G443" s="64"/>
      <c r="H443" s="64"/>
      <c r="I443" s="64"/>
      <c r="J443" s="64"/>
      <c r="K443" s="64"/>
      <c r="L443" s="64"/>
      <c r="M443" s="64"/>
      <c r="N443" s="64"/>
      <c r="O443" s="64"/>
      <c r="P443" s="64"/>
      <c r="Q443" s="64"/>
      <c r="R443" s="64"/>
      <c r="S443" s="64"/>
      <c r="T443" s="64"/>
      <c r="U443" s="64"/>
      <c r="V443" s="64"/>
      <c r="W443" s="64"/>
      <c r="X443" s="64"/>
      <c r="Y443" s="64"/>
      <c r="Z443" s="64"/>
      <c r="AA443" s="64"/>
      <c r="AB443" s="64"/>
      <c r="AC443" s="64"/>
      <c r="AD443" s="64"/>
      <c r="AE443" s="64"/>
      <c r="AF443" s="64"/>
      <c r="AG443" s="64"/>
      <c r="AH443" s="64"/>
      <c r="AI443" s="64"/>
      <c r="AJ443" s="64"/>
      <c r="AK443" s="64"/>
      <c r="AL443" s="64"/>
      <c r="AM443" s="64"/>
      <c r="AN443" s="64"/>
      <c r="AO443" s="64"/>
      <c r="AP443" s="64"/>
      <c r="AQ443" s="64"/>
      <c r="AR443" s="64"/>
      <c r="AS443" s="64"/>
      <c r="AT443" s="64"/>
      <c r="AU443" s="64"/>
      <c r="AV443" s="64"/>
      <c r="AW443" s="64"/>
      <c r="AX443" s="64"/>
      <c r="AY443" s="64"/>
      <c r="AZ443" s="64"/>
      <c r="BA443" s="64"/>
      <c r="BB443" s="64"/>
      <c r="BC443" s="64"/>
      <c r="BD443" s="64"/>
      <c r="BE443" s="64"/>
      <c r="BF443" s="64"/>
      <c r="BG443" s="64"/>
    </row>
    <row r="444" spans="4:59">
      <c r="D444" s="64"/>
      <c r="E444" s="64"/>
      <c r="F444" s="64"/>
      <c r="G444" s="64"/>
      <c r="H444" s="64"/>
      <c r="I444" s="64"/>
      <c r="J444" s="64"/>
      <c r="K444" s="64"/>
      <c r="L444" s="64"/>
      <c r="M444" s="64"/>
      <c r="N444" s="64"/>
      <c r="O444" s="64"/>
      <c r="P444" s="64"/>
      <c r="Q444" s="64"/>
      <c r="R444" s="64"/>
      <c r="S444" s="64"/>
      <c r="T444" s="64"/>
      <c r="U444" s="64"/>
      <c r="V444" s="64"/>
      <c r="W444" s="64"/>
      <c r="X444" s="64"/>
      <c r="Y444" s="64"/>
      <c r="Z444" s="64"/>
      <c r="AA444" s="64"/>
      <c r="AB444" s="64"/>
      <c r="AC444" s="64"/>
      <c r="AD444" s="64"/>
      <c r="AE444" s="64"/>
      <c r="AF444" s="64"/>
      <c r="AG444" s="64"/>
      <c r="AH444" s="64"/>
      <c r="AI444" s="64"/>
      <c r="AJ444" s="64"/>
      <c r="AK444" s="64"/>
      <c r="AL444" s="64"/>
      <c r="AM444" s="64"/>
      <c r="AN444" s="64"/>
      <c r="AO444" s="64"/>
      <c r="AP444" s="64"/>
      <c r="AQ444" s="64"/>
      <c r="AR444" s="64"/>
      <c r="AS444" s="64"/>
      <c r="AT444" s="64"/>
      <c r="AU444" s="64"/>
      <c r="AV444" s="64"/>
      <c r="AW444" s="64"/>
      <c r="AX444" s="64"/>
      <c r="AY444" s="64"/>
      <c r="AZ444" s="64"/>
      <c r="BA444" s="64"/>
      <c r="BB444" s="64"/>
      <c r="BC444" s="64"/>
      <c r="BD444" s="64"/>
      <c r="BE444" s="64"/>
      <c r="BF444" s="64"/>
      <c r="BG444" s="64"/>
    </row>
    <row r="445" spans="4:59">
      <c r="D445" s="64"/>
      <c r="E445" s="64"/>
      <c r="F445" s="64"/>
      <c r="G445" s="64"/>
      <c r="H445" s="64"/>
      <c r="I445" s="64"/>
      <c r="J445" s="64"/>
      <c r="K445" s="64"/>
      <c r="L445" s="64"/>
      <c r="M445" s="64"/>
      <c r="N445" s="64"/>
      <c r="O445" s="64"/>
      <c r="P445" s="64"/>
      <c r="Q445" s="64"/>
      <c r="R445" s="64"/>
      <c r="S445" s="64"/>
      <c r="T445" s="64"/>
      <c r="U445" s="64"/>
      <c r="V445" s="64"/>
      <c r="W445" s="64"/>
      <c r="X445" s="64"/>
      <c r="Y445" s="64"/>
      <c r="Z445" s="64"/>
      <c r="AA445" s="64"/>
      <c r="AB445" s="64"/>
      <c r="AC445" s="64"/>
      <c r="AD445" s="64"/>
      <c r="AE445" s="64"/>
      <c r="AF445" s="64"/>
      <c r="AG445" s="64"/>
      <c r="AH445" s="64"/>
      <c r="AI445" s="64"/>
      <c r="AJ445" s="64"/>
      <c r="AK445" s="64"/>
      <c r="AL445" s="64"/>
      <c r="AM445" s="64"/>
      <c r="AN445" s="64"/>
      <c r="AO445" s="64"/>
      <c r="AP445" s="64"/>
      <c r="AQ445" s="64"/>
      <c r="AR445" s="64"/>
      <c r="AS445" s="64"/>
      <c r="AT445" s="64"/>
      <c r="AU445" s="64"/>
      <c r="AV445" s="64"/>
      <c r="AW445" s="64"/>
      <c r="AX445" s="64"/>
      <c r="AY445" s="64"/>
      <c r="AZ445" s="64"/>
      <c r="BA445" s="64"/>
      <c r="BB445" s="64"/>
      <c r="BC445" s="64"/>
      <c r="BD445" s="64"/>
      <c r="BE445" s="64"/>
      <c r="BF445" s="64"/>
      <c r="BG445" s="64"/>
    </row>
    <row r="446" spans="4:59">
      <c r="D446" s="64"/>
      <c r="E446" s="64"/>
      <c r="F446" s="64"/>
      <c r="G446" s="64"/>
      <c r="H446" s="64"/>
      <c r="I446" s="64"/>
      <c r="J446" s="64"/>
      <c r="K446" s="64"/>
      <c r="L446" s="64"/>
      <c r="M446" s="64"/>
      <c r="N446" s="64"/>
      <c r="O446" s="64"/>
      <c r="P446" s="64"/>
      <c r="Q446" s="64"/>
      <c r="R446" s="64"/>
      <c r="S446" s="64"/>
      <c r="T446" s="64"/>
      <c r="U446" s="64"/>
      <c r="V446" s="64"/>
      <c r="W446" s="64"/>
      <c r="X446" s="64"/>
      <c r="Y446" s="64"/>
      <c r="Z446" s="64"/>
      <c r="AA446" s="64"/>
      <c r="AB446" s="64"/>
      <c r="AC446" s="64"/>
      <c r="AD446" s="64"/>
      <c r="AE446" s="64"/>
      <c r="AF446" s="64"/>
      <c r="AG446" s="64"/>
      <c r="AH446" s="64"/>
      <c r="AI446" s="64"/>
      <c r="AJ446" s="64"/>
      <c r="AK446" s="64"/>
      <c r="AL446" s="64"/>
      <c r="AM446" s="64"/>
      <c r="AN446" s="64"/>
      <c r="AO446" s="64"/>
      <c r="AP446" s="64"/>
      <c r="AQ446" s="64"/>
      <c r="AR446" s="64"/>
      <c r="AS446" s="64"/>
      <c r="AT446" s="64"/>
      <c r="AU446" s="64"/>
      <c r="AV446" s="64"/>
      <c r="AW446" s="64"/>
      <c r="AX446" s="64"/>
      <c r="AY446" s="64"/>
      <c r="AZ446" s="64"/>
      <c r="BA446" s="64"/>
      <c r="BB446" s="64"/>
      <c r="BC446" s="64"/>
      <c r="BD446" s="64"/>
      <c r="BE446" s="64"/>
      <c r="BF446" s="64"/>
      <c r="BG446" s="64"/>
    </row>
    <row r="447" spans="4:59">
      <c r="D447" s="64"/>
      <c r="E447" s="64"/>
      <c r="F447" s="64"/>
      <c r="G447" s="64"/>
      <c r="H447" s="64"/>
      <c r="I447" s="64"/>
      <c r="J447" s="64"/>
      <c r="K447" s="64"/>
      <c r="L447" s="64"/>
      <c r="M447" s="64"/>
      <c r="N447" s="64"/>
      <c r="O447" s="64"/>
      <c r="P447" s="64"/>
      <c r="Q447" s="64"/>
      <c r="R447" s="64"/>
      <c r="S447" s="64"/>
      <c r="T447" s="64"/>
      <c r="U447" s="64"/>
      <c r="V447" s="64"/>
      <c r="W447" s="64"/>
      <c r="X447" s="64"/>
      <c r="Y447" s="64"/>
      <c r="Z447" s="64"/>
      <c r="AA447" s="64"/>
      <c r="AB447" s="64"/>
      <c r="AC447" s="64"/>
      <c r="AD447" s="64"/>
      <c r="AE447" s="64"/>
      <c r="AF447" s="64"/>
      <c r="AG447" s="64"/>
      <c r="AH447" s="64"/>
      <c r="AI447" s="64"/>
      <c r="AJ447" s="64"/>
      <c r="AK447" s="64"/>
      <c r="AL447" s="64"/>
      <c r="AM447" s="64"/>
      <c r="AN447" s="64"/>
      <c r="AO447" s="64"/>
      <c r="AP447" s="64"/>
      <c r="AQ447" s="64"/>
      <c r="AR447" s="64"/>
      <c r="AS447" s="64"/>
      <c r="AT447" s="64"/>
      <c r="AU447" s="64"/>
      <c r="AV447" s="64"/>
      <c r="AW447" s="64"/>
      <c r="AX447" s="64"/>
      <c r="AY447" s="64"/>
      <c r="AZ447" s="64"/>
      <c r="BA447" s="64"/>
      <c r="BB447" s="64"/>
      <c r="BC447" s="64"/>
      <c r="BD447" s="64"/>
      <c r="BE447" s="64"/>
      <c r="BF447" s="64"/>
      <c r="BG447" s="64"/>
    </row>
    <row r="448" spans="4:59">
      <c r="D448" s="64"/>
      <c r="E448" s="64"/>
      <c r="F448" s="64"/>
      <c r="G448" s="64"/>
      <c r="H448" s="64"/>
      <c r="I448" s="64"/>
      <c r="J448" s="64"/>
      <c r="K448" s="64"/>
      <c r="L448" s="64"/>
      <c r="M448" s="64"/>
      <c r="N448" s="64"/>
      <c r="O448" s="64"/>
      <c r="P448" s="64"/>
      <c r="Q448" s="64"/>
      <c r="R448" s="64"/>
      <c r="S448" s="64"/>
      <c r="T448" s="64"/>
      <c r="U448" s="64"/>
      <c r="V448" s="64"/>
      <c r="W448" s="64"/>
      <c r="X448" s="64"/>
      <c r="Y448" s="64"/>
      <c r="Z448" s="64"/>
      <c r="AA448" s="64"/>
      <c r="AB448" s="64"/>
      <c r="AC448" s="64"/>
      <c r="AD448" s="64"/>
      <c r="AE448" s="64"/>
      <c r="AF448" s="64"/>
      <c r="AG448" s="64"/>
      <c r="AH448" s="64"/>
      <c r="AI448" s="64"/>
      <c r="AJ448" s="64"/>
      <c r="AK448" s="64"/>
      <c r="AL448" s="64"/>
      <c r="AM448" s="64"/>
      <c r="AN448" s="64"/>
      <c r="AO448" s="64"/>
      <c r="AP448" s="64"/>
      <c r="AQ448" s="64"/>
      <c r="AR448" s="64"/>
      <c r="AS448" s="64"/>
      <c r="AT448" s="64"/>
      <c r="AU448" s="64"/>
      <c r="AV448" s="64"/>
      <c r="AW448" s="64"/>
      <c r="AX448" s="64"/>
      <c r="AY448" s="64"/>
      <c r="AZ448" s="64"/>
      <c r="BA448" s="64"/>
      <c r="BB448" s="64"/>
      <c r="BC448" s="64"/>
      <c r="BD448" s="64"/>
      <c r="BE448" s="64"/>
      <c r="BF448" s="64"/>
      <c r="BG448" s="64"/>
    </row>
    <row r="449" spans="4:59">
      <c r="D449" s="64"/>
      <c r="E449" s="64"/>
      <c r="F449" s="64"/>
      <c r="G449" s="64"/>
      <c r="H449" s="64"/>
      <c r="I449" s="64"/>
      <c r="J449" s="64"/>
      <c r="K449" s="64"/>
      <c r="L449" s="64"/>
      <c r="M449" s="64"/>
      <c r="N449" s="64"/>
      <c r="O449" s="64"/>
      <c r="P449" s="64"/>
      <c r="Q449" s="64"/>
      <c r="R449" s="64"/>
      <c r="S449" s="64"/>
      <c r="T449" s="64"/>
      <c r="U449" s="64"/>
      <c r="V449" s="64"/>
      <c r="W449" s="64"/>
      <c r="X449" s="64"/>
      <c r="Y449" s="64"/>
      <c r="Z449" s="64"/>
      <c r="AA449" s="64"/>
      <c r="AB449" s="64"/>
      <c r="AC449" s="64"/>
      <c r="AD449" s="64"/>
      <c r="AE449" s="64"/>
      <c r="AF449" s="64"/>
      <c r="AG449" s="64"/>
      <c r="AH449" s="64"/>
      <c r="AI449" s="64"/>
      <c r="AJ449" s="64"/>
      <c r="AK449" s="64"/>
      <c r="AL449" s="64"/>
      <c r="AM449" s="64"/>
      <c r="AN449" s="64"/>
      <c r="AO449" s="64"/>
      <c r="AP449" s="64"/>
      <c r="AQ449" s="64"/>
      <c r="AR449" s="64"/>
      <c r="AS449" s="64"/>
      <c r="AT449" s="64"/>
      <c r="AU449" s="64"/>
      <c r="AV449" s="64"/>
      <c r="AW449" s="64"/>
      <c r="AX449" s="64"/>
      <c r="AY449" s="64"/>
      <c r="AZ449" s="64"/>
      <c r="BA449" s="64"/>
      <c r="BB449" s="64"/>
      <c r="BC449" s="64"/>
      <c r="BD449" s="64"/>
      <c r="BE449" s="64"/>
      <c r="BF449" s="64"/>
      <c r="BG449" s="64"/>
    </row>
    <row r="450" spans="4:59">
      <c r="D450" s="64"/>
      <c r="E450" s="64"/>
      <c r="F450" s="64"/>
      <c r="G450" s="64"/>
      <c r="H450" s="64"/>
      <c r="I450" s="64"/>
      <c r="J450" s="64"/>
      <c r="K450" s="64"/>
      <c r="L450" s="64"/>
      <c r="M450" s="64"/>
      <c r="N450" s="64"/>
      <c r="O450" s="64"/>
      <c r="P450" s="64"/>
      <c r="Q450" s="64"/>
      <c r="R450" s="64"/>
      <c r="S450" s="64"/>
      <c r="T450" s="64"/>
      <c r="U450" s="64"/>
      <c r="V450" s="64"/>
      <c r="W450" s="64"/>
      <c r="X450" s="64"/>
      <c r="Y450" s="64"/>
      <c r="Z450" s="64"/>
      <c r="AA450" s="64"/>
      <c r="AB450" s="64"/>
      <c r="AC450" s="64"/>
      <c r="AD450" s="64"/>
      <c r="AE450" s="64"/>
      <c r="AF450" s="64"/>
      <c r="AG450" s="64"/>
      <c r="AH450" s="64"/>
      <c r="AI450" s="64"/>
      <c r="AJ450" s="64"/>
      <c r="AK450" s="64"/>
      <c r="AL450" s="64"/>
      <c r="AM450" s="64"/>
      <c r="AN450" s="64"/>
      <c r="AO450" s="64"/>
      <c r="AP450" s="64"/>
      <c r="AQ450" s="64"/>
      <c r="AR450" s="64"/>
      <c r="AS450" s="64"/>
      <c r="AT450" s="64"/>
      <c r="AU450" s="64"/>
      <c r="AV450" s="64"/>
      <c r="AW450" s="64"/>
      <c r="AX450" s="64"/>
      <c r="AY450" s="64"/>
      <c r="AZ450" s="64"/>
      <c r="BA450" s="64"/>
      <c r="BB450" s="64"/>
      <c r="BC450" s="64"/>
      <c r="BD450" s="64"/>
      <c r="BE450" s="64"/>
      <c r="BF450" s="64"/>
      <c r="BG450" s="64"/>
    </row>
    <row r="451" spans="4:59">
      <c r="D451" s="64"/>
      <c r="E451" s="64"/>
      <c r="F451" s="64"/>
      <c r="G451" s="64"/>
      <c r="H451" s="64"/>
      <c r="I451" s="64"/>
      <c r="J451" s="64"/>
      <c r="K451" s="64"/>
      <c r="L451" s="64"/>
      <c r="M451" s="64"/>
      <c r="N451" s="64"/>
      <c r="O451" s="64"/>
      <c r="P451" s="64"/>
      <c r="Q451" s="64"/>
      <c r="R451" s="64"/>
      <c r="S451" s="64"/>
      <c r="T451" s="64"/>
      <c r="U451" s="64"/>
      <c r="V451" s="64"/>
      <c r="W451" s="64"/>
      <c r="X451" s="64"/>
      <c r="Y451" s="64"/>
      <c r="Z451" s="64"/>
      <c r="AA451" s="64"/>
      <c r="AB451" s="64"/>
      <c r="AC451" s="64"/>
      <c r="AD451" s="64"/>
      <c r="AE451" s="64"/>
      <c r="AF451" s="64"/>
      <c r="AG451" s="64"/>
      <c r="AH451" s="64"/>
      <c r="AI451" s="64"/>
      <c r="AJ451" s="64"/>
      <c r="AK451" s="64"/>
      <c r="AL451" s="64"/>
      <c r="AM451" s="64"/>
      <c r="AN451" s="64"/>
      <c r="AO451" s="64"/>
      <c r="AP451" s="64"/>
      <c r="AQ451" s="64"/>
      <c r="AR451" s="64"/>
      <c r="AS451" s="64"/>
      <c r="AT451" s="64"/>
      <c r="AU451" s="64"/>
      <c r="AV451" s="64"/>
      <c r="AW451" s="64"/>
      <c r="AX451" s="64"/>
      <c r="AY451" s="64"/>
      <c r="AZ451" s="64"/>
      <c r="BA451" s="64"/>
      <c r="BB451" s="64"/>
      <c r="BC451" s="64"/>
      <c r="BD451" s="64"/>
      <c r="BE451" s="64"/>
      <c r="BF451" s="64"/>
      <c r="BG451" s="64"/>
    </row>
    <row r="452" spans="4:59">
      <c r="D452" s="64"/>
      <c r="E452" s="64"/>
      <c r="F452" s="64"/>
      <c r="G452" s="64"/>
      <c r="H452" s="64"/>
      <c r="I452" s="64"/>
      <c r="J452" s="64"/>
      <c r="K452" s="64"/>
      <c r="L452" s="64"/>
      <c r="M452" s="64"/>
      <c r="N452" s="64"/>
      <c r="O452" s="64"/>
      <c r="P452" s="64"/>
      <c r="Q452" s="64"/>
      <c r="R452" s="64"/>
      <c r="S452" s="64"/>
      <c r="T452" s="64"/>
      <c r="U452" s="64"/>
      <c r="V452" s="64"/>
      <c r="W452" s="64"/>
      <c r="X452" s="64"/>
      <c r="Y452" s="64"/>
      <c r="Z452" s="64"/>
      <c r="AA452" s="64"/>
      <c r="AB452" s="64"/>
      <c r="AC452" s="64"/>
      <c r="AD452" s="64"/>
      <c r="AE452" s="64"/>
      <c r="AF452" s="64"/>
      <c r="AG452" s="64"/>
      <c r="AH452" s="64"/>
      <c r="AI452" s="64"/>
      <c r="AJ452" s="64"/>
      <c r="AK452" s="64"/>
      <c r="AL452" s="64"/>
      <c r="AM452" s="64"/>
      <c r="AN452" s="64"/>
      <c r="AO452" s="64"/>
      <c r="AP452" s="64"/>
      <c r="AQ452" s="64"/>
      <c r="AR452" s="64"/>
      <c r="AS452" s="64"/>
      <c r="AT452" s="64"/>
      <c r="AU452" s="64"/>
      <c r="AV452" s="64"/>
      <c r="AW452" s="64"/>
      <c r="AX452" s="64"/>
      <c r="AY452" s="64"/>
      <c r="AZ452" s="64"/>
      <c r="BA452" s="64"/>
      <c r="BB452" s="64"/>
      <c r="BC452" s="64"/>
      <c r="BD452" s="64"/>
      <c r="BE452" s="64"/>
      <c r="BF452" s="64"/>
      <c r="BG452" s="64"/>
    </row>
    <row r="453" spans="4:59">
      <c r="D453" s="64"/>
      <c r="E453" s="64"/>
      <c r="F453" s="64"/>
      <c r="G453" s="64"/>
      <c r="H453" s="64"/>
      <c r="I453" s="64"/>
      <c r="J453" s="64"/>
      <c r="K453" s="64"/>
      <c r="L453" s="64"/>
      <c r="M453" s="64"/>
      <c r="N453" s="64"/>
      <c r="O453" s="64"/>
      <c r="P453" s="64"/>
      <c r="Q453" s="64"/>
      <c r="R453" s="64"/>
      <c r="S453" s="64"/>
      <c r="T453" s="64"/>
      <c r="U453" s="64"/>
      <c r="V453" s="64"/>
      <c r="W453" s="64"/>
      <c r="X453" s="64"/>
      <c r="Y453" s="64"/>
      <c r="Z453" s="64"/>
      <c r="AA453" s="64"/>
      <c r="AB453" s="64"/>
      <c r="AC453" s="64"/>
      <c r="AD453" s="64"/>
      <c r="AE453" s="64"/>
      <c r="AF453" s="64"/>
      <c r="AG453" s="64"/>
      <c r="AH453" s="64"/>
      <c r="AI453" s="64"/>
      <c r="AJ453" s="64"/>
      <c r="AK453" s="64"/>
      <c r="AL453" s="64"/>
      <c r="AM453" s="64"/>
      <c r="AN453" s="64"/>
      <c r="AO453" s="64"/>
      <c r="AP453" s="64"/>
      <c r="AQ453" s="64"/>
      <c r="AR453" s="64"/>
      <c r="AS453" s="64"/>
      <c r="AT453" s="64"/>
      <c r="AU453" s="64"/>
      <c r="AV453" s="64"/>
      <c r="AW453" s="64"/>
      <c r="AX453" s="64"/>
      <c r="AY453" s="64"/>
      <c r="AZ453" s="64"/>
      <c r="BA453" s="64"/>
      <c r="BB453" s="64"/>
      <c r="BC453" s="64"/>
      <c r="BD453" s="64"/>
      <c r="BE453" s="64"/>
      <c r="BF453" s="64"/>
      <c r="BG453" s="64"/>
    </row>
    <row r="454" spans="4:59">
      <c r="D454" s="64"/>
      <c r="E454" s="64"/>
      <c r="F454" s="64"/>
      <c r="G454" s="64"/>
      <c r="H454" s="64"/>
      <c r="I454" s="64"/>
      <c r="J454" s="64"/>
      <c r="K454" s="64"/>
      <c r="L454" s="64"/>
      <c r="M454" s="64"/>
      <c r="N454" s="64"/>
      <c r="O454" s="64"/>
      <c r="P454" s="64"/>
      <c r="Q454" s="64"/>
      <c r="R454" s="64"/>
      <c r="S454" s="64"/>
      <c r="T454" s="64"/>
      <c r="U454" s="64"/>
      <c r="V454" s="64"/>
      <c r="W454" s="64"/>
      <c r="X454" s="64"/>
      <c r="Y454" s="64"/>
      <c r="Z454" s="64"/>
      <c r="AA454" s="64"/>
      <c r="AB454" s="64"/>
      <c r="AC454" s="64"/>
      <c r="AD454" s="64"/>
      <c r="AE454" s="64"/>
      <c r="AF454" s="64"/>
      <c r="AG454" s="64"/>
      <c r="AH454" s="64"/>
      <c r="AI454" s="64"/>
      <c r="AJ454" s="64"/>
      <c r="AK454" s="64"/>
      <c r="AL454" s="64"/>
      <c r="AM454" s="64"/>
      <c r="AN454" s="64"/>
      <c r="AO454" s="64"/>
      <c r="AP454" s="64"/>
      <c r="AQ454" s="64"/>
      <c r="AR454" s="64"/>
      <c r="AS454" s="64"/>
      <c r="AT454" s="64"/>
      <c r="AU454" s="64"/>
      <c r="AV454" s="64"/>
      <c r="AW454" s="64"/>
      <c r="AX454" s="64"/>
      <c r="AY454" s="64"/>
      <c r="AZ454" s="64"/>
      <c r="BA454" s="64"/>
      <c r="BB454" s="64"/>
      <c r="BC454" s="64"/>
      <c r="BD454" s="64"/>
      <c r="BE454" s="64"/>
      <c r="BF454" s="64"/>
      <c r="BG454" s="64"/>
    </row>
    <row r="455" spans="4:59">
      <c r="D455" s="64"/>
      <c r="E455" s="64"/>
      <c r="F455" s="64"/>
      <c r="G455" s="64"/>
      <c r="H455" s="64"/>
      <c r="I455" s="64"/>
      <c r="J455" s="64"/>
      <c r="K455" s="64"/>
      <c r="L455" s="64"/>
      <c r="M455" s="64"/>
      <c r="N455" s="64"/>
      <c r="O455" s="64"/>
      <c r="P455" s="64"/>
      <c r="Q455" s="64"/>
      <c r="R455" s="64"/>
      <c r="S455" s="64"/>
      <c r="T455" s="64"/>
      <c r="U455" s="64"/>
      <c r="V455" s="64"/>
      <c r="W455" s="64"/>
      <c r="X455" s="64"/>
      <c r="Y455" s="64"/>
      <c r="Z455" s="64"/>
      <c r="AA455" s="64"/>
      <c r="AB455" s="64"/>
      <c r="AC455" s="64"/>
      <c r="AD455" s="64"/>
      <c r="AE455" s="64"/>
      <c r="AF455" s="64"/>
      <c r="AG455" s="64"/>
      <c r="AH455" s="64"/>
      <c r="AI455" s="64"/>
      <c r="AJ455" s="64"/>
      <c r="AK455" s="64"/>
      <c r="AL455" s="64"/>
      <c r="AM455" s="64"/>
      <c r="AN455" s="64"/>
      <c r="AO455" s="64"/>
      <c r="AP455" s="64"/>
      <c r="AQ455" s="64"/>
      <c r="AR455" s="64"/>
      <c r="AS455" s="64"/>
      <c r="AT455" s="64"/>
      <c r="AU455" s="64"/>
      <c r="AV455" s="64"/>
      <c r="AW455" s="64"/>
      <c r="AX455" s="64"/>
      <c r="AY455" s="64"/>
      <c r="AZ455" s="64"/>
      <c r="BA455" s="64"/>
      <c r="BB455" s="64"/>
      <c r="BC455" s="64"/>
      <c r="BD455" s="64"/>
      <c r="BE455" s="64"/>
      <c r="BF455" s="64"/>
      <c r="BG455" s="64"/>
    </row>
    <row r="456" spans="4:59">
      <c r="D456" s="64"/>
      <c r="E456" s="64"/>
      <c r="F456" s="64"/>
      <c r="G456" s="64"/>
      <c r="H456" s="64"/>
      <c r="I456" s="64"/>
      <c r="J456" s="64"/>
      <c r="K456" s="64"/>
      <c r="L456" s="64"/>
      <c r="M456" s="64"/>
      <c r="N456" s="64"/>
      <c r="O456" s="64"/>
      <c r="P456" s="64"/>
      <c r="Q456" s="64"/>
      <c r="R456" s="64"/>
      <c r="S456" s="64"/>
      <c r="T456" s="64"/>
      <c r="U456" s="64"/>
      <c r="V456" s="64"/>
      <c r="W456" s="64"/>
      <c r="X456" s="64"/>
      <c r="Y456" s="64"/>
      <c r="Z456" s="64"/>
      <c r="AA456" s="64"/>
      <c r="AB456" s="64"/>
      <c r="AC456" s="64"/>
      <c r="AD456" s="64"/>
      <c r="AE456" s="64"/>
      <c r="AF456" s="64"/>
      <c r="AG456" s="64"/>
      <c r="AH456" s="64"/>
      <c r="AI456" s="64"/>
      <c r="AJ456" s="64"/>
      <c r="AK456" s="64"/>
      <c r="AL456" s="64"/>
      <c r="AM456" s="64"/>
      <c r="AN456" s="64"/>
      <c r="AO456" s="64"/>
      <c r="AP456" s="64"/>
      <c r="AQ456" s="64"/>
      <c r="AR456" s="64"/>
      <c r="AS456" s="64"/>
      <c r="AT456" s="64"/>
      <c r="AU456" s="64"/>
      <c r="AV456" s="64"/>
      <c r="AW456" s="64"/>
      <c r="AX456" s="64"/>
      <c r="AY456" s="64"/>
      <c r="AZ456" s="64"/>
      <c r="BA456" s="64"/>
      <c r="BB456" s="64"/>
      <c r="BC456" s="64"/>
      <c r="BD456" s="64"/>
      <c r="BE456" s="64"/>
      <c r="BF456" s="64"/>
      <c r="BG456" s="64"/>
    </row>
    <row r="457" spans="4:59">
      <c r="D457" s="64"/>
      <c r="E457" s="64"/>
      <c r="F457" s="64"/>
      <c r="G457" s="64"/>
      <c r="H457" s="64"/>
      <c r="I457" s="64"/>
      <c r="J457" s="64"/>
      <c r="K457" s="64"/>
      <c r="L457" s="64"/>
      <c r="M457" s="64"/>
      <c r="N457" s="64"/>
      <c r="O457" s="64"/>
      <c r="P457" s="64"/>
      <c r="Q457" s="64"/>
      <c r="R457" s="64"/>
      <c r="S457" s="64"/>
      <c r="T457" s="64"/>
      <c r="U457" s="64"/>
      <c r="V457" s="64"/>
      <c r="W457" s="64"/>
      <c r="X457" s="64"/>
      <c r="Y457" s="64"/>
      <c r="Z457" s="64"/>
      <c r="AA457" s="64"/>
      <c r="AB457" s="64"/>
      <c r="AC457" s="64"/>
      <c r="AD457" s="64"/>
      <c r="AE457" s="64"/>
      <c r="AF457" s="64"/>
      <c r="AG457" s="64"/>
      <c r="AH457" s="64"/>
      <c r="AI457" s="64"/>
      <c r="AJ457" s="64"/>
      <c r="AK457" s="64"/>
      <c r="AL457" s="64"/>
      <c r="AM457" s="64"/>
      <c r="AN457" s="64"/>
      <c r="AO457" s="64"/>
      <c r="AP457" s="64"/>
      <c r="AQ457" s="64"/>
      <c r="AR457" s="64"/>
      <c r="AS457" s="64"/>
      <c r="AT457" s="64"/>
      <c r="AU457" s="64"/>
      <c r="AV457" s="64"/>
      <c r="AW457" s="64"/>
      <c r="AX457" s="64"/>
      <c r="AY457" s="64"/>
      <c r="AZ457" s="64"/>
      <c r="BA457" s="64"/>
      <c r="BB457" s="64"/>
      <c r="BC457" s="64"/>
      <c r="BD457" s="64"/>
      <c r="BE457" s="64"/>
      <c r="BF457" s="64"/>
      <c r="BG457" s="64"/>
    </row>
    <row r="458" spans="4:59">
      <c r="D458" s="64"/>
      <c r="E458" s="64"/>
      <c r="F458" s="64"/>
      <c r="G458" s="64"/>
      <c r="H458" s="64"/>
      <c r="I458" s="64"/>
      <c r="J458" s="64"/>
      <c r="K458" s="64"/>
      <c r="L458" s="64"/>
      <c r="M458" s="64"/>
      <c r="N458" s="64"/>
      <c r="O458" s="64"/>
      <c r="P458" s="64"/>
      <c r="Q458" s="64"/>
      <c r="R458" s="64"/>
      <c r="S458" s="64"/>
      <c r="T458" s="64"/>
      <c r="U458" s="64"/>
      <c r="V458" s="64"/>
      <c r="W458" s="64"/>
      <c r="X458" s="64"/>
      <c r="Y458" s="64"/>
      <c r="Z458" s="64"/>
      <c r="AA458" s="64"/>
      <c r="AB458" s="64"/>
      <c r="AC458" s="64"/>
      <c r="AD458" s="64"/>
      <c r="AE458" s="64"/>
      <c r="AF458" s="64"/>
      <c r="AG458" s="64"/>
      <c r="AH458" s="64"/>
      <c r="AI458" s="64"/>
      <c r="AJ458" s="64"/>
      <c r="AK458" s="64"/>
      <c r="AL458" s="64"/>
      <c r="AM458" s="64"/>
      <c r="AN458" s="64"/>
      <c r="AO458" s="64"/>
      <c r="AP458" s="64"/>
      <c r="AQ458" s="64"/>
      <c r="AR458" s="64"/>
      <c r="AS458" s="64"/>
      <c r="AT458" s="64"/>
      <c r="AU458" s="64"/>
      <c r="AV458" s="64"/>
      <c r="AW458" s="64"/>
      <c r="AX458" s="64"/>
      <c r="AY458" s="64"/>
      <c r="AZ458" s="64"/>
      <c r="BA458" s="64"/>
      <c r="BB458" s="64"/>
      <c r="BC458" s="64"/>
      <c r="BD458" s="64"/>
      <c r="BE458" s="64"/>
      <c r="BF458" s="64"/>
      <c r="BG458" s="64"/>
    </row>
    <row r="459" spans="4:59">
      <c r="D459" s="64"/>
      <c r="E459" s="64"/>
      <c r="F459" s="64"/>
      <c r="G459" s="64"/>
      <c r="H459" s="64"/>
      <c r="I459" s="64"/>
      <c r="J459" s="64"/>
      <c r="K459" s="64"/>
      <c r="L459" s="64"/>
      <c r="M459" s="64"/>
      <c r="N459" s="64"/>
      <c r="O459" s="64"/>
      <c r="P459" s="64"/>
      <c r="Q459" s="64"/>
      <c r="R459" s="64"/>
      <c r="S459" s="64"/>
      <c r="T459" s="64"/>
      <c r="U459" s="64"/>
      <c r="V459" s="64"/>
      <c r="W459" s="64"/>
      <c r="X459" s="64"/>
      <c r="Y459" s="64"/>
      <c r="Z459" s="64"/>
      <c r="AA459" s="64"/>
      <c r="AB459" s="64"/>
      <c r="AC459" s="64"/>
      <c r="AD459" s="64"/>
      <c r="AE459" s="64"/>
      <c r="AF459" s="64"/>
      <c r="AG459" s="64"/>
      <c r="AH459" s="64"/>
      <c r="AI459" s="64"/>
      <c r="AJ459" s="64"/>
      <c r="AK459" s="64"/>
      <c r="AL459" s="64"/>
      <c r="AM459" s="64"/>
      <c r="AN459" s="64"/>
      <c r="AO459" s="64"/>
      <c r="AP459" s="64"/>
      <c r="AQ459" s="64"/>
      <c r="AR459" s="64"/>
      <c r="AS459" s="64"/>
      <c r="AT459" s="64"/>
      <c r="AU459" s="64"/>
      <c r="AV459" s="64"/>
      <c r="AW459" s="64"/>
      <c r="AX459" s="64"/>
      <c r="AY459" s="64"/>
      <c r="AZ459" s="64"/>
      <c r="BA459" s="64"/>
      <c r="BB459" s="64"/>
      <c r="BC459" s="64"/>
      <c r="BD459" s="64"/>
      <c r="BE459" s="64"/>
      <c r="BF459" s="64"/>
      <c r="BG459" s="64"/>
    </row>
    <row r="460" spans="4:59">
      <c r="D460" s="64"/>
      <c r="E460" s="64"/>
      <c r="F460" s="64"/>
      <c r="G460" s="64"/>
      <c r="H460" s="64"/>
      <c r="I460" s="64"/>
      <c r="J460" s="64"/>
      <c r="K460" s="64"/>
      <c r="L460" s="64"/>
      <c r="M460" s="64"/>
      <c r="N460" s="64"/>
      <c r="O460" s="64"/>
      <c r="P460" s="64"/>
      <c r="Q460" s="64"/>
      <c r="R460" s="64"/>
      <c r="S460" s="64"/>
      <c r="T460" s="64"/>
      <c r="U460" s="64"/>
      <c r="V460" s="64"/>
      <c r="W460" s="64"/>
      <c r="X460" s="64"/>
      <c r="Y460" s="64"/>
      <c r="Z460" s="64"/>
      <c r="AA460" s="64"/>
      <c r="AB460" s="64"/>
      <c r="AC460" s="64"/>
      <c r="AD460" s="64"/>
      <c r="AE460" s="64"/>
      <c r="AF460" s="64"/>
      <c r="AG460" s="64"/>
      <c r="AH460" s="64"/>
      <c r="AI460" s="64"/>
      <c r="AJ460" s="64"/>
      <c r="AK460" s="64"/>
      <c r="AL460" s="64"/>
      <c r="AM460" s="64"/>
      <c r="AN460" s="64"/>
      <c r="AO460" s="64"/>
      <c r="AP460" s="64"/>
      <c r="AQ460" s="64"/>
      <c r="AR460" s="64"/>
      <c r="AS460" s="64"/>
      <c r="AT460" s="64"/>
      <c r="AU460" s="64"/>
      <c r="AV460" s="64"/>
      <c r="AW460" s="64"/>
      <c r="AX460" s="64"/>
      <c r="AY460" s="64"/>
      <c r="AZ460" s="64"/>
      <c r="BA460" s="64"/>
      <c r="BB460" s="64"/>
      <c r="BC460" s="64"/>
      <c r="BD460" s="64"/>
      <c r="BE460" s="64"/>
      <c r="BF460" s="64"/>
      <c r="BG460" s="64"/>
    </row>
    <row r="461" spans="4:59">
      <c r="D461" s="64"/>
      <c r="E461" s="64"/>
      <c r="F461" s="64"/>
      <c r="G461" s="64"/>
      <c r="H461" s="64"/>
      <c r="I461" s="64"/>
      <c r="J461" s="64"/>
      <c r="K461" s="64"/>
      <c r="L461" s="64"/>
      <c r="M461" s="64"/>
      <c r="N461" s="64"/>
      <c r="O461" s="64"/>
      <c r="P461" s="64"/>
      <c r="Q461" s="64"/>
      <c r="R461" s="64"/>
      <c r="S461" s="64"/>
      <c r="T461" s="64"/>
      <c r="U461" s="64"/>
      <c r="V461" s="64"/>
      <c r="W461" s="64"/>
      <c r="X461" s="64"/>
      <c r="Y461" s="64"/>
      <c r="Z461" s="64"/>
      <c r="AA461" s="64"/>
      <c r="AB461" s="64"/>
      <c r="AC461" s="64"/>
      <c r="AD461" s="64"/>
      <c r="AE461" s="64"/>
      <c r="AF461" s="64"/>
      <c r="AG461" s="64"/>
      <c r="AH461" s="64"/>
      <c r="AI461" s="64"/>
      <c r="AJ461" s="64"/>
      <c r="AK461" s="64"/>
      <c r="AL461" s="64"/>
      <c r="AM461" s="64"/>
      <c r="AN461" s="64"/>
      <c r="AO461" s="64"/>
      <c r="AP461" s="64"/>
      <c r="AQ461" s="64"/>
      <c r="AR461" s="64"/>
      <c r="AS461" s="64"/>
      <c r="AT461" s="64"/>
      <c r="AU461" s="64"/>
      <c r="AV461" s="64"/>
      <c r="AW461" s="64"/>
      <c r="AX461" s="64"/>
      <c r="AY461" s="64"/>
      <c r="AZ461" s="64"/>
      <c r="BA461" s="64"/>
      <c r="BB461" s="64"/>
      <c r="BC461" s="64"/>
      <c r="BD461" s="64"/>
      <c r="BE461" s="64"/>
      <c r="BF461" s="64"/>
      <c r="BG461" s="64"/>
    </row>
    <row r="462" spans="4:59">
      <c r="D462" s="64"/>
      <c r="E462" s="64"/>
      <c r="F462" s="64"/>
      <c r="G462" s="64"/>
      <c r="H462" s="64"/>
      <c r="I462" s="64"/>
      <c r="J462" s="64"/>
      <c r="K462" s="64"/>
      <c r="L462" s="64"/>
      <c r="M462" s="64"/>
      <c r="N462" s="64"/>
      <c r="O462" s="64"/>
      <c r="P462" s="64"/>
      <c r="Q462" s="64"/>
      <c r="R462" s="64"/>
      <c r="S462" s="64"/>
      <c r="T462" s="64"/>
      <c r="U462" s="64"/>
      <c r="V462" s="64"/>
      <c r="W462" s="64"/>
      <c r="X462" s="64"/>
      <c r="Y462" s="64"/>
      <c r="Z462" s="64"/>
      <c r="AA462" s="64"/>
      <c r="AB462" s="64"/>
      <c r="AC462" s="64"/>
      <c r="AD462" s="64"/>
      <c r="AE462" s="64"/>
      <c r="AF462" s="64"/>
      <c r="AG462" s="64"/>
      <c r="AH462" s="64"/>
      <c r="AI462" s="64"/>
      <c r="AJ462" s="64"/>
      <c r="AK462" s="64"/>
      <c r="AL462" s="64"/>
      <c r="AM462" s="64"/>
      <c r="AN462" s="64"/>
      <c r="AO462" s="64"/>
      <c r="AP462" s="64"/>
      <c r="AQ462" s="64"/>
      <c r="AR462" s="64"/>
      <c r="AS462" s="64"/>
      <c r="AT462" s="64"/>
      <c r="AU462" s="64"/>
      <c r="AV462" s="64"/>
      <c r="AW462" s="64"/>
      <c r="AX462" s="64"/>
      <c r="AY462" s="64"/>
      <c r="AZ462" s="64"/>
      <c r="BA462" s="64"/>
      <c r="BB462" s="64"/>
      <c r="BC462" s="64"/>
      <c r="BD462" s="64"/>
      <c r="BE462" s="64"/>
      <c r="BF462" s="64"/>
      <c r="BG462" s="64"/>
    </row>
    <row r="463" spans="4:59">
      <c r="D463" s="64"/>
      <c r="E463" s="64"/>
      <c r="F463" s="64"/>
      <c r="G463" s="64"/>
      <c r="H463" s="64"/>
      <c r="I463" s="64"/>
      <c r="J463" s="64"/>
      <c r="K463" s="64"/>
      <c r="L463" s="64"/>
      <c r="M463" s="64"/>
      <c r="N463" s="64"/>
      <c r="O463" s="64"/>
      <c r="P463" s="64"/>
      <c r="Q463" s="64"/>
      <c r="R463" s="64"/>
      <c r="S463" s="64"/>
      <c r="T463" s="64"/>
      <c r="U463" s="64"/>
      <c r="V463" s="64"/>
      <c r="W463" s="64"/>
      <c r="X463" s="64"/>
      <c r="Y463" s="64"/>
      <c r="Z463" s="64"/>
      <c r="AA463" s="64"/>
      <c r="AB463" s="64"/>
      <c r="AC463" s="64"/>
      <c r="AD463" s="64"/>
      <c r="AE463" s="64"/>
      <c r="AF463" s="64"/>
      <c r="AG463" s="64"/>
      <c r="AH463" s="64"/>
      <c r="AI463" s="64"/>
      <c r="AJ463" s="64"/>
      <c r="AK463" s="64"/>
      <c r="AL463" s="64"/>
      <c r="AM463" s="64"/>
      <c r="AN463" s="64"/>
      <c r="AO463" s="64"/>
      <c r="AP463" s="64"/>
      <c r="AQ463" s="64"/>
      <c r="AR463" s="64"/>
      <c r="AS463" s="64"/>
      <c r="AT463" s="64"/>
      <c r="AU463" s="64"/>
      <c r="AV463" s="64"/>
      <c r="AW463" s="64"/>
      <c r="AX463" s="64"/>
      <c r="AY463" s="64"/>
      <c r="AZ463" s="64"/>
      <c r="BA463" s="64"/>
      <c r="BB463" s="64"/>
      <c r="BC463" s="64"/>
      <c r="BD463" s="64"/>
      <c r="BE463" s="64"/>
      <c r="BF463" s="64"/>
      <c r="BG463" s="64"/>
    </row>
    <row r="464" spans="4:59">
      <c r="D464" s="64"/>
      <c r="E464" s="64"/>
      <c r="F464" s="64"/>
      <c r="G464" s="64"/>
      <c r="H464" s="64"/>
      <c r="I464" s="64"/>
      <c r="J464" s="64"/>
      <c r="K464" s="64"/>
      <c r="L464" s="64"/>
      <c r="M464" s="64"/>
      <c r="N464" s="64"/>
      <c r="O464" s="64"/>
      <c r="P464" s="64"/>
      <c r="Q464" s="64"/>
      <c r="R464" s="64"/>
      <c r="S464" s="64"/>
      <c r="T464" s="64"/>
      <c r="U464" s="64"/>
      <c r="V464" s="64"/>
      <c r="W464" s="64"/>
      <c r="X464" s="64"/>
      <c r="Y464" s="64"/>
      <c r="Z464" s="64"/>
      <c r="AA464" s="64"/>
      <c r="AB464" s="64"/>
      <c r="AC464" s="64"/>
      <c r="AD464" s="64"/>
      <c r="AE464" s="64"/>
      <c r="AF464" s="64"/>
      <c r="AG464" s="64"/>
      <c r="AH464" s="64"/>
      <c r="AI464" s="64"/>
      <c r="AJ464" s="64"/>
      <c r="AK464" s="64"/>
      <c r="AL464" s="64"/>
      <c r="AM464" s="64"/>
      <c r="AN464" s="64"/>
      <c r="AO464" s="64"/>
      <c r="AP464" s="64"/>
      <c r="AQ464" s="64"/>
      <c r="AR464" s="64"/>
      <c r="AS464" s="64"/>
      <c r="AT464" s="64"/>
      <c r="AU464" s="64"/>
      <c r="AV464" s="64"/>
      <c r="AW464" s="64"/>
      <c r="AX464" s="64"/>
      <c r="AY464" s="64"/>
      <c r="AZ464" s="64"/>
      <c r="BA464" s="64"/>
      <c r="BB464" s="64"/>
      <c r="BC464" s="64"/>
      <c r="BD464" s="64"/>
      <c r="BE464" s="64"/>
      <c r="BF464" s="64"/>
      <c r="BG464" s="64"/>
    </row>
    <row r="465" spans="4:59"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  <c r="P465" s="64"/>
      <c r="Q465" s="64"/>
      <c r="R465" s="64"/>
      <c r="S465" s="64"/>
      <c r="T465" s="64"/>
      <c r="U465" s="64"/>
      <c r="V465" s="64"/>
      <c r="W465" s="64"/>
      <c r="X465" s="64"/>
      <c r="Y465" s="64"/>
      <c r="Z465" s="64"/>
      <c r="AA465" s="64"/>
      <c r="AB465" s="64"/>
      <c r="AC465" s="64"/>
      <c r="AD465" s="64"/>
      <c r="AE465" s="64"/>
      <c r="AF465" s="64"/>
      <c r="AG465" s="64"/>
      <c r="AH465" s="64"/>
      <c r="AI465" s="64"/>
      <c r="AJ465" s="64"/>
      <c r="AK465" s="64"/>
      <c r="AL465" s="64"/>
      <c r="AM465" s="64"/>
      <c r="AN465" s="64"/>
      <c r="AO465" s="64"/>
      <c r="AP465" s="64"/>
      <c r="AQ465" s="64"/>
      <c r="AR465" s="64"/>
      <c r="AS465" s="64"/>
      <c r="AT465" s="64"/>
      <c r="AU465" s="64"/>
      <c r="AV465" s="64"/>
      <c r="AW465" s="64"/>
      <c r="AX465" s="64"/>
      <c r="AY465" s="64"/>
      <c r="AZ465" s="64"/>
      <c r="BA465" s="64"/>
      <c r="BB465" s="64"/>
      <c r="BC465" s="64"/>
      <c r="BD465" s="64"/>
      <c r="BE465" s="64"/>
      <c r="BF465" s="64"/>
      <c r="BG465" s="64"/>
    </row>
    <row r="466" spans="4:59">
      <c r="D466" s="64"/>
      <c r="E466" s="64"/>
      <c r="F466" s="64"/>
      <c r="G466" s="64"/>
      <c r="H466" s="64"/>
      <c r="I466" s="64"/>
      <c r="J466" s="64"/>
      <c r="K466" s="64"/>
      <c r="L466" s="64"/>
      <c r="M466" s="64"/>
      <c r="N466" s="64"/>
      <c r="O466" s="64"/>
      <c r="P466" s="64"/>
      <c r="Q466" s="64"/>
      <c r="R466" s="64"/>
      <c r="S466" s="64"/>
      <c r="T466" s="64"/>
      <c r="U466" s="64"/>
      <c r="V466" s="64"/>
      <c r="W466" s="64"/>
      <c r="X466" s="64"/>
      <c r="Y466" s="64"/>
      <c r="Z466" s="64"/>
      <c r="AA466" s="64"/>
      <c r="AB466" s="64"/>
      <c r="AC466" s="64"/>
      <c r="AD466" s="64"/>
      <c r="AE466" s="64"/>
      <c r="AF466" s="64"/>
      <c r="AG466" s="64"/>
      <c r="AH466" s="64"/>
      <c r="AI466" s="64"/>
      <c r="AJ466" s="64"/>
      <c r="AK466" s="64"/>
      <c r="AL466" s="64"/>
      <c r="AM466" s="64"/>
      <c r="AN466" s="64"/>
      <c r="AO466" s="64"/>
      <c r="AP466" s="64"/>
      <c r="AQ466" s="64"/>
      <c r="AR466" s="64"/>
      <c r="AS466" s="64"/>
      <c r="AT466" s="64"/>
      <c r="AU466" s="64"/>
      <c r="AV466" s="64"/>
      <c r="AW466" s="64"/>
      <c r="AX466" s="64"/>
      <c r="AY466" s="64"/>
      <c r="AZ466" s="64"/>
      <c r="BA466" s="64"/>
      <c r="BB466" s="64"/>
      <c r="BC466" s="64"/>
      <c r="BD466" s="64"/>
      <c r="BE466" s="64"/>
      <c r="BF466" s="64"/>
      <c r="BG466" s="64"/>
    </row>
  </sheetData>
  <autoFilter ref="A1:KF249" xr:uid="{6572971F-EE22-8945-AD0B-4BA71873F1F0}"/>
  <mergeCells count="2">
    <mergeCell ref="B4:C4"/>
    <mergeCell ref="B5:C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89DD8-3165-FB4F-81DE-7BFF2873672A}">
  <dimension ref="A1:P86"/>
  <sheetViews>
    <sheetView workbookViewId="0">
      <selection activeCell="P30" sqref="P30"/>
    </sheetView>
  </sheetViews>
  <sheetFormatPr baseColWidth="10" defaultRowHeight="16"/>
  <cols>
    <col min="3" max="6" width="0" hidden="1" customWidth="1"/>
    <col min="8" max="15" width="0" hidden="1" customWidth="1"/>
  </cols>
  <sheetData>
    <row r="1" spans="1:16">
      <c r="A1" s="78" t="s">
        <v>1055</v>
      </c>
      <c r="B1" s="12"/>
      <c r="C1" s="12"/>
      <c r="D1" s="79"/>
      <c r="E1" s="80"/>
      <c r="F1" s="12"/>
      <c r="G1" s="12"/>
      <c r="H1" s="79"/>
      <c r="I1" s="79"/>
      <c r="J1" s="79"/>
      <c r="K1" s="12"/>
      <c r="L1" s="12"/>
      <c r="M1" s="12"/>
      <c r="N1" s="12"/>
      <c r="O1" s="81"/>
    </row>
    <row r="2" spans="1:16" ht="17" thickBot="1">
      <c r="A2" s="82" t="s">
        <v>1056</v>
      </c>
      <c r="B2" s="12"/>
      <c r="C2" s="12"/>
      <c r="D2" s="79"/>
      <c r="E2" s="80"/>
      <c r="F2" s="12"/>
      <c r="G2" s="12"/>
      <c r="H2" s="79"/>
      <c r="I2" s="79"/>
      <c r="J2" s="79"/>
      <c r="K2" s="12"/>
      <c r="L2" s="12"/>
      <c r="M2" s="12"/>
      <c r="N2" s="12"/>
      <c r="O2" s="81"/>
    </row>
    <row r="3" spans="1:16" ht="104">
      <c r="A3" s="83" t="s">
        <v>1057</v>
      </c>
      <c r="B3" s="84" t="s">
        <v>136</v>
      </c>
      <c r="C3" s="85" t="s">
        <v>1058</v>
      </c>
      <c r="D3" s="85" t="s">
        <v>1059</v>
      </c>
      <c r="E3" s="86" t="s">
        <v>1060</v>
      </c>
      <c r="F3" s="85" t="s">
        <v>1061</v>
      </c>
      <c r="G3" s="87" t="s">
        <v>1062</v>
      </c>
      <c r="H3" s="85" t="s">
        <v>1063</v>
      </c>
      <c r="I3" s="87" t="s">
        <v>1064</v>
      </c>
      <c r="J3" s="85" t="s">
        <v>1065</v>
      </c>
      <c r="K3" s="87" t="s">
        <v>1066</v>
      </c>
      <c r="L3" s="85" t="s">
        <v>1067</v>
      </c>
      <c r="M3" s="87" t="s">
        <v>1068</v>
      </c>
      <c r="N3" s="85" t="s">
        <v>1069</v>
      </c>
      <c r="O3" s="87" t="s">
        <v>1070</v>
      </c>
    </row>
    <row r="4" spans="1:16">
      <c r="A4" s="54">
        <v>2017</v>
      </c>
      <c r="B4" s="17" t="s">
        <v>1071</v>
      </c>
      <c r="C4" s="88">
        <v>1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I4" s="88">
        <v>1</v>
      </c>
      <c r="J4" s="88">
        <v>1</v>
      </c>
      <c r="K4" s="88">
        <v>1</v>
      </c>
      <c r="L4" s="88">
        <v>1</v>
      </c>
      <c r="M4" s="88">
        <v>1</v>
      </c>
      <c r="N4" s="88">
        <v>1</v>
      </c>
      <c r="O4" s="88">
        <v>1</v>
      </c>
      <c r="P4">
        <f>ROUND(G4*100, 0)-100</f>
        <v>0</v>
      </c>
    </row>
    <row r="5" spans="1:16">
      <c r="A5" s="55"/>
      <c r="B5" s="89" t="s">
        <v>151</v>
      </c>
      <c r="C5" s="90">
        <v>1.1475366664994833</v>
      </c>
      <c r="D5" s="90">
        <v>1.1100476013433414</v>
      </c>
      <c r="E5" s="90">
        <v>0.99868645618246954</v>
      </c>
      <c r="F5" s="90">
        <v>1.0967150942303032</v>
      </c>
      <c r="G5" s="90">
        <v>1.5008585490546751</v>
      </c>
      <c r="H5" s="90">
        <v>1.031901788540645</v>
      </c>
      <c r="I5" s="90">
        <v>1.389670762292488</v>
      </c>
      <c r="J5" s="90">
        <v>1.0594303287478781</v>
      </c>
      <c r="K5" s="90">
        <v>1</v>
      </c>
      <c r="L5" s="90">
        <v>1.0661524843745376</v>
      </c>
      <c r="M5" s="90">
        <v>1.4172513104225879</v>
      </c>
      <c r="N5" s="90">
        <v>1.1524607921246242</v>
      </c>
      <c r="O5" s="90">
        <v>1.1005202687456019</v>
      </c>
      <c r="P5">
        <f t="shared" ref="P5:P68" si="0">ROUND(G5*100, 0)-100</f>
        <v>50</v>
      </c>
    </row>
    <row r="6" spans="1:16">
      <c r="B6" s="89" t="s">
        <v>152</v>
      </c>
      <c r="C6" s="90">
        <v>1.0275617791757941</v>
      </c>
      <c r="D6" s="90">
        <v>1.0587354332647778</v>
      </c>
      <c r="E6" s="90">
        <v>0.99942919899121396</v>
      </c>
      <c r="F6" s="90">
        <v>1.0028056488430692</v>
      </c>
      <c r="G6" s="90">
        <v>1.0093671697601632</v>
      </c>
      <c r="H6" s="90">
        <v>0.99396456193907301</v>
      </c>
      <c r="I6" s="90">
        <v>1.1022432450963138</v>
      </c>
      <c r="J6" s="90">
        <v>1.0307849118523451</v>
      </c>
      <c r="K6" s="90">
        <v>1</v>
      </c>
      <c r="L6" s="90">
        <v>1.0415216894754311</v>
      </c>
      <c r="M6" s="90">
        <v>1.1309676706709622</v>
      </c>
      <c r="N6" s="90">
        <v>0.9555527804409677</v>
      </c>
      <c r="O6" s="90">
        <v>1.0567832503065488</v>
      </c>
      <c r="P6">
        <f t="shared" si="0"/>
        <v>1</v>
      </c>
    </row>
    <row r="7" spans="1:16">
      <c r="B7" s="89" t="s">
        <v>153</v>
      </c>
      <c r="C7" s="90">
        <v>1.0127881035504738</v>
      </c>
      <c r="D7" s="90">
        <v>1.0292427144145522</v>
      </c>
      <c r="E7" s="90">
        <v>0.9983854240078065</v>
      </c>
      <c r="F7" s="90">
        <v>1.0004549655860409</v>
      </c>
      <c r="G7" s="90">
        <v>0.97159972053602095</v>
      </c>
      <c r="H7" s="90">
        <v>1.0448253631150612</v>
      </c>
      <c r="I7" s="90">
        <v>1.1118267159421413</v>
      </c>
      <c r="J7" s="90">
        <v>1.0040951249562373</v>
      </c>
      <c r="K7" s="90">
        <v>1</v>
      </c>
      <c r="L7" s="90">
        <v>1.0237249435291833</v>
      </c>
      <c r="M7" s="90">
        <v>1.061224475045456</v>
      </c>
      <c r="N7" s="90">
        <v>0.97774851243942662</v>
      </c>
      <c r="O7" s="90">
        <v>1.0326803753482319</v>
      </c>
      <c r="P7">
        <f t="shared" si="0"/>
        <v>-3</v>
      </c>
    </row>
    <row r="8" spans="1:16">
      <c r="B8" s="89" t="s">
        <v>154</v>
      </c>
      <c r="C8" s="90">
        <v>1.090443338857725</v>
      </c>
      <c r="D8" s="90">
        <v>1.0364096631233957</v>
      </c>
      <c r="E8" s="90">
        <v>0.99980044149620506</v>
      </c>
      <c r="F8" s="90">
        <v>1.1063972468121759</v>
      </c>
      <c r="G8" s="90">
        <v>1.2729703080739692</v>
      </c>
      <c r="H8" s="90">
        <v>1.0874646985867749</v>
      </c>
      <c r="I8" s="90">
        <v>1.1181919620325058</v>
      </c>
      <c r="J8" s="90">
        <v>1.0711822959367812</v>
      </c>
      <c r="K8" s="90">
        <v>1</v>
      </c>
      <c r="L8" s="90">
        <v>1.0342997137554226</v>
      </c>
      <c r="M8" s="90">
        <v>1.2094294733465696</v>
      </c>
      <c r="N8" s="90">
        <v>1.1218991275485697</v>
      </c>
      <c r="O8" s="90">
        <v>0.9940202954557863</v>
      </c>
      <c r="P8">
        <f t="shared" si="0"/>
        <v>27</v>
      </c>
    </row>
    <row r="9" spans="1:16">
      <c r="B9" s="89" t="s">
        <v>155</v>
      </c>
      <c r="C9" s="90">
        <v>1.0196779827204996</v>
      </c>
      <c r="D9" s="90">
        <v>1.0038142775285848</v>
      </c>
      <c r="E9" s="90">
        <v>0.99806359708773273</v>
      </c>
      <c r="F9" s="90">
        <v>0.97173439901221825</v>
      </c>
      <c r="G9" s="90">
        <v>1.0690147551728522</v>
      </c>
      <c r="H9" s="90">
        <v>0.97899173970113818</v>
      </c>
      <c r="I9" s="90">
        <v>1.1374530707731321</v>
      </c>
      <c r="J9" s="90">
        <v>1.034978364729068</v>
      </c>
      <c r="K9" s="90">
        <v>1</v>
      </c>
      <c r="L9" s="90">
        <v>1.0175293442321953</v>
      </c>
      <c r="M9" s="90">
        <v>1.0879227972574466</v>
      </c>
      <c r="N9" s="90">
        <v>0.9802824989875637</v>
      </c>
      <c r="O9" s="90">
        <v>1.0346577895411759</v>
      </c>
      <c r="P9">
        <f t="shared" si="0"/>
        <v>7</v>
      </c>
    </row>
    <row r="10" spans="1:16">
      <c r="B10" s="89" t="s">
        <v>156</v>
      </c>
      <c r="C10" s="90">
        <v>0.9800638940838583</v>
      </c>
      <c r="D10" s="90">
        <v>0.9801107365374423</v>
      </c>
      <c r="E10" s="90">
        <v>0.99928254478719436</v>
      </c>
      <c r="F10" s="90">
        <v>0.93403085085123072</v>
      </c>
      <c r="G10" s="90">
        <v>0.94778419685409832</v>
      </c>
      <c r="H10" s="90">
        <v>0.99395027918040768</v>
      </c>
      <c r="I10" s="90">
        <v>0.95559921564451455</v>
      </c>
      <c r="J10" s="90">
        <v>1.011156675754036</v>
      </c>
      <c r="K10" s="90">
        <v>1</v>
      </c>
      <c r="L10" s="90">
        <v>0.98461928739102911</v>
      </c>
      <c r="M10" s="90">
        <v>0.99638647577836326</v>
      </c>
      <c r="N10" s="90">
        <v>0.96529252488433803</v>
      </c>
      <c r="O10" s="90">
        <v>0.9845817242925583</v>
      </c>
      <c r="P10">
        <f t="shared" si="0"/>
        <v>-5</v>
      </c>
    </row>
    <row r="11" spans="1:16">
      <c r="B11" s="89" t="s">
        <v>157</v>
      </c>
      <c r="C11" s="90">
        <v>1.0199157496080342</v>
      </c>
      <c r="D11" s="90">
        <v>1.0351906684518677</v>
      </c>
      <c r="E11" s="90">
        <v>0.99973431606257235</v>
      </c>
      <c r="F11" s="90">
        <v>0.95905759145864566</v>
      </c>
      <c r="G11" s="90">
        <v>1.026907538563026</v>
      </c>
      <c r="H11" s="90">
        <v>1.0105731639582249</v>
      </c>
      <c r="I11" s="90">
        <v>1.1328374650740054</v>
      </c>
      <c r="J11" s="90">
        <v>1.0219393993057926</v>
      </c>
      <c r="K11" s="90">
        <v>1</v>
      </c>
      <c r="L11" s="90">
        <v>1.0144922547689414</v>
      </c>
      <c r="M11" s="90">
        <v>1.1563323491225566</v>
      </c>
      <c r="N11" s="90">
        <v>0.93832944538965524</v>
      </c>
      <c r="O11" s="90">
        <v>1.0312492202486547</v>
      </c>
      <c r="P11">
        <f t="shared" si="0"/>
        <v>3</v>
      </c>
    </row>
    <row r="12" spans="1:16">
      <c r="B12" s="89" t="s">
        <v>158</v>
      </c>
      <c r="C12" s="90">
        <v>1.0414297941490578</v>
      </c>
      <c r="D12" s="90">
        <v>1.0499369848570004</v>
      </c>
      <c r="E12" s="90">
        <v>0.99970289338647245</v>
      </c>
      <c r="F12" s="90">
        <v>1.1008005019020837</v>
      </c>
      <c r="G12" s="90">
        <v>1.0431536391505243</v>
      </c>
      <c r="H12" s="90">
        <v>1.0391126849981178</v>
      </c>
      <c r="I12" s="90">
        <v>1.1249031092928998</v>
      </c>
      <c r="J12" s="90">
        <v>1.0157137216809409</v>
      </c>
      <c r="K12" s="90">
        <v>1</v>
      </c>
      <c r="L12" s="90">
        <v>1.034316167212662</v>
      </c>
      <c r="M12" s="90">
        <v>1.0376003383309562</v>
      </c>
      <c r="N12" s="90">
        <v>0.98118585541785153</v>
      </c>
      <c r="O12" s="90">
        <v>1.0746179522055286</v>
      </c>
      <c r="P12">
        <f t="shared" si="0"/>
        <v>4</v>
      </c>
    </row>
    <row r="13" spans="1:16">
      <c r="B13" s="89" t="s">
        <v>159</v>
      </c>
      <c r="C13" s="90">
        <v>1.066198625370371</v>
      </c>
      <c r="D13" s="90">
        <v>1.0021775528427663</v>
      </c>
      <c r="E13" s="90">
        <v>1.0002076415939063</v>
      </c>
      <c r="F13" s="90">
        <v>1.0270752346208869</v>
      </c>
      <c r="G13" s="90">
        <v>1.1965429613639635</v>
      </c>
      <c r="H13" s="90">
        <v>1.0509690069593673</v>
      </c>
      <c r="I13" s="90">
        <v>1.4526865206990842</v>
      </c>
      <c r="J13" s="90">
        <v>1.0647591340016949</v>
      </c>
      <c r="K13" s="90">
        <v>1</v>
      </c>
      <c r="L13" s="90">
        <v>0.98474608129057117</v>
      </c>
      <c r="M13" s="90">
        <v>1.1146533729794561</v>
      </c>
      <c r="N13" s="90">
        <v>1.1825109474559357</v>
      </c>
      <c r="O13" s="90">
        <v>0.9744944905362416</v>
      </c>
      <c r="P13">
        <f t="shared" si="0"/>
        <v>20</v>
      </c>
    </row>
    <row r="14" spans="1:16">
      <c r="B14" s="89" t="s">
        <v>160</v>
      </c>
      <c r="C14" s="90">
        <v>0.98997268599893129</v>
      </c>
      <c r="D14" s="90">
        <v>0.97839914707378606</v>
      </c>
      <c r="E14" s="90">
        <v>1.0005756409919397</v>
      </c>
      <c r="F14" s="90">
        <v>0.98822140528040547</v>
      </c>
      <c r="G14" s="90">
        <v>1.0163602050832192</v>
      </c>
      <c r="H14" s="90">
        <v>0.98400470216019331</v>
      </c>
      <c r="I14" s="90">
        <v>0.93290647481640443</v>
      </c>
      <c r="J14" s="90">
        <v>0.98572732237941252</v>
      </c>
      <c r="K14" s="90">
        <v>1</v>
      </c>
      <c r="L14" s="90">
        <v>0.99258145513927198</v>
      </c>
      <c r="M14" s="90">
        <v>0.90432794218623669</v>
      </c>
      <c r="N14" s="90">
        <v>0.94170487005407877</v>
      </c>
      <c r="O14" s="90">
        <v>0.95828953746003676</v>
      </c>
      <c r="P14">
        <f t="shared" si="0"/>
        <v>2</v>
      </c>
    </row>
    <row r="15" spans="1:16">
      <c r="B15" s="89" t="s">
        <v>161</v>
      </c>
      <c r="C15" s="90">
        <v>1.0125312313382633</v>
      </c>
      <c r="D15" s="90">
        <v>1.007294920784725</v>
      </c>
      <c r="E15" s="90">
        <v>0.99926245905835887</v>
      </c>
      <c r="F15" s="90">
        <v>1.0591562870623412</v>
      </c>
      <c r="G15" s="90">
        <v>0.96852410529226662</v>
      </c>
      <c r="H15" s="90">
        <v>1.042324756637409</v>
      </c>
      <c r="I15" s="90">
        <v>1.0578454171601248</v>
      </c>
      <c r="J15" s="90">
        <v>1.0226959886693157</v>
      </c>
      <c r="K15" s="90">
        <v>1</v>
      </c>
      <c r="L15" s="90">
        <v>1.0087820873585704</v>
      </c>
      <c r="M15" s="90">
        <v>1.0021090141065896</v>
      </c>
      <c r="N15" s="90">
        <v>1.0415928921018336</v>
      </c>
      <c r="O15" s="90">
        <v>1.0284517084578091</v>
      </c>
      <c r="P15">
        <f t="shared" si="0"/>
        <v>-3</v>
      </c>
    </row>
    <row r="16" spans="1:16">
      <c r="B16" s="89" t="s">
        <v>162</v>
      </c>
      <c r="C16" s="90">
        <v>1.0137970560805212</v>
      </c>
      <c r="D16" s="90">
        <v>0.9751277932534872</v>
      </c>
      <c r="E16" s="90">
        <v>0.99998915496243146</v>
      </c>
      <c r="F16" s="90">
        <v>1.0543697978196671</v>
      </c>
      <c r="G16" s="90">
        <v>1.0938840805132</v>
      </c>
      <c r="H16" s="90">
        <v>0.99557610358561432</v>
      </c>
      <c r="I16" s="90">
        <v>1.0566611184076349</v>
      </c>
      <c r="J16" s="90">
        <v>0.99820617198325867</v>
      </c>
      <c r="K16" s="90">
        <v>1</v>
      </c>
      <c r="L16" s="90">
        <v>0.99348391345973819</v>
      </c>
      <c r="M16" s="90">
        <v>1.019263562634847</v>
      </c>
      <c r="N16" s="90">
        <v>0.98231139002319623</v>
      </c>
      <c r="O16" s="90">
        <v>1.0033186981295552</v>
      </c>
      <c r="P16">
        <f t="shared" si="0"/>
        <v>9</v>
      </c>
    </row>
    <row r="17" spans="1:16">
      <c r="B17" s="89" t="s">
        <v>163</v>
      </c>
      <c r="C17" s="90">
        <v>0.94195279704836854</v>
      </c>
      <c r="D17" s="90">
        <v>0.95228128390462019</v>
      </c>
      <c r="E17" s="90">
        <v>1.0002367474880001</v>
      </c>
      <c r="F17" s="90">
        <v>0.92263070564379324</v>
      </c>
      <c r="G17" s="90">
        <v>0.91715308275013929</v>
      </c>
      <c r="H17" s="90">
        <v>0.89524879937947321</v>
      </c>
      <c r="I17" s="90">
        <v>0.89922965835358137</v>
      </c>
      <c r="J17" s="90">
        <v>0.94760646092876666</v>
      </c>
      <c r="K17" s="90">
        <v>1</v>
      </c>
      <c r="L17" s="90">
        <v>0.97791011465323363</v>
      </c>
      <c r="M17" s="90">
        <v>0.81350451760637665</v>
      </c>
      <c r="N17" s="90">
        <v>0.91725373585528513</v>
      </c>
      <c r="O17" s="90">
        <v>0.94820566448987298</v>
      </c>
      <c r="P17">
        <f t="shared" si="0"/>
        <v>-8</v>
      </c>
    </row>
    <row r="18" spans="1:16">
      <c r="B18" s="89" t="s">
        <v>164</v>
      </c>
      <c r="C18" s="90">
        <v>0.9559034946375714</v>
      </c>
      <c r="D18" s="90">
        <v>0.96726070710189793</v>
      </c>
      <c r="E18" s="90">
        <v>0.99940185205403476</v>
      </c>
      <c r="F18" s="90">
        <v>0.99769417816187456</v>
      </c>
      <c r="G18" s="90">
        <v>0.86281873462185599</v>
      </c>
      <c r="H18" s="90">
        <v>1.0016665728923508</v>
      </c>
      <c r="I18" s="90">
        <v>0.83473764787994498</v>
      </c>
      <c r="J18" s="90">
        <v>0.97360291550254563</v>
      </c>
      <c r="K18" s="90">
        <v>1</v>
      </c>
      <c r="L18" s="90">
        <v>0.96597408700147724</v>
      </c>
      <c r="M18" s="90">
        <v>0.804567921752669</v>
      </c>
      <c r="N18" s="90">
        <v>0.92986686313481615</v>
      </c>
      <c r="O18" s="90">
        <v>0.96569092524453248</v>
      </c>
      <c r="P18">
        <f t="shared" si="0"/>
        <v>-14</v>
      </c>
    </row>
    <row r="19" spans="1:16">
      <c r="B19" s="89" t="s">
        <v>165</v>
      </c>
      <c r="C19" s="90">
        <v>0.97151690108700739</v>
      </c>
      <c r="D19" s="90">
        <v>0.98461349629059169</v>
      </c>
      <c r="E19" s="90">
        <v>1.0002078450154246</v>
      </c>
      <c r="F19" s="90">
        <v>0.95639145103526735</v>
      </c>
      <c r="G19" s="90">
        <v>0.9075723704401103</v>
      </c>
      <c r="H19" s="90">
        <v>0.94633031061145312</v>
      </c>
      <c r="I19" s="90">
        <v>1.0162511927564726</v>
      </c>
      <c r="J19" s="90">
        <v>0.99905625853984548</v>
      </c>
      <c r="K19" s="90">
        <v>1</v>
      </c>
      <c r="L19" s="90">
        <v>1.0072609204612324</v>
      </c>
      <c r="M19" s="90">
        <v>0.95058865418807559</v>
      </c>
      <c r="N19" s="90">
        <v>1.0533028704948368</v>
      </c>
      <c r="O19" s="90">
        <v>0.99961936715587418</v>
      </c>
      <c r="P19">
        <f t="shared" si="0"/>
        <v>-9</v>
      </c>
    </row>
    <row r="20" spans="1:16">
      <c r="B20" s="89" t="s">
        <v>166</v>
      </c>
      <c r="C20" s="90">
        <v>0.99799714622590974</v>
      </c>
      <c r="D20" s="90">
        <v>1.0179957879820378</v>
      </c>
      <c r="E20" s="90">
        <v>1.0000867687186448</v>
      </c>
      <c r="F20" s="90">
        <v>0.99571163261116491</v>
      </c>
      <c r="G20" s="90">
        <v>0.95525499423073645</v>
      </c>
      <c r="H20" s="90">
        <v>0.99954078326400786</v>
      </c>
      <c r="I20" s="90">
        <v>0.95957377450305836</v>
      </c>
      <c r="J20" s="90">
        <v>1.0140128800647565</v>
      </c>
      <c r="K20" s="90">
        <v>1</v>
      </c>
      <c r="L20" s="90">
        <v>0.97820199621067172</v>
      </c>
      <c r="M20" s="90">
        <v>1.160516766078477</v>
      </c>
      <c r="N20" s="90">
        <v>1.0076574744844993</v>
      </c>
      <c r="O20" s="90">
        <v>0.99079837828901984</v>
      </c>
      <c r="P20">
        <f t="shared" si="0"/>
        <v>-4</v>
      </c>
    </row>
    <row r="21" spans="1:16">
      <c r="B21" s="89" t="s">
        <v>167</v>
      </c>
      <c r="C21" s="90">
        <v>0.98005602008987969</v>
      </c>
      <c r="D21" s="90">
        <v>0.97786485899609299</v>
      </c>
      <c r="E21" s="90">
        <v>0.99945160922811582</v>
      </c>
      <c r="F21" s="90">
        <v>1.0326043403593639</v>
      </c>
      <c r="G21" s="90">
        <v>0.93570939246428997</v>
      </c>
      <c r="H21" s="90">
        <v>0.97620629921673507</v>
      </c>
      <c r="I21" s="90">
        <v>0.92180035097074642</v>
      </c>
      <c r="J21" s="90">
        <v>0.99576048221349556</v>
      </c>
      <c r="K21" s="90">
        <v>1</v>
      </c>
      <c r="L21" s="90">
        <v>0.99724094535035268</v>
      </c>
      <c r="M21" s="90">
        <v>1.0438580269674076</v>
      </c>
      <c r="N21" s="90">
        <v>1.0321709946815736</v>
      </c>
      <c r="O21" s="90">
        <v>1.0000333822298861</v>
      </c>
      <c r="P21">
        <f t="shared" si="0"/>
        <v>-6</v>
      </c>
    </row>
    <row r="22" spans="1:16">
      <c r="B22" s="89" t="s">
        <v>168</v>
      </c>
      <c r="C22" s="90">
        <v>0.99212535626169407</v>
      </c>
      <c r="D22" s="90">
        <v>0.98411611110567843</v>
      </c>
      <c r="E22" s="90">
        <v>1.0001114553194945</v>
      </c>
      <c r="F22" s="90">
        <v>1.0349488078780928</v>
      </c>
      <c r="G22" s="90">
        <v>0.93947507697036514</v>
      </c>
      <c r="H22" s="90">
        <v>1.0370087448241279</v>
      </c>
      <c r="I22" s="90">
        <v>0.95336778213047613</v>
      </c>
      <c r="J22" s="90">
        <v>1.0042563961195241</v>
      </c>
      <c r="K22" s="90">
        <v>1</v>
      </c>
      <c r="L22" s="90">
        <v>1.0147618668609784</v>
      </c>
      <c r="M22" s="90">
        <v>0.92438813523896224</v>
      </c>
      <c r="N22" s="90">
        <v>0.97274154398012158</v>
      </c>
      <c r="O22" s="90">
        <v>1.0354528894380699</v>
      </c>
      <c r="P22">
        <f t="shared" si="0"/>
        <v>-6</v>
      </c>
    </row>
    <row r="23" spans="1:16">
      <c r="B23" s="89" t="s">
        <v>169</v>
      </c>
      <c r="C23" s="90">
        <v>1.0231618417420039</v>
      </c>
      <c r="D23" s="90">
        <v>1.0481303899214711</v>
      </c>
      <c r="E23" s="90">
        <v>1.0014471786964196</v>
      </c>
      <c r="F23" s="90">
        <v>1.0634999535013505</v>
      </c>
      <c r="G23" s="90">
        <v>1.0203475237414836</v>
      </c>
      <c r="H23" s="90">
        <v>1.0214308716677634</v>
      </c>
      <c r="I23" s="90">
        <v>1.0233606045140173</v>
      </c>
      <c r="J23" s="90">
        <v>0.98107031087286134</v>
      </c>
      <c r="K23" s="90">
        <v>1</v>
      </c>
      <c r="L23" s="90">
        <v>1.0229322426948917</v>
      </c>
      <c r="M23" s="90">
        <v>1.1395429179453693</v>
      </c>
      <c r="N23" s="90">
        <v>1.0808303656724496</v>
      </c>
      <c r="O23" s="90">
        <v>1.0309953109279864</v>
      </c>
      <c r="P23">
        <f t="shared" si="0"/>
        <v>2</v>
      </c>
    </row>
    <row r="24" spans="1:16">
      <c r="B24" s="89" t="s">
        <v>170</v>
      </c>
      <c r="C24" s="90">
        <v>0.98227494012905647</v>
      </c>
      <c r="D24" s="90">
        <v>0.98179729958492568</v>
      </c>
      <c r="E24" s="90">
        <v>1.001209681874355</v>
      </c>
      <c r="F24" s="90">
        <v>1.016887280661027</v>
      </c>
      <c r="G24" s="90">
        <v>0.89739280278771039</v>
      </c>
      <c r="H24" s="90">
        <v>1.0285462788832243</v>
      </c>
      <c r="I24" s="90">
        <v>0.938572306460149</v>
      </c>
      <c r="J24" s="90">
        <v>1.007626557094865</v>
      </c>
      <c r="K24" s="90">
        <v>1</v>
      </c>
      <c r="L24" s="90">
        <v>1.0090313928186063</v>
      </c>
      <c r="M24" s="90">
        <v>1.0300380407752572</v>
      </c>
      <c r="N24" s="90">
        <v>1.0503778324063839</v>
      </c>
      <c r="O24" s="90">
        <v>0.99348899052877715</v>
      </c>
      <c r="P24">
        <f t="shared" si="0"/>
        <v>-10</v>
      </c>
    </row>
    <row r="25" spans="1:16">
      <c r="B25" s="89" t="s">
        <v>171</v>
      </c>
      <c r="C25" s="90">
        <v>0.93492799099944568</v>
      </c>
      <c r="D25" s="90">
        <v>0.96490772471594644</v>
      </c>
      <c r="E25" s="90">
        <v>1.0008829829753041</v>
      </c>
      <c r="F25" s="90">
        <v>0.84139717568463046</v>
      </c>
      <c r="G25" s="90">
        <v>0.88156161803135791</v>
      </c>
      <c r="H25" s="90">
        <v>0.94266912060673103</v>
      </c>
      <c r="I25" s="90">
        <v>0.75679826136790351</v>
      </c>
      <c r="J25" s="90">
        <v>0.94920103924072119</v>
      </c>
      <c r="K25" s="90">
        <v>1</v>
      </c>
      <c r="L25" s="90">
        <v>0.97065123099713047</v>
      </c>
      <c r="M25" s="90">
        <v>0.84630016341991177</v>
      </c>
      <c r="N25" s="90">
        <v>0.93179134582990319</v>
      </c>
      <c r="O25" s="90">
        <v>0.91143752960277913</v>
      </c>
      <c r="P25">
        <f t="shared" si="0"/>
        <v>-12</v>
      </c>
    </row>
    <row r="26" spans="1:16">
      <c r="B26" s="89" t="s">
        <v>172</v>
      </c>
      <c r="C26" s="90">
        <v>0.97508052368661613</v>
      </c>
      <c r="D26" s="90">
        <v>1.0033430416063349</v>
      </c>
      <c r="E26" s="90">
        <v>1.0000488355420152</v>
      </c>
      <c r="F26" s="90">
        <v>0.9795700483802926</v>
      </c>
      <c r="G26" s="90">
        <v>0.89849635233089775</v>
      </c>
      <c r="H26" s="90">
        <v>0.98945163647863499</v>
      </c>
      <c r="I26" s="90">
        <v>0.8315764297759759</v>
      </c>
      <c r="J26" s="90">
        <v>0.99750074809141609</v>
      </c>
      <c r="K26" s="90">
        <v>1</v>
      </c>
      <c r="L26" s="90">
        <v>0.98741118916331128</v>
      </c>
      <c r="M26" s="90">
        <v>0.86610546941920252</v>
      </c>
      <c r="N26" s="90">
        <v>0.94464907579258128</v>
      </c>
      <c r="O26" s="90">
        <v>1.0005539241032297</v>
      </c>
      <c r="P26">
        <f t="shared" si="0"/>
        <v>-10</v>
      </c>
    </row>
    <row r="27" spans="1:16">
      <c r="B27" s="89" t="s">
        <v>173</v>
      </c>
      <c r="C27" s="90">
        <v>0.95185624011426595</v>
      </c>
      <c r="D27" s="90">
        <v>0.9794969558790837</v>
      </c>
      <c r="E27" s="90">
        <v>1.0011648909523021</v>
      </c>
      <c r="F27" s="90">
        <v>0.91164407949938508</v>
      </c>
      <c r="G27" s="90">
        <v>0.87776750478437782</v>
      </c>
      <c r="H27" s="90">
        <v>0.99384318711700703</v>
      </c>
      <c r="I27" s="90">
        <v>0.79428325204197037</v>
      </c>
      <c r="J27" s="90">
        <v>0.95471100244484286</v>
      </c>
      <c r="K27" s="90">
        <v>1</v>
      </c>
      <c r="L27" s="90">
        <v>0.98883327645872343</v>
      </c>
      <c r="M27" s="90">
        <v>0.85060971993545575</v>
      </c>
      <c r="N27" s="90">
        <v>1.0031151347971534</v>
      </c>
      <c r="O27" s="90">
        <v>0.98822501983765931</v>
      </c>
      <c r="P27">
        <f t="shared" si="0"/>
        <v>-12</v>
      </c>
    </row>
    <row r="28" spans="1:16">
      <c r="B28" s="89" t="s">
        <v>174</v>
      </c>
      <c r="C28" s="90">
        <v>0.97635137107931724</v>
      </c>
      <c r="D28" s="90">
        <v>0.96286279606753722</v>
      </c>
      <c r="E28" s="90">
        <v>0.99964849230494579</v>
      </c>
      <c r="F28" s="90">
        <v>0.95546733796477312</v>
      </c>
      <c r="G28" s="90">
        <v>1.0056757471533393</v>
      </c>
      <c r="H28" s="90">
        <v>0.95875414173737061</v>
      </c>
      <c r="I28" s="90">
        <v>0.92374425202583543</v>
      </c>
      <c r="J28" s="90">
        <v>0.98427667166051436</v>
      </c>
      <c r="K28" s="90">
        <v>1</v>
      </c>
      <c r="L28" s="90">
        <v>0.95768838062989792</v>
      </c>
      <c r="M28" s="90">
        <v>0.86537393543970542</v>
      </c>
      <c r="N28" s="90">
        <v>0.95033772430077557</v>
      </c>
      <c r="O28" s="90">
        <v>0.94930774463147438</v>
      </c>
      <c r="P28">
        <f t="shared" si="0"/>
        <v>1</v>
      </c>
    </row>
    <row r="29" spans="1:16">
      <c r="B29" s="89" t="s">
        <v>175</v>
      </c>
      <c r="C29" s="90">
        <v>0.95880123416967311</v>
      </c>
      <c r="D29" s="90">
        <v>0.94914995104404343</v>
      </c>
      <c r="E29" s="90">
        <v>1.0019112514090434</v>
      </c>
      <c r="F29" s="90">
        <v>1.0493288275929884</v>
      </c>
      <c r="G29" s="90">
        <v>0.9384099753940639</v>
      </c>
      <c r="H29" s="90">
        <v>0.96228695733365766</v>
      </c>
      <c r="I29" s="90">
        <v>0.83548393364977902</v>
      </c>
      <c r="J29" s="90">
        <v>0.93502651368337841</v>
      </c>
      <c r="K29" s="90">
        <v>1</v>
      </c>
      <c r="L29" s="90">
        <v>0.97711392162461708</v>
      </c>
      <c r="M29" s="90">
        <v>0.76895705904148703</v>
      </c>
      <c r="N29" s="90">
        <v>0.96376293550600489</v>
      </c>
      <c r="O29" s="90">
        <v>0.96707314762214391</v>
      </c>
      <c r="P29">
        <f t="shared" si="0"/>
        <v>-6</v>
      </c>
    </row>
    <row r="30" spans="1:16">
      <c r="B30" s="89" t="s">
        <v>176</v>
      </c>
      <c r="C30" s="90">
        <v>0.93607723529617826</v>
      </c>
      <c r="D30" s="90">
        <v>0.95969210232400604</v>
      </c>
      <c r="E30" s="90">
        <v>1.0010706398135945</v>
      </c>
      <c r="F30" s="90">
        <v>0.94140515754693288</v>
      </c>
      <c r="G30" s="90">
        <v>0.84539759488129496</v>
      </c>
      <c r="H30" s="90">
        <v>0.99335744662543846</v>
      </c>
      <c r="I30" s="90">
        <v>0.73839547633883607</v>
      </c>
      <c r="J30" s="90">
        <v>0.9356223235457034</v>
      </c>
      <c r="K30" s="90">
        <v>1</v>
      </c>
      <c r="L30" s="90">
        <v>0.94873901308732078</v>
      </c>
      <c r="M30" s="90">
        <v>0.798179890309617</v>
      </c>
      <c r="N30" s="90">
        <v>0.94127046619557864</v>
      </c>
      <c r="O30" s="90">
        <v>0.94545241517096457</v>
      </c>
      <c r="P30">
        <f t="shared" si="0"/>
        <v>-15</v>
      </c>
    </row>
    <row r="31" spans="1:16" hidden="1">
      <c r="A31" s="54">
        <v>2012</v>
      </c>
      <c r="B31" s="17" t="s">
        <v>1071</v>
      </c>
      <c r="C31" s="88">
        <v>1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  <c r="I31" s="88">
        <v>1</v>
      </c>
      <c r="J31" s="88">
        <v>1</v>
      </c>
      <c r="K31" s="88">
        <v>1</v>
      </c>
      <c r="L31" s="88">
        <v>1</v>
      </c>
      <c r="M31" s="88">
        <v>1</v>
      </c>
      <c r="N31" s="88">
        <v>1</v>
      </c>
      <c r="O31" s="88">
        <v>1</v>
      </c>
      <c r="P31">
        <f t="shared" si="0"/>
        <v>0</v>
      </c>
    </row>
    <row r="32" spans="1:16" hidden="1">
      <c r="A32" s="55"/>
      <c r="B32" s="89" t="s">
        <v>151</v>
      </c>
      <c r="C32" s="90">
        <v>1.1309304755551461</v>
      </c>
      <c r="D32" s="90">
        <v>1.0796759707535419</v>
      </c>
      <c r="E32" s="90">
        <v>1.0007121453568819</v>
      </c>
      <c r="F32" s="90">
        <v>1.0656983652511427</v>
      </c>
      <c r="G32" s="90">
        <v>1.484853943820766</v>
      </c>
      <c r="H32" s="90">
        <v>1.0408113257969769</v>
      </c>
      <c r="I32" s="90">
        <v>1.1058593292198524</v>
      </c>
      <c r="J32" s="90">
        <v>1.0432980139848826</v>
      </c>
      <c r="K32" s="90">
        <v>1</v>
      </c>
      <c r="L32" s="90">
        <v>1.0886581108781734</v>
      </c>
      <c r="M32" s="90">
        <v>1.661227093978789</v>
      </c>
      <c r="N32" s="90">
        <v>1.1558125922619613</v>
      </c>
      <c r="O32" s="90">
        <v>1.0965804587641312</v>
      </c>
      <c r="P32">
        <f t="shared" si="0"/>
        <v>48</v>
      </c>
    </row>
    <row r="33" spans="2:16" hidden="1">
      <c r="B33" s="89" t="s">
        <v>152</v>
      </c>
      <c r="C33" s="90">
        <v>1.0320396013635127</v>
      </c>
      <c r="D33" s="90">
        <v>1.0764783178988544</v>
      </c>
      <c r="E33" s="90">
        <v>0.99779032057161898</v>
      </c>
      <c r="F33" s="90">
        <v>1.0031601909046028</v>
      </c>
      <c r="G33" s="90">
        <v>1.0094602575904972</v>
      </c>
      <c r="H33" s="90">
        <v>1.0129255234740715</v>
      </c>
      <c r="I33" s="90">
        <v>1.0868168700460876</v>
      </c>
      <c r="J33" s="90">
        <v>1.0286844247570557</v>
      </c>
      <c r="K33" s="90">
        <v>1</v>
      </c>
      <c r="L33" s="90">
        <v>1.0116549231992671</v>
      </c>
      <c r="M33" s="90">
        <v>1.3001405168027729</v>
      </c>
      <c r="N33" s="90">
        <v>0.93395427723235291</v>
      </c>
      <c r="O33" s="90">
        <v>1.0378711897675525</v>
      </c>
      <c r="P33">
        <f t="shared" si="0"/>
        <v>1</v>
      </c>
    </row>
    <row r="34" spans="2:16" hidden="1">
      <c r="B34" s="89" t="s">
        <v>153</v>
      </c>
      <c r="C34" s="90">
        <v>1.01785105215887</v>
      </c>
      <c r="D34" s="90">
        <v>1.0502648521195865</v>
      </c>
      <c r="E34" s="90">
        <v>0.99791677505178777</v>
      </c>
      <c r="F34" s="90">
        <v>1.0115245718054695</v>
      </c>
      <c r="G34" s="90">
        <v>0.99418956884868404</v>
      </c>
      <c r="H34" s="90">
        <v>0.99570745545660899</v>
      </c>
      <c r="I34" s="90">
        <v>1.0624484664662657</v>
      </c>
      <c r="J34" s="90">
        <v>1.0044039483523657</v>
      </c>
      <c r="K34" s="90">
        <v>1</v>
      </c>
      <c r="L34" s="90">
        <v>1.1001570027458318</v>
      </c>
      <c r="M34" s="90">
        <v>1.0263394250629914</v>
      </c>
      <c r="N34" s="90">
        <v>1.0001233495394697</v>
      </c>
      <c r="O34" s="90">
        <v>1.03428912457786</v>
      </c>
      <c r="P34">
        <f t="shared" si="0"/>
        <v>-1</v>
      </c>
    </row>
    <row r="35" spans="2:16" hidden="1">
      <c r="B35" s="89" t="s">
        <v>154</v>
      </c>
      <c r="C35" s="90">
        <v>1.057110692137488</v>
      </c>
      <c r="D35" s="90">
        <v>1.018678076923859</v>
      </c>
      <c r="E35" s="90">
        <v>1.0005894600694425</v>
      </c>
      <c r="F35" s="90">
        <v>1.031059854226213</v>
      </c>
      <c r="G35" s="90">
        <v>1.213760675993282</v>
      </c>
      <c r="H35" s="90">
        <v>1.0238613387149307</v>
      </c>
      <c r="I35" s="90">
        <v>1.091991311135563</v>
      </c>
      <c r="J35" s="90">
        <v>1.0405318135244286</v>
      </c>
      <c r="K35" s="90">
        <v>1</v>
      </c>
      <c r="L35" s="90">
        <v>0.95970811328306893</v>
      </c>
      <c r="M35" s="90">
        <v>1.250288067032165</v>
      </c>
      <c r="N35" s="90">
        <v>1.1250720967377108</v>
      </c>
      <c r="O35" s="90">
        <v>0.99395489883125099</v>
      </c>
      <c r="P35">
        <f t="shared" si="0"/>
        <v>21</v>
      </c>
    </row>
    <row r="36" spans="2:16" hidden="1">
      <c r="B36" s="89" t="s">
        <v>155</v>
      </c>
      <c r="C36" s="90">
        <v>1.0116482699865514</v>
      </c>
      <c r="D36" s="90">
        <v>1.0186139240788288</v>
      </c>
      <c r="E36" s="90">
        <v>1.0001264072436515</v>
      </c>
      <c r="F36" s="90">
        <v>1.0600392587922742</v>
      </c>
      <c r="G36" s="90">
        <v>0.99403385700645597</v>
      </c>
      <c r="H36" s="90">
        <v>0.96065237236600398</v>
      </c>
      <c r="I36" s="90">
        <v>1.0767804591588377</v>
      </c>
      <c r="J36" s="90">
        <v>1.0222575382661074</v>
      </c>
      <c r="K36" s="90">
        <v>1</v>
      </c>
      <c r="L36" s="90">
        <v>0.99963829580478281</v>
      </c>
      <c r="M36" s="90">
        <v>1.0877501239375931</v>
      </c>
      <c r="N36" s="90">
        <v>0.97353882466024966</v>
      </c>
      <c r="O36" s="90">
        <v>1.0433261479416096</v>
      </c>
      <c r="P36">
        <f t="shared" si="0"/>
        <v>-1</v>
      </c>
    </row>
    <row r="37" spans="2:16" hidden="1">
      <c r="B37" s="89" t="s">
        <v>156</v>
      </c>
      <c r="C37" s="90">
        <v>0.97883454992755115</v>
      </c>
      <c r="D37" s="90">
        <v>0.97553321575122864</v>
      </c>
      <c r="E37" s="90">
        <v>0.99909920166606925</v>
      </c>
      <c r="F37" s="90">
        <v>0.99357093150897724</v>
      </c>
      <c r="G37" s="90">
        <v>0.93533751843741764</v>
      </c>
      <c r="H37" s="90">
        <v>1.0230595552186623</v>
      </c>
      <c r="I37" s="90">
        <v>1.0058431976029496</v>
      </c>
      <c r="J37" s="90">
        <v>0.9849919137138472</v>
      </c>
      <c r="K37" s="90">
        <v>1</v>
      </c>
      <c r="L37" s="90">
        <v>0.96405248570329449</v>
      </c>
      <c r="M37" s="90">
        <v>0.95155484804500079</v>
      </c>
      <c r="N37" s="90">
        <v>0.9882087717311776</v>
      </c>
      <c r="O37" s="90">
        <v>0.97563391627463181</v>
      </c>
      <c r="P37">
        <f t="shared" si="0"/>
        <v>-6</v>
      </c>
    </row>
    <row r="38" spans="2:16" hidden="1">
      <c r="B38" s="89" t="s">
        <v>157</v>
      </c>
      <c r="C38" s="90">
        <v>1.0083987594241892</v>
      </c>
      <c r="D38" s="90">
        <v>1.0143613510909357</v>
      </c>
      <c r="E38" s="90">
        <v>0.99962926232906757</v>
      </c>
      <c r="F38" s="90">
        <v>0.9652257542912378</v>
      </c>
      <c r="G38" s="90">
        <v>1.0209905409351401</v>
      </c>
      <c r="H38" s="90">
        <v>1.0180471309082408</v>
      </c>
      <c r="I38" s="90">
        <v>1.0598168450696441</v>
      </c>
      <c r="J38" s="90">
        <v>1.0010393602753682</v>
      </c>
      <c r="K38" s="90">
        <v>1</v>
      </c>
      <c r="L38" s="90">
        <v>0.99847599805003906</v>
      </c>
      <c r="M38" s="90">
        <v>1.2051842354350648</v>
      </c>
      <c r="N38" s="90">
        <v>0.98202273279050911</v>
      </c>
      <c r="O38" s="90">
        <v>0.9887329148248728</v>
      </c>
      <c r="P38">
        <f t="shared" si="0"/>
        <v>2</v>
      </c>
    </row>
    <row r="39" spans="2:16" hidden="1">
      <c r="B39" s="89" t="s">
        <v>158</v>
      </c>
      <c r="C39" s="90">
        <v>1.0370970555989478</v>
      </c>
      <c r="D39" s="90">
        <v>1.0331917524525531</v>
      </c>
      <c r="E39" s="90">
        <v>0.99954787480401375</v>
      </c>
      <c r="F39" s="90">
        <v>1.0651093812895129</v>
      </c>
      <c r="G39" s="90">
        <v>1.0562705439937998</v>
      </c>
      <c r="H39" s="90">
        <v>1.0337361710497843</v>
      </c>
      <c r="I39" s="90">
        <v>1.0723687241327602</v>
      </c>
      <c r="J39" s="90">
        <v>1.0293555320476246</v>
      </c>
      <c r="K39" s="90">
        <v>1</v>
      </c>
      <c r="L39" s="90">
        <v>1.0628192550814977</v>
      </c>
      <c r="M39" s="90">
        <v>1.0975701486768563</v>
      </c>
      <c r="N39" s="90">
        <v>0.98406400801785987</v>
      </c>
      <c r="O39" s="90">
        <v>1.0825770290415553</v>
      </c>
      <c r="P39">
        <f t="shared" si="0"/>
        <v>6</v>
      </c>
    </row>
    <row r="40" spans="2:16" hidden="1">
      <c r="B40" s="89" t="s">
        <v>159</v>
      </c>
      <c r="C40" s="90">
        <v>1.0578386330688083</v>
      </c>
      <c r="D40" s="90">
        <v>0.99751117665554512</v>
      </c>
      <c r="E40" s="90">
        <v>1.0000045395120756</v>
      </c>
      <c r="F40" s="90">
        <v>1.0685155240872737</v>
      </c>
      <c r="G40" s="90">
        <v>1.1549156791935975</v>
      </c>
      <c r="H40" s="90">
        <v>1.0943440297830784</v>
      </c>
      <c r="I40" s="90">
        <v>1.1702977415213138</v>
      </c>
      <c r="J40" s="90">
        <v>1.0626767995415336</v>
      </c>
      <c r="K40" s="90">
        <v>1</v>
      </c>
      <c r="L40" s="90">
        <v>1.0280542975827287</v>
      </c>
      <c r="M40" s="90">
        <v>1.144711172141468</v>
      </c>
      <c r="N40" s="90">
        <v>1.1722132480310052</v>
      </c>
      <c r="O40" s="90">
        <v>1.0022592337346363</v>
      </c>
      <c r="P40">
        <f t="shared" si="0"/>
        <v>15</v>
      </c>
    </row>
    <row r="41" spans="2:16" hidden="1">
      <c r="B41" s="89" t="s">
        <v>160</v>
      </c>
      <c r="C41" s="90">
        <v>0.96809316830996228</v>
      </c>
      <c r="D41" s="90">
        <v>0.95134788581185614</v>
      </c>
      <c r="E41" s="90">
        <v>1.0004541872570258</v>
      </c>
      <c r="F41" s="90">
        <v>1.0000914663660787</v>
      </c>
      <c r="G41" s="90">
        <v>0.95956578685286487</v>
      </c>
      <c r="H41" s="90">
        <v>0.96335490303426463</v>
      </c>
      <c r="I41" s="90">
        <v>0.95514018703178916</v>
      </c>
      <c r="J41" s="90">
        <v>0.97526240268428532</v>
      </c>
      <c r="K41" s="90">
        <v>1</v>
      </c>
      <c r="L41" s="90">
        <v>0.94969283259338022</v>
      </c>
      <c r="M41" s="90">
        <v>0.82094311069206105</v>
      </c>
      <c r="N41" s="90">
        <v>0.91235582867255449</v>
      </c>
      <c r="O41" s="90">
        <v>0.94998574763418409</v>
      </c>
      <c r="P41">
        <f t="shared" si="0"/>
        <v>-4</v>
      </c>
    </row>
    <row r="42" spans="2:16" hidden="1">
      <c r="B42" s="89" t="s">
        <v>161</v>
      </c>
      <c r="C42" s="90">
        <v>1.0207729590540866</v>
      </c>
      <c r="D42" s="90">
        <v>1.0232750408446181</v>
      </c>
      <c r="E42" s="90">
        <v>0.99922096128090621</v>
      </c>
      <c r="F42" s="90">
        <v>1.0383840175381409</v>
      </c>
      <c r="G42" s="90">
        <v>0.99932962389674851</v>
      </c>
      <c r="H42" s="90">
        <v>1.0262800905706477</v>
      </c>
      <c r="I42" s="90">
        <v>1.0298279174027234</v>
      </c>
      <c r="J42" s="90">
        <v>1.0360505350746576</v>
      </c>
      <c r="K42" s="90">
        <v>1</v>
      </c>
      <c r="L42" s="90">
        <v>1.0345310595845854</v>
      </c>
      <c r="M42" s="90">
        <v>1.201453436375296</v>
      </c>
      <c r="N42" s="90">
        <v>0.97802654382962506</v>
      </c>
      <c r="O42" s="90">
        <v>1.0398375934667645</v>
      </c>
      <c r="P42">
        <f t="shared" si="0"/>
        <v>0</v>
      </c>
    </row>
    <row r="43" spans="2:16" hidden="1">
      <c r="B43" s="89" t="s">
        <v>162</v>
      </c>
      <c r="C43" s="90">
        <v>1.005031454507149</v>
      </c>
      <c r="D43" s="90">
        <v>0.97735333851522255</v>
      </c>
      <c r="E43" s="90">
        <v>0.99991638613628486</v>
      </c>
      <c r="F43" s="90">
        <v>1.0321272193513864</v>
      </c>
      <c r="G43" s="90">
        <v>1.0460119715654206</v>
      </c>
      <c r="H43" s="90">
        <v>0.96820580571209258</v>
      </c>
      <c r="I43" s="90">
        <v>1.0542727991810061</v>
      </c>
      <c r="J43" s="90">
        <v>1.0138094581292845</v>
      </c>
      <c r="K43" s="90">
        <v>1</v>
      </c>
      <c r="L43" s="90">
        <v>1.0117800822112539</v>
      </c>
      <c r="M43" s="90">
        <v>0.96325266528309617</v>
      </c>
      <c r="N43" s="90">
        <v>0.96266101315390262</v>
      </c>
      <c r="O43" s="90">
        <v>0.99233964774501937</v>
      </c>
      <c r="P43">
        <f t="shared" si="0"/>
        <v>5</v>
      </c>
    </row>
    <row r="44" spans="2:16" hidden="1">
      <c r="B44" s="89" t="s">
        <v>163</v>
      </c>
      <c r="C44" s="90">
        <v>0.96334460094925622</v>
      </c>
      <c r="D44" s="90">
        <v>0.95439226026960777</v>
      </c>
      <c r="E44" s="90">
        <v>1.0000507420514517</v>
      </c>
      <c r="F44" s="90">
        <v>0.96782944844529895</v>
      </c>
      <c r="G44" s="90">
        <v>0.92878571314268465</v>
      </c>
      <c r="H44" s="90">
        <v>0.98277404687339365</v>
      </c>
      <c r="I44" s="90">
        <v>0.93469651507702944</v>
      </c>
      <c r="J44" s="90">
        <v>0.98040128737200372</v>
      </c>
      <c r="K44" s="90">
        <v>1</v>
      </c>
      <c r="L44" s="90">
        <v>0.95544696188051048</v>
      </c>
      <c r="M44" s="90">
        <v>0.81959610324894139</v>
      </c>
      <c r="N44" s="90">
        <v>0.97920751845037501</v>
      </c>
      <c r="O44" s="90">
        <v>0.94168307624361336</v>
      </c>
      <c r="P44">
        <f t="shared" si="0"/>
        <v>-7</v>
      </c>
    </row>
    <row r="45" spans="2:16" hidden="1">
      <c r="B45" s="89" t="s">
        <v>164</v>
      </c>
      <c r="C45" s="90">
        <v>0.96473865714412443</v>
      </c>
      <c r="D45" s="90">
        <v>0.96267857481208752</v>
      </c>
      <c r="E45" s="90">
        <v>0.99994005938715302</v>
      </c>
      <c r="F45" s="90">
        <v>0.96657640443689474</v>
      </c>
      <c r="G45" s="90">
        <v>0.91367863434051022</v>
      </c>
      <c r="H45" s="90">
        <v>1.0049040513686913</v>
      </c>
      <c r="I45" s="90">
        <v>0.90194372153783997</v>
      </c>
      <c r="J45" s="90">
        <v>0.98445522940411612</v>
      </c>
      <c r="K45" s="90">
        <v>1</v>
      </c>
      <c r="L45" s="90">
        <v>0.96738143529360299</v>
      </c>
      <c r="M45" s="90">
        <v>0.74399757439562653</v>
      </c>
      <c r="N45" s="90">
        <v>0.93937836222971383</v>
      </c>
      <c r="O45" s="90">
        <v>0.97305217229207264</v>
      </c>
      <c r="P45">
        <f t="shared" si="0"/>
        <v>-9</v>
      </c>
    </row>
    <row r="46" spans="2:16" hidden="1">
      <c r="B46" s="89" t="s">
        <v>165</v>
      </c>
      <c r="C46" s="90">
        <v>0.97307280721236877</v>
      </c>
      <c r="D46" s="90">
        <v>0.96732876639786836</v>
      </c>
      <c r="E46" s="90">
        <v>0.99998771075338144</v>
      </c>
      <c r="F46" s="90">
        <v>1.015447959456165</v>
      </c>
      <c r="G46" s="90">
        <v>0.93225255738107615</v>
      </c>
      <c r="H46" s="90">
        <v>0.95890846402637075</v>
      </c>
      <c r="I46" s="90">
        <v>0.96894791433874516</v>
      </c>
      <c r="J46" s="90">
        <v>0.99234960380007564</v>
      </c>
      <c r="K46" s="90">
        <v>1</v>
      </c>
      <c r="L46" s="90">
        <v>0.98193348489966481</v>
      </c>
      <c r="M46" s="90">
        <v>0.870942223104747</v>
      </c>
      <c r="N46" s="90">
        <v>1.0110844928038203</v>
      </c>
      <c r="O46" s="90">
        <v>0.97531829651418667</v>
      </c>
      <c r="P46">
        <f t="shared" si="0"/>
        <v>-7</v>
      </c>
    </row>
    <row r="47" spans="2:16" hidden="1">
      <c r="B47" s="89" t="s">
        <v>166</v>
      </c>
      <c r="C47" s="90">
        <v>0.9899566450218551</v>
      </c>
      <c r="D47" s="90">
        <v>1.0299181820678742</v>
      </c>
      <c r="E47" s="90">
        <v>0.99920545611378475</v>
      </c>
      <c r="F47" s="90">
        <v>0.86435036935418719</v>
      </c>
      <c r="G47" s="90">
        <v>0.96277648669176974</v>
      </c>
      <c r="H47" s="90">
        <v>0.96863741117776836</v>
      </c>
      <c r="I47" s="90">
        <v>1.0067622920615875</v>
      </c>
      <c r="J47" s="90">
        <v>1.0030803128794956</v>
      </c>
      <c r="K47" s="90">
        <v>1</v>
      </c>
      <c r="L47" s="90">
        <v>1.0145233527133559</v>
      </c>
      <c r="M47" s="90">
        <v>1.1271367978991409</v>
      </c>
      <c r="N47" s="90">
        <v>1.0050944186027415</v>
      </c>
      <c r="O47" s="90">
        <v>0.98777303987684262</v>
      </c>
      <c r="P47">
        <f t="shared" si="0"/>
        <v>-4</v>
      </c>
    </row>
    <row r="48" spans="2:16" hidden="1">
      <c r="B48" s="89" t="s">
        <v>167</v>
      </c>
      <c r="C48" s="90">
        <v>0.98065727843391526</v>
      </c>
      <c r="D48" s="90">
        <v>0.98131965995814963</v>
      </c>
      <c r="E48" s="90">
        <v>0.9988958502215991</v>
      </c>
      <c r="F48" s="90">
        <v>0.95578727650871553</v>
      </c>
      <c r="G48" s="90">
        <v>0.97246317403364146</v>
      </c>
      <c r="H48" s="90">
        <v>0.96212095557978961</v>
      </c>
      <c r="I48" s="90">
        <v>0.87457102788357433</v>
      </c>
      <c r="J48" s="90">
        <v>1.0124279774670228</v>
      </c>
      <c r="K48" s="90">
        <v>1</v>
      </c>
      <c r="L48" s="90">
        <v>0.94814331495144033</v>
      </c>
      <c r="M48" s="90">
        <v>1.1271429291074895</v>
      </c>
      <c r="N48" s="90">
        <v>1.0115681001807715</v>
      </c>
      <c r="O48" s="90">
        <v>0.94073770196290762</v>
      </c>
      <c r="P48">
        <f t="shared" si="0"/>
        <v>-3</v>
      </c>
    </row>
    <row r="49" spans="1:16" hidden="1">
      <c r="B49" s="89" t="s">
        <v>168</v>
      </c>
      <c r="C49" s="90">
        <v>0.9766307731148588</v>
      </c>
      <c r="D49" s="90">
        <v>0.96977894762790084</v>
      </c>
      <c r="E49" s="90">
        <v>0.99927570677034927</v>
      </c>
      <c r="F49" s="90">
        <v>0.99877377244079169</v>
      </c>
      <c r="G49" s="90">
        <v>0.93798790182881409</v>
      </c>
      <c r="H49" s="90">
        <v>0.98417306381627701</v>
      </c>
      <c r="I49" s="90">
        <v>0.9408577116992527</v>
      </c>
      <c r="J49" s="90">
        <v>0.99908444895929693</v>
      </c>
      <c r="K49" s="90">
        <v>1</v>
      </c>
      <c r="L49" s="90">
        <v>0.99823701167890488</v>
      </c>
      <c r="M49" s="90">
        <v>0.89847107512679825</v>
      </c>
      <c r="N49" s="90">
        <v>0.94547225131090062</v>
      </c>
      <c r="O49" s="90">
        <v>0.99304277642994709</v>
      </c>
      <c r="P49">
        <f t="shared" si="0"/>
        <v>-6</v>
      </c>
    </row>
    <row r="50" spans="1:16" hidden="1">
      <c r="B50" s="89" t="s">
        <v>169</v>
      </c>
      <c r="C50" s="90">
        <v>1.0308083937387822</v>
      </c>
      <c r="D50" s="90">
        <v>1.0663744593034186</v>
      </c>
      <c r="E50" s="90">
        <v>1.0002118987568254</v>
      </c>
      <c r="F50" s="90">
        <v>1.0742916057224396</v>
      </c>
      <c r="G50" s="90">
        <v>1.0069955435567499</v>
      </c>
      <c r="H50" s="90">
        <v>1.0205971515646373</v>
      </c>
      <c r="I50" s="90">
        <v>1.0064356434443329</v>
      </c>
      <c r="J50" s="90">
        <v>1.002743114557668</v>
      </c>
      <c r="K50" s="90">
        <v>1</v>
      </c>
      <c r="L50" s="90">
        <v>1.0725598322620173</v>
      </c>
      <c r="M50" s="90">
        <v>0.98712420381565236</v>
      </c>
      <c r="N50" s="90">
        <v>1.0194626062182701</v>
      </c>
      <c r="O50" s="90">
        <v>1.000304553564096</v>
      </c>
      <c r="P50">
        <f t="shared" si="0"/>
        <v>1</v>
      </c>
    </row>
    <row r="51" spans="1:16" hidden="1">
      <c r="B51" s="89" t="s">
        <v>170</v>
      </c>
      <c r="C51" s="90">
        <v>0.99334088313811586</v>
      </c>
      <c r="D51" s="90">
        <v>0.99927806865709168</v>
      </c>
      <c r="E51" s="90">
        <v>1.001430673619615</v>
      </c>
      <c r="F51" s="90">
        <v>1.0151613912063309</v>
      </c>
      <c r="G51" s="90">
        <v>0.96285351877948888</v>
      </c>
      <c r="H51" s="90">
        <v>1.0049875458159738</v>
      </c>
      <c r="I51" s="90">
        <v>1.0148237749960389</v>
      </c>
      <c r="J51" s="90">
        <v>0.99271773231022098</v>
      </c>
      <c r="K51" s="90">
        <v>1</v>
      </c>
      <c r="L51" s="90">
        <v>0.96673058212991525</v>
      </c>
      <c r="M51" s="90">
        <v>0.87628395324376984</v>
      </c>
      <c r="N51" s="90">
        <v>1.0535884938156963</v>
      </c>
      <c r="O51" s="90">
        <v>0.99401529364491326</v>
      </c>
      <c r="P51">
        <f t="shared" si="0"/>
        <v>-4</v>
      </c>
    </row>
    <row r="52" spans="1:16" hidden="1">
      <c r="B52" s="89" t="s">
        <v>171</v>
      </c>
      <c r="C52" s="90">
        <v>0.96402544782400124</v>
      </c>
      <c r="D52" s="90">
        <v>1.005755971440361</v>
      </c>
      <c r="E52" s="90">
        <v>1.0014267755200235</v>
      </c>
      <c r="F52" s="90">
        <v>0.87552743649209208</v>
      </c>
      <c r="G52" s="90">
        <v>0.92226129479510699</v>
      </c>
      <c r="H52" s="90">
        <v>0.98158651741986869</v>
      </c>
      <c r="I52" s="90">
        <v>0.9221602856973764</v>
      </c>
      <c r="J52" s="90">
        <v>0.94851267646263648</v>
      </c>
      <c r="K52" s="90">
        <v>1</v>
      </c>
      <c r="L52" s="90">
        <v>0.95747687824967187</v>
      </c>
      <c r="M52" s="90">
        <v>0.86616244629405981</v>
      </c>
      <c r="N52" s="90">
        <v>0.93955660282397513</v>
      </c>
      <c r="O52" s="90">
        <v>0.98190137360806518</v>
      </c>
      <c r="P52">
        <f t="shared" si="0"/>
        <v>-8</v>
      </c>
    </row>
    <row r="53" spans="1:16" hidden="1">
      <c r="B53" s="89" t="s">
        <v>172</v>
      </c>
      <c r="C53" s="90">
        <v>0.98550752646782358</v>
      </c>
      <c r="D53" s="90">
        <v>0.98470337895449811</v>
      </c>
      <c r="E53" s="90">
        <v>1.0000862528649397</v>
      </c>
      <c r="F53" s="90">
        <v>1.0283739400192549</v>
      </c>
      <c r="G53" s="90">
        <v>0.93737745012678264</v>
      </c>
      <c r="H53" s="90">
        <v>1.0117612749744584</v>
      </c>
      <c r="I53" s="90">
        <v>0.93484986892225885</v>
      </c>
      <c r="J53" s="90">
        <v>0.99594245138733339</v>
      </c>
      <c r="K53" s="90">
        <v>1</v>
      </c>
      <c r="L53" s="90">
        <v>1.0076970764235487</v>
      </c>
      <c r="M53" s="90">
        <v>0.69031285070722892</v>
      </c>
      <c r="N53" s="90">
        <v>0.9771299079924809</v>
      </c>
      <c r="O53" s="90">
        <v>1.0078214571699784</v>
      </c>
      <c r="P53">
        <f t="shared" si="0"/>
        <v>-6</v>
      </c>
    </row>
    <row r="54" spans="1:16" hidden="1">
      <c r="B54" s="89" t="s">
        <v>173</v>
      </c>
      <c r="C54" s="90">
        <v>0.97797910791956821</v>
      </c>
      <c r="D54" s="90">
        <v>1.0015970849973681</v>
      </c>
      <c r="E54" s="90">
        <v>1.0020928375390814</v>
      </c>
      <c r="F54" s="90">
        <v>0.99368698532811095</v>
      </c>
      <c r="G54" s="90">
        <v>0.88396581105843908</v>
      </c>
      <c r="H54" s="90">
        <v>1.0176412079234844</v>
      </c>
      <c r="I54" s="90">
        <v>0.87957031105568562</v>
      </c>
      <c r="J54" s="90">
        <v>0.98494120363045423</v>
      </c>
      <c r="K54" s="90">
        <v>1</v>
      </c>
      <c r="L54" s="90">
        <v>1.0593094469095223</v>
      </c>
      <c r="M54" s="90">
        <v>0.85438882573865815</v>
      </c>
      <c r="N54" s="90">
        <v>1.0401376275984602</v>
      </c>
      <c r="O54" s="90">
        <v>1.0123442520019013</v>
      </c>
      <c r="P54">
        <f t="shared" si="0"/>
        <v>-12</v>
      </c>
    </row>
    <row r="55" spans="1:16" hidden="1">
      <c r="B55" s="89" t="s">
        <v>174</v>
      </c>
      <c r="C55" s="90">
        <v>0.96649718693926578</v>
      </c>
      <c r="D55" s="90">
        <v>0.94745478556203466</v>
      </c>
      <c r="E55" s="90">
        <v>1.0001393121125315</v>
      </c>
      <c r="F55" s="90">
        <v>0.95874110365153553</v>
      </c>
      <c r="G55" s="90">
        <v>0.9684755348557893</v>
      </c>
      <c r="H55" s="90">
        <v>0.95060618367451544</v>
      </c>
      <c r="I55" s="90">
        <v>0.98762376540252517</v>
      </c>
      <c r="J55" s="90">
        <v>0.98597399814991571</v>
      </c>
      <c r="K55" s="90">
        <v>1</v>
      </c>
      <c r="L55" s="90">
        <v>0.95631329558952616</v>
      </c>
      <c r="M55" s="90">
        <v>0.85403199450763256</v>
      </c>
      <c r="N55" s="90">
        <v>0.96108225870551611</v>
      </c>
      <c r="O55" s="90">
        <v>0.97070820480032838</v>
      </c>
      <c r="P55">
        <f t="shared" si="0"/>
        <v>-3</v>
      </c>
    </row>
    <row r="56" spans="1:16" hidden="1">
      <c r="B56" s="89" t="s">
        <v>175</v>
      </c>
      <c r="C56" s="90">
        <v>0.96400514266827708</v>
      </c>
      <c r="D56" s="90">
        <v>0.9581701657036219</v>
      </c>
      <c r="E56" s="90">
        <v>1.0003574649285014</v>
      </c>
      <c r="F56" s="90">
        <v>0.98587372851488775</v>
      </c>
      <c r="G56" s="90">
        <v>0.93911132314324453</v>
      </c>
      <c r="H56" s="90">
        <v>0.98012695324332866</v>
      </c>
      <c r="I56" s="90">
        <v>0.94689018072067133</v>
      </c>
      <c r="J56" s="90">
        <v>0.96119531416780335</v>
      </c>
      <c r="K56" s="90">
        <v>1</v>
      </c>
      <c r="L56" s="90">
        <v>0.92042045747119416</v>
      </c>
      <c r="M56" s="90">
        <v>0.78023098674732116</v>
      </c>
      <c r="N56" s="90">
        <v>1.0076823785145748</v>
      </c>
      <c r="O56" s="90">
        <v>1.0089197243465382</v>
      </c>
      <c r="P56">
        <f t="shared" si="0"/>
        <v>-6</v>
      </c>
    </row>
    <row r="57" spans="1:16" hidden="1">
      <c r="B57" s="89" t="s">
        <v>176</v>
      </c>
      <c r="C57" s="90">
        <v>0.94378887833552194</v>
      </c>
      <c r="D57" s="90">
        <v>0.95496479135149182</v>
      </c>
      <c r="E57" s="90">
        <v>1.0018917380819394</v>
      </c>
      <c r="F57" s="90">
        <v>0.9650720430109867</v>
      </c>
      <c r="G57" s="90">
        <v>0.86229508813122802</v>
      </c>
      <c r="H57" s="90">
        <v>1.0101894704560823</v>
      </c>
      <c r="I57" s="90">
        <v>0.90840313919427951</v>
      </c>
      <c r="J57" s="90">
        <v>0.91381290910051793</v>
      </c>
      <c r="K57" s="90">
        <v>1</v>
      </c>
      <c r="L57" s="90">
        <v>0.98460441282921929</v>
      </c>
      <c r="M57" s="90">
        <v>0.79376319259978023</v>
      </c>
      <c r="N57" s="90">
        <v>0.94150169409432882</v>
      </c>
      <c r="O57" s="90">
        <v>0.97499017494053675</v>
      </c>
      <c r="P57">
        <f t="shared" si="0"/>
        <v>-14</v>
      </c>
    </row>
    <row r="58" spans="1:16" hidden="1">
      <c r="A58" s="54">
        <v>2008</v>
      </c>
      <c r="B58" s="17" t="s">
        <v>1071</v>
      </c>
      <c r="C58" s="88">
        <v>1</v>
      </c>
      <c r="D58" s="88">
        <v>1</v>
      </c>
      <c r="E58" s="88">
        <v>1</v>
      </c>
      <c r="F58" s="88">
        <v>1</v>
      </c>
      <c r="G58" s="88">
        <v>1</v>
      </c>
      <c r="H58" s="88">
        <v>1</v>
      </c>
      <c r="I58" s="88">
        <v>1</v>
      </c>
      <c r="J58" s="88">
        <v>1</v>
      </c>
      <c r="K58" s="88">
        <v>1</v>
      </c>
      <c r="L58" s="88">
        <v>1</v>
      </c>
      <c r="M58" s="88">
        <v>1</v>
      </c>
      <c r="N58" s="88">
        <v>1</v>
      </c>
      <c r="O58" s="88">
        <v>1</v>
      </c>
      <c r="P58">
        <f t="shared" si="0"/>
        <v>0</v>
      </c>
    </row>
    <row r="59" spans="1:16" hidden="1">
      <c r="A59" s="55"/>
      <c r="B59" s="89" t="s">
        <v>151</v>
      </c>
      <c r="C59" s="90">
        <v>1.1418398335028577</v>
      </c>
      <c r="D59" s="90">
        <v>1.0751605018091488</v>
      </c>
      <c r="E59" s="90">
        <v>1.0007001601128969</v>
      </c>
      <c r="F59" s="90">
        <v>1.0726551794520851</v>
      </c>
      <c r="G59" s="90">
        <v>1.5112582278234206</v>
      </c>
      <c r="H59" s="90">
        <v>1.0267412036135062</v>
      </c>
      <c r="I59" s="90">
        <v>1.1201434456940587</v>
      </c>
      <c r="J59" s="90">
        <v>1.1130189243138546</v>
      </c>
      <c r="K59" s="90">
        <v>1.00245974935476</v>
      </c>
      <c r="L59" s="90">
        <v>1.1025799684726838</v>
      </c>
      <c r="M59" s="90">
        <v>1.5546214175973843</v>
      </c>
      <c r="N59" s="90">
        <v>1.1967367832766549</v>
      </c>
      <c r="O59" s="90">
        <v>1.0977796191919895</v>
      </c>
      <c r="P59">
        <f t="shared" si="0"/>
        <v>51</v>
      </c>
    </row>
    <row r="60" spans="1:16" hidden="1">
      <c r="A60" s="54"/>
      <c r="B60" s="89" t="s">
        <v>152</v>
      </c>
      <c r="C60" s="90">
        <v>1.0266943983959844</v>
      </c>
      <c r="D60" s="90">
        <v>1.0704430436958969</v>
      </c>
      <c r="E60" s="90">
        <v>0.99796928786623118</v>
      </c>
      <c r="F60" s="90">
        <v>1.0111304097690554</v>
      </c>
      <c r="G60" s="90">
        <v>0.98516137667568837</v>
      </c>
      <c r="H60" s="90">
        <v>1.0270819495661789</v>
      </c>
      <c r="I60" s="90">
        <v>1.010347731065331</v>
      </c>
      <c r="J60" s="90">
        <v>1.0115431138629531</v>
      </c>
      <c r="K60" s="90">
        <v>1.0020507176003373</v>
      </c>
      <c r="L60" s="90">
        <v>1.0370312316262309</v>
      </c>
      <c r="M60" s="90">
        <v>1.3984688331697093</v>
      </c>
      <c r="N60" s="90">
        <v>0.93358533069633864</v>
      </c>
      <c r="O60" s="90">
        <v>1.0594403140534259</v>
      </c>
      <c r="P60">
        <f t="shared" si="0"/>
        <v>-1</v>
      </c>
    </row>
    <row r="61" spans="1:16" hidden="1">
      <c r="A61" s="91"/>
      <c r="B61" s="89" t="s">
        <v>153</v>
      </c>
      <c r="C61" s="90">
        <v>1.0237800938263588</v>
      </c>
      <c r="D61" s="90">
        <v>1.0490037810692572</v>
      </c>
      <c r="E61" s="90">
        <v>0.99918517316501021</v>
      </c>
      <c r="F61" s="90">
        <v>1.014842408471599</v>
      </c>
      <c r="G61" s="90">
        <v>1.0081860259493918</v>
      </c>
      <c r="H61" s="90">
        <v>0.96990380255590902</v>
      </c>
      <c r="I61" s="90">
        <v>1.0377635246413064</v>
      </c>
      <c r="J61" s="90">
        <v>1.0354731986833998</v>
      </c>
      <c r="K61" s="90">
        <v>1.0019223039327438</v>
      </c>
      <c r="L61" s="90">
        <v>1.0272736806102007</v>
      </c>
      <c r="M61" s="90">
        <v>1.0814924777315671</v>
      </c>
      <c r="N61" s="90">
        <v>0.9887929252040939</v>
      </c>
      <c r="O61" s="90">
        <v>1.0362847645735813</v>
      </c>
      <c r="P61">
        <f t="shared" si="0"/>
        <v>1</v>
      </c>
    </row>
    <row r="62" spans="1:16" hidden="1">
      <c r="A62" s="92"/>
      <c r="B62" s="89" t="s">
        <v>154</v>
      </c>
      <c r="C62" s="90">
        <v>1.0520609427078411</v>
      </c>
      <c r="D62" s="90">
        <v>1.0372612520097517</v>
      </c>
      <c r="E62" s="90">
        <v>0.99619051595200991</v>
      </c>
      <c r="F62" s="90">
        <v>1.0675146711819881</v>
      </c>
      <c r="G62" s="90">
        <v>1.1351808992396442</v>
      </c>
      <c r="H62" s="90">
        <v>1.0286085437124757</v>
      </c>
      <c r="I62" s="90">
        <v>1.0639833054144392</v>
      </c>
      <c r="J62" s="90">
        <v>1.0385050434164296</v>
      </c>
      <c r="K62" s="90">
        <v>1.0044557027300076</v>
      </c>
      <c r="L62" s="90">
        <v>1.0289342637099608</v>
      </c>
      <c r="M62" s="90">
        <v>1.2491553322004874</v>
      </c>
      <c r="N62" s="90">
        <v>1.1899585106757318</v>
      </c>
      <c r="O62" s="90">
        <v>1.0229566783483961</v>
      </c>
      <c r="P62">
        <f t="shared" si="0"/>
        <v>14</v>
      </c>
    </row>
    <row r="63" spans="1:16" hidden="1">
      <c r="A63" s="92"/>
      <c r="B63" s="89" t="s">
        <v>155</v>
      </c>
      <c r="C63" s="90">
        <v>1.0168867858294528</v>
      </c>
      <c r="D63" s="90">
        <v>1.0106678413603631</v>
      </c>
      <c r="E63" s="90">
        <v>0.99949569959371021</v>
      </c>
      <c r="F63" s="90">
        <v>1.0387218573701249</v>
      </c>
      <c r="G63" s="90">
        <v>1.045376487265498</v>
      </c>
      <c r="H63" s="90">
        <v>0.99839673836633291</v>
      </c>
      <c r="I63" s="90">
        <v>1.0162000310906609</v>
      </c>
      <c r="J63" s="90">
        <v>1.0146102457054484</v>
      </c>
      <c r="K63" s="90">
        <v>1.001349786601492</v>
      </c>
      <c r="L63" s="90">
        <v>0.98412587032819243</v>
      </c>
      <c r="M63" s="90">
        <v>0.99486148436592858</v>
      </c>
      <c r="N63" s="90">
        <v>0.94705549741370076</v>
      </c>
      <c r="O63" s="90">
        <v>1.0383926286349192</v>
      </c>
      <c r="P63">
        <f t="shared" si="0"/>
        <v>5</v>
      </c>
    </row>
    <row r="64" spans="1:16" hidden="1">
      <c r="A64" s="92"/>
      <c r="B64" s="89" t="s">
        <v>156</v>
      </c>
      <c r="C64" s="90">
        <v>0.99313940347091001</v>
      </c>
      <c r="D64" s="90">
        <v>0.99612476409112294</v>
      </c>
      <c r="E64" s="90">
        <v>0.99970727763139433</v>
      </c>
      <c r="F64" s="90">
        <v>0.9917466939220787</v>
      </c>
      <c r="G64" s="90">
        <v>0.97452428283325543</v>
      </c>
      <c r="H64" s="90">
        <v>1.0063422284730583</v>
      </c>
      <c r="I64" s="90">
        <v>0.99786915885760463</v>
      </c>
      <c r="J64" s="90">
        <v>0.99625224617072472</v>
      </c>
      <c r="K64" s="90">
        <v>0.99908310526246913</v>
      </c>
      <c r="L64" s="90">
        <v>0.9833192329213325</v>
      </c>
      <c r="M64" s="90">
        <v>0.99398014109899269</v>
      </c>
      <c r="N64" s="90">
        <v>0.94259788822298674</v>
      </c>
      <c r="O64" s="90">
        <v>0.99457533842065193</v>
      </c>
      <c r="P64">
        <f t="shared" si="0"/>
        <v>-3</v>
      </c>
    </row>
    <row r="65" spans="1:16" hidden="1">
      <c r="A65" s="92"/>
      <c r="B65" s="89" t="s">
        <v>157</v>
      </c>
      <c r="C65" s="90">
        <v>1.0346363749570908</v>
      </c>
      <c r="D65" s="90">
        <v>1.0196622881203743</v>
      </c>
      <c r="E65" s="90">
        <v>0.99939151381188662</v>
      </c>
      <c r="F65" s="90">
        <v>0.95994532083165707</v>
      </c>
      <c r="G65" s="90">
        <v>1.0817301928820195</v>
      </c>
      <c r="H65" s="90">
        <v>1.0377134604813181</v>
      </c>
      <c r="I65" s="90">
        <v>1.0789839743975764</v>
      </c>
      <c r="J65" s="90">
        <v>1.091576101338851</v>
      </c>
      <c r="K65" s="90">
        <v>1.0012728081589413</v>
      </c>
      <c r="L65" s="90">
        <v>1.0457319722272889</v>
      </c>
      <c r="M65" s="90">
        <v>1.2032858881892756</v>
      </c>
      <c r="N65" s="90">
        <v>1.0551595329852821</v>
      </c>
      <c r="O65" s="90">
        <v>1.0542352955565133</v>
      </c>
      <c r="P65">
        <f t="shared" si="0"/>
        <v>8</v>
      </c>
    </row>
    <row r="66" spans="1:16" hidden="1">
      <c r="A66" s="92"/>
      <c r="B66" s="89" t="s">
        <v>158</v>
      </c>
      <c r="C66" s="90">
        <v>1.0482017486761579</v>
      </c>
      <c r="D66" s="90">
        <v>1.0663907750725234</v>
      </c>
      <c r="E66" s="90">
        <v>0.99980510262017119</v>
      </c>
      <c r="F66" s="90">
        <v>1.0549207301255537</v>
      </c>
      <c r="G66" s="90">
        <v>1.061558762400878</v>
      </c>
      <c r="H66" s="90">
        <v>1.012012483323935</v>
      </c>
      <c r="I66" s="90">
        <v>1.0604581964454907</v>
      </c>
      <c r="J66" s="90">
        <v>1.040052455521095</v>
      </c>
      <c r="K66" s="90">
        <v>1.0034861564128834</v>
      </c>
      <c r="L66" s="90">
        <v>1.0544149666678169</v>
      </c>
      <c r="M66" s="90">
        <v>1.1377113984912459</v>
      </c>
      <c r="N66" s="90">
        <v>1.0122975152662772</v>
      </c>
      <c r="O66" s="90">
        <v>1.0620151119262813</v>
      </c>
      <c r="P66">
        <f t="shared" si="0"/>
        <v>6</v>
      </c>
    </row>
    <row r="67" spans="1:16" hidden="1">
      <c r="A67" s="92"/>
      <c r="B67" s="89" t="s">
        <v>159</v>
      </c>
      <c r="C67" s="90">
        <v>1.0502522986283191</v>
      </c>
      <c r="D67" s="90">
        <v>0.97389198361185236</v>
      </c>
      <c r="E67" s="90">
        <v>1.0001872130777483</v>
      </c>
      <c r="F67" s="90">
        <v>1.0778731142020959</v>
      </c>
      <c r="G67" s="90">
        <v>1.2150216545914299</v>
      </c>
      <c r="H67" s="90">
        <v>1.0245845670422149</v>
      </c>
      <c r="I67" s="90">
        <v>1.1224301689338099</v>
      </c>
      <c r="J67" s="90">
        <v>1.0748882985112249</v>
      </c>
      <c r="K67" s="90">
        <v>1.003107095363758</v>
      </c>
      <c r="L67" s="90">
        <v>0.99792437842350168</v>
      </c>
      <c r="M67" s="90">
        <v>1.1036630490858896</v>
      </c>
      <c r="N67" s="90">
        <v>1.2369951398849828</v>
      </c>
      <c r="O67" s="90">
        <v>1.0137531301321054</v>
      </c>
      <c r="P67">
        <f t="shared" si="0"/>
        <v>22</v>
      </c>
    </row>
    <row r="68" spans="1:16" hidden="1">
      <c r="A68" s="92"/>
      <c r="B68" s="89" t="s">
        <v>160</v>
      </c>
      <c r="C68" s="90">
        <v>0.96882522049424358</v>
      </c>
      <c r="D68" s="90">
        <v>0.94932959259564587</v>
      </c>
      <c r="E68" s="90">
        <v>1.000743392565556</v>
      </c>
      <c r="F68" s="90">
        <v>0.96694061586387992</v>
      </c>
      <c r="G68" s="90">
        <v>0.98065482471827148</v>
      </c>
      <c r="H68" s="90">
        <v>0.96679955207556001</v>
      </c>
      <c r="I68" s="90">
        <v>0.97863195291562088</v>
      </c>
      <c r="J68" s="90">
        <v>0.97589065670953734</v>
      </c>
      <c r="K68" s="90">
        <v>0.99728443051047444</v>
      </c>
      <c r="L68" s="90">
        <v>0.98352356511676364</v>
      </c>
      <c r="M68" s="90">
        <v>0.88057059446924091</v>
      </c>
      <c r="N68" s="90">
        <v>0.90973194144776282</v>
      </c>
      <c r="O68" s="90">
        <v>0.96243334585623586</v>
      </c>
      <c r="P68">
        <f t="shared" si="0"/>
        <v>-2</v>
      </c>
    </row>
    <row r="69" spans="1:16" hidden="1">
      <c r="A69" s="92"/>
      <c r="B69" s="89" t="s">
        <v>161</v>
      </c>
      <c r="C69" s="90">
        <v>1.0399498016812885</v>
      </c>
      <c r="D69" s="90">
        <v>1.0184995565165771</v>
      </c>
      <c r="E69" s="90">
        <v>1.0000577309720826</v>
      </c>
      <c r="F69" s="90">
        <v>1.1363129372638987</v>
      </c>
      <c r="G69" s="90">
        <v>1.0699733143938468</v>
      </c>
      <c r="H69" s="90">
        <v>1.0600328467943569</v>
      </c>
      <c r="I69" s="90">
        <v>0.99691995257259236</v>
      </c>
      <c r="J69" s="90">
        <v>1.0306183796810844</v>
      </c>
      <c r="K69" s="90">
        <v>1.0010436131598368</v>
      </c>
      <c r="L69" s="90">
        <v>1.0133533948440407</v>
      </c>
      <c r="M69" s="90">
        <v>1.0878850233399897</v>
      </c>
      <c r="N69" s="90">
        <v>0.94553069293826331</v>
      </c>
      <c r="O69" s="90">
        <v>1.0315188954437455</v>
      </c>
      <c r="P69">
        <f t="shared" ref="P69:P85" si="1">ROUND(G69*100, 0)-100</f>
        <v>7</v>
      </c>
    </row>
    <row r="70" spans="1:16" hidden="1">
      <c r="A70" s="92"/>
      <c r="B70" s="89" t="s">
        <v>162</v>
      </c>
      <c r="C70" s="90">
        <v>0.99069183609611366</v>
      </c>
      <c r="D70" s="90">
        <v>0.9484856354370883</v>
      </c>
      <c r="E70" s="90">
        <v>0.99828840896832605</v>
      </c>
      <c r="F70" s="90">
        <v>0.91125610385450018</v>
      </c>
      <c r="G70" s="90">
        <v>1.1089775165677729</v>
      </c>
      <c r="H70" s="90">
        <v>0.98104105216373716</v>
      </c>
      <c r="I70" s="90">
        <v>1.0955465609815911</v>
      </c>
      <c r="J70" s="90">
        <v>1.0085740387151116</v>
      </c>
      <c r="K70" s="90">
        <v>0.99910876026121254</v>
      </c>
      <c r="L70" s="90">
        <v>0.98548132176092351</v>
      </c>
      <c r="M70" s="90">
        <v>1.0089314857232414</v>
      </c>
      <c r="N70" s="90">
        <v>0.9065267601389041</v>
      </c>
      <c r="O70" s="90">
        <v>0.96042740407424876</v>
      </c>
      <c r="P70">
        <f t="shared" si="1"/>
        <v>11</v>
      </c>
    </row>
    <row r="71" spans="1:16" hidden="1">
      <c r="A71" s="92"/>
      <c r="B71" s="89" t="s">
        <v>163</v>
      </c>
      <c r="C71" s="90">
        <v>0.94857937419265059</v>
      </c>
      <c r="D71" s="90">
        <v>0.93476468086076148</v>
      </c>
      <c r="E71" s="90">
        <v>0.99898008659829374</v>
      </c>
      <c r="F71" s="90">
        <v>0.92654634212000597</v>
      </c>
      <c r="G71" s="90">
        <v>0.92719957881600668</v>
      </c>
      <c r="H71" s="90">
        <v>0.97086816258784159</v>
      </c>
      <c r="I71" s="90">
        <v>0.96505003467816042</v>
      </c>
      <c r="J71" s="90">
        <v>0.97597059662942098</v>
      </c>
      <c r="K71" s="90">
        <v>0.99217447178068296</v>
      </c>
      <c r="L71" s="90">
        <v>0.97564642760288289</v>
      </c>
      <c r="M71" s="90">
        <v>0.75159059326798594</v>
      </c>
      <c r="N71" s="90">
        <v>0.98841083098635385</v>
      </c>
      <c r="O71" s="90">
        <v>0.95779839981992143</v>
      </c>
      <c r="P71">
        <f t="shared" si="1"/>
        <v>-7</v>
      </c>
    </row>
    <row r="72" spans="1:16" hidden="1">
      <c r="A72" s="92"/>
      <c r="B72" s="89" t="s">
        <v>164</v>
      </c>
      <c r="C72" s="90">
        <v>0.9527138215440254</v>
      </c>
      <c r="D72" s="90">
        <v>0.96787617476789967</v>
      </c>
      <c r="E72" s="90">
        <v>1.0011628022018493</v>
      </c>
      <c r="F72" s="90">
        <v>0.97790351380602958</v>
      </c>
      <c r="G72" s="90">
        <v>0.86695189363701874</v>
      </c>
      <c r="H72" s="90">
        <v>0.94757515395956859</v>
      </c>
      <c r="I72" s="90">
        <v>0.94839771709072285</v>
      </c>
      <c r="J72" s="90">
        <v>0.98294678231646404</v>
      </c>
      <c r="K72" s="90">
        <v>1.0003925989865747</v>
      </c>
      <c r="L72" s="90">
        <v>0.95028234385867871</v>
      </c>
      <c r="M72" s="90">
        <v>0.77785024422785154</v>
      </c>
      <c r="N72" s="90">
        <v>0.99178606460018981</v>
      </c>
      <c r="O72" s="90">
        <v>0.95381891302911814</v>
      </c>
      <c r="P72">
        <f t="shared" si="1"/>
        <v>-13</v>
      </c>
    </row>
    <row r="73" spans="1:16" hidden="1">
      <c r="A73" s="92"/>
      <c r="B73" s="89" t="s">
        <v>165</v>
      </c>
      <c r="C73" s="90">
        <v>0.97213784559125127</v>
      </c>
      <c r="D73" s="90">
        <v>0.95578564046131964</v>
      </c>
      <c r="E73" s="90">
        <v>1.0001625565864432</v>
      </c>
      <c r="F73" s="90">
        <v>0.98659856305115767</v>
      </c>
      <c r="G73" s="90">
        <v>0.97182000928365109</v>
      </c>
      <c r="H73" s="90">
        <v>0.97389881772676679</v>
      </c>
      <c r="I73" s="90">
        <v>0.95786129739546666</v>
      </c>
      <c r="J73" s="90">
        <v>0.98382926823937733</v>
      </c>
      <c r="K73" s="90">
        <v>1.0012841544867939</v>
      </c>
      <c r="L73" s="90">
        <v>0.97210994369229464</v>
      </c>
      <c r="M73" s="90">
        <v>1.0486834402534093</v>
      </c>
      <c r="N73" s="90">
        <v>1.0135953568154938</v>
      </c>
      <c r="O73" s="90">
        <v>1.0047181303797812</v>
      </c>
      <c r="P73">
        <f t="shared" si="1"/>
        <v>-3</v>
      </c>
    </row>
    <row r="74" spans="1:16" hidden="1">
      <c r="A74" s="92"/>
      <c r="B74" s="89" t="s">
        <v>166</v>
      </c>
      <c r="C74" s="90">
        <v>1.0146658095415813</v>
      </c>
      <c r="D74" s="90">
        <v>1.0633748403895935</v>
      </c>
      <c r="E74" s="90">
        <v>0.99871104094130347</v>
      </c>
      <c r="F74" s="90">
        <v>0.91101077488550974</v>
      </c>
      <c r="G74" s="90">
        <v>0.98785857774593788</v>
      </c>
      <c r="H74" s="90">
        <v>0.99686463353979282</v>
      </c>
      <c r="I74" s="90">
        <v>1.0184616854622455</v>
      </c>
      <c r="J74" s="90">
        <v>1.0191144292681042</v>
      </c>
      <c r="K74" s="90">
        <v>1.0002563897410042</v>
      </c>
      <c r="L74" s="90">
        <v>1.0302998195201327</v>
      </c>
      <c r="M74" s="90">
        <v>1.056400763876183</v>
      </c>
      <c r="N74" s="90">
        <v>1.013339230806791</v>
      </c>
      <c r="O74" s="90">
        <v>0.98972008952386792</v>
      </c>
      <c r="P74">
        <f t="shared" si="1"/>
        <v>-1</v>
      </c>
    </row>
    <row r="75" spans="1:16" hidden="1">
      <c r="A75" s="92"/>
      <c r="B75" s="89" t="s">
        <v>167</v>
      </c>
      <c r="C75" s="90">
        <v>0.97631151455874454</v>
      </c>
      <c r="D75" s="90">
        <v>0.99016484857321374</v>
      </c>
      <c r="E75" s="90">
        <v>1.000434950175789</v>
      </c>
      <c r="F75" s="90">
        <v>1.0566117804814372</v>
      </c>
      <c r="G75" s="90">
        <v>0.88870898361960504</v>
      </c>
      <c r="H75" s="90">
        <v>0.9635188651591946</v>
      </c>
      <c r="I75" s="90">
        <v>0.92126168886704873</v>
      </c>
      <c r="J75" s="90">
        <v>1.0151994583025696</v>
      </c>
      <c r="K75" s="90">
        <v>0.99643772181489443</v>
      </c>
      <c r="L75" s="90">
        <v>0.97900249224422697</v>
      </c>
      <c r="M75" s="90">
        <v>1.0564776372546412</v>
      </c>
      <c r="N75" s="90">
        <v>0.95682926572560079</v>
      </c>
      <c r="O75" s="90">
        <v>0.94177577987719618</v>
      </c>
      <c r="P75">
        <f t="shared" si="1"/>
        <v>-11</v>
      </c>
    </row>
    <row r="76" spans="1:16" hidden="1">
      <c r="A76" s="92"/>
      <c r="B76" s="89" t="s">
        <v>168</v>
      </c>
      <c r="C76" s="90">
        <v>0.98003622096322152</v>
      </c>
      <c r="D76" s="90">
        <v>0.9701519664553474</v>
      </c>
      <c r="E76" s="90">
        <v>1.0003448399238395</v>
      </c>
      <c r="F76" s="90">
        <v>1.0377486202813295</v>
      </c>
      <c r="G76" s="90">
        <v>0.92499462537725496</v>
      </c>
      <c r="H76" s="90">
        <v>0.99852378157846955</v>
      </c>
      <c r="I76" s="90">
        <v>1.0051894129187431</v>
      </c>
      <c r="J76" s="90">
        <v>1.0040718244792015</v>
      </c>
      <c r="K76" s="90">
        <v>1.0005585045329786</v>
      </c>
      <c r="L76" s="90">
        <v>0.99610133829886616</v>
      </c>
      <c r="M76" s="90">
        <v>0.92952752053967724</v>
      </c>
      <c r="N76" s="90">
        <v>0.98065341879225409</v>
      </c>
      <c r="O76" s="90">
        <v>0.99051423459628163</v>
      </c>
      <c r="P76">
        <f t="shared" si="1"/>
        <v>-8</v>
      </c>
    </row>
    <row r="77" spans="1:16" hidden="1">
      <c r="A77" s="92"/>
      <c r="B77" s="89" t="s">
        <v>169</v>
      </c>
      <c r="C77" s="90">
        <v>1.0302353489431759</v>
      </c>
      <c r="D77" s="90">
        <v>1.0595137168028768</v>
      </c>
      <c r="E77" s="90">
        <v>1.0007324574441983</v>
      </c>
      <c r="F77" s="90">
        <v>1.0374836411590185</v>
      </c>
      <c r="G77" s="90">
        <v>1.0131214715383199</v>
      </c>
      <c r="H77" s="90">
        <v>1.0207877780894778</v>
      </c>
      <c r="I77" s="90">
        <v>1.0216637278306409</v>
      </c>
      <c r="J77" s="90">
        <v>1.0026431339149731</v>
      </c>
      <c r="K77" s="90">
        <v>1.0021190972002594</v>
      </c>
      <c r="L77" s="90">
        <v>1.0065617755614</v>
      </c>
      <c r="M77" s="90">
        <v>0.89778404943050016</v>
      </c>
      <c r="N77" s="90">
        <v>1.0486135912586714</v>
      </c>
      <c r="O77" s="90">
        <v>0.98643351932861156</v>
      </c>
      <c r="P77">
        <f t="shared" si="1"/>
        <v>1</v>
      </c>
    </row>
    <row r="78" spans="1:16" hidden="1">
      <c r="A78" s="92"/>
      <c r="B78" s="89" t="s">
        <v>170</v>
      </c>
      <c r="C78" s="90">
        <v>0.98123061118111554</v>
      </c>
      <c r="D78" s="90">
        <v>1.0173204017282391</v>
      </c>
      <c r="E78" s="90">
        <v>1.0012850358370893</v>
      </c>
      <c r="F78" s="90">
        <v>0.92864855353522457</v>
      </c>
      <c r="G78" s="90">
        <v>0.91099765108003905</v>
      </c>
      <c r="H78" s="90">
        <v>1.016024147188787</v>
      </c>
      <c r="I78" s="90">
        <v>0.97946364637617411</v>
      </c>
      <c r="J78" s="90">
        <v>0.99025325747755399</v>
      </c>
      <c r="K78" s="90">
        <v>1.0025975881331097</v>
      </c>
      <c r="L78" s="90">
        <v>0.99055670822514574</v>
      </c>
      <c r="M78" s="90">
        <v>0.88429865462249557</v>
      </c>
      <c r="N78" s="90">
        <v>1.0316632759728981</v>
      </c>
      <c r="O78" s="90">
        <v>1.0084328283418187</v>
      </c>
      <c r="P78">
        <f t="shared" si="1"/>
        <v>-9</v>
      </c>
    </row>
    <row r="79" spans="1:16" hidden="1">
      <c r="A79" s="92"/>
      <c r="B79" s="89" t="s">
        <v>171</v>
      </c>
      <c r="C79" s="90">
        <v>0.96806266038809274</v>
      </c>
      <c r="D79" s="90">
        <v>0.98677865146918686</v>
      </c>
      <c r="E79" s="90">
        <v>1.0015999232004089</v>
      </c>
      <c r="F79" s="90">
        <v>0.96324073089399165</v>
      </c>
      <c r="G79" s="90">
        <v>0.87056049551814185</v>
      </c>
      <c r="H79" s="90">
        <v>1.0364819095044937</v>
      </c>
      <c r="I79" s="90">
        <v>0.93299759940434168</v>
      </c>
      <c r="J79" s="90">
        <v>0.95994578735500313</v>
      </c>
      <c r="K79" s="90">
        <v>0.99691215597570892</v>
      </c>
      <c r="L79" s="90">
        <v>0.97403089349295968</v>
      </c>
      <c r="M79" s="90">
        <v>0.82529430714540841</v>
      </c>
      <c r="N79" s="90">
        <v>0.94306134598728431</v>
      </c>
      <c r="O79" s="90">
        <v>0.97328615233485172</v>
      </c>
      <c r="P79">
        <f t="shared" si="1"/>
        <v>-13</v>
      </c>
    </row>
    <row r="80" spans="1:16" hidden="1">
      <c r="A80" s="92"/>
      <c r="B80" s="89" t="s">
        <v>172</v>
      </c>
      <c r="C80" s="90">
        <v>0.9646572303531028</v>
      </c>
      <c r="D80" s="90">
        <v>0.98618656940658878</v>
      </c>
      <c r="E80" s="90">
        <v>1.0005158450360367</v>
      </c>
      <c r="F80" s="90">
        <v>0.92132248723492483</v>
      </c>
      <c r="G80" s="90">
        <v>0.91401621055384386</v>
      </c>
      <c r="H80" s="90">
        <v>1.0000982675817374</v>
      </c>
      <c r="I80" s="90">
        <v>0.93488848489370469</v>
      </c>
      <c r="J80" s="90">
        <v>0.95110420259048056</v>
      </c>
      <c r="K80" s="90">
        <v>1.0021846710462978</v>
      </c>
      <c r="L80" s="90">
        <v>1.0198009908111068</v>
      </c>
      <c r="M80" s="90">
        <v>0.69744124902708782</v>
      </c>
      <c r="N80" s="90">
        <v>0.92751602077631234</v>
      </c>
      <c r="O80" s="90">
        <v>0.99353724940416721</v>
      </c>
      <c r="P80">
        <f t="shared" si="1"/>
        <v>-9</v>
      </c>
    </row>
    <row r="81" spans="1:16" hidden="1">
      <c r="A81" s="92"/>
      <c r="B81" s="89" t="s">
        <v>173</v>
      </c>
      <c r="C81" s="90">
        <v>0.97043627169189262</v>
      </c>
      <c r="D81" s="90">
        <v>1.002579237326322</v>
      </c>
      <c r="E81" s="90">
        <v>1.0023497466197715</v>
      </c>
      <c r="F81" s="90">
        <v>1.0283137436033098</v>
      </c>
      <c r="G81" s="90">
        <v>0.85207368006353168</v>
      </c>
      <c r="H81" s="90">
        <v>1.0090573732998569</v>
      </c>
      <c r="I81" s="90">
        <v>0.92350314775773201</v>
      </c>
      <c r="J81" s="90">
        <v>0.91042656018413026</v>
      </c>
      <c r="K81" s="90">
        <v>0.99824933015893758</v>
      </c>
      <c r="L81" s="90">
        <v>1.0047254504743375</v>
      </c>
      <c r="M81" s="90">
        <v>0.8573557602719174</v>
      </c>
      <c r="N81" s="90">
        <v>0.95809936257887074</v>
      </c>
      <c r="O81" s="90">
        <v>0.95855780080093078</v>
      </c>
      <c r="P81">
        <f t="shared" si="1"/>
        <v>-15</v>
      </c>
    </row>
    <row r="82" spans="1:16" hidden="1">
      <c r="A82" s="92"/>
      <c r="B82" s="89" t="s">
        <v>174</v>
      </c>
      <c r="C82" s="90">
        <v>0.96547950031278329</v>
      </c>
      <c r="D82" s="90">
        <v>0.94668972283256136</v>
      </c>
      <c r="E82" s="90">
        <v>0.9996692001734333</v>
      </c>
      <c r="F82" s="90">
        <v>0.98488264946389736</v>
      </c>
      <c r="G82" s="90">
        <v>0.96651214847201483</v>
      </c>
      <c r="H82" s="90">
        <v>0.95603416088546056</v>
      </c>
      <c r="I82" s="90">
        <v>0.95985262078990286</v>
      </c>
      <c r="J82" s="90">
        <v>0.99423567850008265</v>
      </c>
      <c r="K82" s="90">
        <v>0.99178437359895222</v>
      </c>
      <c r="L82" s="90">
        <v>0.95532969978331339</v>
      </c>
      <c r="M82" s="90">
        <v>0.8313784031433562</v>
      </c>
      <c r="N82" s="90">
        <v>0.91920301151309547</v>
      </c>
      <c r="O82" s="90">
        <v>0.97690142868410024</v>
      </c>
      <c r="P82">
        <f t="shared" si="1"/>
        <v>-3</v>
      </c>
    </row>
    <row r="83" spans="1:16" hidden="1">
      <c r="A83" s="92"/>
      <c r="B83" s="89" t="s">
        <v>175</v>
      </c>
      <c r="C83" s="90">
        <v>0.95552571839645883</v>
      </c>
      <c r="D83" s="90">
        <v>0.96094656985303717</v>
      </c>
      <c r="E83" s="90">
        <v>1.0001523384697761</v>
      </c>
      <c r="F83" s="90">
        <v>0.92716474233236534</v>
      </c>
      <c r="G83" s="90">
        <v>0.90777638152358375</v>
      </c>
      <c r="H83" s="90">
        <v>0.99045593817891175</v>
      </c>
      <c r="I83" s="90">
        <v>0.92491268391424863</v>
      </c>
      <c r="J83" s="90">
        <v>0.95277013687629331</v>
      </c>
      <c r="K83" s="90">
        <v>1.0022134605061588</v>
      </c>
      <c r="L83" s="90">
        <v>0.97713058103608585</v>
      </c>
      <c r="M83" s="90">
        <v>0.81124302214905153</v>
      </c>
      <c r="N83" s="90">
        <v>1.0344720920816437</v>
      </c>
      <c r="O83" s="90">
        <v>0.99692241251522229</v>
      </c>
      <c r="P83">
        <f t="shared" si="1"/>
        <v>-9</v>
      </c>
    </row>
    <row r="84" spans="1:16" ht="17" hidden="1" thickBot="1">
      <c r="A84" s="93"/>
      <c r="B84" s="94" t="s">
        <v>176</v>
      </c>
      <c r="C84" s="95">
        <v>0.93296933407527949</v>
      </c>
      <c r="D84" s="95">
        <v>0.94294596368344552</v>
      </c>
      <c r="E84" s="95">
        <v>1.0021777004547405</v>
      </c>
      <c r="F84" s="95">
        <v>1.0086638148432852</v>
      </c>
      <c r="G84" s="95">
        <v>0.81980472742993082</v>
      </c>
      <c r="H84" s="95">
        <v>0.98055258255106215</v>
      </c>
      <c r="I84" s="95">
        <v>0.92721824961077859</v>
      </c>
      <c r="J84" s="95">
        <v>0.82648618123662831</v>
      </c>
      <c r="K84" s="95">
        <v>0.99621125268873545</v>
      </c>
      <c r="L84" s="95">
        <v>0.92472768868963484</v>
      </c>
      <c r="M84" s="95">
        <v>0.88004722932748491</v>
      </c>
      <c r="N84" s="95">
        <v>0.92778861395356516</v>
      </c>
      <c r="O84" s="95">
        <v>0.9337705351520359</v>
      </c>
      <c r="P84">
        <f t="shared" si="1"/>
        <v>-18</v>
      </c>
    </row>
    <row r="85" spans="1:16" hidden="1">
      <c r="A85" s="26" t="s">
        <v>1072</v>
      </c>
      <c r="C85" s="96"/>
      <c r="E85" s="97"/>
      <c r="P85">
        <f t="shared" si="1"/>
        <v>-100</v>
      </c>
    </row>
    <row r="86" spans="1:16">
      <c r="A86" s="29" t="s">
        <v>1073</v>
      </c>
      <c r="C86" s="96"/>
      <c r="E86" s="97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353D9-32EC-114D-8836-5A55E60CAABF}">
  <dimension ref="A1:U38"/>
  <sheetViews>
    <sheetView workbookViewId="0">
      <selection activeCell="C5" sqref="C5:U5"/>
    </sheetView>
  </sheetViews>
  <sheetFormatPr baseColWidth="10" defaultRowHeight="16"/>
  <sheetData>
    <row r="1" spans="1:21">
      <c r="A1" s="11" t="s">
        <v>134</v>
      </c>
      <c r="B1" s="11"/>
      <c r="C1" s="11"/>
      <c r="D1" s="11"/>
      <c r="E1" s="11"/>
      <c r="F1" s="12"/>
      <c r="G1" s="12"/>
      <c r="H1" s="12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2"/>
    </row>
    <row r="2" spans="1:21" ht="17" thickBot="1">
      <c r="A2" s="14" t="s">
        <v>135</v>
      </c>
      <c r="B2" s="14"/>
      <c r="C2" s="14"/>
      <c r="D2" s="14"/>
      <c r="E2" s="14"/>
      <c r="F2" s="12"/>
      <c r="G2" s="12"/>
      <c r="H2" s="12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2"/>
    </row>
    <row r="3" spans="1:21" ht="105">
      <c r="A3" s="15" t="s">
        <v>136</v>
      </c>
      <c r="B3" s="15"/>
      <c r="C3" s="15">
        <v>2005</v>
      </c>
      <c r="D3" s="15">
        <v>2006</v>
      </c>
      <c r="E3" s="15">
        <v>2007</v>
      </c>
      <c r="F3" s="16">
        <v>2008</v>
      </c>
      <c r="G3" s="16" t="s">
        <v>137</v>
      </c>
      <c r="H3" s="16" t="s">
        <v>138</v>
      </c>
      <c r="I3" s="16" t="s">
        <v>139</v>
      </c>
      <c r="J3" s="16">
        <v>2012</v>
      </c>
      <c r="K3" s="16" t="s">
        <v>140</v>
      </c>
      <c r="L3" s="16" t="s">
        <v>141</v>
      </c>
      <c r="M3" s="16" t="s">
        <v>142</v>
      </c>
      <c r="N3" s="16" t="s">
        <v>143</v>
      </c>
      <c r="O3" s="16">
        <v>2017</v>
      </c>
      <c r="P3" s="16" t="s">
        <v>144</v>
      </c>
      <c r="Q3" s="16" t="s">
        <v>145</v>
      </c>
      <c r="R3" s="16" t="s">
        <v>146</v>
      </c>
      <c r="S3" s="16" t="s">
        <v>147</v>
      </c>
      <c r="T3" s="16" t="s">
        <v>148</v>
      </c>
      <c r="U3" s="16" t="s">
        <v>149</v>
      </c>
    </row>
    <row r="4" spans="1:21">
      <c r="A4" s="17" t="s">
        <v>150</v>
      </c>
      <c r="B4" s="17"/>
      <c r="C4" s="18">
        <v>100</v>
      </c>
      <c r="D4" s="18">
        <v>100</v>
      </c>
      <c r="E4" s="18">
        <v>100</v>
      </c>
      <c r="F4" s="19">
        <v>100</v>
      </c>
      <c r="G4" s="19">
        <v>100</v>
      </c>
      <c r="H4" s="19">
        <v>100</v>
      </c>
      <c r="I4" s="19">
        <v>100</v>
      </c>
      <c r="J4" s="19">
        <v>100</v>
      </c>
      <c r="K4" s="19">
        <v>100</v>
      </c>
      <c r="L4" s="19">
        <v>100</v>
      </c>
      <c r="M4" s="19">
        <v>100</v>
      </c>
      <c r="N4" s="19">
        <v>100</v>
      </c>
      <c r="O4" s="19">
        <v>100</v>
      </c>
      <c r="P4" s="19">
        <v>100</v>
      </c>
      <c r="Q4" s="19">
        <v>100</v>
      </c>
      <c r="R4" s="19">
        <v>100</v>
      </c>
      <c r="S4" s="19">
        <v>100</v>
      </c>
      <c r="T4" s="19">
        <v>100</v>
      </c>
      <c r="U4" s="19">
        <v>100</v>
      </c>
    </row>
    <row r="5" spans="1:21">
      <c r="A5" s="20" t="s">
        <v>151</v>
      </c>
      <c r="B5" s="20"/>
      <c r="C5" s="21">
        <f>AVERAGE(D5:F5)</f>
        <v>114.23238751245378</v>
      </c>
      <c r="D5" s="21">
        <f>AVERAGE(E5:G5)</f>
        <v>114.25721493697334</v>
      </c>
      <c r="E5" s="21">
        <f>AVERAGE(F5,G5,H5)</f>
        <v>114.25596425010224</v>
      </c>
      <c r="F5" s="22">
        <v>114.18398335028577</v>
      </c>
      <c r="G5" s="22">
        <v>114.331697210532</v>
      </c>
      <c r="H5" s="22">
        <v>114.25221218948893</v>
      </c>
      <c r="I5" s="22">
        <v>113.70883594382764</v>
      </c>
      <c r="J5" s="22">
        <v>113.09304755551462</v>
      </c>
      <c r="K5" s="22">
        <v>113.27306202459415</v>
      </c>
      <c r="L5" s="22">
        <v>114.62173520565059</v>
      </c>
      <c r="M5" s="22">
        <v>114.47414128801093</v>
      </c>
      <c r="N5" s="22">
        <v>114.16752619911243</v>
      </c>
      <c r="O5" s="22">
        <v>114.75366664994833</v>
      </c>
      <c r="P5" s="22">
        <v>114.66762715635245</v>
      </c>
      <c r="Q5" s="22">
        <v>113.95461863800951</v>
      </c>
      <c r="R5" s="22">
        <v>115.31624185723042</v>
      </c>
      <c r="S5" s="22">
        <v>113.72598735137001</v>
      </c>
      <c r="T5" s="22">
        <v>113.89434319945468</v>
      </c>
      <c r="U5" s="22">
        <v>112.61118222363497</v>
      </c>
    </row>
    <row r="6" spans="1:21">
      <c r="A6" s="20" t="s">
        <v>152</v>
      </c>
      <c r="B6" s="20"/>
      <c r="C6" s="21">
        <f t="shared" ref="C6:D21" si="0">AVERAGE(D6:F6)</f>
        <v>102.46108162543192</v>
      </c>
      <c r="D6" s="21">
        <f t="shared" si="0"/>
        <v>102.39561949947363</v>
      </c>
      <c r="E6" s="21">
        <f t="shared" ref="E6:E30" si="1">AVERAGE(F6,G6,H6)</f>
        <v>102.31818553722367</v>
      </c>
      <c r="F6" s="22">
        <v>102.66943983959844</v>
      </c>
      <c r="G6" s="22">
        <v>102.19923312159874</v>
      </c>
      <c r="H6" s="22">
        <v>102.08588365047386</v>
      </c>
      <c r="I6" s="22">
        <v>102.45493858305235</v>
      </c>
      <c r="J6" s="22">
        <v>103.20396013635127</v>
      </c>
      <c r="K6" s="22">
        <v>103.38684763614691</v>
      </c>
      <c r="L6" s="22">
        <v>103.38403093634483</v>
      </c>
      <c r="M6" s="22">
        <v>103.07944566014839</v>
      </c>
      <c r="N6" s="22">
        <v>102.77048998040516</v>
      </c>
      <c r="O6" s="22">
        <v>102.75617791757941</v>
      </c>
      <c r="P6" s="22">
        <v>102.8000692617464</v>
      </c>
      <c r="Q6" s="22">
        <v>102.45706296020948</v>
      </c>
      <c r="R6" s="22">
        <v>102.41494788835357</v>
      </c>
      <c r="S6" s="22">
        <v>101.69313170508312</v>
      </c>
      <c r="T6" s="22">
        <v>102.18271193883336</v>
      </c>
      <c r="U6" s="22">
        <v>102.03900544558262</v>
      </c>
    </row>
    <row r="7" spans="1:21">
      <c r="A7" s="20" t="s">
        <v>153</v>
      </c>
      <c r="B7" s="20"/>
      <c r="C7" s="21">
        <f t="shared" si="0"/>
        <v>102.42272860844689</v>
      </c>
      <c r="D7" s="21">
        <f t="shared" si="0"/>
        <v>102.35543824601378</v>
      </c>
      <c r="E7" s="21">
        <f t="shared" si="1"/>
        <v>102.53473819669102</v>
      </c>
      <c r="F7" s="22">
        <v>102.37800938263588</v>
      </c>
      <c r="G7" s="22">
        <v>102.15356715871447</v>
      </c>
      <c r="H7" s="22">
        <v>103.07263804872271</v>
      </c>
      <c r="I7" s="22">
        <v>102.96888660232058</v>
      </c>
      <c r="J7" s="22">
        <v>101.785105215887</v>
      </c>
      <c r="K7" s="22">
        <v>102.2517633695953</v>
      </c>
      <c r="L7" s="22">
        <v>102.75997570723044</v>
      </c>
      <c r="M7" s="22">
        <v>103.3003795801695</v>
      </c>
      <c r="N7" s="22">
        <v>103.37385618829444</v>
      </c>
      <c r="O7" s="22">
        <v>101.27881035504738</v>
      </c>
      <c r="P7" s="22">
        <v>100.75509301165471</v>
      </c>
      <c r="Q7" s="22">
        <v>100.54662121627733</v>
      </c>
      <c r="R7" s="22">
        <v>101.96068033492165</v>
      </c>
      <c r="S7" s="22">
        <v>101.38943165936729</v>
      </c>
      <c r="T7" s="22">
        <v>100.88291301887192</v>
      </c>
      <c r="U7" s="22">
        <v>100.52233014823494</v>
      </c>
    </row>
    <row r="8" spans="1:21">
      <c r="A8" s="20" t="s">
        <v>154</v>
      </c>
      <c r="B8" s="20"/>
      <c r="C8" s="21">
        <f t="shared" si="0"/>
        <v>105.39079038108643</v>
      </c>
      <c r="D8" s="21">
        <f t="shared" si="0"/>
        <v>105.46302959369923</v>
      </c>
      <c r="E8" s="21">
        <f t="shared" si="1"/>
        <v>105.50324727877596</v>
      </c>
      <c r="F8" s="22">
        <v>105.20609427078411</v>
      </c>
      <c r="G8" s="22">
        <v>105.67974723153763</v>
      </c>
      <c r="H8" s="22">
        <v>105.62390033400615</v>
      </c>
      <c r="I8" s="22">
        <v>106.72316918237992</v>
      </c>
      <c r="J8" s="22">
        <v>105.7110692137488</v>
      </c>
      <c r="K8" s="22">
        <v>105.63271503129779</v>
      </c>
      <c r="L8" s="22">
        <v>106.48359133181921</v>
      </c>
      <c r="M8" s="22">
        <v>106.79155310781007</v>
      </c>
      <c r="N8" s="22">
        <v>106.92426984028323</v>
      </c>
      <c r="O8" s="22">
        <v>109.0443338857725</v>
      </c>
      <c r="P8" s="22">
        <v>109.54247231038299</v>
      </c>
      <c r="Q8" s="22">
        <v>109.72144905216243</v>
      </c>
      <c r="R8" s="22">
        <v>110.39302574641312</v>
      </c>
      <c r="S8" s="22">
        <v>108.855221118727</v>
      </c>
      <c r="T8" s="22">
        <v>108.30198462827543</v>
      </c>
      <c r="U8" s="22">
        <v>107.42634387046633</v>
      </c>
    </row>
    <row r="9" spans="1:21">
      <c r="A9" s="20" t="s">
        <v>155</v>
      </c>
      <c r="B9" s="20"/>
      <c r="C9" s="21">
        <f t="shared" si="0"/>
        <v>101.47328688822823</v>
      </c>
      <c r="D9" s="21">
        <f t="shared" si="0"/>
        <v>101.41806236531779</v>
      </c>
      <c r="E9" s="21">
        <f t="shared" si="1"/>
        <v>101.31311971642162</v>
      </c>
      <c r="F9" s="22">
        <v>101.68867858294529</v>
      </c>
      <c r="G9" s="22">
        <v>101.25238879658649</v>
      </c>
      <c r="H9" s="22">
        <v>100.99829176973307</v>
      </c>
      <c r="I9" s="22">
        <v>101.51616547191871</v>
      </c>
      <c r="J9" s="22">
        <v>101.16482699865514</v>
      </c>
      <c r="K9" s="22">
        <v>100.77921313983119</v>
      </c>
      <c r="L9" s="22">
        <v>100.58364739433647</v>
      </c>
      <c r="M9" s="22">
        <v>101.82209866862495</v>
      </c>
      <c r="N9" s="22">
        <v>101.88437411299842</v>
      </c>
      <c r="O9" s="22">
        <v>101.96779827204996</v>
      </c>
      <c r="P9" s="22">
        <v>102.45953688820826</v>
      </c>
      <c r="Q9" s="22">
        <v>103.48015167730564</v>
      </c>
      <c r="R9" s="22">
        <v>103.31093119480828</v>
      </c>
      <c r="S9" s="22">
        <v>103.61293764311166</v>
      </c>
      <c r="T9" s="22">
        <v>104.99030461044141</v>
      </c>
      <c r="U9" s="22">
        <v>105.90295907666976</v>
      </c>
    </row>
    <row r="10" spans="1:21">
      <c r="A10" s="20" t="s">
        <v>156</v>
      </c>
      <c r="B10" s="20"/>
      <c r="C10" s="21">
        <f t="shared" si="0"/>
        <v>99.21873943589965</v>
      </c>
      <c r="D10" s="21">
        <f t="shared" si="0"/>
        <v>99.1886283299973</v>
      </c>
      <c r="E10" s="21">
        <f t="shared" si="1"/>
        <v>99.15364963061063</v>
      </c>
      <c r="F10" s="22">
        <v>99.313940347091005</v>
      </c>
      <c r="G10" s="22">
        <v>99.098295012290265</v>
      </c>
      <c r="H10" s="22">
        <v>99.04871353245062</v>
      </c>
      <c r="I10" s="22">
        <v>99.189565775785056</v>
      </c>
      <c r="J10" s="22">
        <v>97.883454992755119</v>
      </c>
      <c r="K10" s="22">
        <v>97.715860374438122</v>
      </c>
      <c r="L10" s="22">
        <v>97.445178897676882</v>
      </c>
      <c r="M10" s="22">
        <v>98.22799193307084</v>
      </c>
      <c r="N10" s="22">
        <v>98.183617990919572</v>
      </c>
      <c r="O10" s="22">
        <v>98.006389408385829</v>
      </c>
      <c r="P10" s="22">
        <v>98.178166306139119</v>
      </c>
      <c r="Q10" s="22">
        <v>98.939148955151211</v>
      </c>
      <c r="R10" s="22">
        <v>98.700353595061358</v>
      </c>
      <c r="S10" s="22">
        <v>98.721860733556142</v>
      </c>
      <c r="T10" s="22">
        <v>98.574786498750896</v>
      </c>
      <c r="U10" s="22">
        <v>99.084516022008245</v>
      </c>
    </row>
    <row r="11" spans="1:21">
      <c r="A11" s="20" t="s">
        <v>157</v>
      </c>
      <c r="B11" s="20"/>
      <c r="C11" s="21">
        <f t="shared" si="0"/>
        <v>103.2985874218205</v>
      </c>
      <c r="D11" s="21">
        <f t="shared" si="0"/>
        <v>103.23202152539234</v>
      </c>
      <c r="E11" s="21">
        <f t="shared" si="1"/>
        <v>103.20010324436009</v>
      </c>
      <c r="F11" s="22">
        <v>103.46363749570908</v>
      </c>
      <c r="G11" s="22">
        <v>103.03232383610785</v>
      </c>
      <c r="H11" s="22">
        <v>103.10434840126335</v>
      </c>
      <c r="I11" s="22">
        <v>102.968428895519</v>
      </c>
      <c r="J11" s="22">
        <v>100.83987594241893</v>
      </c>
      <c r="K11" s="22">
        <v>100.99567696847099</v>
      </c>
      <c r="L11" s="22">
        <v>100.85543616668309</v>
      </c>
      <c r="M11" s="22">
        <v>100.85632166079009</v>
      </c>
      <c r="N11" s="22">
        <v>100.97714850460555</v>
      </c>
      <c r="O11" s="22">
        <v>101.99157496080342</v>
      </c>
      <c r="P11" s="22">
        <v>102.07110131648432</v>
      </c>
      <c r="Q11" s="22">
        <v>102.0398607352727</v>
      </c>
      <c r="R11" s="22">
        <v>103.43089253703756</v>
      </c>
      <c r="S11" s="22">
        <v>103.72430850304106</v>
      </c>
      <c r="T11" s="22">
        <v>104.21707005029205</v>
      </c>
      <c r="U11" s="22">
        <v>106.03405915381211</v>
      </c>
    </row>
    <row r="12" spans="1:21">
      <c r="A12" s="20" t="s">
        <v>158</v>
      </c>
      <c r="B12" s="20"/>
      <c r="C12" s="21">
        <f t="shared" si="0"/>
        <v>104.66486035886318</v>
      </c>
      <c r="D12" s="21">
        <f t="shared" si="0"/>
        <v>104.6417966441628</v>
      </c>
      <c r="E12" s="21">
        <f t="shared" si="1"/>
        <v>104.53260956481097</v>
      </c>
      <c r="F12" s="22">
        <v>104.82017486761579</v>
      </c>
      <c r="G12" s="22">
        <v>104.57260550006164</v>
      </c>
      <c r="H12" s="22">
        <v>104.2050483267555</v>
      </c>
      <c r="I12" s="22">
        <v>103.83734991948465</v>
      </c>
      <c r="J12" s="22">
        <v>103.70970555989479</v>
      </c>
      <c r="K12" s="22">
        <v>103.82971055994574</v>
      </c>
      <c r="L12" s="22">
        <v>103.78226042649825</v>
      </c>
      <c r="M12" s="22">
        <v>103.8879224572738</v>
      </c>
      <c r="N12" s="22">
        <v>103.57776454861994</v>
      </c>
      <c r="O12" s="22">
        <v>104.14297941490578</v>
      </c>
      <c r="P12" s="22">
        <v>103.81115189699304</v>
      </c>
      <c r="Q12" s="22">
        <v>103.35674838213387</v>
      </c>
      <c r="R12" s="22">
        <v>103.19541445139863</v>
      </c>
      <c r="S12" s="22">
        <v>102.87408082162943</v>
      </c>
      <c r="T12" s="22">
        <v>103.07749447069375</v>
      </c>
      <c r="U12" s="22">
        <v>103.39414514267398</v>
      </c>
    </row>
    <row r="13" spans="1:21">
      <c r="A13" s="20" t="s">
        <v>159</v>
      </c>
      <c r="B13" s="20"/>
      <c r="C13" s="21">
        <f t="shared" si="0"/>
        <v>105.44868573419001</v>
      </c>
      <c r="D13" s="21">
        <f t="shared" si="0"/>
        <v>105.54149979413211</v>
      </c>
      <c r="E13" s="21">
        <f t="shared" si="1"/>
        <v>105.77932754560602</v>
      </c>
      <c r="F13" s="22">
        <v>105.02522986283192</v>
      </c>
      <c r="G13" s="22">
        <v>105.81994197395839</v>
      </c>
      <c r="H13" s="22">
        <v>106.4928108000278</v>
      </c>
      <c r="I13" s="22">
        <v>105.9934659377376</v>
      </c>
      <c r="J13" s="22">
        <v>105.78386330688083</v>
      </c>
      <c r="K13" s="22">
        <v>105.77642437808605</v>
      </c>
      <c r="L13" s="22">
        <v>107.03027070951423</v>
      </c>
      <c r="M13" s="22">
        <v>107.06421129903801</v>
      </c>
      <c r="N13" s="22">
        <v>107.69383018931207</v>
      </c>
      <c r="O13" s="22">
        <v>106.61986253703711</v>
      </c>
      <c r="P13" s="22">
        <v>105.64422361159951</v>
      </c>
      <c r="Q13" s="22">
        <v>102.7446206355652</v>
      </c>
      <c r="R13" s="22">
        <v>102.48410876019834</v>
      </c>
      <c r="S13" s="22">
        <v>101.21053805866616</v>
      </c>
      <c r="T13" s="22">
        <v>101.99381399530387</v>
      </c>
      <c r="U13" s="22">
        <v>102.06721896799282</v>
      </c>
    </row>
    <row r="14" spans="1:21">
      <c r="A14" s="20" t="s">
        <v>160</v>
      </c>
      <c r="B14" s="20"/>
      <c r="C14" s="21">
        <f t="shared" si="0"/>
        <v>96.647947168702672</v>
      </c>
      <c r="D14" s="21">
        <f t="shared" si="0"/>
        <v>96.56735055355108</v>
      </c>
      <c r="E14" s="21">
        <f t="shared" si="1"/>
        <v>96.493968903132554</v>
      </c>
      <c r="F14" s="22">
        <v>96.882522049424352</v>
      </c>
      <c r="G14" s="22">
        <v>96.325560708096319</v>
      </c>
      <c r="H14" s="22">
        <v>96.273823951877006</v>
      </c>
      <c r="I14" s="22">
        <v>96.064095490750532</v>
      </c>
      <c r="J14" s="22">
        <v>96.809316830996224</v>
      </c>
      <c r="K14" s="22">
        <v>96.716759551045968</v>
      </c>
      <c r="L14" s="22">
        <v>96.078898394389014</v>
      </c>
      <c r="M14" s="22">
        <v>96.020712173658083</v>
      </c>
      <c r="N14" s="22">
        <v>95.727539789165988</v>
      </c>
      <c r="O14" s="22">
        <v>98.997268599893133</v>
      </c>
      <c r="P14" s="22">
        <v>98.169336756811703</v>
      </c>
      <c r="Q14" s="22">
        <v>98.130560460101833</v>
      </c>
      <c r="R14" s="22">
        <v>97.698700592330809</v>
      </c>
      <c r="S14" s="22">
        <v>97.517774641748247</v>
      </c>
      <c r="T14" s="22">
        <v>96.025732850974208</v>
      </c>
      <c r="U14" s="22">
        <v>96.669082637649055</v>
      </c>
    </row>
    <row r="15" spans="1:21">
      <c r="A15" s="20" t="s">
        <v>161</v>
      </c>
      <c r="B15" s="20"/>
      <c r="C15" s="21">
        <f t="shared" si="0"/>
        <v>103.91403054488232</v>
      </c>
      <c r="D15" s="21">
        <f t="shared" si="0"/>
        <v>103.93652818987876</v>
      </c>
      <c r="E15" s="21">
        <f t="shared" si="1"/>
        <v>103.81058327663935</v>
      </c>
      <c r="F15" s="22">
        <v>103.99498016812885</v>
      </c>
      <c r="G15" s="22">
        <v>104.00402112486806</v>
      </c>
      <c r="H15" s="22">
        <v>103.43274853692112</v>
      </c>
      <c r="I15" s="22">
        <v>103.11211825473418</v>
      </c>
      <c r="J15" s="22">
        <v>102.07729590540866</v>
      </c>
      <c r="K15" s="22">
        <v>101.98759377576553</v>
      </c>
      <c r="L15" s="22">
        <v>101.99537582679004</v>
      </c>
      <c r="M15" s="22">
        <v>101.65962668611921</v>
      </c>
      <c r="N15" s="22">
        <v>101.59600710421395</v>
      </c>
      <c r="O15" s="22">
        <v>101.25312313382634</v>
      </c>
      <c r="P15" s="22">
        <v>101.74026353269588</v>
      </c>
      <c r="Q15" s="22">
        <v>102.45522175715713</v>
      </c>
      <c r="R15" s="22">
        <v>102.22372165140148</v>
      </c>
      <c r="S15" s="22">
        <v>103.26011145357268</v>
      </c>
      <c r="T15" s="22">
        <v>105.16358026105897</v>
      </c>
      <c r="U15" s="22">
        <v>106.10763276109573</v>
      </c>
    </row>
    <row r="16" spans="1:21">
      <c r="A16" s="20" t="s">
        <v>162</v>
      </c>
      <c r="B16" s="20"/>
      <c r="C16" s="21">
        <f t="shared" si="0"/>
        <v>99.347732765042565</v>
      </c>
      <c r="D16" s="21">
        <f t="shared" si="0"/>
        <v>99.497011627703117</v>
      </c>
      <c r="E16" s="21">
        <f t="shared" si="1"/>
        <v>99.477003057813178</v>
      </c>
      <c r="F16" s="22">
        <v>99.069183609611372</v>
      </c>
      <c r="G16" s="22">
        <v>99.944848215684843</v>
      </c>
      <c r="H16" s="22">
        <v>99.416977348143305</v>
      </c>
      <c r="I16" s="22">
        <v>99.172057754224824</v>
      </c>
      <c r="J16" s="22">
        <v>100.5031454507149</v>
      </c>
      <c r="K16" s="22">
        <v>100.84249733899829</v>
      </c>
      <c r="L16" s="22">
        <v>100.25528325615105</v>
      </c>
      <c r="M16" s="22">
        <v>100.599779285797</v>
      </c>
      <c r="N16" s="22">
        <v>101.44445013870383</v>
      </c>
      <c r="O16" s="22">
        <v>101.37970560805212</v>
      </c>
      <c r="P16" s="22">
        <v>101.10913964491535</v>
      </c>
      <c r="Q16" s="22">
        <v>101.9152865318496</v>
      </c>
      <c r="R16" s="22">
        <v>101.90464012921092</v>
      </c>
      <c r="S16" s="22">
        <v>100.71534717486601</v>
      </c>
      <c r="T16" s="22">
        <v>100.94175808746925</v>
      </c>
      <c r="U16" s="22">
        <v>101.48306055905871</v>
      </c>
    </row>
    <row r="17" spans="1:21">
      <c r="A17" s="20" t="s">
        <v>163</v>
      </c>
      <c r="B17" s="20"/>
      <c r="C17" s="21">
        <f t="shared" si="0"/>
        <v>95.126519372904127</v>
      </c>
      <c r="D17" s="21">
        <f t="shared" si="0"/>
        <v>95.234077387292814</v>
      </c>
      <c r="E17" s="21">
        <f t="shared" si="1"/>
        <v>95.287543312154526</v>
      </c>
      <c r="F17" s="22">
        <v>94.857937419265056</v>
      </c>
      <c r="G17" s="22">
        <v>95.556751430458874</v>
      </c>
      <c r="H17" s="22">
        <v>95.447941086739633</v>
      </c>
      <c r="I17" s="22">
        <v>95.755272649819261</v>
      </c>
      <c r="J17" s="22">
        <v>96.334460094925618</v>
      </c>
      <c r="K17" s="22">
        <v>95.901930439342621</v>
      </c>
      <c r="L17" s="22">
        <v>95.223937525810655</v>
      </c>
      <c r="M17" s="22">
        <v>95.212190912338173</v>
      </c>
      <c r="N17" s="22">
        <v>95.097392286602144</v>
      </c>
      <c r="O17" s="22">
        <v>94.19527970483685</v>
      </c>
      <c r="P17" s="22">
        <v>94.54413881359973</v>
      </c>
      <c r="Q17" s="22">
        <v>94.417450737155917</v>
      </c>
      <c r="R17" s="22">
        <v>93.498495058547448</v>
      </c>
      <c r="S17" s="22">
        <v>93.347159923278284</v>
      </c>
      <c r="T17" s="22">
        <v>93.574631272091068</v>
      </c>
      <c r="U17" s="22">
        <v>92.692435088191601</v>
      </c>
    </row>
    <row r="18" spans="1:21">
      <c r="A18" s="20" t="s">
        <v>164</v>
      </c>
      <c r="B18" s="20"/>
      <c r="C18" s="21">
        <f t="shared" si="0"/>
        <v>95.411830869022467</v>
      </c>
      <c r="D18" s="21">
        <f t="shared" si="0"/>
        <v>95.463842182985175</v>
      </c>
      <c r="E18" s="21">
        <f t="shared" si="1"/>
        <v>95.500268269679665</v>
      </c>
      <c r="F18" s="22">
        <v>95.271382154402545</v>
      </c>
      <c r="G18" s="22">
        <v>95.619876124873343</v>
      </c>
      <c r="H18" s="22">
        <v>95.609546529763108</v>
      </c>
      <c r="I18" s="22">
        <v>95.762946600114503</v>
      </c>
      <c r="J18" s="22">
        <v>96.47386571441244</v>
      </c>
      <c r="K18" s="22">
        <v>96.551853422091341</v>
      </c>
      <c r="L18" s="22">
        <v>96.101985497163895</v>
      </c>
      <c r="M18" s="22">
        <v>95.82955758626106</v>
      </c>
      <c r="N18" s="22">
        <v>95.504107008002862</v>
      </c>
      <c r="O18" s="22">
        <v>95.590349463757136</v>
      </c>
      <c r="P18" s="22">
        <v>95.041149511337707</v>
      </c>
      <c r="Q18" s="22">
        <v>95.353796061938681</v>
      </c>
      <c r="R18" s="22">
        <v>94.686338378801409</v>
      </c>
      <c r="S18" s="22">
        <v>95.61511679077519</v>
      </c>
      <c r="T18" s="22">
        <v>96.024181343990449</v>
      </c>
      <c r="U18" s="22">
        <v>96.734880458026325</v>
      </c>
    </row>
    <row r="19" spans="1:21">
      <c r="A19" s="20" t="s">
        <v>165</v>
      </c>
      <c r="B19" s="20"/>
      <c r="C19" s="21">
        <f t="shared" si="0"/>
        <v>97.332412632815576</v>
      </c>
      <c r="D19" s="21">
        <f t="shared" si="0"/>
        <v>97.350984252223554</v>
      </c>
      <c r="E19" s="21">
        <f t="shared" si="1"/>
        <v>97.432469087098013</v>
      </c>
      <c r="F19" s="22">
        <v>97.213784559125131</v>
      </c>
      <c r="G19" s="22">
        <v>97.406699110447519</v>
      </c>
      <c r="H19" s="22">
        <v>97.676923591721405</v>
      </c>
      <c r="I19" s="22">
        <v>97.658025164144007</v>
      </c>
      <c r="J19" s="22">
        <v>97.307280721236879</v>
      </c>
      <c r="K19" s="22">
        <v>97.390728201896479</v>
      </c>
      <c r="L19" s="22">
        <v>97.253567163555843</v>
      </c>
      <c r="M19" s="22">
        <v>97.587902882286045</v>
      </c>
      <c r="N19" s="22">
        <v>97.384559863798586</v>
      </c>
      <c r="O19" s="22">
        <v>97.151690108700734</v>
      </c>
      <c r="P19" s="22">
        <v>96.821458209611777</v>
      </c>
      <c r="Q19" s="22">
        <v>96.566991442006483</v>
      </c>
      <c r="R19" s="22">
        <v>96.411978632385242</v>
      </c>
      <c r="S19" s="22">
        <v>97.045708462565557</v>
      </c>
      <c r="T19" s="22">
        <v>96.704901479354078</v>
      </c>
      <c r="U19" s="22">
        <v>97.451203946278397</v>
      </c>
    </row>
    <row r="20" spans="1:21">
      <c r="A20" s="20" t="s">
        <v>166</v>
      </c>
      <c r="B20" s="20"/>
      <c r="C20" s="21">
        <f t="shared" si="0"/>
        <v>100.62465694029838</v>
      </c>
      <c r="D20" s="21">
        <f t="shared" si="0"/>
        <v>100.38090097244849</v>
      </c>
      <c r="E20" s="21">
        <f t="shared" si="1"/>
        <v>100.02648889428848</v>
      </c>
      <c r="F20" s="22">
        <v>101.46658095415813</v>
      </c>
      <c r="G20" s="22">
        <v>99.649633068898851</v>
      </c>
      <c r="H20" s="22">
        <v>98.963252659808418</v>
      </c>
      <c r="I20" s="22">
        <v>99.492423083219137</v>
      </c>
      <c r="J20" s="22">
        <v>98.995664502185505</v>
      </c>
      <c r="K20" s="22">
        <v>99.238249897536591</v>
      </c>
      <c r="L20" s="22">
        <v>99.935743832754369</v>
      </c>
      <c r="M20" s="22">
        <v>100.05659725757423</v>
      </c>
      <c r="N20" s="22">
        <v>100.08145404937051</v>
      </c>
      <c r="O20" s="22">
        <v>99.799714622590969</v>
      </c>
      <c r="P20" s="22">
        <v>100.0140049363289</v>
      </c>
      <c r="Q20" s="22">
        <v>99.693718822751848</v>
      </c>
      <c r="R20" s="22">
        <v>99.449663931694417</v>
      </c>
      <c r="S20" s="22">
        <v>99.737616928478516</v>
      </c>
      <c r="T20" s="22">
        <v>99.809745799161647</v>
      </c>
      <c r="U20" s="22">
        <v>100.56937304531078</v>
      </c>
    </row>
    <row r="21" spans="1:21">
      <c r="A21" s="20" t="s">
        <v>167</v>
      </c>
      <c r="B21" s="20"/>
      <c r="C21" s="21">
        <f t="shared" si="0"/>
        <v>97.573625017613836</v>
      </c>
      <c r="D21" s="21">
        <f t="shared" si="0"/>
        <v>97.545669998313883</v>
      </c>
      <c r="E21" s="21">
        <f t="shared" si="1"/>
        <v>97.544053598653207</v>
      </c>
      <c r="F21" s="22">
        <v>97.631151455874459</v>
      </c>
      <c r="G21" s="22">
        <v>97.461804940413955</v>
      </c>
      <c r="H21" s="22">
        <v>97.539204399671235</v>
      </c>
      <c r="I21" s="22">
        <v>98.209354816006368</v>
      </c>
      <c r="J21" s="22">
        <v>98.065727843391528</v>
      </c>
      <c r="K21" s="22">
        <v>97.325215246788943</v>
      </c>
      <c r="L21" s="22">
        <v>97.667305818921747</v>
      </c>
      <c r="M21" s="22">
        <v>97.927566474902775</v>
      </c>
      <c r="N21" s="22">
        <v>98.109526200471848</v>
      </c>
      <c r="O21" s="22">
        <v>98.005602008987964</v>
      </c>
      <c r="P21" s="22">
        <v>97.839205992465168</v>
      </c>
      <c r="Q21" s="22">
        <v>98.200263246888198</v>
      </c>
      <c r="R21" s="22">
        <v>97.377849035414783</v>
      </c>
      <c r="S21" s="22">
        <v>97.485558615967022</v>
      </c>
      <c r="T21" s="22">
        <v>97.823795055471919</v>
      </c>
      <c r="U21" s="22">
        <v>98.549525927683391</v>
      </c>
    </row>
    <row r="22" spans="1:21">
      <c r="A22" s="20" t="s">
        <v>168</v>
      </c>
      <c r="B22" s="20"/>
      <c r="C22" s="21">
        <f t="shared" ref="C22:D30" si="2">AVERAGE(D22:F22)</f>
        <v>97.858488518399781</v>
      </c>
      <c r="D22" s="21">
        <f t="shared" si="2"/>
        <v>97.811730884261593</v>
      </c>
      <c r="E22" s="21">
        <f t="shared" si="1"/>
        <v>97.760112574615633</v>
      </c>
      <c r="F22" s="22">
        <v>98.003622096322147</v>
      </c>
      <c r="G22" s="22">
        <v>97.671457981847041</v>
      </c>
      <c r="H22" s="22">
        <v>97.605257645677739</v>
      </c>
      <c r="I22" s="22">
        <v>97.424599631227537</v>
      </c>
      <c r="J22" s="22">
        <v>97.663077311485878</v>
      </c>
      <c r="K22" s="22">
        <v>97.716387546602149</v>
      </c>
      <c r="L22" s="22">
        <v>98.153387690587806</v>
      </c>
      <c r="M22" s="22">
        <v>98.234258781184437</v>
      </c>
      <c r="N22" s="22">
        <v>98.367860745318751</v>
      </c>
      <c r="O22" s="22">
        <v>99.212535626169412</v>
      </c>
      <c r="P22" s="22">
        <v>99.133636278815047</v>
      </c>
      <c r="Q22" s="22">
        <v>99.193599928196875</v>
      </c>
      <c r="R22" s="22">
        <v>99.150404489781565</v>
      </c>
      <c r="S22" s="22">
        <v>99.54785439881087</v>
      </c>
      <c r="T22" s="22">
        <v>100.60544862052922</v>
      </c>
      <c r="U22" s="22">
        <v>100.09559121214672</v>
      </c>
    </row>
    <row r="23" spans="1:21">
      <c r="A23" s="20" t="s">
        <v>169</v>
      </c>
      <c r="B23" s="20"/>
      <c r="C23" s="21">
        <f t="shared" si="2"/>
        <v>103.17451385457957</v>
      </c>
      <c r="D23" s="21">
        <f t="shared" si="2"/>
        <v>103.19131016580582</v>
      </c>
      <c r="E23" s="21">
        <f t="shared" si="1"/>
        <v>103.30869650361528</v>
      </c>
      <c r="F23" s="22">
        <v>103.02353489431759</v>
      </c>
      <c r="G23" s="22">
        <v>103.24169909948459</v>
      </c>
      <c r="H23" s="22">
        <v>103.66085551704364</v>
      </c>
      <c r="I23" s="22">
        <v>103.6136330279454</v>
      </c>
      <c r="J23" s="22">
        <v>103.08083937387822</v>
      </c>
      <c r="K23" s="22">
        <v>103.0326190828069</v>
      </c>
      <c r="L23" s="22">
        <v>102.92647608603119</v>
      </c>
      <c r="M23" s="22">
        <v>102.55824469213606</v>
      </c>
      <c r="N23" s="22">
        <v>102.77969385220752</v>
      </c>
      <c r="O23" s="22">
        <v>102.31618417420039</v>
      </c>
      <c r="P23" s="22">
        <v>102.5193042466839</v>
      </c>
      <c r="Q23" s="22">
        <v>103.29510981569439</v>
      </c>
      <c r="R23" s="22">
        <v>103.34557390305608</v>
      </c>
      <c r="S23" s="22">
        <v>104.42945521352004</v>
      </c>
      <c r="T23" s="22">
        <v>105.31678399103694</v>
      </c>
      <c r="U23" s="22">
        <v>105.1527295670564</v>
      </c>
    </row>
    <row r="24" spans="1:21">
      <c r="A24" s="20" t="s">
        <v>170</v>
      </c>
      <c r="B24" s="20"/>
      <c r="C24" s="21">
        <f t="shared" si="2"/>
        <v>97.984917393923695</v>
      </c>
      <c r="D24" s="21">
        <f t="shared" si="2"/>
        <v>97.918778068968564</v>
      </c>
      <c r="E24" s="21">
        <f t="shared" si="1"/>
        <v>97.912912994690956</v>
      </c>
      <c r="F24" s="22">
        <v>98.123061118111551</v>
      </c>
      <c r="G24" s="22">
        <v>97.720360094103185</v>
      </c>
      <c r="H24" s="22">
        <v>97.895317771858132</v>
      </c>
      <c r="I24" s="22">
        <v>98.537967444753463</v>
      </c>
      <c r="J24" s="22">
        <v>99.334088313811591</v>
      </c>
      <c r="K24" s="22">
        <v>99.125119350414238</v>
      </c>
      <c r="L24" s="22">
        <v>98.790856309034481</v>
      </c>
      <c r="M24" s="22">
        <v>97.417878859756073</v>
      </c>
      <c r="N24" s="22">
        <v>97.452439777707283</v>
      </c>
      <c r="O24" s="22">
        <v>98.227494012905652</v>
      </c>
      <c r="P24" s="22">
        <v>98.346644414292527</v>
      </c>
      <c r="Q24" s="22">
        <v>98.308253316589244</v>
      </c>
      <c r="R24" s="22">
        <v>98.678204703897748</v>
      </c>
      <c r="S24" s="22">
        <v>99.010104026536283</v>
      </c>
      <c r="T24" s="22">
        <v>98.631608119968661</v>
      </c>
      <c r="U24" s="22">
        <v>97.918118470061458</v>
      </c>
    </row>
    <row r="25" spans="1:21">
      <c r="A25" s="20" t="s">
        <v>171</v>
      </c>
      <c r="B25" s="20"/>
      <c r="C25" s="21">
        <f t="shared" si="2"/>
        <v>96.553937832592297</v>
      </c>
      <c r="D25" s="21">
        <f t="shared" si="2"/>
        <v>96.397079443675196</v>
      </c>
      <c r="E25" s="21">
        <f t="shared" si="1"/>
        <v>96.458468015292453</v>
      </c>
      <c r="F25" s="22">
        <v>96.80626603880927</v>
      </c>
      <c r="G25" s="22">
        <v>95.926504276923893</v>
      </c>
      <c r="H25" s="22">
        <v>96.642633730144212</v>
      </c>
      <c r="I25" s="22">
        <v>96.953052984882191</v>
      </c>
      <c r="J25" s="22">
        <v>96.402544782400128</v>
      </c>
      <c r="K25" s="22">
        <v>96.081503958255951</v>
      </c>
      <c r="L25" s="22">
        <v>95.680136118782698</v>
      </c>
      <c r="M25" s="22">
        <v>95.074186381660255</v>
      </c>
      <c r="N25" s="22">
        <v>94.916094466830884</v>
      </c>
      <c r="O25" s="22">
        <v>93.492799099944563</v>
      </c>
      <c r="P25" s="22">
        <v>93.335348503614142</v>
      </c>
      <c r="Q25" s="22">
        <v>93.786539374851941</v>
      </c>
      <c r="R25" s="22">
        <v>93.347050130031946</v>
      </c>
      <c r="S25" s="22">
        <v>94.011648278569496</v>
      </c>
      <c r="T25" s="22">
        <v>93.066657523852101</v>
      </c>
      <c r="U25" s="22">
        <v>92.33706290316816</v>
      </c>
    </row>
    <row r="26" spans="1:21">
      <c r="A26" s="20" t="s">
        <v>172</v>
      </c>
      <c r="B26" s="20"/>
      <c r="C26" s="21">
        <f t="shared" si="2"/>
        <v>96.567756532922161</v>
      </c>
      <c r="D26" s="21">
        <f t="shared" si="2"/>
        <v>96.576044121644387</v>
      </c>
      <c r="E26" s="21">
        <f t="shared" si="1"/>
        <v>96.66150244181182</v>
      </c>
      <c r="F26" s="22">
        <v>96.465723035310276</v>
      </c>
      <c r="G26" s="22">
        <v>96.600906887811092</v>
      </c>
      <c r="H26" s="22">
        <v>96.917877402314105</v>
      </c>
      <c r="I26" s="22">
        <v>97.233749996846811</v>
      </c>
      <c r="J26" s="22">
        <v>98.550752646782357</v>
      </c>
      <c r="K26" s="22">
        <v>98.699423674192175</v>
      </c>
      <c r="L26" s="22">
        <v>98.741769097282202</v>
      </c>
      <c r="M26" s="22">
        <v>97.886716603233836</v>
      </c>
      <c r="N26" s="22">
        <v>97.800058272238459</v>
      </c>
      <c r="O26" s="22">
        <v>97.508052368661609</v>
      </c>
      <c r="P26" s="22">
        <v>97.343700675228419</v>
      </c>
      <c r="Q26" s="22">
        <v>96.495160949916041</v>
      </c>
      <c r="R26" s="22">
        <v>95.132778610042664</v>
      </c>
      <c r="S26" s="22">
        <v>96.471340936324893</v>
      </c>
      <c r="T26" s="22">
        <v>94.499647169282696</v>
      </c>
      <c r="U26" s="22">
        <v>94.348472933253532</v>
      </c>
    </row>
    <row r="27" spans="1:21">
      <c r="A27" s="20" t="s">
        <v>173</v>
      </c>
      <c r="B27" s="20"/>
      <c r="C27" s="21">
        <f t="shared" si="2"/>
        <v>97.59484102494747</v>
      </c>
      <c r="D27" s="21">
        <f t="shared" si="2"/>
        <v>97.749863504969071</v>
      </c>
      <c r="E27" s="21">
        <f t="shared" si="1"/>
        <v>97.991032400684063</v>
      </c>
      <c r="F27" s="22">
        <v>97.043627169189264</v>
      </c>
      <c r="G27" s="22">
        <v>98.214930945033871</v>
      </c>
      <c r="H27" s="22">
        <v>98.714539087829053</v>
      </c>
      <c r="I27" s="22">
        <v>97.779229886142986</v>
      </c>
      <c r="J27" s="22">
        <v>97.797910791956824</v>
      </c>
      <c r="K27" s="22">
        <v>97.870906076927753</v>
      </c>
      <c r="L27" s="22">
        <v>97.733582013931709</v>
      </c>
      <c r="M27" s="22">
        <v>97.397486013579325</v>
      </c>
      <c r="N27" s="22">
        <v>97.097055468224539</v>
      </c>
      <c r="O27" s="22">
        <v>95.185624011426597</v>
      </c>
      <c r="P27" s="22">
        <v>95.720840680544768</v>
      </c>
      <c r="Q27" s="22">
        <v>95.960505979098798</v>
      </c>
      <c r="R27" s="22">
        <v>96.047342064838716</v>
      </c>
      <c r="S27" s="22">
        <v>96.026009057953104</v>
      </c>
      <c r="T27" s="22">
        <v>95.21957923117202</v>
      </c>
      <c r="U27" s="22">
        <v>94.677402432947432</v>
      </c>
    </row>
    <row r="28" spans="1:21">
      <c r="A28" s="20" t="s">
        <v>174</v>
      </c>
      <c r="B28" s="20"/>
      <c r="C28" s="21">
        <f t="shared" si="2"/>
        <v>96.616204781380702</v>
      </c>
      <c r="D28" s="21">
        <f t="shared" si="2"/>
        <v>96.697382896764637</v>
      </c>
      <c r="E28" s="21">
        <f t="shared" si="1"/>
        <v>96.603281416099108</v>
      </c>
      <c r="F28" s="22">
        <v>96.547950031278333</v>
      </c>
      <c r="G28" s="22">
        <v>96.940917242916527</v>
      </c>
      <c r="H28" s="22">
        <v>96.320976974102493</v>
      </c>
      <c r="I28" s="22">
        <v>96.434568044203189</v>
      </c>
      <c r="J28" s="22">
        <v>96.649718693926573</v>
      </c>
      <c r="K28" s="22">
        <v>97.539078491568404</v>
      </c>
      <c r="L28" s="22">
        <v>97.397753008410817</v>
      </c>
      <c r="M28" s="22">
        <v>97.962849457477745</v>
      </c>
      <c r="N28" s="22">
        <v>98.013112280680531</v>
      </c>
      <c r="O28" s="22">
        <v>97.635137107931726</v>
      </c>
      <c r="P28" s="22">
        <v>97.181283399919522</v>
      </c>
      <c r="Q28" s="22">
        <v>97.0108633355769</v>
      </c>
      <c r="R28" s="22">
        <v>97.04238832117332</v>
      </c>
      <c r="S28" s="22">
        <v>96.244114343993431</v>
      </c>
      <c r="T28" s="22">
        <v>95.698602604496685</v>
      </c>
      <c r="U28" s="22">
        <v>95.389365275574789</v>
      </c>
    </row>
    <row r="29" spans="1:21">
      <c r="A29" s="20" t="s">
        <v>175</v>
      </c>
      <c r="B29" s="20"/>
      <c r="C29" s="21">
        <f t="shared" si="2"/>
        <v>95.718400529677751</v>
      </c>
      <c r="D29" s="21">
        <f t="shared" si="2"/>
        <v>95.769859645808552</v>
      </c>
      <c r="E29" s="21">
        <f t="shared" si="1"/>
        <v>95.832770103578866</v>
      </c>
      <c r="F29" s="22">
        <v>95.552571839645879</v>
      </c>
      <c r="G29" s="22">
        <v>95.924236994200911</v>
      </c>
      <c r="H29" s="22">
        <v>96.02150147688981</v>
      </c>
      <c r="I29" s="22">
        <v>95.554154891746165</v>
      </c>
      <c r="J29" s="22">
        <v>96.400514266827713</v>
      </c>
      <c r="K29" s="22">
        <v>96.452018420791916</v>
      </c>
      <c r="L29" s="22">
        <v>96.432942437761753</v>
      </c>
      <c r="M29" s="22">
        <v>96.286068257545182</v>
      </c>
      <c r="N29" s="22">
        <v>96.205273904528624</v>
      </c>
      <c r="O29" s="22">
        <v>95.880123416967308</v>
      </c>
      <c r="P29" s="22">
        <v>96.249828024422129</v>
      </c>
      <c r="Q29" s="22">
        <v>97.100484435087651</v>
      </c>
      <c r="R29" s="22">
        <v>97.05443386302052</v>
      </c>
      <c r="S29" s="22">
        <v>97.979575788619627</v>
      </c>
      <c r="T29" s="22">
        <v>98.101084611240481</v>
      </c>
      <c r="U29" s="22">
        <v>96.903445249016144</v>
      </c>
    </row>
    <row r="30" spans="1:21" ht="17" thickBot="1">
      <c r="A30" s="23" t="s">
        <v>176</v>
      </c>
      <c r="B30" s="23"/>
      <c r="C30" s="24">
        <f t="shared" si="2"/>
        <v>93.341036253873554</v>
      </c>
      <c r="D30" s="24">
        <f t="shared" si="2"/>
        <v>93.418275168542564</v>
      </c>
      <c r="E30" s="24">
        <f t="shared" si="1"/>
        <v>93.307900185550167</v>
      </c>
      <c r="F30" s="25">
        <v>93.296933407527945</v>
      </c>
      <c r="G30" s="25">
        <v>93.649991912549595</v>
      </c>
      <c r="H30" s="25">
        <v>92.976775236572934</v>
      </c>
      <c r="I30" s="25">
        <v>91.881943967214013</v>
      </c>
      <c r="J30" s="25">
        <v>94.378887833552199</v>
      </c>
      <c r="K30" s="25">
        <v>93.886842042569057</v>
      </c>
      <c r="L30" s="25">
        <v>92.684873146886815</v>
      </c>
      <c r="M30" s="25">
        <v>92.784312039554138</v>
      </c>
      <c r="N30" s="25">
        <v>92.870497237383304</v>
      </c>
      <c r="O30" s="25">
        <v>93.607723529617829</v>
      </c>
      <c r="P30" s="25">
        <v>94.961274619152221</v>
      </c>
      <c r="Q30" s="25">
        <v>94.875911553050841</v>
      </c>
      <c r="R30" s="25">
        <v>95.7438401389483</v>
      </c>
      <c r="S30" s="25">
        <v>95.748006369869429</v>
      </c>
      <c r="T30" s="25">
        <v>94.67683956793239</v>
      </c>
      <c r="U30" s="25">
        <v>93.838857482405331</v>
      </c>
    </row>
    <row r="31" spans="1:21">
      <c r="A31" s="26" t="s">
        <v>177</v>
      </c>
      <c r="B31" s="26"/>
      <c r="C31" s="26"/>
      <c r="D31" s="26"/>
      <c r="E31" s="26"/>
      <c r="F31" s="27"/>
      <c r="G31" s="27"/>
      <c r="H31" s="27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</row>
    <row r="32" spans="1:21">
      <c r="A32" s="29" t="s">
        <v>178</v>
      </c>
      <c r="B32" s="29"/>
      <c r="C32" s="29"/>
      <c r="D32" s="29"/>
      <c r="E32" s="29"/>
      <c r="F32" s="27"/>
      <c r="G32" s="27"/>
      <c r="H32" s="27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</row>
    <row r="33" spans="1:20">
      <c r="A33" s="26" t="s">
        <v>179</v>
      </c>
      <c r="B33" s="26"/>
      <c r="C33" s="26"/>
      <c r="D33" s="26"/>
      <c r="E33" s="26"/>
      <c r="F33" s="27"/>
      <c r="G33" s="27"/>
      <c r="H33" s="27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</row>
    <row r="34" spans="1:20">
      <c r="A34" s="29" t="s">
        <v>180</v>
      </c>
      <c r="B34" s="29"/>
      <c r="C34" s="29"/>
      <c r="D34" s="29"/>
      <c r="E34" s="29"/>
      <c r="F34" s="27"/>
      <c r="G34" s="27"/>
      <c r="H34" s="27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</row>
    <row r="35" spans="1:20">
      <c r="A35" s="26" t="s">
        <v>181</v>
      </c>
      <c r="B35" s="26"/>
      <c r="C35" s="26"/>
      <c r="D35" s="26"/>
      <c r="E35" s="26"/>
      <c r="F35" s="30"/>
      <c r="G35" s="30"/>
      <c r="H35" s="30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</row>
    <row r="36" spans="1:20">
      <c r="A36" s="29" t="s">
        <v>182</v>
      </c>
      <c r="B36" s="29"/>
      <c r="C36" s="29"/>
      <c r="D36" s="29"/>
      <c r="E36" s="29"/>
      <c r="F36" s="30"/>
      <c r="G36" s="30"/>
      <c r="H36" s="30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</row>
    <row r="37" spans="1:20">
      <c r="A37" s="26" t="s">
        <v>183</v>
      </c>
      <c r="B37" s="26"/>
      <c r="C37" s="26"/>
      <c r="D37" s="26"/>
      <c r="E37" s="26"/>
      <c r="F37" s="30"/>
      <c r="G37" s="30"/>
      <c r="H37" s="30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</row>
    <row r="38" spans="1:20">
      <c r="A38" s="29" t="s">
        <v>184</v>
      </c>
      <c r="B38" s="29"/>
      <c r="C38" s="29"/>
      <c r="D38" s="29"/>
      <c r="E38" s="29"/>
      <c r="F38" s="30"/>
      <c r="G38" s="30"/>
      <c r="H38" s="30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turkey_rental_multiplier</vt:lpstr>
      <vt:lpstr>regional_rent_multiplier_ibbs1</vt:lpstr>
      <vt:lpstr>regional_rent_multiplier_ibbs2</vt:lpstr>
      <vt:lpstr>regional_houseprice</vt:lpstr>
      <vt:lpstr>regional_houseprice_growth</vt:lpstr>
      <vt:lpstr>sahibinden_rent_price_ibbs</vt:lpstr>
      <vt:lpstr>regional_rent</vt:lpstr>
      <vt:lpstr>regional_rent_growth</vt:lpstr>
      <vt:lpstr>house_price_index_evds</vt:lpstr>
      <vt:lpstr>sahibinden_rent_and_price_june</vt:lpstr>
      <vt:lpstr>sahibinden_rent_and_price</vt:lpstr>
      <vt:lpstr>regional_rental_cpi_transposed</vt:lpstr>
      <vt:lpstr>regional_rental_cpi</vt:lpstr>
      <vt:lpstr>cpi_june</vt:lpstr>
      <vt:lpstr>cpi</vt:lpstr>
      <vt:lpstr>regional_rent_relative_tuik</vt:lpstr>
      <vt:lpstr>tuik_regional_relativecpi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Enes Isik</dc:creator>
  <cp:lastModifiedBy>Enes Isik</cp:lastModifiedBy>
  <dcterms:created xsi:type="dcterms:W3CDTF">2025-06-02T19:54:05Z</dcterms:created>
  <dcterms:modified xsi:type="dcterms:W3CDTF">2025-06-21T13:27:12Z</dcterms:modified>
</cp:coreProperties>
</file>