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esisik/Library/CloudStorage/Dropbox/research/with_ÖO/GYK/01_analysis/input_data/others/"/>
    </mc:Choice>
  </mc:AlternateContent>
  <xr:revisionPtr revIDLastSave="0" documentId="13_ncr:1_{A9EBEAF2-7CC3-594E-99F0-8290B3A750BE}" xr6:coauthVersionLast="47" xr6:coauthVersionMax="47" xr10:uidLastSave="{00000000-0000-0000-0000-000000000000}"/>
  <bookViews>
    <workbookView xWindow="4600" yWindow="500" windowWidth="37000" windowHeight="22960" xr2:uid="{715E41EF-6793-DA48-A0A4-FDB7D7C35AF8}"/>
  </bookViews>
  <sheets>
    <sheet name="national_income_currentlcu" sheetId="1" r:id="rId1"/>
    <sheet name="national_income_currentlcu_alt" sheetId="3" r:id="rId2"/>
    <sheet name="accounts_2023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5" i="1" l="1"/>
  <c r="E65" i="1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23" i="3"/>
  <c r="M65" i="3"/>
  <c r="G65" i="3"/>
  <c r="U64" i="3"/>
  <c r="T64" i="3"/>
  <c r="W64" i="3" s="1"/>
  <c r="M64" i="3"/>
  <c r="X64" i="3" s="1"/>
  <c r="G64" i="3"/>
  <c r="W63" i="3"/>
  <c r="U63" i="3"/>
  <c r="T63" i="3"/>
  <c r="G63" i="3"/>
  <c r="U62" i="3"/>
  <c r="T62" i="3"/>
  <c r="W62" i="3" s="1"/>
  <c r="G62" i="3"/>
  <c r="U61" i="3"/>
  <c r="T61" i="3"/>
  <c r="W61" i="3" s="1"/>
  <c r="G61" i="3"/>
  <c r="U60" i="3"/>
  <c r="T60" i="3"/>
  <c r="W60" i="3" s="1"/>
  <c r="G60" i="3"/>
  <c r="U59" i="3"/>
  <c r="T59" i="3"/>
  <c r="W59" i="3" s="1"/>
  <c r="G59" i="3"/>
  <c r="M59" i="3" s="1"/>
  <c r="X58" i="3"/>
  <c r="W58" i="3"/>
  <c r="U58" i="3"/>
  <c r="T58" i="3"/>
  <c r="G58" i="3"/>
  <c r="X57" i="3"/>
  <c r="U57" i="3"/>
  <c r="T57" i="3"/>
  <c r="W57" i="3" s="1"/>
  <c r="G57" i="3"/>
  <c r="X56" i="3"/>
  <c r="W56" i="3"/>
  <c r="U56" i="3"/>
  <c r="T56" i="3"/>
  <c r="G56" i="3"/>
  <c r="X55" i="3"/>
  <c r="U55" i="3"/>
  <c r="T55" i="3"/>
  <c r="W55" i="3" s="1"/>
  <c r="G55" i="3"/>
  <c r="X54" i="3"/>
  <c r="W54" i="3"/>
  <c r="U54" i="3"/>
  <c r="T54" i="3"/>
  <c r="G54" i="3"/>
  <c r="X53" i="3"/>
  <c r="U53" i="3"/>
  <c r="T53" i="3"/>
  <c r="W53" i="3" s="1"/>
  <c r="G53" i="3"/>
  <c r="X52" i="3"/>
  <c r="W52" i="3"/>
  <c r="U52" i="3"/>
  <c r="T52" i="3"/>
  <c r="G52" i="3"/>
  <c r="X51" i="3"/>
  <c r="U51" i="3"/>
  <c r="T51" i="3"/>
  <c r="W51" i="3" s="1"/>
  <c r="G51" i="3"/>
  <c r="X50" i="3"/>
  <c r="W50" i="3"/>
  <c r="U50" i="3"/>
  <c r="T50" i="3"/>
  <c r="G50" i="3"/>
  <c r="X49" i="3"/>
  <c r="U49" i="3"/>
  <c r="T49" i="3"/>
  <c r="W49" i="3" s="1"/>
  <c r="G49" i="3"/>
  <c r="X48" i="3"/>
  <c r="W48" i="3"/>
  <c r="U48" i="3"/>
  <c r="T48" i="3"/>
  <c r="G48" i="3"/>
  <c r="X47" i="3"/>
  <c r="U47" i="3"/>
  <c r="T47" i="3"/>
  <c r="W47" i="3" s="1"/>
  <c r="G47" i="3"/>
  <c r="X46" i="3"/>
  <c r="W46" i="3"/>
  <c r="U46" i="3"/>
  <c r="T46" i="3"/>
  <c r="G46" i="3"/>
  <c r="X45" i="3"/>
  <c r="U45" i="3"/>
  <c r="T45" i="3"/>
  <c r="W45" i="3" s="1"/>
  <c r="G45" i="3"/>
  <c r="X44" i="3"/>
  <c r="W44" i="3"/>
  <c r="U44" i="3"/>
  <c r="T44" i="3"/>
  <c r="G44" i="3"/>
  <c r="U43" i="3"/>
  <c r="T43" i="3"/>
  <c r="G43" i="3"/>
  <c r="U42" i="3"/>
  <c r="T42" i="3"/>
  <c r="G42" i="3"/>
  <c r="U41" i="3"/>
  <c r="T41" i="3"/>
  <c r="G41" i="3"/>
  <c r="U40" i="3"/>
  <c r="T40" i="3"/>
  <c r="G40" i="3"/>
  <c r="U39" i="3"/>
  <c r="T39" i="3"/>
  <c r="U38" i="3"/>
  <c r="T38" i="3"/>
  <c r="U37" i="3"/>
  <c r="T37" i="3"/>
  <c r="U36" i="3"/>
  <c r="T36" i="3"/>
  <c r="U35" i="3"/>
  <c r="T35" i="3"/>
  <c r="U34" i="3"/>
  <c r="T34" i="3"/>
  <c r="U33" i="3"/>
  <c r="T33" i="3"/>
  <c r="U32" i="3"/>
  <c r="T32" i="3"/>
  <c r="U31" i="3"/>
  <c r="T31" i="3"/>
  <c r="U30" i="3"/>
  <c r="T30" i="3"/>
  <c r="U29" i="3"/>
  <c r="T29" i="3"/>
  <c r="U28" i="3"/>
  <c r="T28" i="3"/>
  <c r="U27" i="3"/>
  <c r="T27" i="3"/>
  <c r="U26" i="3"/>
  <c r="T26" i="3"/>
  <c r="U25" i="3"/>
  <c r="T25" i="3"/>
  <c r="U24" i="3"/>
  <c r="T24" i="3"/>
  <c r="U23" i="3"/>
  <c r="T23" i="3"/>
  <c r="M60" i="3" l="1"/>
  <c r="X59" i="3"/>
  <c r="M61" i="3" l="1"/>
  <c r="X60" i="3"/>
  <c r="G65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40" i="1"/>
  <c r="K45" i="2"/>
  <c r="J45" i="2"/>
  <c r="X61" i="3" l="1"/>
  <c r="M62" i="3"/>
  <c r="X62" i="3" l="1"/>
  <c r="M63" i="3"/>
  <c r="X63" i="3" l="1"/>
</calcChain>
</file>

<file path=xl/sharedStrings.xml><?xml version="1.0" encoding="utf-8"?>
<sst xmlns="http://schemas.openxmlformats.org/spreadsheetml/2006/main" count="446" uniqueCount="245">
  <si>
    <t>year</t>
  </si>
  <si>
    <t>national_income</t>
  </si>
  <si>
    <t>wb_population</t>
  </si>
  <si>
    <t>non_adult_population</t>
  </si>
  <si>
    <t>adult_population</t>
  </si>
  <si>
    <t>per_capita_national_income</t>
  </si>
  <si>
    <t>per_capita_national_income_EURPPP2023</t>
  </si>
  <si>
    <t>per_adult_national_income</t>
  </si>
  <si>
    <t>per_adult_national_income_EURPPP2023</t>
  </si>
  <si>
    <t>EURPPP2023_fx</t>
  </si>
  <si>
    <t>share_retained_earnings</t>
  </si>
  <si>
    <t>share_other_capital</t>
  </si>
  <si>
    <t>source_share_prico</t>
  </si>
  <si>
    <t>source_share_nonprico</t>
  </si>
  <si>
    <t>per_capita_fiscal</t>
  </si>
  <si>
    <t>per_capita_taxexempt</t>
  </si>
  <si>
    <t>per_adult_fiscal</t>
  </si>
  <si>
    <t>per_adult_taxexempt</t>
  </si>
  <si>
    <t>5.66124E-07</t>
  </si>
  <si>
    <t>5.90882E-07</t>
  </si>
  <si>
    <t>6.25088E-07</t>
  </si>
  <si>
    <t>6.65199E-07</t>
  </si>
  <si>
    <t>6.80846E-07</t>
  </si>
  <si>
    <t>7.08883E-07</t>
  </si>
  <si>
    <t>7.51045E-07</t>
  </si>
  <si>
    <t>7.95656E-07</t>
  </si>
  <si>
    <t>8.3353E-07</t>
  </si>
  <si>
    <t>8.90846E-07</t>
  </si>
  <si>
    <t>9.67855E-07</t>
  </si>
  <si>
    <t>1.13144E-06</t>
  </si>
  <si>
    <t>1.25563E-06</t>
  </si>
  <si>
    <t>1.53099E-06</t>
  </si>
  <si>
    <t>1.97486E-06</t>
  </si>
  <si>
    <t>2.39569E-06</t>
  </si>
  <si>
    <t>2.76971E-06</t>
  </si>
  <si>
    <t>3.43691E-06</t>
  </si>
  <si>
    <t>5.07086E-06</t>
  </si>
  <si>
    <t>8.96126E-06</t>
  </si>
  <si>
    <t>1.72956E-05</t>
  </si>
  <si>
    <t>2.49155E-05</t>
  </si>
  <si>
    <t>3.19483E-05</t>
  </si>
  <si>
    <t>4.03373E-05</t>
  </si>
  <si>
    <t>5.97948E-05</t>
  </si>
  <si>
    <t>9.15186E-05</t>
  </si>
  <si>
    <t>1.43E+11</t>
  </si>
  <si>
    <t>1.97E+11</t>
  </si>
  <si>
    <t>2.98E+11</t>
  </si>
  <si>
    <t>3.95E+11</t>
  </si>
  <si>
    <t>4.91E+11</t>
  </si>
  <si>
    <t>5.77E+11</t>
  </si>
  <si>
    <t>6.72E+11</t>
  </si>
  <si>
    <t>7.49E+11</t>
  </si>
  <si>
    <t>8.42E+11</t>
  </si>
  <si>
    <t>8.11E+11</t>
  </si>
  <si>
    <t>9.65E+11</t>
  </si>
  <si>
    <t>1.18E+12</t>
  </si>
  <si>
    <t>1.32E+12</t>
  </si>
  <si>
    <t>1.53E+12</t>
  </si>
  <si>
    <t>1.72E+12</t>
  </si>
  <si>
    <t>1.96E+12</t>
  </si>
  <si>
    <t>2.20E+12</t>
  </si>
  <si>
    <t>2.61E+12</t>
  </si>
  <si>
    <t>3.10E+12</t>
  </si>
  <si>
    <t>3.56E+12</t>
  </si>
  <si>
    <t>4.19E+12</t>
  </si>
  <si>
    <t>6.10E+12</t>
  </si>
  <si>
    <t>1.27E+13</t>
  </si>
  <si>
    <t>2.23E+13</t>
  </si>
  <si>
    <t xml:space="preserve">DINA extrapolated data </t>
  </si>
  <si>
    <t xml:space="preserve">DINA (2024) extrapolated data </t>
  </si>
  <si>
    <t>DINA (2024) direct data</t>
  </si>
  <si>
    <r>
      <t xml:space="preserve">Kurumsal sektör hesapları, cari fiyatlarla, 2023
</t>
    </r>
    <r>
      <rPr>
        <sz val="12"/>
        <color indexed="8"/>
        <rFont val="Arial"/>
        <family val="2"/>
        <charset val="162"/>
      </rPr>
      <t>Institutional sector accounts, current prices, 2023</t>
    </r>
  </si>
  <si>
    <r>
      <t xml:space="preserve">         (Bin  TL-</t>
    </r>
    <r>
      <rPr>
        <sz val="12"/>
        <color indexed="8"/>
        <rFont val="Arial"/>
        <family val="2"/>
        <charset val="162"/>
      </rPr>
      <t>Thousand TRY)</t>
    </r>
    <r>
      <rPr>
        <b/>
        <sz val="12"/>
        <color indexed="8"/>
        <rFont val="Arial"/>
        <family val="2"/>
        <charset val="162"/>
      </rPr>
      <t xml:space="preserve">
</t>
    </r>
  </si>
  <si>
    <r>
      <t xml:space="preserve">Kullanımlar
</t>
    </r>
    <r>
      <rPr>
        <sz val="12"/>
        <color indexed="8"/>
        <rFont val="Arial"/>
        <family val="2"/>
        <charset val="162"/>
      </rPr>
      <t>Uses</t>
    </r>
  </si>
  <si>
    <r>
      <t xml:space="preserve">Kaynaklar
</t>
    </r>
    <r>
      <rPr>
        <sz val="12"/>
        <color indexed="8"/>
        <rFont val="Arial"/>
        <family val="2"/>
        <charset val="162"/>
      </rPr>
      <t>Resources</t>
    </r>
  </si>
  <si>
    <r>
      <t xml:space="preserve">Sektörler toplamı 
</t>
    </r>
    <r>
      <rPr>
        <sz val="12"/>
        <color indexed="8"/>
        <rFont val="Arial"/>
        <family val="2"/>
        <charset val="162"/>
      </rPr>
      <t>Sum over sectors</t>
    </r>
    <r>
      <rPr>
        <b/>
        <sz val="12"/>
        <color indexed="8"/>
        <rFont val="Arial"/>
        <family val="2"/>
        <charset val="162"/>
      </rPr>
      <t xml:space="preserve">
S.1+S.2</t>
    </r>
  </si>
  <si>
    <r>
      <t xml:space="preserve">Dış alem hesapları
</t>
    </r>
    <r>
      <rPr>
        <sz val="12"/>
        <color indexed="8"/>
        <rFont val="Arial"/>
        <family val="2"/>
        <charset val="162"/>
      </rPr>
      <t>Rest of the world</t>
    </r>
    <r>
      <rPr>
        <b/>
        <sz val="12"/>
        <color indexed="8"/>
        <rFont val="Arial"/>
        <family val="2"/>
        <charset val="162"/>
      </rPr>
      <t xml:space="preserve">
S.2</t>
    </r>
  </si>
  <si>
    <r>
      <t xml:space="preserve">Toplam ekonomi
</t>
    </r>
    <r>
      <rPr>
        <sz val="12"/>
        <color indexed="8"/>
        <rFont val="Arial"/>
        <family val="2"/>
        <charset val="162"/>
      </rPr>
      <t>Total economy</t>
    </r>
    <r>
      <rPr>
        <b/>
        <sz val="12"/>
        <color indexed="8"/>
        <rFont val="Arial"/>
        <family val="2"/>
        <charset val="162"/>
      </rPr>
      <t xml:space="preserve">
 S.1</t>
    </r>
  </si>
  <si>
    <r>
      <t xml:space="preserve">Hanehalkı - Hanehalkına hizmet eden kâr amacı olmayan kuruluşlar
</t>
    </r>
    <r>
      <rPr>
        <sz val="12"/>
        <color indexed="8"/>
        <rFont val="Arial"/>
        <family val="2"/>
        <charset val="162"/>
      </rPr>
      <t>Households including NPISH</t>
    </r>
    <r>
      <rPr>
        <b/>
        <sz val="12"/>
        <color indexed="8"/>
        <rFont val="Arial"/>
        <family val="2"/>
        <charset val="162"/>
      </rPr>
      <t xml:space="preserve">
S.14+S.15</t>
    </r>
  </si>
  <si>
    <r>
      <t xml:space="preserve">Genel devlet 
</t>
    </r>
    <r>
      <rPr>
        <sz val="12"/>
        <color indexed="8"/>
        <rFont val="Arial"/>
        <family val="2"/>
        <charset val="162"/>
      </rPr>
      <t>General government</t>
    </r>
    <r>
      <rPr>
        <b/>
        <sz val="12"/>
        <color indexed="8"/>
        <rFont val="Arial"/>
        <family val="2"/>
        <charset val="162"/>
      </rPr>
      <t xml:space="preserve">
S.13 </t>
    </r>
  </si>
  <si>
    <r>
      <t xml:space="preserve">Mali şirketler 
</t>
    </r>
    <r>
      <rPr>
        <sz val="12"/>
        <color indexed="8"/>
        <rFont val="Arial"/>
        <family val="2"/>
        <charset val="162"/>
      </rPr>
      <t>Financial corporations</t>
    </r>
    <r>
      <rPr>
        <b/>
        <sz val="12"/>
        <color indexed="8"/>
        <rFont val="Arial"/>
        <family val="2"/>
        <charset val="162"/>
      </rPr>
      <t xml:space="preserve">
S.12 </t>
    </r>
  </si>
  <si>
    <r>
      <t xml:space="preserve">Mali olmayan şirketler
</t>
    </r>
    <r>
      <rPr>
        <sz val="12"/>
        <color indexed="8"/>
        <rFont val="Arial"/>
        <family val="2"/>
        <charset val="162"/>
      </rPr>
      <t>Non-financial corporations</t>
    </r>
    <r>
      <rPr>
        <b/>
        <sz val="12"/>
        <color indexed="8"/>
        <rFont val="Arial"/>
        <family val="2"/>
        <charset val="162"/>
      </rPr>
      <t xml:space="preserve">
S.11 </t>
    </r>
  </si>
  <si>
    <r>
      <t xml:space="preserve">Cari hesaplar
</t>
    </r>
    <r>
      <rPr>
        <sz val="12"/>
        <color indexed="8"/>
        <rFont val="Arial"/>
        <family val="2"/>
        <charset val="162"/>
      </rPr>
      <t>Current accounts</t>
    </r>
  </si>
  <si>
    <r>
      <t xml:space="preserve">Üretim hesabı
</t>
    </r>
    <r>
      <rPr>
        <sz val="12"/>
        <color indexed="8"/>
        <rFont val="Arial"/>
        <family val="2"/>
        <charset val="162"/>
      </rPr>
      <t>Production account</t>
    </r>
  </si>
  <si>
    <t>P.1</t>
  </si>
  <si>
    <r>
      <rPr>
        <b/>
        <sz val="12"/>
        <color indexed="8"/>
        <rFont val="Arial"/>
        <family val="2"/>
        <charset val="162"/>
      </rPr>
      <t xml:space="preserve">Çıktı </t>
    </r>
    <r>
      <rPr>
        <sz val="12"/>
        <color indexed="8"/>
        <rFont val="Arial"/>
        <family val="2"/>
        <charset val="162"/>
      </rPr>
      <t>- Output</t>
    </r>
  </si>
  <si>
    <t>P.11</t>
  </si>
  <si>
    <r>
      <rPr>
        <b/>
        <sz val="12"/>
        <color indexed="8"/>
        <rFont val="Arial"/>
        <family val="2"/>
        <charset val="162"/>
      </rPr>
      <t>Piyasa çıktısı</t>
    </r>
    <r>
      <rPr>
        <sz val="12"/>
        <color indexed="8"/>
        <rFont val="Arial"/>
        <family val="2"/>
        <charset val="162"/>
      </rPr>
      <t xml:space="preserve"> - Market output</t>
    </r>
  </si>
  <si>
    <t>P.12</t>
  </si>
  <si>
    <r>
      <rPr>
        <b/>
        <sz val="12"/>
        <color indexed="8"/>
        <rFont val="Arial"/>
        <family val="2"/>
        <charset val="162"/>
      </rPr>
      <t xml:space="preserve">Kendi nihai tüketimi için çıktı </t>
    </r>
    <r>
      <rPr>
        <sz val="12"/>
        <color indexed="8"/>
        <rFont val="Arial"/>
        <family val="2"/>
        <charset val="162"/>
      </rPr>
      <t>- Output for own final use</t>
    </r>
  </si>
  <si>
    <t xml:space="preserve"> </t>
  </si>
  <si>
    <t>P.13</t>
  </si>
  <si>
    <r>
      <rPr>
        <b/>
        <sz val="12"/>
        <color indexed="8"/>
        <rFont val="Arial"/>
        <family val="2"/>
        <charset val="162"/>
      </rPr>
      <t>Piyasa-dışı çıktı</t>
    </r>
    <r>
      <rPr>
        <sz val="12"/>
        <color indexed="8"/>
        <rFont val="Arial"/>
        <family val="2"/>
        <charset val="162"/>
      </rPr>
      <t xml:space="preserve"> - Non-market output</t>
    </r>
  </si>
  <si>
    <t>P.2</t>
  </si>
  <si>
    <r>
      <rPr>
        <b/>
        <sz val="12"/>
        <color indexed="8"/>
        <rFont val="Arial"/>
        <family val="2"/>
        <charset val="162"/>
      </rPr>
      <t>Ara tüketim</t>
    </r>
    <r>
      <rPr>
        <sz val="12"/>
        <color indexed="8"/>
        <rFont val="Arial"/>
        <family val="2"/>
        <charset val="162"/>
      </rPr>
      <t xml:space="preserve"> - Intermediate consumption</t>
    </r>
  </si>
  <si>
    <t>B.1g</t>
  </si>
  <si>
    <r>
      <rPr>
        <b/>
        <sz val="12"/>
        <color indexed="8"/>
        <rFont val="Arial"/>
        <family val="2"/>
        <charset val="162"/>
      </rPr>
      <t xml:space="preserve">Katma değer, gayrisafi </t>
    </r>
    <r>
      <rPr>
        <sz val="12"/>
        <color indexed="8"/>
        <rFont val="Arial"/>
        <family val="2"/>
        <charset val="162"/>
      </rPr>
      <t>- Gross value added</t>
    </r>
  </si>
  <si>
    <t>D21-D31</t>
  </si>
  <si>
    <r>
      <rPr>
        <b/>
        <sz val="12"/>
        <color indexed="8"/>
        <rFont val="Arial"/>
        <family val="2"/>
        <charset val="162"/>
      </rPr>
      <t xml:space="preserve">Ürün üzerindeki vergiler eksi sübvansiyonlar </t>
    </r>
    <r>
      <rPr>
        <sz val="12"/>
        <color indexed="8"/>
        <rFont val="Arial"/>
        <family val="2"/>
        <charset val="162"/>
      </rPr>
      <t xml:space="preserve">
Taxes less subsidies on products</t>
    </r>
  </si>
  <si>
    <r>
      <t>B.1</t>
    </r>
    <r>
      <rPr>
        <b/>
        <vertAlign val="superscript"/>
        <sz val="12"/>
        <color indexed="8"/>
        <rFont val="Arial"/>
        <family val="2"/>
        <charset val="162"/>
      </rPr>
      <t>*</t>
    </r>
    <r>
      <rPr>
        <b/>
        <sz val="12"/>
        <color indexed="8"/>
        <rFont val="Arial"/>
        <family val="2"/>
        <charset val="162"/>
      </rPr>
      <t>g</t>
    </r>
  </si>
  <si>
    <r>
      <rPr>
        <b/>
        <sz val="12"/>
        <color indexed="8"/>
        <rFont val="Arial"/>
        <family val="2"/>
        <charset val="162"/>
      </rPr>
      <t>GSYH</t>
    </r>
    <r>
      <rPr>
        <sz val="12"/>
        <color indexed="8"/>
        <rFont val="Arial"/>
        <family val="2"/>
        <charset val="162"/>
      </rPr>
      <t xml:space="preserve"> - Gross domestic product</t>
    </r>
  </si>
  <si>
    <t>-</t>
  </si>
  <si>
    <t>P.51C</t>
  </si>
  <si>
    <r>
      <rPr>
        <b/>
        <sz val="12"/>
        <color indexed="8"/>
        <rFont val="Arial"/>
        <family val="2"/>
        <charset val="162"/>
      </rPr>
      <t xml:space="preserve">Sabit sermaye tüketimi </t>
    </r>
    <r>
      <rPr>
        <sz val="12"/>
        <color indexed="8"/>
        <rFont val="Arial"/>
        <family val="2"/>
        <charset val="162"/>
      </rPr>
      <t>- Consumption of fixed capital</t>
    </r>
  </si>
  <si>
    <t>B.1n/B.1*n</t>
  </si>
  <si>
    <r>
      <rPr>
        <b/>
        <sz val="12"/>
        <color indexed="8"/>
        <rFont val="Arial"/>
        <family val="2"/>
        <charset val="162"/>
      </rPr>
      <t>Katma değer, net / net yurt içi hasıla</t>
    </r>
    <r>
      <rPr>
        <sz val="12"/>
        <color indexed="8"/>
        <rFont val="Arial"/>
        <family val="2"/>
        <charset val="162"/>
      </rPr>
      <t xml:space="preserve">
Net value added / net domestic product</t>
    </r>
  </si>
  <si>
    <r>
      <t xml:space="preserve">Gelirin yaratılması hesabı
</t>
    </r>
    <r>
      <rPr>
        <sz val="12"/>
        <color indexed="8"/>
        <rFont val="Arial"/>
        <family val="2"/>
        <charset val="162"/>
      </rPr>
      <t>Generation of income account</t>
    </r>
  </si>
  <si>
    <t>B.1g/B.1*g</t>
  </si>
  <si>
    <r>
      <rPr>
        <b/>
        <sz val="12"/>
        <color indexed="8"/>
        <rFont val="Arial"/>
        <family val="2"/>
        <charset val="162"/>
      </rPr>
      <t>Katma değer, gayrisafi /  GSYH</t>
    </r>
    <r>
      <rPr>
        <sz val="12"/>
        <color indexed="8"/>
        <rFont val="Arial"/>
        <family val="2"/>
        <charset val="162"/>
      </rPr>
      <t xml:space="preserve">
Gross value added / Gross domestic product</t>
    </r>
  </si>
  <si>
    <t xml:space="preserve">D.1 </t>
  </si>
  <si>
    <r>
      <rPr>
        <b/>
        <sz val="12"/>
        <color indexed="8"/>
        <rFont val="Arial"/>
        <family val="2"/>
        <charset val="162"/>
      </rPr>
      <t>Çalışanlara yapılan ödemeler</t>
    </r>
    <r>
      <rPr>
        <sz val="12"/>
        <color indexed="8"/>
        <rFont val="Arial"/>
        <family val="2"/>
        <charset val="162"/>
      </rPr>
      <t xml:space="preserve"> - Compensation of employees</t>
    </r>
  </si>
  <si>
    <t>D.21</t>
  </si>
  <si>
    <r>
      <rPr>
        <b/>
        <sz val="12"/>
        <color indexed="8"/>
        <rFont val="Arial"/>
        <family val="2"/>
        <charset val="162"/>
      </rPr>
      <t>Ürün üzerindeki vergiler</t>
    </r>
    <r>
      <rPr>
        <sz val="12"/>
        <color indexed="8"/>
        <rFont val="Arial"/>
        <family val="2"/>
        <charset val="162"/>
      </rPr>
      <t xml:space="preserve"> - Taxes on products</t>
    </r>
  </si>
  <si>
    <t xml:space="preserve">D.29 </t>
  </si>
  <si>
    <r>
      <rPr>
        <b/>
        <sz val="12"/>
        <color indexed="8"/>
        <rFont val="Arial"/>
        <family val="2"/>
        <charset val="162"/>
      </rPr>
      <t>Üretim üzerindeki vergiler</t>
    </r>
    <r>
      <rPr>
        <sz val="12"/>
        <color indexed="8"/>
        <rFont val="Arial"/>
        <family val="2"/>
        <charset val="162"/>
      </rPr>
      <t xml:space="preserve"> - Other taxes on production</t>
    </r>
  </si>
  <si>
    <t>D.31</t>
  </si>
  <si>
    <r>
      <rPr>
        <b/>
        <sz val="12"/>
        <color indexed="8"/>
        <rFont val="Arial"/>
        <family val="2"/>
        <charset val="162"/>
      </rPr>
      <t>Ürün üzerindeki sübvansiyonlar</t>
    </r>
    <r>
      <rPr>
        <sz val="12"/>
        <color indexed="8"/>
        <rFont val="Arial"/>
        <family val="2"/>
        <charset val="162"/>
      </rPr>
      <t>-Subsidies on products</t>
    </r>
  </si>
  <si>
    <t xml:space="preserve">D.39 </t>
  </si>
  <si>
    <r>
      <rPr>
        <b/>
        <sz val="12"/>
        <color indexed="8"/>
        <rFont val="Arial"/>
        <family val="2"/>
        <charset val="162"/>
      </rPr>
      <t>Üretim üzerindeki sübvansiyonlar</t>
    </r>
    <r>
      <rPr>
        <sz val="12"/>
        <color indexed="8"/>
        <rFont val="Arial"/>
        <family val="2"/>
        <charset val="162"/>
      </rPr>
      <t>- Other subsidies on production</t>
    </r>
  </si>
  <si>
    <t>B.2g/B.3g</t>
  </si>
  <si>
    <r>
      <rPr>
        <b/>
        <sz val="12"/>
        <color indexed="8"/>
        <rFont val="Arial"/>
        <family val="2"/>
        <charset val="162"/>
      </rPr>
      <t xml:space="preserve">İşletme artığı, gayrisafi - </t>
    </r>
    <r>
      <rPr>
        <sz val="12"/>
        <color indexed="8"/>
        <rFont val="Arial"/>
        <family val="2"/>
        <charset val="162"/>
      </rPr>
      <t xml:space="preserve">Gross operating surplus 
</t>
    </r>
    <r>
      <rPr>
        <b/>
        <sz val="12"/>
        <color indexed="8"/>
        <rFont val="Arial"/>
        <family val="2"/>
        <charset val="162"/>
      </rPr>
      <t xml:space="preserve">Karma gelir, gayrisafi </t>
    </r>
    <r>
      <rPr>
        <sz val="12"/>
        <color indexed="8"/>
        <rFont val="Arial"/>
        <family val="2"/>
        <charset val="162"/>
      </rPr>
      <t>- Gross mixed income</t>
    </r>
  </si>
  <si>
    <r>
      <rPr>
        <b/>
        <sz val="12"/>
        <color indexed="8"/>
        <rFont val="Arial"/>
        <family val="2"/>
        <charset val="162"/>
      </rPr>
      <t>Sabit sermaye tüketimi -</t>
    </r>
    <r>
      <rPr>
        <sz val="12"/>
        <color indexed="8"/>
        <rFont val="Arial"/>
        <family val="2"/>
        <charset val="162"/>
      </rPr>
      <t xml:space="preserve"> Consumption of fixed capital</t>
    </r>
  </si>
  <si>
    <t>B.2n/B.3n</t>
  </si>
  <si>
    <r>
      <rPr>
        <b/>
        <sz val="12"/>
        <color indexed="8"/>
        <rFont val="Arial"/>
        <family val="2"/>
        <charset val="162"/>
      </rPr>
      <t xml:space="preserve">İşletme artığı, net </t>
    </r>
    <r>
      <rPr>
        <sz val="12"/>
        <color indexed="8"/>
        <rFont val="Arial"/>
        <family val="2"/>
        <charset val="162"/>
      </rPr>
      <t xml:space="preserve">- Net operating surplus
</t>
    </r>
    <r>
      <rPr>
        <b/>
        <sz val="12"/>
        <color indexed="8"/>
        <rFont val="Arial"/>
        <family val="2"/>
        <charset val="162"/>
      </rPr>
      <t xml:space="preserve">Karma gelir, net </t>
    </r>
    <r>
      <rPr>
        <sz val="12"/>
        <color indexed="8"/>
        <rFont val="Arial"/>
        <family val="2"/>
        <charset val="162"/>
      </rPr>
      <t>- Net mixed income</t>
    </r>
  </si>
  <si>
    <r>
      <t xml:space="preserve"> (Bin  TL-</t>
    </r>
    <r>
      <rPr>
        <sz val="12"/>
        <color indexed="8"/>
        <rFont val="Arial"/>
        <family val="2"/>
        <charset val="162"/>
      </rPr>
      <t>Thousand TRY)</t>
    </r>
    <r>
      <rPr>
        <b/>
        <sz val="12"/>
        <color indexed="8"/>
        <rFont val="Arial"/>
        <family val="2"/>
        <charset val="162"/>
      </rPr>
      <t xml:space="preserve">
</t>
    </r>
  </si>
  <si>
    <r>
      <t xml:space="preserve"> Hanehalkı - Hanehalkına hizmet eden kâr amacı olmayan kuruluşlar
</t>
    </r>
    <r>
      <rPr>
        <sz val="12"/>
        <color indexed="8"/>
        <rFont val="Arial"/>
        <family val="2"/>
        <charset val="162"/>
      </rPr>
      <t>Households including NPISH</t>
    </r>
    <r>
      <rPr>
        <b/>
        <sz val="12"/>
        <color indexed="8"/>
        <rFont val="Arial"/>
        <family val="2"/>
        <charset val="162"/>
      </rPr>
      <t xml:space="preserve">
S.14+S.15</t>
    </r>
  </si>
  <si>
    <r>
      <t xml:space="preserve">Gelirin birincil dağılımı hesabı
</t>
    </r>
    <r>
      <rPr>
        <sz val="12"/>
        <color indexed="8"/>
        <rFont val="Arial"/>
        <family val="2"/>
        <charset val="162"/>
      </rPr>
      <t>Allocation of primary income account</t>
    </r>
  </si>
  <si>
    <t>D.2</t>
  </si>
  <si>
    <r>
      <rPr>
        <b/>
        <sz val="12"/>
        <color indexed="8"/>
        <rFont val="Arial"/>
        <family val="2"/>
        <charset val="162"/>
      </rPr>
      <t xml:space="preserve">Üretim ve ithalat üzerindeki vergiler </t>
    </r>
    <r>
      <rPr>
        <sz val="12"/>
        <color indexed="8"/>
        <rFont val="Arial"/>
        <family val="2"/>
        <charset val="162"/>
      </rPr>
      <t xml:space="preserve">
Taxes on production and imports</t>
    </r>
  </si>
  <si>
    <t xml:space="preserve">D.21 </t>
  </si>
  <si>
    <r>
      <rPr>
        <b/>
        <sz val="12"/>
        <color indexed="8"/>
        <rFont val="Arial"/>
        <family val="2"/>
        <charset val="162"/>
      </rPr>
      <t xml:space="preserve">Üretim üzerindeki vergiler </t>
    </r>
    <r>
      <rPr>
        <sz val="12"/>
        <color indexed="8"/>
        <rFont val="Arial"/>
        <family val="2"/>
        <charset val="162"/>
      </rPr>
      <t>- Other taxes on production</t>
    </r>
  </si>
  <si>
    <t>D.3</t>
  </si>
  <si>
    <r>
      <rPr>
        <b/>
        <sz val="12"/>
        <color indexed="8"/>
        <rFont val="Arial"/>
        <family val="2"/>
        <charset val="162"/>
      </rPr>
      <t xml:space="preserve">Sübvansiyonlar </t>
    </r>
    <r>
      <rPr>
        <sz val="12"/>
        <color indexed="8"/>
        <rFont val="Arial"/>
        <family val="2"/>
        <charset val="162"/>
      </rPr>
      <t>- Subsidies</t>
    </r>
  </si>
  <si>
    <t xml:space="preserve">D.31 </t>
  </si>
  <si>
    <r>
      <t>Ürün üzerindeki sübvansiyonlar-</t>
    </r>
    <r>
      <rPr>
        <sz val="12"/>
        <color indexed="8"/>
        <rFont val="Arial"/>
        <family val="2"/>
        <charset val="162"/>
      </rPr>
      <t>Subsidies on products</t>
    </r>
  </si>
  <si>
    <r>
      <t xml:space="preserve">Üretim üzerindeki sübvansiyonlar- </t>
    </r>
    <r>
      <rPr>
        <sz val="12"/>
        <color indexed="8"/>
        <rFont val="Arial"/>
        <family val="2"/>
        <charset val="162"/>
      </rPr>
      <t>Other subsidies on production</t>
    </r>
  </si>
  <si>
    <t xml:space="preserve">D.4 </t>
  </si>
  <si>
    <r>
      <rPr>
        <b/>
        <sz val="12"/>
        <color indexed="8"/>
        <rFont val="Arial"/>
        <family val="2"/>
        <charset val="162"/>
      </rPr>
      <t xml:space="preserve">Mülkiyet gelirleri </t>
    </r>
    <r>
      <rPr>
        <sz val="12"/>
        <color indexed="8"/>
        <rFont val="Arial"/>
        <family val="2"/>
        <charset val="162"/>
      </rPr>
      <t>- Property income</t>
    </r>
  </si>
  <si>
    <t xml:space="preserve">D.41 </t>
  </si>
  <si>
    <r>
      <t xml:space="preserve">FISIM dağıtım sonrası faiz </t>
    </r>
    <r>
      <rPr>
        <sz val="12"/>
        <color indexed="8"/>
        <rFont val="Arial"/>
        <family val="2"/>
        <charset val="162"/>
      </rPr>
      <t>- Interest after allocation of FISIM</t>
    </r>
  </si>
  <si>
    <t xml:space="preserve">D.42 </t>
  </si>
  <si>
    <r>
      <t>Şirketlerin dağıtılmış gelirleri</t>
    </r>
    <r>
      <rPr>
        <sz val="12"/>
        <rFont val="Arial"/>
        <family val="2"/>
        <charset val="162"/>
      </rPr>
      <t xml:space="preserve">
Distributed income of corporations</t>
    </r>
  </si>
  <si>
    <t xml:space="preserve">D.43 </t>
  </si>
  <si>
    <r>
      <t xml:space="preserve">Doğrudan yabancı yatırım üzerine yeniden yatırılan kazançlar 
</t>
    </r>
    <r>
      <rPr>
        <sz val="12"/>
        <rFont val="Arial"/>
        <family val="2"/>
        <charset val="162"/>
      </rPr>
      <t>Reinvested earnings on foreign direct investment</t>
    </r>
  </si>
  <si>
    <t xml:space="preserve">D.44 </t>
  </si>
  <si>
    <r>
      <t xml:space="preserve">Sigorta poliçe sahiplerine atfedilen mülk geliri 
</t>
    </r>
    <r>
      <rPr>
        <sz val="12"/>
        <rFont val="Arial"/>
        <family val="2"/>
        <charset val="162"/>
      </rPr>
      <t>Other investment income</t>
    </r>
  </si>
  <si>
    <t xml:space="preserve">D.45 </t>
  </si>
  <si>
    <r>
      <t xml:space="preserve">Kira gelirleri - </t>
    </r>
    <r>
      <rPr>
        <sz val="12"/>
        <rFont val="Arial"/>
        <family val="2"/>
        <charset val="162"/>
      </rPr>
      <t>Rent</t>
    </r>
  </si>
  <si>
    <r>
      <t>B.5g /B.5</t>
    </r>
    <r>
      <rPr>
        <b/>
        <vertAlign val="superscript"/>
        <sz val="12"/>
        <color indexed="8"/>
        <rFont val="Arial"/>
        <family val="2"/>
        <charset val="162"/>
      </rPr>
      <t>*</t>
    </r>
    <r>
      <rPr>
        <b/>
        <sz val="12"/>
        <color indexed="8"/>
        <rFont val="Arial"/>
        <family val="2"/>
        <charset val="162"/>
      </rPr>
      <t>g</t>
    </r>
  </si>
  <si>
    <r>
      <t xml:space="preserve">Birincil gelirin dengesi, gayrisafi / GSMH
</t>
    </r>
    <r>
      <rPr>
        <sz val="12"/>
        <color indexed="8"/>
        <rFont val="Arial"/>
        <family val="2"/>
        <charset val="162"/>
      </rPr>
      <t>Balance of primary incomes, gross / gross national income</t>
    </r>
  </si>
  <si>
    <r>
      <t xml:space="preserve">Gelirin ikincil dağılımı hesabı
</t>
    </r>
    <r>
      <rPr>
        <sz val="12"/>
        <color indexed="8"/>
        <rFont val="Arial"/>
        <family val="2"/>
        <charset val="162"/>
      </rPr>
      <t>Secondary distribution of income account</t>
    </r>
  </si>
  <si>
    <t>D.5</t>
  </si>
  <si>
    <r>
      <rPr>
        <b/>
        <sz val="12"/>
        <color indexed="8"/>
        <rFont val="Arial"/>
        <family val="2"/>
        <charset val="162"/>
      </rPr>
      <t>Gelir, servet vb. üzerindeki cari vergiler</t>
    </r>
    <r>
      <rPr>
        <sz val="12"/>
        <color indexed="8"/>
        <rFont val="Arial"/>
        <family val="2"/>
        <charset val="162"/>
      </rPr>
      <t xml:space="preserve">
Current taxes on income, wealth, etc.</t>
    </r>
  </si>
  <si>
    <t>D.51</t>
  </si>
  <si>
    <r>
      <rPr>
        <b/>
        <sz val="12"/>
        <color indexed="8"/>
        <rFont val="Arial"/>
        <family val="2"/>
        <charset val="162"/>
      </rPr>
      <t xml:space="preserve">Gelir üzerinden alınan vergiler </t>
    </r>
    <r>
      <rPr>
        <sz val="12"/>
        <color indexed="8"/>
        <rFont val="Arial"/>
        <family val="2"/>
        <charset val="162"/>
      </rPr>
      <t>- Taxes on income</t>
    </r>
  </si>
  <si>
    <t>D.59</t>
  </si>
  <si>
    <r>
      <rPr>
        <b/>
        <sz val="12"/>
        <color indexed="8"/>
        <rFont val="Arial"/>
        <family val="2"/>
        <charset val="162"/>
      </rPr>
      <t xml:space="preserve">Diğer cari vergiler </t>
    </r>
    <r>
      <rPr>
        <sz val="12"/>
        <color indexed="8"/>
        <rFont val="Arial"/>
        <family val="2"/>
        <charset val="162"/>
      </rPr>
      <t>- Other current taxes</t>
    </r>
  </si>
  <si>
    <t>D.61</t>
  </si>
  <si>
    <r>
      <rPr>
        <b/>
        <sz val="12"/>
        <color indexed="8"/>
        <rFont val="Arial"/>
        <family val="2"/>
        <charset val="162"/>
      </rPr>
      <t xml:space="preserve">Net sosyal katkılar </t>
    </r>
    <r>
      <rPr>
        <sz val="12"/>
        <color indexed="8"/>
        <rFont val="Arial"/>
        <family val="2"/>
        <charset val="162"/>
      </rPr>
      <t>- Net social contributions</t>
    </r>
  </si>
  <si>
    <t>D.62</t>
  </si>
  <si>
    <r>
      <rPr>
        <b/>
        <sz val="12"/>
        <color indexed="8"/>
        <rFont val="Arial"/>
        <family val="2"/>
        <charset val="162"/>
      </rPr>
      <t>Ayni sosyal transferler dışındaki sosyal faydalar</t>
    </r>
    <r>
      <rPr>
        <sz val="12"/>
        <color indexed="8"/>
        <rFont val="Arial"/>
        <family val="2"/>
        <charset val="162"/>
      </rPr>
      <t xml:space="preserve"> 
Social benefits other than social transfers in kind</t>
    </r>
  </si>
  <si>
    <t>D.7</t>
  </si>
  <si>
    <r>
      <rPr>
        <b/>
        <sz val="12"/>
        <color indexed="8"/>
        <rFont val="Arial"/>
        <family val="2"/>
        <charset val="162"/>
      </rPr>
      <t>Diğer cari transferle</t>
    </r>
    <r>
      <rPr>
        <sz val="12"/>
        <color indexed="8"/>
        <rFont val="Arial"/>
        <family val="2"/>
        <charset val="162"/>
      </rPr>
      <t>r - Other current transfers</t>
    </r>
  </si>
  <si>
    <t>D.71</t>
  </si>
  <si>
    <r>
      <rPr>
        <b/>
        <sz val="12"/>
        <color indexed="8"/>
        <rFont val="Arial"/>
        <family val="2"/>
        <charset val="162"/>
      </rPr>
      <t xml:space="preserve">Net hayat-dışı sigorta primleri </t>
    </r>
    <r>
      <rPr>
        <sz val="12"/>
        <color indexed="8"/>
        <rFont val="Arial"/>
        <family val="2"/>
        <charset val="162"/>
      </rPr>
      <t>- Net non-life insurance premiums</t>
    </r>
  </si>
  <si>
    <t>D.72</t>
  </si>
  <si>
    <r>
      <rPr>
        <b/>
        <sz val="12"/>
        <color indexed="8"/>
        <rFont val="Arial"/>
        <family val="2"/>
        <charset val="162"/>
      </rPr>
      <t xml:space="preserve">Hayat-dışı sigorta tazminatları </t>
    </r>
    <r>
      <rPr>
        <sz val="12"/>
        <color indexed="8"/>
        <rFont val="Arial"/>
        <family val="2"/>
        <charset val="162"/>
      </rPr>
      <t>- Non-life insurance claims</t>
    </r>
  </si>
  <si>
    <t>D.74</t>
  </si>
  <si>
    <r>
      <rPr>
        <b/>
        <sz val="12"/>
        <color indexed="8"/>
        <rFont val="Arial"/>
        <family val="2"/>
        <charset val="162"/>
      </rPr>
      <t xml:space="preserve">Cari uluslararası işbirliği </t>
    </r>
    <r>
      <rPr>
        <sz val="12"/>
        <color indexed="8"/>
        <rFont val="Arial"/>
        <family val="2"/>
        <charset val="162"/>
      </rPr>
      <t>- Current international cooperation</t>
    </r>
  </si>
  <si>
    <t>D.75</t>
  </si>
  <si>
    <r>
      <rPr>
        <b/>
        <sz val="12"/>
        <color indexed="8"/>
        <rFont val="Arial"/>
        <family val="2"/>
        <charset val="162"/>
      </rPr>
      <t>Diğer çeşitli transferler</t>
    </r>
    <r>
      <rPr>
        <sz val="12"/>
        <color indexed="8"/>
        <rFont val="Arial"/>
        <family val="2"/>
        <charset val="162"/>
      </rPr>
      <t xml:space="preserve"> - Miscellaneous current transfers</t>
    </r>
  </si>
  <si>
    <t xml:space="preserve">B.6g </t>
  </si>
  <si>
    <r>
      <rPr>
        <b/>
        <sz val="12"/>
        <color indexed="8"/>
        <rFont val="Arial"/>
        <family val="2"/>
        <charset val="162"/>
      </rPr>
      <t>Harcanabilir gelir, gayrisafi</t>
    </r>
    <r>
      <rPr>
        <sz val="12"/>
        <color indexed="8"/>
        <rFont val="Arial"/>
        <family val="2"/>
        <charset val="162"/>
      </rPr>
      <t xml:space="preserve"> - Gross disposable income</t>
    </r>
  </si>
  <si>
    <r>
      <t xml:space="preserve">Gelirin kullanımı hesabı
</t>
    </r>
    <r>
      <rPr>
        <sz val="12"/>
        <color indexed="8"/>
        <rFont val="Arial"/>
        <family val="2"/>
        <charset val="162"/>
      </rPr>
      <t>Use of disposable income account</t>
    </r>
  </si>
  <si>
    <r>
      <rPr>
        <b/>
        <sz val="12"/>
        <color indexed="8"/>
        <rFont val="Arial"/>
        <family val="2"/>
        <charset val="162"/>
      </rPr>
      <t xml:space="preserve">Harcanabilir gelir, gayrisafi </t>
    </r>
    <r>
      <rPr>
        <sz val="12"/>
        <color indexed="8"/>
        <rFont val="Arial"/>
        <family val="2"/>
        <charset val="162"/>
      </rPr>
      <t>- Gross disposable income</t>
    </r>
  </si>
  <si>
    <t>P.3</t>
  </si>
  <si>
    <r>
      <rPr>
        <b/>
        <sz val="12"/>
        <color indexed="8"/>
        <rFont val="Arial"/>
        <family val="2"/>
        <charset val="162"/>
      </rPr>
      <t>Nihai tüketim harcamaları -</t>
    </r>
    <r>
      <rPr>
        <sz val="12"/>
        <color indexed="8"/>
        <rFont val="Arial"/>
        <family val="2"/>
        <charset val="162"/>
      </rPr>
      <t xml:space="preserve"> Final consumption expenditure</t>
    </r>
  </si>
  <si>
    <t>P.31</t>
  </si>
  <si>
    <r>
      <rPr>
        <b/>
        <sz val="12"/>
        <color indexed="8"/>
        <rFont val="Arial"/>
        <family val="2"/>
        <charset val="162"/>
      </rPr>
      <t>Bireysel tüketim harcamaları</t>
    </r>
    <r>
      <rPr>
        <sz val="12"/>
        <color indexed="8"/>
        <rFont val="Arial"/>
        <family val="2"/>
        <charset val="162"/>
      </rPr>
      <t xml:space="preserve"> - Individual consumption expenditure</t>
    </r>
  </si>
  <si>
    <t>P.32</t>
  </si>
  <si>
    <r>
      <rPr>
        <b/>
        <sz val="12"/>
        <color indexed="8"/>
        <rFont val="Arial"/>
        <family val="2"/>
        <charset val="162"/>
      </rPr>
      <t>Kollektif tüketim harcamaları</t>
    </r>
    <r>
      <rPr>
        <sz val="12"/>
        <color indexed="8"/>
        <rFont val="Arial"/>
        <family val="2"/>
        <charset val="162"/>
      </rPr>
      <t xml:space="preserve"> - Collective consumption expenditure</t>
    </r>
  </si>
  <si>
    <t xml:space="preserve">D.8 </t>
  </si>
  <si>
    <r>
      <rPr>
        <b/>
        <sz val="12"/>
        <color indexed="8"/>
        <rFont val="Arial"/>
        <family val="2"/>
        <charset val="162"/>
      </rPr>
      <t xml:space="preserve">Emeklilik haklarındaki değişime ilişkin düzeltmeler </t>
    </r>
    <r>
      <rPr>
        <sz val="12"/>
        <color indexed="8"/>
        <rFont val="Arial"/>
        <family val="2"/>
        <charset val="162"/>
      </rPr>
      <t xml:space="preserve">
Adjustment for the change in pension entitlements</t>
    </r>
  </si>
  <si>
    <t xml:space="preserve">B.8g </t>
  </si>
  <si>
    <r>
      <rPr>
        <b/>
        <sz val="12"/>
        <color indexed="8"/>
        <rFont val="Arial"/>
        <family val="2"/>
        <charset val="162"/>
      </rPr>
      <t xml:space="preserve">Tasarruf, gayrisafi </t>
    </r>
    <r>
      <rPr>
        <sz val="12"/>
        <color indexed="8"/>
        <rFont val="Arial"/>
        <family val="2"/>
        <charset val="162"/>
      </rPr>
      <t>- Gross saving</t>
    </r>
  </si>
  <si>
    <r>
      <t xml:space="preserve">Dış alem hesabı
</t>
    </r>
    <r>
      <rPr>
        <sz val="12"/>
        <color indexed="8"/>
        <rFont val="Arial"/>
        <family val="2"/>
        <charset val="162"/>
      </rPr>
      <t>External account</t>
    </r>
  </si>
  <si>
    <t>P.6</t>
  </si>
  <si>
    <r>
      <rPr>
        <b/>
        <sz val="12"/>
        <color indexed="8"/>
        <rFont val="Arial"/>
        <family val="2"/>
        <charset val="162"/>
      </rPr>
      <t xml:space="preserve">Mal ve hizmet ihracatı </t>
    </r>
    <r>
      <rPr>
        <sz val="12"/>
        <color indexed="8"/>
        <rFont val="Arial"/>
        <family val="2"/>
        <charset val="162"/>
      </rPr>
      <t>- Exports of goods and services</t>
    </r>
  </si>
  <si>
    <t>P.61</t>
  </si>
  <si>
    <r>
      <rPr>
        <b/>
        <sz val="12"/>
        <color indexed="8"/>
        <rFont val="Arial"/>
        <family val="2"/>
        <charset val="162"/>
      </rPr>
      <t>Mal ihracatı</t>
    </r>
    <r>
      <rPr>
        <sz val="12"/>
        <color indexed="8"/>
        <rFont val="Arial"/>
        <family val="2"/>
        <charset val="162"/>
      </rPr>
      <t xml:space="preserve"> - Exports of goods</t>
    </r>
  </si>
  <si>
    <t>P.62</t>
  </si>
  <si>
    <r>
      <rPr>
        <b/>
        <sz val="12"/>
        <color indexed="8"/>
        <rFont val="Arial"/>
        <family val="2"/>
        <charset val="162"/>
      </rPr>
      <t xml:space="preserve">Hizmet ihracatı </t>
    </r>
    <r>
      <rPr>
        <sz val="12"/>
        <color indexed="8"/>
        <rFont val="Arial"/>
        <family val="2"/>
        <charset val="162"/>
      </rPr>
      <t>- Exports of services</t>
    </r>
  </si>
  <si>
    <t>P.7</t>
  </si>
  <si>
    <r>
      <rPr>
        <b/>
        <sz val="12"/>
        <color indexed="8"/>
        <rFont val="Arial"/>
        <family val="2"/>
        <charset val="162"/>
      </rPr>
      <t>Mal ve hizmet ithalatı</t>
    </r>
    <r>
      <rPr>
        <sz val="12"/>
        <color indexed="8"/>
        <rFont val="Arial"/>
        <family val="2"/>
        <charset val="162"/>
      </rPr>
      <t xml:space="preserve"> - Imports of goods and services</t>
    </r>
  </si>
  <si>
    <t>P.71</t>
  </si>
  <si>
    <r>
      <rPr>
        <b/>
        <sz val="12"/>
        <color indexed="8"/>
        <rFont val="Arial"/>
        <family val="2"/>
        <charset val="162"/>
      </rPr>
      <t xml:space="preserve">Mal ithalatı </t>
    </r>
    <r>
      <rPr>
        <sz val="12"/>
        <color indexed="8"/>
        <rFont val="Arial"/>
        <family val="2"/>
        <charset val="162"/>
      </rPr>
      <t>- Imports of goods</t>
    </r>
  </si>
  <si>
    <t>P.72</t>
  </si>
  <si>
    <r>
      <rPr>
        <b/>
        <sz val="12"/>
        <color indexed="8"/>
        <rFont val="Arial"/>
        <family val="2"/>
        <charset val="162"/>
      </rPr>
      <t xml:space="preserve">Hizmet ithalatı </t>
    </r>
    <r>
      <rPr>
        <sz val="12"/>
        <color indexed="8"/>
        <rFont val="Arial"/>
        <family val="2"/>
        <charset val="162"/>
      </rPr>
      <t>- Imports of service</t>
    </r>
  </si>
  <si>
    <t xml:space="preserve">B.11 </t>
  </si>
  <si>
    <r>
      <rPr>
        <b/>
        <sz val="12"/>
        <color indexed="8"/>
        <rFont val="Arial"/>
        <family val="2"/>
        <charset val="162"/>
      </rPr>
      <t xml:space="preserve">Mal ve hizmetlerin dış dengesi </t>
    </r>
    <r>
      <rPr>
        <sz val="12"/>
        <color indexed="8"/>
        <rFont val="Arial"/>
        <family val="2"/>
        <charset val="162"/>
      </rPr>
      <t>- External balance of goods and services</t>
    </r>
  </si>
  <si>
    <t>D.1 to D.8</t>
  </si>
  <si>
    <r>
      <rPr>
        <b/>
        <sz val="12"/>
        <color indexed="8"/>
        <rFont val="Arial"/>
        <family val="2"/>
        <charset val="162"/>
      </rPr>
      <t xml:space="preserve">Birincil gelirler ve cari transferler </t>
    </r>
    <r>
      <rPr>
        <sz val="12"/>
        <color indexed="8"/>
        <rFont val="Arial"/>
        <family val="2"/>
        <charset val="162"/>
      </rPr>
      <t>- Primary incomes and current transfers</t>
    </r>
  </si>
  <si>
    <t xml:space="preserve">B.12 </t>
  </si>
  <si>
    <r>
      <rPr>
        <b/>
        <sz val="12"/>
        <color indexed="8"/>
        <rFont val="Arial"/>
        <family val="2"/>
        <charset val="162"/>
      </rPr>
      <t>Cari dış denge</t>
    </r>
    <r>
      <rPr>
        <sz val="12"/>
        <color indexed="8"/>
        <rFont val="Arial"/>
        <family val="2"/>
        <charset val="162"/>
      </rPr>
      <t xml:space="preserve"> - Current external balance</t>
    </r>
  </si>
  <si>
    <r>
      <rPr>
        <b/>
        <sz val="12"/>
        <color indexed="8"/>
        <rFont val="Arial"/>
        <family val="2"/>
        <charset val="162"/>
      </rPr>
      <t>Ödenecek sermaye transferleri ve finansal olmayan varlıklardaki değişiklikler</t>
    </r>
    <r>
      <rPr>
        <sz val="12"/>
        <color indexed="8"/>
        <rFont val="Arial"/>
        <family val="2"/>
        <charset val="162"/>
      </rPr>
      <t xml:space="preserve">
Capital transfers payable and changes in non-financial assets</t>
    </r>
  </si>
  <si>
    <r>
      <rPr>
        <b/>
        <sz val="12"/>
        <color indexed="8"/>
        <rFont val="Arial"/>
        <family val="2"/>
        <charset val="162"/>
      </rPr>
      <t xml:space="preserve">Tasarruf ve alacak sermaye transferleri </t>
    </r>
    <r>
      <rPr>
        <sz val="12"/>
        <color indexed="8"/>
        <rFont val="Arial"/>
        <family val="2"/>
        <charset val="162"/>
      </rPr>
      <t xml:space="preserve">
Saving and capital transfers receivable
</t>
    </r>
  </si>
  <si>
    <r>
      <t xml:space="preserve">Dışa alem hesapları
</t>
    </r>
    <r>
      <rPr>
        <sz val="12"/>
        <color indexed="8"/>
        <rFont val="Arial"/>
        <family val="2"/>
        <charset val="162"/>
      </rPr>
      <t>Rest of the world</t>
    </r>
    <r>
      <rPr>
        <b/>
        <sz val="12"/>
        <color indexed="8"/>
        <rFont val="Arial"/>
        <family val="2"/>
        <charset val="162"/>
      </rPr>
      <t xml:space="preserve">
S.2</t>
    </r>
  </si>
  <si>
    <r>
      <t xml:space="preserve">Sermaye hesabı
</t>
    </r>
    <r>
      <rPr>
        <sz val="12"/>
        <color indexed="8"/>
        <rFont val="Arial"/>
        <family val="2"/>
        <charset val="162"/>
      </rPr>
      <t>Capital accounts</t>
    </r>
  </si>
  <si>
    <r>
      <t xml:space="preserve">Tasarruf ve sermaye hesabından kaynaklanan net değerdeki değişim
</t>
    </r>
    <r>
      <rPr>
        <sz val="12"/>
        <color indexed="8"/>
        <rFont val="Arial"/>
        <family val="2"/>
        <charset val="162"/>
      </rPr>
      <t>Change in net worth due to saving and capital transfers account</t>
    </r>
  </si>
  <si>
    <r>
      <t>B.8n/B.8g</t>
    </r>
    <r>
      <rPr>
        <b/>
        <vertAlign val="superscript"/>
        <sz val="12"/>
        <color indexed="8"/>
        <rFont val="Arial"/>
        <family val="2"/>
        <charset val="162"/>
      </rPr>
      <t>(1)</t>
    </r>
    <r>
      <rPr>
        <b/>
        <sz val="12"/>
        <color indexed="8"/>
        <rFont val="Arial"/>
        <family val="2"/>
        <charset val="162"/>
      </rPr>
      <t xml:space="preserve">/B.12 </t>
    </r>
  </si>
  <si>
    <r>
      <rPr>
        <b/>
        <sz val="12"/>
        <color indexed="8"/>
        <rFont val="Arial"/>
        <family val="2"/>
        <charset val="162"/>
      </rPr>
      <t xml:space="preserve">Net tasarruf /tasarruf, gayrisafi/cari dış denge 
</t>
    </r>
    <r>
      <rPr>
        <sz val="12"/>
        <color indexed="8"/>
        <rFont val="Arial"/>
        <family val="2"/>
        <charset val="162"/>
      </rPr>
      <t>Net saving /gross saving/current external balance</t>
    </r>
  </si>
  <si>
    <t>D.9</t>
  </si>
  <si>
    <r>
      <rPr>
        <b/>
        <sz val="12"/>
        <color indexed="8"/>
        <rFont val="Arial"/>
        <family val="2"/>
        <charset val="162"/>
      </rPr>
      <t>Sermaye transferleri -</t>
    </r>
    <r>
      <rPr>
        <sz val="12"/>
        <color indexed="8"/>
        <rFont val="Arial"/>
        <family val="2"/>
        <charset val="162"/>
      </rPr>
      <t xml:space="preserve"> Capital transfers</t>
    </r>
  </si>
  <si>
    <t>D.91</t>
  </si>
  <si>
    <r>
      <rPr>
        <b/>
        <sz val="12"/>
        <color indexed="8"/>
        <rFont val="Arial"/>
        <family val="2"/>
        <charset val="162"/>
      </rPr>
      <t>Sermaye vergileri</t>
    </r>
    <r>
      <rPr>
        <sz val="12"/>
        <color indexed="8"/>
        <rFont val="Arial"/>
        <family val="2"/>
        <charset val="162"/>
      </rPr>
      <t xml:space="preserve"> - Capital taxes</t>
    </r>
  </si>
  <si>
    <t>D.92</t>
  </si>
  <si>
    <r>
      <rPr>
        <b/>
        <sz val="12"/>
        <color indexed="8"/>
        <rFont val="Arial"/>
        <family val="2"/>
        <charset val="162"/>
      </rPr>
      <t>Yatırım bağışları-</t>
    </r>
    <r>
      <rPr>
        <sz val="12"/>
        <color indexed="8"/>
        <rFont val="Arial"/>
        <family val="2"/>
        <charset val="162"/>
      </rPr>
      <t xml:space="preserve"> Investment grants</t>
    </r>
  </si>
  <si>
    <t>D.99</t>
  </si>
  <si>
    <r>
      <rPr>
        <b/>
        <sz val="12"/>
        <color indexed="8"/>
        <rFont val="Arial"/>
        <family val="2"/>
        <charset val="162"/>
      </rPr>
      <t>Diğer sermaye transferleri</t>
    </r>
    <r>
      <rPr>
        <sz val="12"/>
        <color indexed="8"/>
        <rFont val="Arial"/>
        <family val="2"/>
        <charset val="162"/>
      </rPr>
      <t xml:space="preserve"> - Other capital transfers</t>
    </r>
  </si>
  <si>
    <t xml:space="preserve">B.10.1 </t>
  </si>
  <si>
    <r>
      <rPr>
        <b/>
        <sz val="12"/>
        <rFont val="Arial"/>
        <family val="2"/>
        <charset val="162"/>
      </rPr>
      <t xml:space="preserve">Tasarruf ve sermaye hesabıdan kaynaklanan net değerdeki değişim </t>
    </r>
    <r>
      <rPr>
        <b/>
        <sz val="12"/>
        <color indexed="10"/>
        <rFont val="Arial"/>
        <family val="2"/>
        <charset val="162"/>
      </rPr>
      <t xml:space="preserve">
</t>
    </r>
    <r>
      <rPr>
        <sz val="12"/>
        <rFont val="Arial"/>
        <family val="2"/>
        <charset val="162"/>
      </rPr>
      <t>Changes in net worth due to saving and capital transfer</t>
    </r>
  </si>
  <si>
    <r>
      <t xml:space="preserve">Mali olmayan varlıkların edinimi hesabı
</t>
    </r>
    <r>
      <rPr>
        <sz val="12"/>
        <color indexed="8"/>
        <rFont val="Arial"/>
        <family val="2"/>
        <charset val="162"/>
      </rPr>
      <t>Acquisition of non-financial assets account</t>
    </r>
  </si>
  <si>
    <r>
      <rPr>
        <b/>
        <sz val="12"/>
        <rFont val="Arial"/>
        <family val="2"/>
        <charset val="162"/>
      </rPr>
      <t xml:space="preserve">Tasarruf ve sermaye hesabından kaynaklanan net değerdeki değişim </t>
    </r>
    <r>
      <rPr>
        <b/>
        <sz val="12"/>
        <color indexed="10"/>
        <rFont val="Arial"/>
        <family val="2"/>
        <charset val="162"/>
      </rPr>
      <t xml:space="preserve">
</t>
    </r>
    <r>
      <rPr>
        <sz val="12"/>
        <rFont val="Arial"/>
        <family val="2"/>
        <charset val="162"/>
      </rPr>
      <t>Changes in net worth due to saving and capital transfer</t>
    </r>
  </si>
  <si>
    <t>P.5</t>
  </si>
  <si>
    <r>
      <rPr>
        <b/>
        <sz val="12"/>
        <color indexed="8"/>
        <rFont val="Arial"/>
        <family val="2"/>
        <charset val="162"/>
      </rPr>
      <t xml:space="preserve">Sabit sermaye oluşumu </t>
    </r>
    <r>
      <rPr>
        <sz val="12"/>
        <color indexed="8"/>
        <rFont val="Arial"/>
        <family val="2"/>
        <charset val="162"/>
      </rPr>
      <t>- Gross capital formation</t>
    </r>
  </si>
  <si>
    <t>P.51G</t>
  </si>
  <si>
    <r>
      <rPr>
        <b/>
        <sz val="12"/>
        <color indexed="8"/>
        <rFont val="Arial"/>
        <family val="2"/>
        <charset val="162"/>
      </rPr>
      <t>Gayrisafi sabit sermaye oluşumu</t>
    </r>
    <r>
      <rPr>
        <sz val="12"/>
        <color indexed="8"/>
        <rFont val="Arial"/>
        <family val="2"/>
        <charset val="162"/>
      </rPr>
      <t xml:space="preserve"> - Gross fixed capital formation</t>
    </r>
  </si>
  <si>
    <t>P.52</t>
  </si>
  <si>
    <r>
      <rPr>
        <b/>
        <sz val="12"/>
        <color indexed="8"/>
        <rFont val="Arial"/>
        <family val="2"/>
        <charset val="162"/>
      </rPr>
      <t>Envanterlerdeki değişmeler</t>
    </r>
    <r>
      <rPr>
        <sz val="12"/>
        <color indexed="8"/>
        <rFont val="Arial"/>
        <family val="2"/>
        <charset val="162"/>
      </rPr>
      <t xml:space="preserve"> - Changes in inventories</t>
    </r>
  </si>
  <si>
    <t>P.53</t>
  </si>
  <si>
    <r>
      <rPr>
        <b/>
        <sz val="12"/>
        <color indexed="8"/>
        <rFont val="Arial"/>
        <family val="2"/>
        <charset val="162"/>
      </rPr>
      <t xml:space="preserve">Değerlilerin edinimi eksi elden çıkarılışı </t>
    </r>
    <r>
      <rPr>
        <sz val="12"/>
        <color indexed="8"/>
        <rFont val="Arial"/>
        <family val="2"/>
        <charset val="162"/>
      </rPr>
      <t>- Acquisitions less disposals of valuables</t>
    </r>
  </si>
  <si>
    <t>NP</t>
  </si>
  <si>
    <r>
      <rPr>
        <b/>
        <sz val="12"/>
        <color indexed="8"/>
        <rFont val="Arial"/>
        <family val="2"/>
        <charset val="162"/>
      </rPr>
      <t xml:space="preserve">Üretilmemiş mali olmayan varlıkların edinimi eksi elden çıkarılışı </t>
    </r>
    <r>
      <rPr>
        <sz val="12"/>
        <color indexed="8"/>
        <rFont val="Arial"/>
        <family val="2"/>
        <charset val="162"/>
      </rPr>
      <t xml:space="preserve">
Acquisitions less disposals of non-produced non-financial assets</t>
    </r>
  </si>
  <si>
    <t xml:space="preserve">B.9 </t>
  </si>
  <si>
    <r>
      <rPr>
        <b/>
        <sz val="12"/>
        <color indexed="8"/>
        <rFont val="Arial"/>
        <family val="2"/>
        <charset val="162"/>
      </rPr>
      <t xml:space="preserve">Net borç verme(+) / net borç alma (–)
</t>
    </r>
    <r>
      <rPr>
        <sz val="12"/>
        <color indexed="8"/>
        <rFont val="Arial"/>
        <family val="2"/>
        <charset val="162"/>
      </rPr>
      <t>Net lending (+) / net borrowing (–)</t>
    </r>
  </si>
  <si>
    <t>own from national accounts</t>
  </si>
  <si>
    <t>extrapolated</t>
  </si>
  <si>
    <t>Undistributed profits</t>
  </si>
  <si>
    <t>net_operating_surplus_1000try</t>
  </si>
  <si>
    <t>surplus_share</t>
  </si>
  <si>
    <t>share_of_imputed_rent</t>
  </si>
  <si>
    <t>share_of_fiscal_income</t>
  </si>
  <si>
    <t>share_fiscalimprent_income</t>
  </si>
  <si>
    <t>share_of_transfers</t>
  </si>
  <si>
    <t>income_year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</si>
</sst>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#\ ###\ ###"/>
  </numFmts>
  <fonts count="3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indexed="8"/>
      <name val="Arial"/>
      <family val="2"/>
      <charset val="162"/>
    </font>
    <font>
      <sz val="12"/>
      <color indexed="8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rgb="FFFF0000"/>
      <name val="Arial Tur"/>
      <charset val="162"/>
    </font>
    <font>
      <b/>
      <sz val="12"/>
      <color rgb="FFFF0000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name val="Arial"/>
      <family val="2"/>
      <charset val="162"/>
    </font>
    <font>
      <sz val="12"/>
      <color theme="0"/>
      <name val="Arial"/>
      <family val="2"/>
      <charset val="162"/>
    </font>
    <font>
      <sz val="12"/>
      <name val="Arial"/>
      <family val="2"/>
      <charset val="162"/>
    </font>
    <font>
      <b/>
      <sz val="12"/>
      <name val="Arial"/>
      <family val="2"/>
      <charset val="162"/>
    </font>
    <font>
      <sz val="11"/>
      <color theme="1"/>
      <name val="Aptos Narrow"/>
      <family val="2"/>
      <charset val="162"/>
      <scheme val="minor"/>
    </font>
    <font>
      <b/>
      <vertAlign val="superscript"/>
      <sz val="12"/>
      <color indexed="8"/>
      <name val="Arial"/>
      <family val="2"/>
      <charset val="162"/>
    </font>
    <font>
      <sz val="12"/>
      <color rgb="FFFF0000"/>
      <name val="Arial"/>
      <family val="2"/>
      <charset val="162"/>
    </font>
    <font>
      <b/>
      <sz val="12"/>
      <color indexed="10"/>
      <name val="Arial"/>
      <family val="2"/>
      <charset val="162"/>
    </font>
    <font>
      <b/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6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</cellStyleXfs>
  <cellXfs count="168">
    <xf numFmtId="0" fontId="0" fillId="0" borderId="0" xfId="0"/>
    <xf numFmtId="0" fontId="0" fillId="0" borderId="0" xfId="0" quotePrefix="1"/>
    <xf numFmtId="2" fontId="18" fillId="0" borderId="0" xfId="0" applyNumberFormat="1" applyFont="1"/>
    <xf numFmtId="2" fontId="0" fillId="0" borderId="0" xfId="0" applyNumberFormat="1"/>
    <xf numFmtId="0" fontId="22" fillId="0" borderId="10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10" xfId="0" applyFont="1" applyBorder="1" applyAlignment="1">
      <alignment horizontal="center"/>
    </xf>
    <xf numFmtId="0" fontId="24" fillId="0" borderId="17" xfId="0" applyFont="1" applyBorder="1" applyAlignment="1">
      <alignment horizontal="right" wrapText="1"/>
    </xf>
    <xf numFmtId="0" fontId="24" fillId="0" borderId="18" xfId="0" applyFont="1" applyBorder="1" applyAlignment="1">
      <alignment horizontal="right" wrapText="1"/>
    </xf>
    <xf numFmtId="0" fontId="24" fillId="0" borderId="21" xfId="0" applyFont="1" applyBorder="1" applyAlignment="1">
      <alignment horizontal="right" wrapText="1"/>
    </xf>
    <xf numFmtId="0" fontId="24" fillId="0" borderId="22" xfId="0" applyFont="1" applyBorder="1" applyAlignment="1">
      <alignment horizontal="center" vertical="top" wrapText="1"/>
    </xf>
    <xf numFmtId="0" fontId="24" fillId="0" borderId="23" xfId="0" applyFont="1" applyBorder="1" applyAlignment="1">
      <alignment horizontal="center" vertical="top" wrapText="1"/>
    </xf>
    <xf numFmtId="0" fontId="21" fillId="0" borderId="23" xfId="0" applyFont="1" applyBorder="1" applyAlignment="1">
      <alignment horizontal="center"/>
    </xf>
    <xf numFmtId="0" fontId="21" fillId="0" borderId="24" xfId="0" applyFont="1" applyBorder="1" applyAlignment="1">
      <alignment horizontal="center"/>
    </xf>
    <xf numFmtId="164" fontId="26" fillId="33" borderId="25" xfId="42" applyNumberFormat="1" applyFont="1" applyFill="1" applyBorder="1" applyAlignment="1">
      <alignment horizontal="center" vertical="top"/>
    </xf>
    <xf numFmtId="164" fontId="26" fillId="33" borderId="26" xfId="42" applyNumberFormat="1" applyFont="1" applyFill="1" applyBorder="1" applyAlignment="1">
      <alignment horizontal="center" vertical="top"/>
    </xf>
    <xf numFmtId="3" fontId="21" fillId="0" borderId="18" xfId="0" applyNumberFormat="1" applyFont="1" applyBorder="1" applyAlignment="1">
      <alignment horizontal="left"/>
    </xf>
    <xf numFmtId="3" fontId="21" fillId="0" borderId="18" xfId="0" applyNumberFormat="1" applyFont="1" applyBorder="1" applyAlignment="1">
      <alignment horizontal="left" wrapText="1"/>
    </xf>
    <xf numFmtId="164" fontId="27" fillId="0" borderId="27" xfId="42" applyNumberFormat="1" applyFont="1" applyBorder="1" applyAlignment="1">
      <alignment horizontal="right"/>
    </xf>
    <xf numFmtId="164" fontId="27" fillId="33" borderId="26" xfId="42" applyNumberFormat="1" applyFont="1" applyFill="1" applyBorder="1" applyAlignment="1">
      <alignment horizontal="center" vertical="center"/>
    </xf>
    <xf numFmtId="164" fontId="27" fillId="33" borderId="28" xfId="42" applyNumberFormat="1" applyFont="1" applyFill="1" applyBorder="1" applyAlignment="1">
      <alignment horizontal="center" vertical="center"/>
    </xf>
    <xf numFmtId="164" fontId="26" fillId="33" borderId="29" xfId="42" applyNumberFormat="1" applyFont="1" applyFill="1" applyBorder="1" applyAlignment="1">
      <alignment horizontal="center" vertical="top"/>
    </xf>
    <xf numFmtId="164" fontId="26" fillId="33" borderId="0" xfId="42" applyNumberFormat="1" applyFont="1" applyFill="1" applyAlignment="1">
      <alignment horizontal="center" vertical="top"/>
    </xf>
    <xf numFmtId="164" fontId="27" fillId="33" borderId="0" xfId="42" applyNumberFormat="1" applyFont="1" applyFill="1" applyAlignment="1">
      <alignment horizontal="center" vertical="center"/>
    </xf>
    <xf numFmtId="164" fontId="27" fillId="33" borderId="30" xfId="42" applyNumberFormat="1" applyFont="1" applyFill="1" applyBorder="1" applyAlignment="1">
      <alignment horizontal="center" vertical="center"/>
    </xf>
    <xf numFmtId="164" fontId="27" fillId="33" borderId="0" xfId="42" applyNumberFormat="1" applyFont="1" applyFill="1" applyAlignment="1">
      <alignment horizontal="center" vertical="top"/>
    </xf>
    <xf numFmtId="164" fontId="27" fillId="33" borderId="30" xfId="42" applyNumberFormat="1" applyFont="1" applyFill="1" applyBorder="1" applyAlignment="1">
      <alignment horizontal="center" vertical="top"/>
    </xf>
    <xf numFmtId="164" fontId="27" fillId="33" borderId="29" xfId="42" applyNumberFormat="1" applyFont="1" applyFill="1" applyBorder="1" applyAlignment="1">
      <alignment horizontal="center" vertical="top"/>
    </xf>
    <xf numFmtId="164" fontId="27" fillId="0" borderId="18" xfId="42" applyNumberFormat="1" applyFont="1" applyBorder="1" applyAlignment="1">
      <alignment horizontal="right"/>
    </xf>
    <xf numFmtId="164" fontId="28" fillId="33" borderId="29" xfId="42" applyNumberFormat="1" applyFont="1" applyFill="1" applyBorder="1" applyAlignment="1">
      <alignment horizontal="center" vertical="top"/>
    </xf>
    <xf numFmtId="164" fontId="28" fillId="33" borderId="0" xfId="42" applyNumberFormat="1" applyFont="1" applyFill="1" applyAlignment="1">
      <alignment horizontal="center" vertical="top"/>
    </xf>
    <xf numFmtId="164" fontId="28" fillId="0" borderId="18" xfId="42" applyNumberFormat="1" applyFont="1" applyBorder="1" applyAlignment="1">
      <alignment horizontal="right"/>
    </xf>
    <xf numFmtId="164" fontId="28" fillId="0" borderId="27" xfId="42" applyNumberFormat="1" applyFont="1" applyBorder="1" applyAlignment="1">
      <alignment horizontal="right"/>
    </xf>
    <xf numFmtId="3" fontId="24" fillId="0" borderId="18" xfId="43" applyNumberFormat="1" applyFont="1" applyBorder="1" applyAlignment="1">
      <alignment horizontal="left"/>
    </xf>
    <xf numFmtId="164" fontId="27" fillId="33" borderId="23" xfId="42" applyNumberFormat="1" applyFont="1" applyFill="1" applyBorder="1" applyAlignment="1">
      <alignment horizontal="center" vertical="center"/>
    </xf>
    <xf numFmtId="164" fontId="24" fillId="33" borderId="0" xfId="0" applyNumberFormat="1" applyFont="1" applyFill="1" applyAlignment="1">
      <alignment horizontal="center" vertical="center" wrapText="1"/>
    </xf>
    <xf numFmtId="164" fontId="28" fillId="33" borderId="0" xfId="42" applyNumberFormat="1" applyFont="1" applyFill="1" applyAlignment="1">
      <alignment horizontal="center" vertical="center"/>
    </xf>
    <xf numFmtId="3" fontId="20" fillId="0" borderId="18" xfId="0" applyNumberFormat="1" applyFont="1" applyBorder="1" applyAlignment="1">
      <alignment horizontal="left" wrapText="1"/>
    </xf>
    <xf numFmtId="164" fontId="28" fillId="33" borderId="30" xfId="42" applyNumberFormat="1" applyFont="1" applyFill="1" applyBorder="1" applyAlignment="1">
      <alignment horizontal="center" vertical="top"/>
    </xf>
    <xf numFmtId="164" fontId="27" fillId="0" borderId="27" xfId="42" quotePrefix="1" applyNumberFormat="1" applyFont="1" applyBorder="1" applyAlignment="1">
      <alignment horizontal="right"/>
    </xf>
    <xf numFmtId="164" fontId="27" fillId="34" borderId="27" xfId="42" quotePrefix="1" applyNumberFormat="1" applyFont="1" applyFill="1" applyBorder="1" applyAlignment="1">
      <alignment horizontal="right"/>
    </xf>
    <xf numFmtId="3" fontId="21" fillId="0" borderId="18" xfId="43" applyNumberFormat="1" applyFont="1" applyBorder="1" applyAlignment="1">
      <alignment horizontal="left"/>
    </xf>
    <xf numFmtId="164" fontId="28" fillId="34" borderId="27" xfId="42" quotePrefix="1" applyNumberFormat="1" applyFont="1" applyFill="1" applyBorder="1" applyAlignment="1">
      <alignment horizontal="right"/>
    </xf>
    <xf numFmtId="0" fontId="21" fillId="0" borderId="23" xfId="0" applyFont="1" applyBorder="1" applyAlignment="1">
      <alignment horizontal="right"/>
    </xf>
    <xf numFmtId="0" fontId="24" fillId="33" borderId="0" xfId="0" applyFont="1" applyFill="1" applyAlignment="1">
      <alignment horizontal="center" vertical="top" wrapText="1"/>
    </xf>
    <xf numFmtId="3" fontId="24" fillId="0" borderId="18" xfId="0" applyNumberFormat="1" applyFont="1" applyBorder="1" applyAlignment="1">
      <alignment horizontal="left"/>
    </xf>
    <xf numFmtId="164" fontId="27" fillId="0" borderId="17" xfId="42" applyNumberFormat="1" applyFont="1" applyBorder="1" applyAlignment="1">
      <alignment horizontal="right"/>
    </xf>
    <xf numFmtId="164" fontId="27" fillId="33" borderId="29" xfId="42" applyNumberFormat="1" applyFont="1" applyFill="1" applyBorder="1" applyAlignment="1">
      <alignment horizontal="right"/>
    </xf>
    <xf numFmtId="164" fontId="27" fillId="33" borderId="0" xfId="42" applyNumberFormat="1" applyFont="1" applyFill="1" applyAlignment="1">
      <alignment horizontal="right"/>
    </xf>
    <xf numFmtId="164" fontId="28" fillId="33" borderId="31" xfId="42" applyNumberFormat="1" applyFont="1" applyFill="1" applyBorder="1" applyAlignment="1">
      <alignment horizontal="center" vertical="top"/>
    </xf>
    <xf numFmtId="164" fontId="28" fillId="33" borderId="10" xfId="42" applyNumberFormat="1" applyFont="1" applyFill="1" applyBorder="1" applyAlignment="1">
      <alignment horizontal="center" vertical="top"/>
    </xf>
    <xf numFmtId="164" fontId="28" fillId="0" borderId="32" xfId="42" applyNumberFormat="1" applyFont="1" applyBorder="1" applyAlignment="1">
      <alignment horizontal="right"/>
    </xf>
    <xf numFmtId="164" fontId="27" fillId="0" borderId="33" xfId="42" quotePrefix="1" applyNumberFormat="1" applyFont="1" applyBorder="1" applyAlignment="1">
      <alignment horizontal="right"/>
    </xf>
    <xf numFmtId="1" fontId="28" fillId="34" borderId="33" xfId="42" quotePrefix="1" applyNumberFormat="1" applyFont="1" applyFill="1" applyBorder="1" applyAlignment="1">
      <alignment horizontal="right"/>
    </xf>
    <xf numFmtId="3" fontId="24" fillId="0" borderId="32" xfId="0" applyNumberFormat="1" applyFont="1" applyBorder="1" applyAlignment="1">
      <alignment horizontal="left"/>
    </xf>
    <xf numFmtId="3" fontId="21" fillId="0" borderId="32" xfId="0" applyNumberFormat="1" applyFont="1" applyBorder="1" applyAlignment="1">
      <alignment horizontal="left" wrapText="1"/>
    </xf>
    <xf numFmtId="164" fontId="27" fillId="33" borderId="10" xfId="42" applyNumberFormat="1" applyFont="1" applyFill="1" applyBorder="1" applyAlignment="1">
      <alignment horizontal="center" vertical="top"/>
    </xf>
    <xf numFmtId="164" fontId="28" fillId="33" borderId="34" xfId="42" applyNumberFormat="1" applyFont="1" applyFill="1" applyBorder="1" applyAlignment="1">
      <alignment horizontal="right"/>
    </xf>
    <xf numFmtId="0" fontId="23" fillId="0" borderId="35" xfId="0" applyFont="1" applyBorder="1" applyAlignment="1">
      <alignment horizontal="center"/>
    </xf>
    <xf numFmtId="0" fontId="23" fillId="0" borderId="0" xfId="0" applyFont="1" applyAlignment="1">
      <alignment horizontal="center" vertical="top"/>
    </xf>
    <xf numFmtId="0" fontId="24" fillId="0" borderId="0" xfId="0" applyFont="1" applyAlignment="1">
      <alignment horizontal="center" wrapText="1"/>
    </xf>
    <xf numFmtId="0" fontId="21" fillId="0" borderId="22" xfId="0" applyFont="1" applyBorder="1" applyAlignment="1">
      <alignment horizontal="center" vertical="top"/>
    </xf>
    <xf numFmtId="0" fontId="21" fillId="0" borderId="23" xfId="0" applyFont="1" applyBorder="1" applyAlignment="1">
      <alignment horizontal="center" vertical="top"/>
    </xf>
    <xf numFmtId="0" fontId="31" fillId="0" borderId="23" xfId="0" applyFont="1" applyBorder="1" applyAlignment="1">
      <alignment horizontal="center" vertical="top"/>
    </xf>
    <xf numFmtId="0" fontId="24" fillId="0" borderId="24" xfId="0" applyFont="1" applyBorder="1" applyAlignment="1">
      <alignment horizontal="center" vertical="top"/>
    </xf>
    <xf numFmtId="3" fontId="24" fillId="0" borderId="18" xfId="44" applyNumberFormat="1" applyFont="1" applyBorder="1" applyAlignment="1">
      <alignment horizontal="left"/>
    </xf>
    <xf numFmtId="164" fontId="28" fillId="33" borderId="0" xfId="42" applyNumberFormat="1" applyFont="1" applyFill="1" applyAlignment="1">
      <alignment horizontal="right"/>
    </xf>
    <xf numFmtId="164" fontId="28" fillId="33" borderId="30" xfId="42" applyNumberFormat="1" applyFont="1" applyFill="1" applyBorder="1" applyAlignment="1">
      <alignment horizontal="right"/>
    </xf>
    <xf numFmtId="1" fontId="28" fillId="34" borderId="27" xfId="42" quotePrefix="1" applyNumberFormat="1" applyFont="1" applyFill="1" applyBorder="1" applyAlignment="1">
      <alignment horizontal="right"/>
    </xf>
    <xf numFmtId="164" fontId="28" fillId="33" borderId="37" xfId="42" applyNumberFormat="1" applyFont="1" applyFill="1" applyBorder="1" applyAlignment="1">
      <alignment horizontal="right"/>
    </xf>
    <xf numFmtId="3" fontId="21" fillId="0" borderId="18" xfId="45" applyNumberFormat="1" applyFont="1" applyBorder="1" applyAlignment="1">
      <alignment horizontal="left"/>
    </xf>
    <xf numFmtId="164" fontId="27" fillId="0" borderId="24" xfId="42" applyNumberFormat="1" applyFont="1" applyBorder="1" applyAlignment="1">
      <alignment horizontal="right"/>
    </xf>
    <xf numFmtId="3" fontId="21" fillId="0" borderId="18" xfId="44" applyNumberFormat="1" applyFont="1" applyBorder="1" applyAlignment="1">
      <alignment horizontal="left"/>
    </xf>
    <xf numFmtId="164" fontId="27" fillId="0" borderId="38" xfId="42" applyNumberFormat="1" applyFont="1" applyBorder="1" applyAlignment="1">
      <alignment horizontal="right"/>
    </xf>
    <xf numFmtId="164" fontId="27" fillId="0" borderId="39" xfId="42" applyNumberFormat="1" applyFont="1" applyBorder="1" applyAlignment="1">
      <alignment horizontal="right"/>
    </xf>
    <xf numFmtId="164" fontId="27" fillId="0" borderId="40" xfId="42" applyNumberFormat="1" applyFont="1" applyBorder="1" applyAlignment="1">
      <alignment horizontal="right"/>
    </xf>
    <xf numFmtId="3" fontId="24" fillId="0" borderId="18" xfId="0" applyNumberFormat="1" applyFont="1" applyBorder="1" applyAlignment="1">
      <alignment horizontal="left" wrapText="1"/>
    </xf>
    <xf numFmtId="3" fontId="21" fillId="0" borderId="18" xfId="46" applyNumberFormat="1" applyFont="1" applyBorder="1" applyAlignment="1">
      <alignment horizontal="left"/>
    </xf>
    <xf numFmtId="3" fontId="28" fillId="0" borderId="18" xfId="46" applyNumberFormat="1" applyFont="1" applyBorder="1" applyAlignment="1">
      <alignment horizontal="left" wrapText="1"/>
    </xf>
    <xf numFmtId="164" fontId="27" fillId="34" borderId="18" xfId="42" applyNumberFormat="1" applyFont="1" applyFill="1" applyBorder="1" applyAlignment="1">
      <alignment horizontal="right"/>
    </xf>
    <xf numFmtId="164" fontId="27" fillId="34" borderId="0" xfId="42" applyNumberFormat="1" applyFont="1" applyFill="1" applyAlignment="1">
      <alignment horizontal="right"/>
    </xf>
    <xf numFmtId="3" fontId="28" fillId="0" borderId="18" xfId="47" applyNumberFormat="1" applyFont="1" applyBorder="1" applyAlignment="1">
      <alignment horizontal="left" wrapText="1"/>
    </xf>
    <xf numFmtId="164" fontId="27" fillId="0" borderId="21" xfId="42" applyNumberFormat="1" applyFont="1" applyBorder="1" applyAlignment="1">
      <alignment horizontal="right"/>
    </xf>
    <xf numFmtId="164" fontId="28" fillId="33" borderId="29" xfId="42" applyNumberFormat="1" applyFont="1" applyFill="1" applyBorder="1" applyAlignment="1">
      <alignment horizontal="right"/>
    </xf>
    <xf numFmtId="3" fontId="24" fillId="0" borderId="18" xfId="48" applyNumberFormat="1" applyFont="1" applyBorder="1" applyAlignment="1">
      <alignment horizontal="left"/>
    </xf>
    <xf numFmtId="3" fontId="19" fillId="0" borderId="18" xfId="0" applyNumberFormat="1" applyFont="1" applyBorder="1" applyAlignment="1">
      <alignment horizontal="left" wrapText="1"/>
    </xf>
    <xf numFmtId="164" fontId="28" fillId="33" borderId="29" xfId="42" applyNumberFormat="1" applyFont="1" applyFill="1" applyBorder="1" applyAlignment="1">
      <alignment horizontal="center" vertical="center"/>
    </xf>
    <xf numFmtId="2" fontId="28" fillId="33" borderId="0" xfId="42" applyNumberFormat="1" applyFont="1" applyFill="1" applyAlignment="1">
      <alignment horizontal="center" vertical="center"/>
    </xf>
    <xf numFmtId="3" fontId="21" fillId="0" borderId="18" xfId="49" applyNumberFormat="1" applyFont="1" applyBorder="1" applyAlignment="1">
      <alignment horizontal="left"/>
    </xf>
    <xf numFmtId="3" fontId="21" fillId="0" borderId="18" xfId="50" applyNumberFormat="1" applyFont="1" applyBorder="1" applyAlignment="1">
      <alignment horizontal="left"/>
    </xf>
    <xf numFmtId="3" fontId="21" fillId="0" borderId="18" xfId="51" applyNumberFormat="1" applyFont="1" applyBorder="1" applyAlignment="1">
      <alignment horizontal="left"/>
    </xf>
    <xf numFmtId="164" fontId="27" fillId="35" borderId="27" xfId="42" applyNumberFormat="1" applyFont="1" applyFill="1" applyBorder="1" applyAlignment="1">
      <alignment horizontal="right"/>
    </xf>
    <xf numFmtId="164" fontId="28" fillId="33" borderId="41" xfId="42" applyNumberFormat="1" applyFont="1" applyFill="1" applyBorder="1" applyAlignment="1">
      <alignment horizontal="right"/>
    </xf>
    <xf numFmtId="164" fontId="28" fillId="33" borderId="42" xfId="42" applyNumberFormat="1" applyFont="1" applyFill="1" applyBorder="1" applyAlignment="1">
      <alignment horizontal="right"/>
    </xf>
    <xf numFmtId="164" fontId="28" fillId="0" borderId="33" xfId="42" applyNumberFormat="1" applyFont="1" applyBorder="1" applyAlignment="1">
      <alignment horizontal="right"/>
    </xf>
    <xf numFmtId="3" fontId="24" fillId="0" borderId="32" xfId="47" applyNumberFormat="1" applyFont="1" applyBorder="1" applyAlignment="1">
      <alignment horizontal="left"/>
    </xf>
    <xf numFmtId="3" fontId="20" fillId="0" borderId="32" xfId="0" applyNumberFormat="1" applyFont="1" applyBorder="1" applyAlignment="1">
      <alignment horizontal="left" wrapText="1"/>
    </xf>
    <xf numFmtId="164" fontId="28" fillId="33" borderId="42" xfId="42" applyNumberFormat="1" applyFont="1" applyFill="1" applyBorder="1" applyAlignment="1">
      <alignment horizontal="center" vertical="top"/>
    </xf>
    <xf numFmtId="164" fontId="27" fillId="33" borderId="42" xfId="42" applyNumberFormat="1" applyFont="1" applyFill="1" applyBorder="1" applyAlignment="1">
      <alignment horizontal="center" vertical="top"/>
    </xf>
    <xf numFmtId="164" fontId="28" fillId="33" borderId="43" xfId="42" applyNumberFormat="1" applyFont="1" applyFill="1" applyBorder="1" applyAlignment="1">
      <alignment horizontal="right"/>
    </xf>
    <xf numFmtId="0" fontId="23" fillId="0" borderId="10" xfId="0" applyFont="1" applyBorder="1" applyAlignment="1">
      <alignment horizontal="center" vertical="top"/>
    </xf>
    <xf numFmtId="0" fontId="24" fillId="0" borderId="10" xfId="0" applyFont="1" applyBorder="1" applyAlignment="1">
      <alignment horizontal="center" wrapText="1"/>
    </xf>
    <xf numFmtId="3" fontId="24" fillId="0" borderId="18" xfId="47" applyNumberFormat="1" applyFont="1" applyBorder="1" applyAlignment="1">
      <alignment horizontal="left"/>
    </xf>
    <xf numFmtId="3" fontId="21" fillId="0" borderId="18" xfId="52" applyNumberFormat="1" applyFont="1" applyBorder="1" applyAlignment="1">
      <alignment horizontal="left"/>
    </xf>
    <xf numFmtId="3" fontId="21" fillId="0" borderId="18" xfId="53" applyNumberFormat="1" applyFont="1" applyBorder="1" applyAlignment="1">
      <alignment horizontal="left"/>
    </xf>
    <xf numFmtId="3" fontId="24" fillId="0" borderId="18" xfId="54" applyNumberFormat="1" applyFont="1" applyBorder="1" applyAlignment="1">
      <alignment horizontal="left"/>
    </xf>
    <xf numFmtId="0" fontId="21" fillId="0" borderId="22" xfId="0" applyFont="1" applyBorder="1" applyAlignment="1">
      <alignment horizontal="right"/>
    </xf>
    <xf numFmtId="3" fontId="21" fillId="0" borderId="18" xfId="55" applyNumberFormat="1" applyFont="1" applyBorder="1" applyAlignment="1">
      <alignment horizontal="left"/>
    </xf>
    <xf numFmtId="3" fontId="24" fillId="0" borderId="18" xfId="56" applyNumberFormat="1" applyFont="1" applyBorder="1" applyAlignment="1">
      <alignment horizontal="left"/>
    </xf>
    <xf numFmtId="164" fontId="27" fillId="0" borderId="22" xfId="42" applyNumberFormat="1" applyFont="1" applyBorder="1" applyAlignment="1">
      <alignment horizontal="right"/>
    </xf>
    <xf numFmtId="3" fontId="24" fillId="0" borderId="18" xfId="57" applyNumberFormat="1" applyFont="1" applyBorder="1" applyAlignment="1">
      <alignment horizontal="left"/>
    </xf>
    <xf numFmtId="164" fontId="28" fillId="33" borderId="34" xfId="42" applyNumberFormat="1" applyFont="1" applyFill="1" applyBorder="1" applyAlignment="1">
      <alignment horizontal="center" vertical="top"/>
    </xf>
    <xf numFmtId="3" fontId="24" fillId="0" borderId="18" xfId="58" applyNumberFormat="1" applyFont="1" applyBorder="1" applyAlignment="1">
      <alignment horizontal="left"/>
    </xf>
    <xf numFmtId="164" fontId="28" fillId="0" borderId="24" xfId="42" applyNumberFormat="1" applyFont="1" applyBorder="1" applyAlignment="1">
      <alignment horizontal="right"/>
    </xf>
    <xf numFmtId="3" fontId="21" fillId="0" borderId="18" xfId="59" applyNumberFormat="1" applyFont="1" applyBorder="1" applyAlignment="1">
      <alignment horizontal="left"/>
    </xf>
    <xf numFmtId="164" fontId="27" fillId="33" borderId="18" xfId="42" applyNumberFormat="1" applyFont="1" applyFill="1" applyBorder="1" applyAlignment="1">
      <alignment horizontal="right"/>
    </xf>
    <xf numFmtId="164" fontId="28" fillId="0" borderId="17" xfId="42" applyNumberFormat="1" applyFont="1" applyBorder="1" applyAlignment="1">
      <alignment horizontal="right"/>
    </xf>
    <xf numFmtId="3" fontId="23" fillId="0" borderId="18" xfId="47" applyNumberFormat="1" applyFont="1" applyBorder="1" applyAlignment="1">
      <alignment horizontal="left" wrapText="1"/>
    </xf>
    <xf numFmtId="164" fontId="27" fillId="33" borderId="0" xfId="42" applyNumberFormat="1" applyFont="1" applyFill="1" applyAlignment="1">
      <alignment vertical="center"/>
    </xf>
    <xf numFmtId="164" fontId="28" fillId="33" borderId="0" xfId="42" applyNumberFormat="1" applyFont="1" applyFill="1" applyAlignment="1">
      <alignment vertical="center"/>
    </xf>
    <xf numFmtId="164" fontId="27" fillId="33" borderId="30" xfId="42" applyNumberFormat="1" applyFont="1" applyFill="1" applyBorder="1" applyAlignment="1">
      <alignment vertical="center"/>
    </xf>
    <xf numFmtId="164" fontId="21" fillId="0" borderId="23" xfId="0" applyNumberFormat="1" applyFont="1" applyBorder="1" applyAlignment="1">
      <alignment horizontal="right"/>
    </xf>
    <xf numFmtId="164" fontId="27" fillId="33" borderId="29" xfId="42" applyNumberFormat="1" applyFont="1" applyFill="1" applyBorder="1" applyAlignment="1">
      <alignment horizontal="center" vertical="center"/>
    </xf>
    <xf numFmtId="3" fontId="21" fillId="0" borderId="18" xfId="60" applyNumberFormat="1" applyFont="1" applyBorder="1" applyAlignment="1">
      <alignment horizontal="left"/>
    </xf>
    <xf numFmtId="164" fontId="27" fillId="0" borderId="46" xfId="42" applyNumberFormat="1" applyFont="1" applyBorder="1" applyAlignment="1">
      <alignment horizontal="right"/>
    </xf>
    <xf numFmtId="3" fontId="24" fillId="0" borderId="32" xfId="61" applyNumberFormat="1" applyFont="1" applyBorder="1" applyAlignment="1">
      <alignment horizontal="left"/>
    </xf>
    <xf numFmtId="164" fontId="27" fillId="33" borderId="47" xfId="42" applyNumberFormat="1" applyFont="1" applyFill="1" applyBorder="1" applyAlignment="1">
      <alignment vertical="center"/>
    </xf>
    <xf numFmtId="164" fontId="27" fillId="33" borderId="10" xfId="42" applyNumberFormat="1" applyFont="1" applyFill="1" applyBorder="1" applyAlignment="1">
      <alignment vertical="center"/>
    </xf>
    <xf numFmtId="164" fontId="27" fillId="33" borderId="34" xfId="42" applyNumberFormat="1" applyFont="1" applyFill="1" applyBorder="1" applyAlignment="1">
      <alignment horizontal="right"/>
    </xf>
    <xf numFmtId="164" fontId="23" fillId="0" borderId="18" xfId="42" applyNumberFormat="1" applyFont="1" applyBorder="1" applyAlignment="1">
      <alignment horizontal="right"/>
    </xf>
    <xf numFmtId="164" fontId="31" fillId="33" borderId="0" xfId="42" applyNumberFormat="1" applyFont="1" applyFill="1" applyAlignment="1">
      <alignment horizontal="right"/>
    </xf>
    <xf numFmtId="164" fontId="23" fillId="33" borderId="0" xfId="42" applyNumberFormat="1" applyFont="1" applyFill="1" applyAlignment="1">
      <alignment horizontal="center" vertical="top"/>
    </xf>
    <xf numFmtId="0" fontId="14" fillId="0" borderId="0" xfId="0" applyFont="1"/>
    <xf numFmtId="0" fontId="33" fillId="0" borderId="0" xfId="0" applyFont="1"/>
    <xf numFmtId="0" fontId="24" fillId="0" borderId="23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right"/>
    </xf>
    <xf numFmtId="0" fontId="21" fillId="0" borderId="24" xfId="0" applyFont="1" applyBorder="1" applyAlignment="1">
      <alignment horizontal="right"/>
    </xf>
    <xf numFmtId="0" fontId="21" fillId="0" borderId="44" xfId="0" applyFont="1" applyBorder="1" applyAlignment="1">
      <alignment horizontal="center" vertical="top" wrapText="1"/>
    </xf>
    <xf numFmtId="0" fontId="21" fillId="0" borderId="45" xfId="0" applyFont="1" applyBorder="1" applyAlignment="1">
      <alignment horizontal="center" vertical="top"/>
    </xf>
    <xf numFmtId="0" fontId="21" fillId="0" borderId="12" xfId="0" applyFont="1" applyBorder="1" applyAlignment="1">
      <alignment horizontal="center" vertical="top"/>
    </xf>
    <xf numFmtId="0" fontId="24" fillId="0" borderId="0" xfId="0" applyFont="1" applyAlignment="1">
      <alignment horizontal="center" vertical="top"/>
    </xf>
    <xf numFmtId="0" fontId="20" fillId="0" borderId="12" xfId="0" applyFont="1" applyBorder="1" applyAlignment="1">
      <alignment horizontal="center" vertical="top" wrapText="1"/>
    </xf>
    <xf numFmtId="0" fontId="21" fillId="0" borderId="16" xfId="0" applyFont="1" applyBorder="1" applyAlignment="1">
      <alignment horizontal="center" vertical="top"/>
    </xf>
    <xf numFmtId="0" fontId="24" fillId="0" borderId="36" xfId="0" applyFont="1" applyBorder="1" applyAlignment="1">
      <alignment horizontal="center" wrapText="1"/>
    </xf>
    <xf numFmtId="0" fontId="24" fillId="0" borderId="27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21" fillId="0" borderId="24" xfId="0" applyFont="1" applyBorder="1" applyAlignment="1">
      <alignment horizontal="center"/>
    </xf>
    <xf numFmtId="0" fontId="21" fillId="0" borderId="22" xfId="0" applyFont="1" applyBorder="1" applyAlignment="1">
      <alignment horizontal="right"/>
    </xf>
    <xf numFmtId="0" fontId="24" fillId="0" borderId="23" xfId="0" applyFont="1" applyBorder="1" applyAlignment="1">
      <alignment horizontal="center" wrapText="1"/>
    </xf>
    <xf numFmtId="0" fontId="24" fillId="0" borderId="23" xfId="0" applyFont="1" applyBorder="1" applyAlignment="1">
      <alignment horizontal="center"/>
    </xf>
    <xf numFmtId="0" fontId="24" fillId="0" borderId="27" xfId="0" applyFont="1" applyBorder="1" applyAlignment="1">
      <alignment horizontal="center" wrapText="1"/>
    </xf>
    <xf numFmtId="49" fontId="24" fillId="0" borderId="10" xfId="0" applyNumberFormat="1" applyFont="1" applyBorder="1" applyAlignment="1">
      <alignment horizontal="right" wrapText="1"/>
    </xf>
    <xf numFmtId="0" fontId="24" fillId="0" borderId="11" xfId="0" applyFont="1" applyBorder="1" applyAlignment="1">
      <alignment horizontal="center" wrapText="1"/>
    </xf>
    <xf numFmtId="0" fontId="24" fillId="0" borderId="12" xfId="0" applyFont="1" applyBorder="1" applyAlignment="1">
      <alignment horizontal="center"/>
    </xf>
    <xf numFmtId="0" fontId="24" fillId="0" borderId="12" xfId="0" applyFont="1" applyBorder="1" applyAlignment="1">
      <alignment horizontal="center" wrapText="1"/>
    </xf>
    <xf numFmtId="0" fontId="24" fillId="0" borderId="16" xfId="0" applyFont="1" applyBorder="1" applyAlignment="1">
      <alignment horizontal="center"/>
    </xf>
    <xf numFmtId="0" fontId="24" fillId="0" borderId="11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wrapText="1"/>
    </xf>
    <xf numFmtId="0" fontId="24" fillId="0" borderId="20" xfId="0" applyFont="1" applyBorder="1" applyAlignment="1">
      <alignment horizontal="center" wrapText="1"/>
    </xf>
    <xf numFmtId="49" fontId="24" fillId="0" borderId="35" xfId="0" applyNumberFormat="1" applyFont="1" applyBorder="1" applyAlignment="1">
      <alignment horizontal="right" wrapText="1"/>
    </xf>
  </cellXfs>
  <cellStyles count="6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4" xfId="43" xr:uid="{83832F36-3F62-3046-80D5-586C7238D061}"/>
    <cellStyle name="Normal 25" xfId="44" xr:uid="{D4376B09-C1A2-514E-92E3-AB5C9FBDBD4A}"/>
    <cellStyle name="Normal 30" xfId="45" xr:uid="{A8A1ECE8-CAB2-1A4A-9D28-D0BBC9D1C025}"/>
    <cellStyle name="Normal 32" xfId="46" xr:uid="{27DA7B71-5AF4-3443-91DE-9BC0D9847485}"/>
    <cellStyle name="Normal 33" xfId="48" xr:uid="{F4F79B39-C5A4-D749-B887-51F00804F69E}"/>
    <cellStyle name="Normal 34" xfId="49" xr:uid="{F334D210-652D-1740-AFF2-FA3EE70B38E6}"/>
    <cellStyle name="Normal 35" xfId="50" xr:uid="{CB2DB95D-9720-7E4E-A3B9-95F9ED691021}"/>
    <cellStyle name="Normal 36" xfId="51" xr:uid="{D6DCF087-1EE5-F44A-A9DA-459682035B1D}"/>
    <cellStyle name="Normal 37" xfId="47" xr:uid="{CAA92B9A-7136-5943-A16F-6C23BB342A5C}"/>
    <cellStyle name="Normal 38" xfId="52" xr:uid="{DED141FB-6833-E341-B14C-2457AF7DAA06}"/>
    <cellStyle name="Normal 39" xfId="53" xr:uid="{8334FC07-9444-DA4E-881A-02A92E18C5C1}"/>
    <cellStyle name="Normal 40" xfId="54" xr:uid="{CE1E5CC9-6F5C-0D4A-8327-DF05133DF4E7}"/>
    <cellStyle name="Normal 41" xfId="58" xr:uid="{E1F99FCB-E4AA-DC41-BF74-F1EFFA6AFFE6}"/>
    <cellStyle name="Normal 42" xfId="55" xr:uid="{C17E8FF8-BAE8-A346-9A6E-39C20F4599FC}"/>
    <cellStyle name="Normal 43" xfId="56" xr:uid="{C92AC5AB-27BA-AA49-8B21-2F96B1AC6DF1}"/>
    <cellStyle name="Normal 44" xfId="57" xr:uid="{BEB76573-6E7F-4140-9DAE-CAFCD3D4BBC2}"/>
    <cellStyle name="Normal 45" xfId="59" xr:uid="{94CCBAF3-AD5D-E24A-AF1B-D651240CB64D}"/>
    <cellStyle name="Normal 47" xfId="60" xr:uid="{E0F40A4A-CD5E-5B4B-9914-00E48023527B}"/>
    <cellStyle name="Normal 49" xfId="61" xr:uid="{D2B9A296-8012-0D40-89ED-F7DDFA12542C}"/>
    <cellStyle name="Normal_21-4" xfId="42" xr:uid="{88F8D812-F472-114E-9E27-1E05F0FB592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75EF2-9A03-4F4D-A6D6-5B890E853F65}">
  <dimension ref="A1:K65"/>
  <sheetViews>
    <sheetView tabSelected="1" topLeftCell="A23" workbookViewId="0">
      <selection activeCell="J65" sqref="J65"/>
    </sheetView>
  </sheetViews>
  <sheetFormatPr baseColWidth="10" defaultRowHeight="16"/>
  <cols>
    <col min="2" max="2" width="14.33203125" customWidth="1"/>
    <col min="4" max="4" width="21" customWidth="1"/>
    <col min="8" max="8" width="25" customWidth="1"/>
    <col min="9" max="9" width="33.33203125" customWidth="1"/>
    <col min="10" max="10" width="30" customWidth="1"/>
  </cols>
  <sheetData>
    <row r="1" spans="1:11">
      <c r="A1" t="s">
        <v>244</v>
      </c>
      <c r="B1" t="s">
        <v>1</v>
      </c>
      <c r="C1" t="s">
        <v>2</v>
      </c>
      <c r="D1" t="s">
        <v>3</v>
      </c>
      <c r="E1" t="s">
        <v>4</v>
      </c>
      <c r="F1" t="s">
        <v>238</v>
      </c>
      <c r="G1" t="s">
        <v>239</v>
      </c>
      <c r="H1" t="s">
        <v>5</v>
      </c>
      <c r="I1" t="s">
        <v>6</v>
      </c>
      <c r="J1" t="s">
        <v>7</v>
      </c>
      <c r="K1" t="s">
        <v>8</v>
      </c>
    </row>
    <row r="2" spans="1:11">
      <c r="A2">
        <v>1960</v>
      </c>
      <c r="B2">
        <v>63502.496400000004</v>
      </c>
      <c r="C2">
        <v>27510980</v>
      </c>
      <c r="H2">
        <v>2.3082599999999999E-3</v>
      </c>
      <c r="I2">
        <v>4077.3049000000001</v>
      </c>
      <c r="K2">
        <v>8336.7702000000008</v>
      </c>
    </row>
    <row r="3" spans="1:11">
      <c r="A3">
        <v>1961</v>
      </c>
      <c r="B3">
        <v>66950.380300000004</v>
      </c>
      <c r="C3">
        <v>28255002</v>
      </c>
      <c r="H3">
        <v>2.369505E-3</v>
      </c>
      <c r="I3">
        <v>4010.1138000000001</v>
      </c>
      <c r="K3">
        <v>8222.3978000000006</v>
      </c>
    </row>
    <row r="4" spans="1:11">
      <c r="A4">
        <v>1962</v>
      </c>
      <c r="B4">
        <v>74864.7307</v>
      </c>
      <c r="C4">
        <v>29033647</v>
      </c>
      <c r="H4">
        <v>2.5785510000000001E-3</v>
      </c>
      <c r="I4">
        <v>4125.0995999999996</v>
      </c>
      <c r="K4">
        <v>8491.759</v>
      </c>
    </row>
    <row r="5" spans="1:11">
      <c r="A5">
        <v>1963</v>
      </c>
      <c r="B5">
        <v>87157.982699999993</v>
      </c>
      <c r="C5">
        <v>29827877</v>
      </c>
      <c r="H5">
        <v>2.9220309999999998E-3</v>
      </c>
      <c r="I5">
        <v>4392.7201999999997</v>
      </c>
      <c r="K5">
        <v>9078.8812999999991</v>
      </c>
    </row>
    <row r="6" spans="1:11">
      <c r="A6">
        <v>1964</v>
      </c>
      <c r="B6">
        <v>94124.832999999999</v>
      </c>
      <c r="C6">
        <v>30612821</v>
      </c>
      <c r="H6">
        <v>3.074687E-3</v>
      </c>
      <c r="I6">
        <v>4515.9785000000002</v>
      </c>
      <c r="K6">
        <v>9373.9387000000006</v>
      </c>
    </row>
    <row r="7" spans="1:11">
      <c r="A7">
        <v>1965</v>
      </c>
      <c r="B7">
        <v>100637.0937</v>
      </c>
      <c r="C7">
        <v>31374536</v>
      </c>
      <c r="H7">
        <v>3.2076040000000002E-3</v>
      </c>
      <c r="I7">
        <v>4524.8725999999997</v>
      </c>
      <c r="K7">
        <v>9417.68</v>
      </c>
    </row>
    <row r="8" spans="1:11">
      <c r="A8">
        <v>1966</v>
      </c>
      <c r="B8">
        <v>119064.19</v>
      </c>
      <c r="C8">
        <v>32172785</v>
      </c>
      <c r="H8">
        <v>3.7007730000000001E-3</v>
      </c>
      <c r="I8">
        <v>4927.4970999999996</v>
      </c>
      <c r="K8">
        <v>10313.7852</v>
      </c>
    </row>
    <row r="9" spans="1:11">
      <c r="A9">
        <v>1967</v>
      </c>
      <c r="B9">
        <v>132159.9486</v>
      </c>
      <c r="C9">
        <v>33026490</v>
      </c>
      <c r="H9">
        <v>4.0016349999999999E-3</v>
      </c>
      <c r="I9">
        <v>5029.3530000000001</v>
      </c>
      <c r="K9">
        <v>10608.237499999999</v>
      </c>
    </row>
    <row r="10" spans="1:11">
      <c r="A10">
        <v>1968</v>
      </c>
      <c r="B10">
        <v>148150.13959999999</v>
      </c>
      <c r="C10">
        <v>33884075</v>
      </c>
      <c r="H10">
        <v>4.3722650000000002E-3</v>
      </c>
      <c r="I10">
        <v>5245.4818999999998</v>
      </c>
      <c r="K10">
        <v>11170.1942</v>
      </c>
    </row>
    <row r="11" spans="1:11">
      <c r="A11">
        <v>1969</v>
      </c>
      <c r="B11">
        <v>164960.49230000001</v>
      </c>
      <c r="C11">
        <v>34721990</v>
      </c>
      <c r="H11">
        <v>4.7508940000000003E-3</v>
      </c>
      <c r="I11">
        <v>5333.0144</v>
      </c>
      <c r="K11">
        <v>11420.6149</v>
      </c>
    </row>
    <row r="12" spans="1:11">
      <c r="A12">
        <v>1970</v>
      </c>
      <c r="B12">
        <v>187357.6441</v>
      </c>
      <c r="C12">
        <v>35540990</v>
      </c>
      <c r="H12">
        <v>5.2715929999999998E-3</v>
      </c>
      <c r="I12">
        <v>5446.674</v>
      </c>
      <c r="K12">
        <v>11636.8433</v>
      </c>
    </row>
    <row r="13" spans="1:11">
      <c r="A13">
        <v>1971</v>
      </c>
      <c r="B13">
        <v>232650.8309</v>
      </c>
      <c r="C13">
        <v>36359957</v>
      </c>
      <c r="H13">
        <v>6.3985450000000003E-3</v>
      </c>
      <c r="I13">
        <v>5655.2101000000002</v>
      </c>
      <c r="K13">
        <v>12041.1919</v>
      </c>
    </row>
    <row r="14" spans="1:11">
      <c r="A14">
        <v>1972</v>
      </c>
      <c r="B14">
        <v>280109.40850000002</v>
      </c>
      <c r="C14">
        <v>37188035</v>
      </c>
      <c r="H14">
        <v>7.5322449999999999E-3</v>
      </c>
      <c r="I14">
        <v>5998.7915999999996</v>
      </c>
      <c r="K14">
        <v>12748.7127</v>
      </c>
    </row>
    <row r="15" spans="1:11">
      <c r="A15">
        <v>1973</v>
      </c>
      <c r="B15">
        <v>355160.35800000001</v>
      </c>
      <c r="C15">
        <v>38028236</v>
      </c>
      <c r="H15">
        <v>9.3393859999999999E-3</v>
      </c>
      <c r="I15">
        <v>6100.2331000000004</v>
      </c>
      <c r="K15">
        <v>12866.9313</v>
      </c>
    </row>
    <row r="16" spans="1:11">
      <c r="A16">
        <v>1974</v>
      </c>
      <c r="B16">
        <v>465260.84090000001</v>
      </c>
      <c r="C16">
        <v>38863420</v>
      </c>
      <c r="H16">
        <v>1.1971691E-2</v>
      </c>
      <c r="I16">
        <v>6062.0537000000004</v>
      </c>
      <c r="K16">
        <v>12644.254000000001</v>
      </c>
    </row>
    <row r="17" spans="1:11">
      <c r="A17">
        <v>1975</v>
      </c>
      <c r="B17">
        <v>606768.16460000002</v>
      </c>
      <c r="C17">
        <v>39673590</v>
      </c>
      <c r="H17">
        <v>1.5294007E-2</v>
      </c>
      <c r="I17">
        <v>6383.9758000000002</v>
      </c>
      <c r="K17">
        <v>13217.9563</v>
      </c>
    </row>
    <row r="18" spans="1:11">
      <c r="A18">
        <v>1976</v>
      </c>
      <c r="B18">
        <v>775770.62080000003</v>
      </c>
      <c r="C18">
        <v>40500997</v>
      </c>
      <c r="H18">
        <v>1.9154358999999999E-2</v>
      </c>
      <c r="I18">
        <v>6915.6442999999999</v>
      </c>
      <c r="K18">
        <v>14245.7664</v>
      </c>
    </row>
    <row r="19" spans="1:11">
      <c r="A19">
        <v>1977</v>
      </c>
      <c r="B19">
        <v>996915.35069999995</v>
      </c>
      <c r="C19">
        <v>41385656</v>
      </c>
      <c r="H19">
        <v>2.4088426999999999E-2</v>
      </c>
      <c r="I19">
        <v>7008.7386999999999</v>
      </c>
      <c r="K19">
        <v>14395.6077</v>
      </c>
    </row>
    <row r="20" spans="1:11">
      <c r="A20">
        <v>1978</v>
      </c>
      <c r="B20">
        <v>1492583.2339999999</v>
      </c>
      <c r="C20">
        <v>42292206</v>
      </c>
      <c r="H20">
        <v>3.5292157999999997E-2</v>
      </c>
      <c r="I20">
        <v>6959.8001000000004</v>
      </c>
      <c r="K20">
        <v>14259.799800000001</v>
      </c>
    </row>
    <row r="21" spans="1:11">
      <c r="A21">
        <v>1979</v>
      </c>
      <c r="B21">
        <v>2611625.7379999999</v>
      </c>
      <c r="C21">
        <v>43187476</v>
      </c>
      <c r="H21">
        <v>6.0471830999999997E-2</v>
      </c>
      <c r="I21">
        <v>6748.1390000000001</v>
      </c>
      <c r="K21">
        <v>13783.0049</v>
      </c>
    </row>
    <row r="22" spans="1:11">
      <c r="A22">
        <v>1980</v>
      </c>
      <c r="B22">
        <v>4896434.6900000004</v>
      </c>
      <c r="C22">
        <v>44089069</v>
      </c>
      <c r="H22">
        <v>0.111057793</v>
      </c>
      <c r="I22">
        <v>6421.1770999999999</v>
      </c>
      <c r="K22">
        <v>13068.131600000001</v>
      </c>
    </row>
    <row r="23" spans="1:11">
      <c r="A23">
        <v>1981</v>
      </c>
      <c r="B23">
        <v>7373445.1330000004</v>
      </c>
      <c r="C23">
        <v>44981877</v>
      </c>
      <c r="H23">
        <v>0.16392035199999999</v>
      </c>
      <c r="I23">
        <v>6579.0587999999998</v>
      </c>
      <c r="K23">
        <v>13342.632100000001</v>
      </c>
    </row>
    <row r="24" spans="1:11">
      <c r="A24">
        <v>1982</v>
      </c>
      <c r="B24">
        <v>9773431.0050000008</v>
      </c>
      <c r="C24">
        <v>45949991</v>
      </c>
      <c r="H24">
        <v>0.21269712599999999</v>
      </c>
      <c r="I24">
        <v>6657.5396000000001</v>
      </c>
      <c r="K24">
        <v>13432.8833</v>
      </c>
    </row>
    <row r="25" spans="1:11">
      <c r="A25">
        <v>1983</v>
      </c>
      <c r="B25">
        <v>12952508.75</v>
      </c>
      <c r="C25">
        <v>47026425</v>
      </c>
      <c r="H25">
        <v>0.275430436</v>
      </c>
      <c r="I25">
        <v>6828.1782000000003</v>
      </c>
      <c r="K25">
        <v>13667.5797</v>
      </c>
    </row>
    <row r="26" spans="1:11">
      <c r="A26">
        <v>1984</v>
      </c>
      <c r="B26">
        <v>20460745.809999999</v>
      </c>
      <c r="C26">
        <v>48106764</v>
      </c>
      <c r="H26">
        <v>0.42531952099999998</v>
      </c>
      <c r="I26">
        <v>7112.9818999999998</v>
      </c>
      <c r="K26">
        <v>14094.8724</v>
      </c>
    </row>
    <row r="27" spans="1:11">
      <c r="A27">
        <v>1985</v>
      </c>
      <c r="B27">
        <v>32700648.129999999</v>
      </c>
      <c r="C27">
        <v>49175673</v>
      </c>
      <c r="H27">
        <v>0.664976118</v>
      </c>
      <c r="I27">
        <v>7266.0227999999997</v>
      </c>
      <c r="K27">
        <v>14250.333699999999</v>
      </c>
    </row>
    <row r="28" spans="1:11">
      <c r="A28">
        <v>1986</v>
      </c>
      <c r="B28">
        <v>47567759.659999996</v>
      </c>
      <c r="C28">
        <v>50223885</v>
      </c>
      <c r="H28">
        <v>0.94711429999999996</v>
      </c>
      <c r="I28">
        <v>7609.0738000000001</v>
      </c>
      <c r="K28">
        <v>14774.7161</v>
      </c>
    </row>
    <row r="29" spans="1:11">
      <c r="A29">
        <v>1987</v>
      </c>
      <c r="B29">
        <v>68530913.060000002</v>
      </c>
      <c r="C29">
        <v>51250152</v>
      </c>
      <c r="H29">
        <v>1.3371845819999999</v>
      </c>
      <c r="I29">
        <v>8040.3451999999997</v>
      </c>
      <c r="K29">
        <v>15474.3789</v>
      </c>
    </row>
    <row r="30" spans="1:11">
      <c r="A30">
        <v>1988</v>
      </c>
      <c r="B30">
        <v>117602961.8</v>
      </c>
      <c r="C30">
        <v>52275890</v>
      </c>
      <c r="H30">
        <v>2.2496596769999999</v>
      </c>
      <c r="I30">
        <v>8003.26</v>
      </c>
      <c r="K30">
        <v>15216.9208</v>
      </c>
    </row>
    <row r="31" spans="1:11">
      <c r="A31">
        <v>1989</v>
      </c>
      <c r="B31">
        <v>210068582.5</v>
      </c>
      <c r="C31">
        <v>53305234</v>
      </c>
      <c r="H31">
        <v>3.940862214</v>
      </c>
      <c r="I31">
        <v>7992.8157000000001</v>
      </c>
      <c r="K31">
        <v>15012.4877</v>
      </c>
    </row>
    <row r="32" spans="1:11">
      <c r="A32">
        <v>1990</v>
      </c>
      <c r="B32">
        <v>366742357.10000002</v>
      </c>
      <c r="C32">
        <v>54324142</v>
      </c>
      <c r="H32">
        <v>6.7510013710000001</v>
      </c>
      <c r="I32">
        <v>8652.6330999999991</v>
      </c>
      <c r="K32">
        <v>16110.1414</v>
      </c>
    </row>
    <row r="33" spans="1:11">
      <c r="A33">
        <v>1991</v>
      </c>
      <c r="B33">
        <v>585433909.10000002</v>
      </c>
      <c r="C33">
        <v>55321172</v>
      </c>
      <c r="H33">
        <v>10.582456730000001</v>
      </c>
      <c r="I33">
        <v>8521.6079000000009</v>
      </c>
      <c r="K33">
        <v>15720.0252</v>
      </c>
    </row>
    <row r="34" spans="1:11">
      <c r="A34">
        <v>1992</v>
      </c>
      <c r="B34">
        <v>1020461276</v>
      </c>
      <c r="C34">
        <v>56302037</v>
      </c>
      <c r="H34">
        <v>18.124766529999999</v>
      </c>
      <c r="I34">
        <v>8834.8431999999993</v>
      </c>
      <c r="K34">
        <v>16142.2284</v>
      </c>
    </row>
    <row r="35" spans="1:11">
      <c r="A35">
        <v>1993</v>
      </c>
      <c r="B35">
        <v>1854580678</v>
      </c>
      <c r="C35">
        <v>57296008</v>
      </c>
      <c r="H35">
        <v>32.368409990000004</v>
      </c>
      <c r="I35">
        <v>9370.4158000000007</v>
      </c>
      <c r="K35">
        <v>16955.003700000001</v>
      </c>
    </row>
    <row r="36" spans="1:11">
      <c r="A36">
        <v>1994</v>
      </c>
      <c r="B36">
        <v>3542592863</v>
      </c>
      <c r="C36">
        <v>58310245</v>
      </c>
      <c r="H36">
        <v>60.754209879999998</v>
      </c>
      <c r="I36">
        <v>8589.9678000000004</v>
      </c>
      <c r="K36">
        <v>15397.3819</v>
      </c>
    </row>
    <row r="37" spans="1:11">
      <c r="A37">
        <v>1995</v>
      </c>
      <c r="B37">
        <v>7173149749</v>
      </c>
      <c r="C37">
        <v>59305490</v>
      </c>
      <c r="H37">
        <v>120.9525416</v>
      </c>
      <c r="I37">
        <v>9193.9002999999993</v>
      </c>
      <c r="K37">
        <v>16333.8963</v>
      </c>
    </row>
    <row r="38" spans="1:11">
      <c r="A38">
        <v>1996</v>
      </c>
      <c r="B38">
        <v>13700208145</v>
      </c>
      <c r="C38">
        <v>60293786</v>
      </c>
      <c r="H38">
        <v>227.22421420000001</v>
      </c>
      <c r="I38">
        <v>9745.8189999999995</v>
      </c>
      <c r="K38">
        <v>17160.5641</v>
      </c>
    </row>
    <row r="39" spans="1:11">
      <c r="A39">
        <v>1997</v>
      </c>
      <c r="B39">
        <v>25765342752</v>
      </c>
      <c r="C39">
        <v>61277426</v>
      </c>
      <c r="H39">
        <v>420.47038259999999</v>
      </c>
      <c r="I39">
        <v>9938.7135999999991</v>
      </c>
      <c r="K39">
        <v>17347.938200000001</v>
      </c>
    </row>
    <row r="40" spans="1:11">
      <c r="A40">
        <v>1998</v>
      </c>
      <c r="B40">
        <v>60376453418</v>
      </c>
      <c r="C40">
        <v>62242204</v>
      </c>
      <c r="F40">
        <v>36202037105.859169</v>
      </c>
      <c r="G40">
        <f>(F40)/B40</f>
        <v>0.59960522780667791</v>
      </c>
      <c r="H40">
        <v>970.02434900000003</v>
      </c>
      <c r="I40">
        <v>9410.8580999999995</v>
      </c>
      <c r="K40">
        <v>16286.6072</v>
      </c>
    </row>
    <row r="41" spans="1:11">
      <c r="A41">
        <v>1999</v>
      </c>
      <c r="B41">
        <v>88771595004</v>
      </c>
      <c r="C41">
        <v>63185615</v>
      </c>
      <c r="F41">
        <v>51219670633.857162</v>
      </c>
      <c r="G41">
        <f t="shared" ref="G41:G65" si="0">(F41)/B41</f>
        <v>0.57698265567436557</v>
      </c>
      <c r="H41">
        <v>1404.9336229999999</v>
      </c>
      <c r="I41">
        <v>8834.7271000000001</v>
      </c>
      <c r="K41">
        <v>15152.5645</v>
      </c>
    </row>
    <row r="42" spans="1:11">
      <c r="A42">
        <v>2000</v>
      </c>
      <c r="B42" s="1" t="s">
        <v>44</v>
      </c>
      <c r="C42">
        <v>64113547</v>
      </c>
      <c r="F42">
        <v>81513130064.223801</v>
      </c>
      <c r="G42">
        <f t="shared" si="0"/>
        <v>0.57002188856100555</v>
      </c>
      <c r="H42">
        <v>2229.8875459999999</v>
      </c>
      <c r="I42">
        <v>9388.2206999999999</v>
      </c>
      <c r="K42">
        <v>15952.9146</v>
      </c>
    </row>
    <row r="43" spans="1:11">
      <c r="A43">
        <v>2001</v>
      </c>
      <c r="B43" s="1" t="s">
        <v>45</v>
      </c>
      <c r="C43">
        <v>65072018</v>
      </c>
      <c r="F43">
        <v>115150858252.67647</v>
      </c>
      <c r="G43">
        <f t="shared" si="0"/>
        <v>0.58452212311003282</v>
      </c>
      <c r="H43">
        <v>3033.131691</v>
      </c>
      <c r="I43">
        <v>8347.5293999999994</v>
      </c>
      <c r="K43">
        <v>14056.129300000001</v>
      </c>
    </row>
    <row r="44" spans="1:11">
      <c r="A44">
        <v>2002</v>
      </c>
      <c r="B44" s="1" t="s">
        <v>46</v>
      </c>
      <c r="C44">
        <v>65988663</v>
      </c>
      <c r="D44">
        <v>23325611</v>
      </c>
      <c r="E44">
        <v>42663052</v>
      </c>
      <c r="F44">
        <v>172194569584.74542</v>
      </c>
      <c r="G44">
        <f t="shared" si="0"/>
        <v>0.57783412612330676</v>
      </c>
      <c r="H44">
        <v>4517.8821099999996</v>
      </c>
      <c r="I44">
        <v>9037.8008000000009</v>
      </c>
      <c r="J44">
        <v>6984.9667579999996</v>
      </c>
      <c r="K44">
        <v>15079.032300000001</v>
      </c>
    </row>
    <row r="45" spans="1:11">
      <c r="A45">
        <v>2003</v>
      </c>
      <c r="B45" s="1" t="s">
        <v>47</v>
      </c>
      <c r="C45">
        <v>66867327</v>
      </c>
      <c r="D45">
        <v>23636200</v>
      </c>
      <c r="E45">
        <v>43231127</v>
      </c>
      <c r="F45">
        <v>226714924039.57022</v>
      </c>
      <c r="G45">
        <f t="shared" si="0"/>
        <v>0.57396183301157022</v>
      </c>
      <c r="H45">
        <v>5906.8010899999999</v>
      </c>
      <c r="I45">
        <v>9584.1656999999996</v>
      </c>
      <c r="J45">
        <v>9136.9350610000001</v>
      </c>
      <c r="K45">
        <v>15832.7066</v>
      </c>
    </row>
    <row r="46" spans="1:11">
      <c r="A46">
        <v>2004</v>
      </c>
      <c r="B46" s="1" t="s">
        <v>48</v>
      </c>
      <c r="C46">
        <v>67785075</v>
      </c>
      <c r="D46">
        <v>23960605</v>
      </c>
      <c r="E46">
        <v>43824470</v>
      </c>
      <c r="F46">
        <v>283480243198.61981</v>
      </c>
      <c r="G46">
        <f t="shared" si="0"/>
        <v>0.57735283747173083</v>
      </c>
      <c r="H46">
        <v>7239.9123259999997</v>
      </c>
      <c r="I46">
        <v>10448.7228</v>
      </c>
      <c r="J46">
        <v>11203.78638</v>
      </c>
      <c r="K46">
        <v>17088.465800000002</v>
      </c>
    </row>
    <row r="47" spans="1:11">
      <c r="A47">
        <v>2005</v>
      </c>
      <c r="B47" s="1" t="s">
        <v>49</v>
      </c>
      <c r="C47">
        <v>68704715</v>
      </c>
      <c r="D47">
        <v>24285679</v>
      </c>
      <c r="E47">
        <v>44419036</v>
      </c>
      <c r="F47">
        <v>332898533501.32361</v>
      </c>
      <c r="G47">
        <f t="shared" si="0"/>
        <v>0.57694719844250197</v>
      </c>
      <c r="H47">
        <v>8398.4483450000007</v>
      </c>
      <c r="I47">
        <v>11318.759</v>
      </c>
      <c r="J47">
        <v>12989.92621</v>
      </c>
      <c r="K47">
        <v>18335.786800000002</v>
      </c>
    </row>
    <row r="48" spans="1:11">
      <c r="A48">
        <v>2006</v>
      </c>
      <c r="B48" s="1" t="s">
        <v>50</v>
      </c>
      <c r="C48">
        <v>69601333</v>
      </c>
      <c r="D48">
        <v>24602614</v>
      </c>
      <c r="E48">
        <v>44998719</v>
      </c>
      <c r="F48">
        <v>388448392535.78546</v>
      </c>
      <c r="G48">
        <f t="shared" si="0"/>
        <v>0.57804820317825223</v>
      </c>
      <c r="H48">
        <v>9660.8494549999996</v>
      </c>
      <c r="I48">
        <v>11903.9665</v>
      </c>
      <c r="J48">
        <v>14933.758449999999</v>
      </c>
      <c r="K48">
        <v>19113.482800000002</v>
      </c>
    </row>
    <row r="49" spans="1:11">
      <c r="A49">
        <v>2007</v>
      </c>
      <c r="B49" s="1" t="s">
        <v>51</v>
      </c>
      <c r="C49">
        <v>70158112</v>
      </c>
      <c r="D49">
        <v>24799424</v>
      </c>
      <c r="E49">
        <v>45358688</v>
      </c>
      <c r="F49">
        <v>434618659534.0271</v>
      </c>
      <c r="G49">
        <f t="shared" si="0"/>
        <v>0.58026523302273314</v>
      </c>
      <c r="H49">
        <v>10672.9782</v>
      </c>
      <c r="I49">
        <v>12328.7642</v>
      </c>
      <c r="J49">
        <v>16512.8233</v>
      </c>
      <c r="K49">
        <v>19630.545999999998</v>
      </c>
    </row>
    <row r="50" spans="1:11">
      <c r="A50">
        <v>2008</v>
      </c>
      <c r="B50" s="1" t="s">
        <v>52</v>
      </c>
      <c r="C50">
        <v>71051678</v>
      </c>
      <c r="D50">
        <v>24973691</v>
      </c>
      <c r="E50">
        <v>46077987</v>
      </c>
      <c r="F50">
        <v>486634348526.11053</v>
      </c>
      <c r="G50">
        <f t="shared" si="0"/>
        <v>0.57795053269134267</v>
      </c>
      <c r="H50">
        <v>11846.71529</v>
      </c>
      <c r="I50">
        <v>12221.1639</v>
      </c>
      <c r="J50">
        <v>18273.367709999999</v>
      </c>
      <c r="K50">
        <v>19302.879499999999</v>
      </c>
    </row>
    <row r="51" spans="1:11">
      <c r="A51">
        <v>2009</v>
      </c>
      <c r="B51" s="1" t="s">
        <v>53</v>
      </c>
      <c r="C51">
        <v>72039206</v>
      </c>
      <c r="D51">
        <v>25093954</v>
      </c>
      <c r="E51">
        <v>46945252</v>
      </c>
      <c r="F51">
        <v>466106414218.87445</v>
      </c>
      <c r="G51">
        <f t="shared" si="0"/>
        <v>0.57473047375940134</v>
      </c>
      <c r="H51">
        <v>11262.33957</v>
      </c>
      <c r="I51">
        <v>11031.3856</v>
      </c>
      <c r="J51">
        <v>17275.442470000002</v>
      </c>
      <c r="K51">
        <v>17285.0409</v>
      </c>
    </row>
    <row r="52" spans="1:11">
      <c r="A52">
        <v>2010</v>
      </c>
      <c r="B52" s="1" t="s">
        <v>54</v>
      </c>
      <c r="C52">
        <v>73142150</v>
      </c>
      <c r="D52">
        <v>25155889</v>
      </c>
      <c r="E52">
        <v>47986261</v>
      </c>
      <c r="F52">
        <v>535498663832.42725</v>
      </c>
      <c r="G52">
        <f t="shared" si="0"/>
        <v>0.55492089516313703</v>
      </c>
      <c r="H52">
        <v>13188.61969</v>
      </c>
      <c r="I52">
        <v>12094.4656</v>
      </c>
      <c r="J52">
        <v>20109.922709999999</v>
      </c>
      <c r="K52">
        <v>18803.679199999999</v>
      </c>
    </row>
    <row r="53" spans="1:11">
      <c r="A53">
        <v>2011</v>
      </c>
      <c r="B53" s="1" t="s">
        <v>55</v>
      </c>
      <c r="C53">
        <v>74223629</v>
      </c>
      <c r="D53">
        <v>25204158</v>
      </c>
      <c r="E53">
        <v>49019471</v>
      </c>
      <c r="F53">
        <v>661615517095.84436</v>
      </c>
      <c r="G53">
        <f t="shared" si="0"/>
        <v>0.560691116182919</v>
      </c>
      <c r="H53">
        <v>15841.31652</v>
      </c>
      <c r="I53">
        <v>13444.761500000001</v>
      </c>
      <c r="J53">
        <v>24072.067200000001</v>
      </c>
      <c r="K53">
        <v>20748.516100000001</v>
      </c>
    </row>
    <row r="54" spans="1:11">
      <c r="A54">
        <v>2012</v>
      </c>
      <c r="B54" s="1" t="s">
        <v>56</v>
      </c>
      <c r="C54">
        <v>75175827</v>
      </c>
      <c r="D54">
        <v>25262731</v>
      </c>
      <c r="E54">
        <v>49913096</v>
      </c>
      <c r="F54">
        <v>726098712211.54333</v>
      </c>
      <c r="G54">
        <f t="shared" si="0"/>
        <v>0.55007478197844195</v>
      </c>
      <c r="H54">
        <v>17585.972150000001</v>
      </c>
      <c r="I54">
        <v>13866.185600000001</v>
      </c>
      <c r="J54">
        <v>26445.965199999999</v>
      </c>
      <c r="K54">
        <v>21244.450499999999</v>
      </c>
    </row>
    <row r="55" spans="1:11">
      <c r="A55">
        <v>2013</v>
      </c>
      <c r="B55" s="1" t="s">
        <v>57</v>
      </c>
      <c r="C55">
        <v>76147624</v>
      </c>
      <c r="D55">
        <v>25327536</v>
      </c>
      <c r="E55">
        <v>50820088</v>
      </c>
      <c r="F55">
        <v>832387794226.74915</v>
      </c>
      <c r="G55">
        <f t="shared" si="0"/>
        <v>0.54404430995212361</v>
      </c>
      <c r="H55">
        <v>20107.915649999999</v>
      </c>
      <c r="I55">
        <v>14854.3408</v>
      </c>
      <c r="J55">
        <v>30106.205249999999</v>
      </c>
      <c r="K55">
        <v>22592.864799999999</v>
      </c>
    </row>
    <row r="56" spans="1:11">
      <c r="A56">
        <v>2014</v>
      </c>
      <c r="B56" s="1" t="s">
        <v>58</v>
      </c>
      <c r="C56">
        <v>77181884</v>
      </c>
      <c r="D56">
        <v>25381351</v>
      </c>
      <c r="E56">
        <v>51800533</v>
      </c>
      <c r="F56">
        <v>933634311820.55334</v>
      </c>
      <c r="G56">
        <f t="shared" si="0"/>
        <v>0.54281064640729848</v>
      </c>
      <c r="H56">
        <v>22271.547559999999</v>
      </c>
      <c r="I56">
        <v>15223.3199</v>
      </c>
      <c r="J56">
        <v>33204.291550000002</v>
      </c>
      <c r="K56">
        <v>22979.797999999999</v>
      </c>
    </row>
    <row r="57" spans="1:11">
      <c r="A57">
        <v>2015</v>
      </c>
      <c r="B57" s="1" t="s">
        <v>59</v>
      </c>
      <c r="C57">
        <v>78218479</v>
      </c>
      <c r="D57">
        <v>25471720</v>
      </c>
      <c r="E57">
        <v>52746759</v>
      </c>
      <c r="F57">
        <v>1051155171499.5902</v>
      </c>
      <c r="G57">
        <f t="shared" si="0"/>
        <v>0.5363036589283624</v>
      </c>
      <c r="H57">
        <v>25004.321550000001</v>
      </c>
      <c r="I57">
        <v>15751.507</v>
      </c>
      <c r="J57">
        <v>37158.68116</v>
      </c>
      <c r="K57">
        <v>23608.249599999999</v>
      </c>
    </row>
    <row r="58" spans="1:11">
      <c r="A58">
        <v>2016</v>
      </c>
      <c r="B58" s="1" t="s">
        <v>60</v>
      </c>
      <c r="C58">
        <v>79277962</v>
      </c>
      <c r="D58">
        <v>25549101</v>
      </c>
      <c r="E58">
        <v>53728861</v>
      </c>
      <c r="F58">
        <v>1099817372761.8232</v>
      </c>
      <c r="G58">
        <f t="shared" si="0"/>
        <v>0.49991698761901054</v>
      </c>
      <c r="H58">
        <v>27723.972020000001</v>
      </c>
      <c r="I58">
        <v>16092.8505</v>
      </c>
      <c r="J58">
        <v>40946.336089999997</v>
      </c>
      <c r="K58">
        <v>23958.511999999999</v>
      </c>
    </row>
    <row r="59" spans="1:11">
      <c r="A59">
        <v>2017</v>
      </c>
      <c r="B59" s="1" t="s">
        <v>61</v>
      </c>
      <c r="C59">
        <v>80312698</v>
      </c>
      <c r="D59">
        <v>25560075</v>
      </c>
      <c r="E59">
        <v>54752623</v>
      </c>
      <c r="F59">
        <v>1386198476698.1033</v>
      </c>
      <c r="G59">
        <f t="shared" si="0"/>
        <v>0.53111052747053766</v>
      </c>
      <c r="H59">
        <v>32488.013289999999</v>
      </c>
      <c r="I59">
        <v>16989.395</v>
      </c>
      <c r="J59">
        <v>47668.949119999997</v>
      </c>
      <c r="K59">
        <v>25139.313300000002</v>
      </c>
    </row>
    <row r="60" spans="1:11">
      <c r="A60">
        <v>2018</v>
      </c>
      <c r="B60" s="1" t="s">
        <v>62</v>
      </c>
      <c r="C60">
        <v>81407204</v>
      </c>
      <c r="D60">
        <v>25608596</v>
      </c>
      <c r="E60">
        <v>55798608</v>
      </c>
      <c r="F60">
        <v>1669280386658.894</v>
      </c>
      <c r="G60">
        <f t="shared" si="0"/>
        <v>0.53847754408351423</v>
      </c>
      <c r="H60">
        <v>38124.758589999998</v>
      </c>
      <c r="I60">
        <v>17194.076700000001</v>
      </c>
      <c r="J60">
        <v>55556.941489999997</v>
      </c>
      <c r="K60">
        <v>25301.646199999999</v>
      </c>
    </row>
    <row r="61" spans="1:11">
      <c r="A61">
        <v>2019</v>
      </c>
      <c r="B61" s="1" t="s">
        <v>63</v>
      </c>
      <c r="C61">
        <v>82579440</v>
      </c>
      <c r="D61">
        <v>25543939</v>
      </c>
      <c r="E61">
        <v>57035501</v>
      </c>
      <c r="F61">
        <v>1843228111427.1208</v>
      </c>
      <c r="G61">
        <f t="shared" si="0"/>
        <v>0.51776070545705644</v>
      </c>
      <c r="H61">
        <v>43107.58223</v>
      </c>
      <c r="I61">
        <v>17179.9522</v>
      </c>
      <c r="J61">
        <v>62417.265339999998</v>
      </c>
      <c r="K61">
        <v>25137.390200000002</v>
      </c>
    </row>
    <row r="62" spans="1:11">
      <c r="A62">
        <v>2020</v>
      </c>
      <c r="B62" s="1" t="s">
        <v>64</v>
      </c>
      <c r="C62">
        <v>83384680</v>
      </c>
      <c r="D62">
        <v>25298351</v>
      </c>
      <c r="E62">
        <v>58086329</v>
      </c>
      <c r="F62">
        <v>2212339749368.9399</v>
      </c>
      <c r="G62">
        <f t="shared" si="0"/>
        <v>0.52800471345320765</v>
      </c>
      <c r="H62">
        <v>50190.874389999997</v>
      </c>
      <c r="I62">
        <v>17458.961899999998</v>
      </c>
      <c r="J62">
        <v>72134.01281</v>
      </c>
      <c r="K62">
        <v>25409.254700000001</v>
      </c>
    </row>
    <row r="63" spans="1:11">
      <c r="A63">
        <v>2021</v>
      </c>
      <c r="B63" s="1" t="s">
        <v>65</v>
      </c>
      <c r="C63">
        <v>84147318</v>
      </c>
      <c r="D63">
        <v>25205672</v>
      </c>
      <c r="E63">
        <v>58941646</v>
      </c>
      <c r="F63">
        <v>3392205711313.0029</v>
      </c>
      <c r="G63">
        <f t="shared" si="0"/>
        <v>0.55609929693655791</v>
      </c>
      <c r="H63">
        <v>72542.181320000003</v>
      </c>
      <c r="I63">
        <v>19595.143400000001</v>
      </c>
      <c r="J63">
        <v>103492.18949999999</v>
      </c>
      <c r="K63">
        <v>28367.710899999998</v>
      </c>
    </row>
    <row r="64" spans="1:11">
      <c r="A64">
        <v>2022</v>
      </c>
      <c r="B64" s="1" t="s">
        <v>66</v>
      </c>
      <c r="C64">
        <v>84979913</v>
      </c>
      <c r="D64">
        <v>25050220</v>
      </c>
      <c r="E64">
        <v>59929693</v>
      </c>
      <c r="F64">
        <v>7214888069566.8496</v>
      </c>
      <c r="G64">
        <f t="shared" si="0"/>
        <v>0.56810142280053932</v>
      </c>
      <c r="H64">
        <v>149858.9437</v>
      </c>
      <c r="I64">
        <v>20715.359899999999</v>
      </c>
      <c r="J64">
        <v>211914.98509999999</v>
      </c>
      <c r="K64">
        <v>29842.6908</v>
      </c>
    </row>
    <row r="65" spans="1:11">
      <c r="A65">
        <v>2023</v>
      </c>
      <c r="B65" s="1" t="s">
        <v>67</v>
      </c>
      <c r="C65">
        <v>85326000</v>
      </c>
      <c r="E65">
        <f>E64+(E63-E62)</f>
        <v>60785010</v>
      </c>
      <c r="F65">
        <v>11054833011124.68</v>
      </c>
      <c r="G65">
        <f t="shared" si="0"/>
        <v>0.49573242202352824</v>
      </c>
      <c r="H65">
        <v>261611.93539999999</v>
      </c>
      <c r="I65">
        <v>21561.266599999999</v>
      </c>
      <c r="J65">
        <f>B65/E65</f>
        <v>366866.76534231054</v>
      </c>
      <c r="K65">
        <v>30938.38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5BE7F-88E0-3940-B239-57446363D71E}">
  <dimension ref="A1:X65"/>
  <sheetViews>
    <sheetView topLeftCell="A11" workbookViewId="0">
      <selection activeCell="V11" sqref="V1:V1048576"/>
    </sheetView>
  </sheetViews>
  <sheetFormatPr baseColWidth="10" defaultRowHeight="16"/>
  <cols>
    <col min="2" max="2" width="14.33203125" customWidth="1"/>
    <col min="4" max="4" width="12.1640625" bestFit="1" customWidth="1"/>
    <col min="9" max="10" width="10.83203125" customWidth="1"/>
    <col min="13" max="14" width="16.5" customWidth="1"/>
    <col min="15" max="15" width="19.1640625" customWidth="1"/>
    <col min="16" max="16" width="19.5" customWidth="1"/>
    <col min="22" max="22" width="10.83203125" style="133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238</v>
      </c>
      <c r="G1" t="s">
        <v>239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242</v>
      </c>
      <c r="R1" t="s">
        <v>240</v>
      </c>
      <c r="S1" t="s">
        <v>243</v>
      </c>
      <c r="T1" t="s">
        <v>241</v>
      </c>
      <c r="U1" t="s">
        <v>14</v>
      </c>
      <c r="V1" s="133" t="s">
        <v>15</v>
      </c>
      <c r="W1" t="s">
        <v>16</v>
      </c>
      <c r="X1" t="s">
        <v>17</v>
      </c>
    </row>
    <row r="2" spans="1:24">
      <c r="A2">
        <v>1960</v>
      </c>
      <c r="B2">
        <v>63502.496400000004</v>
      </c>
      <c r="C2">
        <v>27510980</v>
      </c>
      <c r="H2">
        <v>2.3082599999999999E-3</v>
      </c>
      <c r="I2">
        <v>4077.3049000000001</v>
      </c>
      <c r="K2">
        <v>8336.7702000000008</v>
      </c>
      <c r="L2" s="1" t="s">
        <v>18</v>
      </c>
    </row>
    <row r="3" spans="1:24">
      <c r="A3">
        <v>1961</v>
      </c>
      <c r="B3">
        <v>66950.380300000004</v>
      </c>
      <c r="C3">
        <v>28255002</v>
      </c>
      <c r="H3">
        <v>2.369505E-3</v>
      </c>
      <c r="I3">
        <v>4010.1138000000001</v>
      </c>
      <c r="K3">
        <v>8222.3978000000006</v>
      </c>
      <c r="L3" s="1" t="s">
        <v>19</v>
      </c>
    </row>
    <row r="4" spans="1:24">
      <c r="A4">
        <v>1962</v>
      </c>
      <c r="B4">
        <v>74864.7307</v>
      </c>
      <c r="C4">
        <v>29033647</v>
      </c>
      <c r="H4">
        <v>2.5785510000000001E-3</v>
      </c>
      <c r="I4">
        <v>4125.0995999999996</v>
      </c>
      <c r="K4">
        <v>8491.759</v>
      </c>
      <c r="L4" s="1" t="s">
        <v>20</v>
      </c>
    </row>
    <row r="5" spans="1:24">
      <c r="A5">
        <v>1963</v>
      </c>
      <c r="B5">
        <v>87157.982699999993</v>
      </c>
      <c r="C5">
        <v>29827877</v>
      </c>
      <c r="H5">
        <v>2.9220309999999998E-3</v>
      </c>
      <c r="I5">
        <v>4392.7201999999997</v>
      </c>
      <c r="K5">
        <v>9078.8812999999991</v>
      </c>
      <c r="L5" s="1" t="s">
        <v>21</v>
      </c>
    </row>
    <row r="6" spans="1:24">
      <c r="A6">
        <v>1964</v>
      </c>
      <c r="B6">
        <v>94124.832999999999</v>
      </c>
      <c r="C6">
        <v>30612821</v>
      </c>
      <c r="H6">
        <v>3.074687E-3</v>
      </c>
      <c r="I6">
        <v>4515.9785000000002</v>
      </c>
      <c r="K6">
        <v>9373.9387000000006</v>
      </c>
      <c r="L6" s="1" t="s">
        <v>22</v>
      </c>
    </row>
    <row r="7" spans="1:24">
      <c r="A7">
        <v>1965</v>
      </c>
      <c r="B7">
        <v>100637.0937</v>
      </c>
      <c r="C7">
        <v>31374536</v>
      </c>
      <c r="H7">
        <v>3.2076040000000002E-3</v>
      </c>
      <c r="I7">
        <v>4524.8725999999997</v>
      </c>
      <c r="K7">
        <v>9417.68</v>
      </c>
      <c r="L7" s="1" t="s">
        <v>23</v>
      </c>
    </row>
    <row r="8" spans="1:24">
      <c r="A8">
        <v>1966</v>
      </c>
      <c r="B8">
        <v>119064.19</v>
      </c>
      <c r="C8">
        <v>32172785</v>
      </c>
      <c r="H8">
        <v>3.7007730000000001E-3</v>
      </c>
      <c r="I8">
        <v>4927.4970999999996</v>
      </c>
      <c r="K8">
        <v>10313.7852</v>
      </c>
      <c r="L8" s="1" t="s">
        <v>24</v>
      </c>
    </row>
    <row r="9" spans="1:24">
      <c r="A9">
        <v>1967</v>
      </c>
      <c r="B9">
        <v>132159.9486</v>
      </c>
      <c r="C9">
        <v>33026490</v>
      </c>
      <c r="H9">
        <v>4.0016349999999999E-3</v>
      </c>
      <c r="I9">
        <v>5029.3530000000001</v>
      </c>
      <c r="K9">
        <v>10608.237499999999</v>
      </c>
      <c r="L9" s="1" t="s">
        <v>25</v>
      </c>
    </row>
    <row r="10" spans="1:24">
      <c r="A10">
        <v>1968</v>
      </c>
      <c r="B10">
        <v>148150.13959999999</v>
      </c>
      <c r="C10">
        <v>33884075</v>
      </c>
      <c r="H10">
        <v>4.3722650000000002E-3</v>
      </c>
      <c r="I10">
        <v>5245.4818999999998</v>
      </c>
      <c r="K10">
        <v>11170.1942</v>
      </c>
      <c r="L10" s="1" t="s">
        <v>26</v>
      </c>
    </row>
    <row r="11" spans="1:24">
      <c r="A11">
        <v>1969</v>
      </c>
      <c r="B11">
        <v>164960.49230000001</v>
      </c>
      <c r="C11">
        <v>34721990</v>
      </c>
      <c r="H11">
        <v>4.7508940000000003E-3</v>
      </c>
      <c r="I11">
        <v>5333.0144</v>
      </c>
      <c r="K11">
        <v>11420.6149</v>
      </c>
      <c r="L11" s="1" t="s">
        <v>27</v>
      </c>
    </row>
    <row r="12" spans="1:24">
      <c r="A12">
        <v>1970</v>
      </c>
      <c r="B12">
        <v>187357.6441</v>
      </c>
      <c r="C12">
        <v>35540990</v>
      </c>
      <c r="H12">
        <v>5.2715929999999998E-3</v>
      </c>
      <c r="I12">
        <v>5446.674</v>
      </c>
      <c r="K12">
        <v>11636.8433</v>
      </c>
      <c r="L12" s="1" t="s">
        <v>28</v>
      </c>
    </row>
    <row r="13" spans="1:24">
      <c r="A13">
        <v>1971</v>
      </c>
      <c r="B13">
        <v>232650.8309</v>
      </c>
      <c r="C13">
        <v>36359957</v>
      </c>
      <c r="H13">
        <v>6.3985450000000003E-3</v>
      </c>
      <c r="I13">
        <v>5655.2101000000002</v>
      </c>
      <c r="K13">
        <v>12041.1919</v>
      </c>
      <c r="L13" s="1" t="s">
        <v>29</v>
      </c>
    </row>
    <row r="14" spans="1:24">
      <c r="A14">
        <v>1972</v>
      </c>
      <c r="B14">
        <v>280109.40850000002</v>
      </c>
      <c r="C14">
        <v>37188035</v>
      </c>
      <c r="H14">
        <v>7.5322449999999999E-3</v>
      </c>
      <c r="I14">
        <v>5998.7915999999996</v>
      </c>
      <c r="K14">
        <v>12748.7127</v>
      </c>
      <c r="L14" s="1" t="s">
        <v>30</v>
      </c>
    </row>
    <row r="15" spans="1:24">
      <c r="A15">
        <v>1973</v>
      </c>
      <c r="B15">
        <v>355160.35800000001</v>
      </c>
      <c r="C15">
        <v>38028236</v>
      </c>
      <c r="H15">
        <v>9.3393859999999999E-3</v>
      </c>
      <c r="I15">
        <v>6100.2331000000004</v>
      </c>
      <c r="K15">
        <v>12866.9313</v>
      </c>
      <c r="L15" s="1" t="s">
        <v>31</v>
      </c>
    </row>
    <row r="16" spans="1:24">
      <c r="A16">
        <v>1974</v>
      </c>
      <c r="B16">
        <v>465260.84090000001</v>
      </c>
      <c r="C16">
        <v>38863420</v>
      </c>
      <c r="H16">
        <v>1.1971691E-2</v>
      </c>
      <c r="I16">
        <v>6062.0537000000004</v>
      </c>
      <c r="K16">
        <v>12644.254000000001</v>
      </c>
      <c r="L16" s="1" t="s">
        <v>32</v>
      </c>
    </row>
    <row r="17" spans="1:22">
      <c r="A17">
        <v>1975</v>
      </c>
      <c r="B17">
        <v>606768.16460000002</v>
      </c>
      <c r="C17">
        <v>39673590</v>
      </c>
      <c r="H17">
        <v>1.5294007E-2</v>
      </c>
      <c r="I17">
        <v>6383.9758000000002</v>
      </c>
      <c r="K17">
        <v>13217.9563</v>
      </c>
      <c r="L17" s="1" t="s">
        <v>33</v>
      </c>
    </row>
    <row r="18" spans="1:22">
      <c r="A18">
        <v>1976</v>
      </c>
      <c r="B18">
        <v>775770.62080000003</v>
      </c>
      <c r="C18">
        <v>40500997</v>
      </c>
      <c r="H18">
        <v>1.9154358999999999E-2</v>
      </c>
      <c r="I18">
        <v>6915.6442999999999</v>
      </c>
      <c r="K18">
        <v>14245.7664</v>
      </c>
      <c r="L18" s="1" t="s">
        <v>34</v>
      </c>
    </row>
    <row r="19" spans="1:22">
      <c r="A19">
        <v>1977</v>
      </c>
      <c r="B19">
        <v>996915.35069999995</v>
      </c>
      <c r="C19">
        <v>41385656</v>
      </c>
      <c r="H19">
        <v>2.4088426999999999E-2</v>
      </c>
      <c r="I19">
        <v>7008.7386999999999</v>
      </c>
      <c r="K19">
        <v>14395.6077</v>
      </c>
      <c r="L19" s="1" t="s">
        <v>35</v>
      </c>
    </row>
    <row r="20" spans="1:22">
      <c r="A20">
        <v>1978</v>
      </c>
      <c r="B20">
        <v>1492583.2339999999</v>
      </c>
      <c r="C20">
        <v>42292206</v>
      </c>
      <c r="H20">
        <v>3.5292157999999997E-2</v>
      </c>
      <c r="I20">
        <v>6959.8001000000004</v>
      </c>
      <c r="K20">
        <v>14259.799800000001</v>
      </c>
      <c r="L20" s="1" t="s">
        <v>36</v>
      </c>
    </row>
    <row r="21" spans="1:22">
      <c r="A21">
        <v>1979</v>
      </c>
      <c r="B21">
        <v>2611625.7379999999</v>
      </c>
      <c r="C21">
        <v>43187476</v>
      </c>
      <c r="H21">
        <v>6.0471830999999997E-2</v>
      </c>
      <c r="I21">
        <v>6748.1390000000001</v>
      </c>
      <c r="K21">
        <v>13783.0049</v>
      </c>
      <c r="L21" s="1" t="s">
        <v>37</v>
      </c>
    </row>
    <row r="22" spans="1:22">
      <c r="A22">
        <v>1980</v>
      </c>
      <c r="B22">
        <v>4896434.6900000004</v>
      </c>
      <c r="C22">
        <v>44089069</v>
      </c>
      <c r="H22">
        <v>0.111057793</v>
      </c>
      <c r="I22">
        <v>6421.1770999999999</v>
      </c>
      <c r="K22">
        <v>13068.131600000001</v>
      </c>
      <c r="L22" s="1" t="s">
        <v>38</v>
      </c>
    </row>
    <row r="23" spans="1:22">
      <c r="A23">
        <v>1981</v>
      </c>
      <c r="B23">
        <v>7373445.1330000004</v>
      </c>
      <c r="C23">
        <v>44981877</v>
      </c>
      <c r="H23">
        <v>0.16392035199999999</v>
      </c>
      <c r="I23">
        <v>6579.0587999999998</v>
      </c>
      <c r="K23">
        <v>13342.632100000001</v>
      </c>
      <c r="L23" s="1" t="s">
        <v>39</v>
      </c>
      <c r="M23">
        <v>0.1036555</v>
      </c>
      <c r="N23">
        <v>0.20055980000000001</v>
      </c>
      <c r="O23" t="s">
        <v>69</v>
      </c>
      <c r="P23" t="s">
        <v>68</v>
      </c>
      <c r="Q23" s="3">
        <v>0.7</v>
      </c>
      <c r="R23" s="2">
        <v>0.12</v>
      </c>
      <c r="S23" s="2">
        <v>0.18</v>
      </c>
      <c r="T23" s="2">
        <f t="shared" ref="T23:T50" si="0">Q23-R23</f>
        <v>0.57999999999999996</v>
      </c>
      <c r="U23">
        <f t="shared" ref="U23:U64" si="1">Q23*H23</f>
        <v>0.11474424639999999</v>
      </c>
      <c r="V23" s="133">
        <f>N23*H23</f>
        <v>3.2875833013049603E-2</v>
      </c>
    </row>
    <row r="24" spans="1:22">
      <c r="A24">
        <v>1982</v>
      </c>
      <c r="B24">
        <v>9773431.0050000008</v>
      </c>
      <c r="C24">
        <v>45949991</v>
      </c>
      <c r="H24">
        <v>0.21269712599999999</v>
      </c>
      <c r="I24">
        <v>6657.5396000000001</v>
      </c>
      <c r="K24">
        <v>13432.8833</v>
      </c>
      <c r="L24" s="1" t="s">
        <v>40</v>
      </c>
      <c r="M24">
        <v>0.1036555</v>
      </c>
      <c r="N24">
        <v>0.20055980000000001</v>
      </c>
      <c r="O24" t="s">
        <v>69</v>
      </c>
      <c r="P24" t="s">
        <v>68</v>
      </c>
      <c r="Q24" s="3">
        <v>0.7</v>
      </c>
      <c r="R24" s="2">
        <v>0.12</v>
      </c>
      <c r="S24" s="2">
        <v>0.18</v>
      </c>
      <c r="T24" s="2">
        <f t="shared" si="0"/>
        <v>0.57999999999999996</v>
      </c>
      <c r="U24">
        <f t="shared" si="1"/>
        <v>0.14888798819999999</v>
      </c>
      <c r="V24" s="133">
        <f t="shared" ref="V24:V65" si="2">N24*H24</f>
        <v>4.2658493051134797E-2</v>
      </c>
    </row>
    <row r="25" spans="1:22">
      <c r="A25">
        <v>1983</v>
      </c>
      <c r="B25">
        <v>12952508.75</v>
      </c>
      <c r="C25">
        <v>47026425</v>
      </c>
      <c r="H25">
        <v>0.275430436</v>
      </c>
      <c r="I25">
        <v>6828.1782000000003</v>
      </c>
      <c r="K25">
        <v>13667.5797</v>
      </c>
      <c r="L25" s="1" t="s">
        <v>41</v>
      </c>
      <c r="M25">
        <v>0.1036555</v>
      </c>
      <c r="N25">
        <v>0.20055980000000001</v>
      </c>
      <c r="O25" t="s">
        <v>69</v>
      </c>
      <c r="P25" t="s">
        <v>68</v>
      </c>
      <c r="Q25" s="3">
        <v>0.7</v>
      </c>
      <c r="R25" s="2">
        <v>0.12</v>
      </c>
      <c r="S25" s="2">
        <v>0.18</v>
      </c>
      <c r="T25" s="2">
        <f t="shared" si="0"/>
        <v>0.57999999999999996</v>
      </c>
      <c r="U25">
        <f t="shared" si="1"/>
        <v>0.19280130519999999</v>
      </c>
      <c r="V25" s="133">
        <f t="shared" si="2"/>
        <v>5.5240273158072804E-2</v>
      </c>
    </row>
    <row r="26" spans="1:22">
      <c r="A26">
        <v>1984</v>
      </c>
      <c r="B26">
        <v>20460745.809999999</v>
      </c>
      <c r="C26">
        <v>48106764</v>
      </c>
      <c r="H26">
        <v>0.42531952099999998</v>
      </c>
      <c r="I26">
        <v>7112.9818999999998</v>
      </c>
      <c r="K26">
        <v>14094.8724</v>
      </c>
      <c r="L26" s="1" t="s">
        <v>42</v>
      </c>
      <c r="M26">
        <v>0.1036555</v>
      </c>
      <c r="N26">
        <v>0.20055980000000001</v>
      </c>
      <c r="O26" t="s">
        <v>69</v>
      </c>
      <c r="P26" t="s">
        <v>68</v>
      </c>
      <c r="Q26" s="3">
        <v>0.7</v>
      </c>
      <c r="R26" s="2">
        <v>0.12</v>
      </c>
      <c r="S26" s="2">
        <v>0.18</v>
      </c>
      <c r="T26" s="2">
        <f t="shared" si="0"/>
        <v>0.57999999999999996</v>
      </c>
      <c r="U26">
        <f t="shared" si="1"/>
        <v>0.29772366469999995</v>
      </c>
      <c r="V26" s="133">
        <f t="shared" si="2"/>
        <v>8.5301998067855794E-2</v>
      </c>
    </row>
    <row r="27" spans="1:22">
      <c r="A27">
        <v>1985</v>
      </c>
      <c r="B27">
        <v>32700648.129999999</v>
      </c>
      <c r="C27">
        <v>49175673</v>
      </c>
      <c r="H27">
        <v>0.664976118</v>
      </c>
      <c r="I27">
        <v>7266.0227999999997</v>
      </c>
      <c r="K27">
        <v>14250.333699999999</v>
      </c>
      <c r="L27" s="1" t="s">
        <v>43</v>
      </c>
      <c r="M27">
        <v>0.1036555</v>
      </c>
      <c r="N27">
        <v>0.20055980000000001</v>
      </c>
      <c r="O27" t="s">
        <v>69</v>
      </c>
      <c r="P27" t="s">
        <v>68</v>
      </c>
      <c r="Q27" s="3">
        <v>0.7</v>
      </c>
      <c r="R27" s="2">
        <v>0.12</v>
      </c>
      <c r="S27" s="2">
        <v>0.18</v>
      </c>
      <c r="T27" s="2">
        <f t="shared" si="0"/>
        <v>0.57999999999999996</v>
      </c>
      <c r="U27">
        <f t="shared" si="1"/>
        <v>0.46548328259999999</v>
      </c>
      <c r="V27" s="133">
        <f t="shared" si="2"/>
        <v>0.1333674772308564</v>
      </c>
    </row>
    <row r="28" spans="1:22">
      <c r="A28">
        <v>1986</v>
      </c>
      <c r="B28">
        <v>47567759.659999996</v>
      </c>
      <c r="C28">
        <v>50223885</v>
      </c>
      <c r="H28">
        <v>0.94711429999999996</v>
      </c>
      <c r="I28">
        <v>7609.0738000000001</v>
      </c>
      <c r="K28">
        <v>14774.7161</v>
      </c>
      <c r="L28">
        <v>1.2447200000000001E-4</v>
      </c>
      <c r="M28">
        <v>0.1036555</v>
      </c>
      <c r="N28">
        <v>0.20055980000000001</v>
      </c>
      <c r="O28" t="s">
        <v>69</v>
      </c>
      <c r="P28" t="s">
        <v>68</v>
      </c>
      <c r="Q28" s="3">
        <v>0.7</v>
      </c>
      <c r="R28" s="2">
        <v>0.12</v>
      </c>
      <c r="S28" s="2">
        <v>0.18</v>
      </c>
      <c r="T28" s="2">
        <f t="shared" si="0"/>
        <v>0.57999999999999996</v>
      </c>
      <c r="U28">
        <f t="shared" si="1"/>
        <v>0.66298000999999995</v>
      </c>
      <c r="V28" s="133">
        <f t="shared" si="2"/>
        <v>0.18995305458514</v>
      </c>
    </row>
    <row r="29" spans="1:22">
      <c r="A29">
        <v>1987</v>
      </c>
      <c r="B29">
        <v>68530913.060000002</v>
      </c>
      <c r="C29">
        <v>51250152</v>
      </c>
      <c r="H29">
        <v>1.3371845819999999</v>
      </c>
      <c r="I29">
        <v>8040.3451999999997</v>
      </c>
      <c r="K29">
        <v>15474.3789</v>
      </c>
      <c r="L29">
        <v>1.6630900000000001E-4</v>
      </c>
      <c r="M29">
        <v>0.1036555</v>
      </c>
      <c r="N29">
        <v>0.20055980000000001</v>
      </c>
      <c r="O29" t="s">
        <v>69</v>
      </c>
      <c r="P29" t="s">
        <v>68</v>
      </c>
      <c r="Q29" s="3">
        <v>0.7</v>
      </c>
      <c r="R29" s="2">
        <v>0.12</v>
      </c>
      <c r="S29" s="2">
        <v>0.18</v>
      </c>
      <c r="T29" s="2">
        <f t="shared" si="0"/>
        <v>0.57999999999999996</v>
      </c>
      <c r="U29">
        <f t="shared" si="1"/>
        <v>0.93602920739999984</v>
      </c>
      <c r="V29" s="133">
        <f t="shared" si="2"/>
        <v>0.26818547232900358</v>
      </c>
    </row>
    <row r="30" spans="1:22">
      <c r="A30">
        <v>1988</v>
      </c>
      <c r="B30">
        <v>117602961.8</v>
      </c>
      <c r="C30">
        <v>52275890</v>
      </c>
      <c r="H30">
        <v>2.2496596769999999</v>
      </c>
      <c r="I30">
        <v>8003.26</v>
      </c>
      <c r="K30">
        <v>15216.9208</v>
      </c>
      <c r="L30">
        <v>2.81093E-4</v>
      </c>
      <c r="M30">
        <v>0.1036555</v>
      </c>
      <c r="N30">
        <v>0.20055980000000001</v>
      </c>
      <c r="O30" t="s">
        <v>69</v>
      </c>
      <c r="P30" t="s">
        <v>68</v>
      </c>
      <c r="Q30" s="3">
        <v>0.7</v>
      </c>
      <c r="R30" s="2">
        <v>0.12</v>
      </c>
      <c r="S30" s="2">
        <v>0.18</v>
      </c>
      <c r="T30" s="2">
        <f t="shared" si="0"/>
        <v>0.57999999999999996</v>
      </c>
      <c r="U30">
        <f t="shared" si="1"/>
        <v>1.5747617738999999</v>
      </c>
      <c r="V30" s="133">
        <f t="shared" si="2"/>
        <v>0.45119129488718462</v>
      </c>
    </row>
    <row r="31" spans="1:22">
      <c r="A31">
        <v>1989</v>
      </c>
      <c r="B31">
        <v>210068582.5</v>
      </c>
      <c r="C31">
        <v>53305234</v>
      </c>
      <c r="H31">
        <v>3.940862214</v>
      </c>
      <c r="I31">
        <v>7992.8157000000001</v>
      </c>
      <c r="K31">
        <v>15012.4877</v>
      </c>
      <c r="L31">
        <v>4.9305099999999999E-4</v>
      </c>
      <c r="M31">
        <v>0.1036555</v>
      </c>
      <c r="N31">
        <v>0.20055980000000001</v>
      </c>
      <c r="O31" t="s">
        <v>69</v>
      </c>
      <c r="P31" t="s">
        <v>68</v>
      </c>
      <c r="Q31" s="3">
        <v>0.7</v>
      </c>
      <c r="R31" s="2">
        <v>0.12</v>
      </c>
      <c r="S31" s="2">
        <v>0.18</v>
      </c>
      <c r="T31" s="2">
        <f t="shared" si="0"/>
        <v>0.57999999999999996</v>
      </c>
      <c r="U31">
        <f t="shared" si="1"/>
        <v>2.7586035497999997</v>
      </c>
      <c r="V31" s="133">
        <f t="shared" si="2"/>
        <v>0.79037853746739728</v>
      </c>
    </row>
    <row r="32" spans="1:22">
      <c r="A32">
        <v>1990</v>
      </c>
      <c r="B32">
        <v>366742357.10000002</v>
      </c>
      <c r="C32">
        <v>54324142</v>
      </c>
      <c r="H32">
        <v>6.7510013710000001</v>
      </c>
      <c r="I32">
        <v>8652.6330999999991</v>
      </c>
      <c r="K32">
        <v>16110.1414</v>
      </c>
      <c r="L32">
        <v>7.8022499999999995E-4</v>
      </c>
      <c r="M32">
        <v>0.1036555</v>
      </c>
      <c r="N32">
        <v>0.20055980000000001</v>
      </c>
      <c r="O32" t="s">
        <v>69</v>
      </c>
      <c r="P32" t="s">
        <v>68</v>
      </c>
      <c r="Q32" s="3">
        <v>0.7</v>
      </c>
      <c r="R32" s="2">
        <v>0.12</v>
      </c>
      <c r="S32" s="2">
        <v>0.18</v>
      </c>
      <c r="T32" s="2">
        <f t="shared" si="0"/>
        <v>0.57999999999999996</v>
      </c>
      <c r="U32">
        <f t="shared" si="1"/>
        <v>4.7257009597000001</v>
      </c>
      <c r="V32" s="133">
        <f t="shared" si="2"/>
        <v>1.353979484767486</v>
      </c>
    </row>
    <row r="33" spans="1:24">
      <c r="A33">
        <v>1991</v>
      </c>
      <c r="B33">
        <v>585433909.10000002</v>
      </c>
      <c r="C33">
        <v>55321172</v>
      </c>
      <c r="H33">
        <v>10.582456730000001</v>
      </c>
      <c r="I33">
        <v>8521.6079000000009</v>
      </c>
      <c r="K33">
        <v>15720.0252</v>
      </c>
      <c r="L33">
        <v>1.2418380000000001E-3</v>
      </c>
      <c r="M33">
        <v>0.1036555</v>
      </c>
      <c r="N33">
        <v>0.20055980000000001</v>
      </c>
      <c r="O33" t="s">
        <v>69</v>
      </c>
      <c r="P33" t="s">
        <v>68</v>
      </c>
      <c r="Q33" s="3">
        <v>0.7</v>
      </c>
      <c r="R33" s="2">
        <v>0.12</v>
      </c>
      <c r="S33" s="2">
        <v>0.18</v>
      </c>
      <c r="T33" s="2">
        <f t="shared" si="0"/>
        <v>0.57999999999999996</v>
      </c>
      <c r="U33">
        <f t="shared" si="1"/>
        <v>7.4077197109999995</v>
      </c>
      <c r="V33" s="133">
        <f t="shared" si="2"/>
        <v>2.1224154052774544</v>
      </c>
    </row>
    <row r="34" spans="1:24">
      <c r="A34">
        <v>1992</v>
      </c>
      <c r="B34">
        <v>1020461276</v>
      </c>
      <c r="C34">
        <v>56302037</v>
      </c>
      <c r="H34">
        <v>18.124766529999999</v>
      </c>
      <c r="I34">
        <v>8834.8431999999993</v>
      </c>
      <c r="K34">
        <v>16142.2284</v>
      </c>
      <c r="L34">
        <v>2.0515099999999999E-3</v>
      </c>
      <c r="M34">
        <v>0.1036555</v>
      </c>
      <c r="N34">
        <v>0.20055980000000001</v>
      </c>
      <c r="O34" t="s">
        <v>69</v>
      </c>
      <c r="P34" t="s">
        <v>68</v>
      </c>
      <c r="Q34" s="3">
        <v>0.7</v>
      </c>
      <c r="R34" s="2">
        <v>0.12</v>
      </c>
      <c r="S34" s="2">
        <v>0.18</v>
      </c>
      <c r="T34" s="2">
        <f t="shared" si="0"/>
        <v>0.57999999999999996</v>
      </c>
      <c r="U34">
        <f t="shared" si="1"/>
        <v>12.687336570999998</v>
      </c>
      <c r="V34" s="133">
        <f t="shared" si="2"/>
        <v>3.6350995503034937</v>
      </c>
    </row>
    <row r="35" spans="1:24">
      <c r="A35">
        <v>1993</v>
      </c>
      <c r="B35">
        <v>1854580678</v>
      </c>
      <c r="C35">
        <v>57296008</v>
      </c>
      <c r="H35">
        <v>32.368409990000004</v>
      </c>
      <c r="I35">
        <v>9370.4158000000007</v>
      </c>
      <c r="K35">
        <v>16955.003700000001</v>
      </c>
      <c r="L35">
        <v>3.454319E-3</v>
      </c>
      <c r="M35">
        <v>0.1036555</v>
      </c>
      <c r="N35">
        <v>0.20055980000000001</v>
      </c>
      <c r="O35" t="s">
        <v>69</v>
      </c>
      <c r="P35" t="s">
        <v>68</v>
      </c>
      <c r="Q35" s="3">
        <v>0.7</v>
      </c>
      <c r="R35" s="2">
        <v>0.12</v>
      </c>
      <c r="S35" s="2">
        <v>0.18</v>
      </c>
      <c r="T35" s="2">
        <f t="shared" si="0"/>
        <v>0.57999999999999996</v>
      </c>
      <c r="U35">
        <f t="shared" si="1"/>
        <v>22.657886993000002</v>
      </c>
      <c r="V35" s="133">
        <f t="shared" si="2"/>
        <v>6.4918018339124028</v>
      </c>
    </row>
    <row r="36" spans="1:24">
      <c r="A36">
        <v>1994</v>
      </c>
      <c r="B36">
        <v>3542592863</v>
      </c>
      <c r="C36">
        <v>58310245</v>
      </c>
      <c r="H36">
        <v>60.754209879999998</v>
      </c>
      <c r="I36">
        <v>8589.9678000000004</v>
      </c>
      <c r="K36">
        <v>15397.3819</v>
      </c>
      <c r="L36">
        <v>7.072694E-3</v>
      </c>
      <c r="M36">
        <v>0.1036555</v>
      </c>
      <c r="N36">
        <v>0.20055980000000001</v>
      </c>
      <c r="O36" t="s">
        <v>69</v>
      </c>
      <c r="P36" t="s">
        <v>68</v>
      </c>
      <c r="Q36" s="3">
        <v>0.7</v>
      </c>
      <c r="R36" s="2">
        <v>0.12</v>
      </c>
      <c r="S36" s="2">
        <v>0.18</v>
      </c>
      <c r="T36" s="2">
        <f t="shared" si="0"/>
        <v>0.57999999999999996</v>
      </c>
      <c r="U36">
        <f t="shared" si="1"/>
        <v>42.527946915999998</v>
      </c>
      <c r="V36" s="133">
        <f t="shared" si="2"/>
        <v>12.184852182690824</v>
      </c>
    </row>
    <row r="37" spans="1:24">
      <c r="A37">
        <v>1995</v>
      </c>
      <c r="B37">
        <v>7173149749</v>
      </c>
      <c r="C37">
        <v>59305490</v>
      </c>
      <c r="H37">
        <v>120.9525416</v>
      </c>
      <c r="I37">
        <v>9193.9002999999993</v>
      </c>
      <c r="K37">
        <v>16333.8963</v>
      </c>
      <c r="L37">
        <v>1.3155738E-2</v>
      </c>
      <c r="M37">
        <v>0.1036555</v>
      </c>
      <c r="N37">
        <v>0.20055980000000001</v>
      </c>
      <c r="O37" t="s">
        <v>69</v>
      </c>
      <c r="P37" t="s">
        <v>68</v>
      </c>
      <c r="Q37" s="3">
        <v>0.7</v>
      </c>
      <c r="R37" s="2">
        <v>0.12</v>
      </c>
      <c r="S37" s="2">
        <v>0.18</v>
      </c>
      <c r="T37" s="2">
        <f t="shared" si="0"/>
        <v>0.57999999999999996</v>
      </c>
      <c r="U37">
        <f t="shared" si="1"/>
        <v>84.666779120000001</v>
      </c>
      <c r="V37" s="133">
        <f t="shared" si="2"/>
        <v>24.258217552787681</v>
      </c>
    </row>
    <row r="38" spans="1:24">
      <c r="A38">
        <v>1996</v>
      </c>
      <c r="B38">
        <v>13700208145</v>
      </c>
      <c r="C38">
        <v>60293786</v>
      </c>
      <c r="H38">
        <v>227.22421420000001</v>
      </c>
      <c r="I38">
        <v>9745.8189999999995</v>
      </c>
      <c r="K38">
        <v>17160.5641</v>
      </c>
      <c r="L38">
        <v>2.3315045999999999E-2</v>
      </c>
      <c r="M38">
        <v>0.1036555</v>
      </c>
      <c r="N38">
        <v>0.20055980000000001</v>
      </c>
      <c r="O38" t="s">
        <v>69</v>
      </c>
      <c r="P38" t="s">
        <v>68</v>
      </c>
      <c r="Q38" s="3">
        <v>0.7</v>
      </c>
      <c r="R38" s="2">
        <v>0.12</v>
      </c>
      <c r="S38" s="2">
        <v>0.18</v>
      </c>
      <c r="T38" s="2">
        <f t="shared" si="0"/>
        <v>0.57999999999999996</v>
      </c>
      <c r="U38">
        <f t="shared" si="1"/>
        <v>159.05694993999998</v>
      </c>
      <c r="V38" s="133">
        <f t="shared" si="2"/>
        <v>45.572042955109161</v>
      </c>
    </row>
    <row r="39" spans="1:24">
      <c r="A39">
        <v>1997</v>
      </c>
      <c r="B39">
        <v>25765342752</v>
      </c>
      <c r="C39">
        <v>61277426</v>
      </c>
      <c r="H39">
        <v>420.47038259999999</v>
      </c>
      <c r="I39">
        <v>9938.7135999999991</v>
      </c>
      <c r="K39">
        <v>17347.938200000001</v>
      </c>
      <c r="L39">
        <v>4.2306318000000002E-2</v>
      </c>
      <c r="M39">
        <v>0.1036555</v>
      </c>
      <c r="N39">
        <v>0.20055980000000001</v>
      </c>
      <c r="O39" t="s">
        <v>69</v>
      </c>
      <c r="P39" t="s">
        <v>68</v>
      </c>
      <c r="Q39" s="3">
        <v>0.7</v>
      </c>
      <c r="R39" s="2">
        <v>0.12</v>
      </c>
      <c r="S39" s="2">
        <v>0.18</v>
      </c>
      <c r="T39" s="2">
        <f t="shared" si="0"/>
        <v>0.57999999999999996</v>
      </c>
      <c r="U39">
        <f t="shared" si="1"/>
        <v>294.32926781999998</v>
      </c>
      <c r="V39" s="133">
        <f t="shared" si="2"/>
        <v>84.329455840179477</v>
      </c>
    </row>
    <row r="40" spans="1:24">
      <c r="A40">
        <v>1998</v>
      </c>
      <c r="B40">
        <v>60376453418</v>
      </c>
      <c r="C40">
        <v>62242204</v>
      </c>
      <c r="F40">
        <v>36202037105.859169</v>
      </c>
      <c r="G40">
        <f>(F40)/B40</f>
        <v>0.59960522780667791</v>
      </c>
      <c r="H40">
        <v>970.02434900000003</v>
      </c>
      <c r="I40">
        <v>9410.8580999999995</v>
      </c>
      <c r="K40">
        <v>16286.6072</v>
      </c>
      <c r="L40">
        <v>0.10307501600000001</v>
      </c>
      <c r="M40">
        <v>0.1036555</v>
      </c>
      <c r="N40">
        <v>0.20055980000000001</v>
      </c>
      <c r="O40" t="s">
        <v>69</v>
      </c>
      <c r="P40" t="s">
        <v>68</v>
      </c>
      <c r="Q40" s="3">
        <v>0.7</v>
      </c>
      <c r="R40" s="2">
        <v>0.12</v>
      </c>
      <c r="S40" s="2">
        <v>0.18</v>
      </c>
      <c r="T40" s="2">
        <f t="shared" si="0"/>
        <v>0.57999999999999996</v>
      </c>
      <c r="U40">
        <f t="shared" si="1"/>
        <v>679.01704429999995</v>
      </c>
      <c r="V40" s="133">
        <f t="shared" si="2"/>
        <v>194.54788943057022</v>
      </c>
    </row>
    <row r="41" spans="1:24">
      <c r="A41">
        <v>1999</v>
      </c>
      <c r="B41">
        <v>88771595004</v>
      </c>
      <c r="C41">
        <v>63185615</v>
      </c>
      <c r="F41">
        <v>51219670633.857162</v>
      </c>
      <c r="G41">
        <f t="shared" ref="G41:G65" si="3">(F41)/B41</f>
        <v>0.57698265567436557</v>
      </c>
      <c r="H41">
        <v>1404.9336229999999</v>
      </c>
      <c r="I41">
        <v>8834.7271000000001</v>
      </c>
      <c r="K41">
        <v>15152.5645</v>
      </c>
      <c r="L41">
        <v>0.159023998</v>
      </c>
      <c r="M41">
        <v>0.1036555</v>
      </c>
      <c r="N41">
        <v>0.20055980000000001</v>
      </c>
      <c r="O41" t="s">
        <v>69</v>
      </c>
      <c r="P41" t="s">
        <v>68</v>
      </c>
      <c r="Q41" s="3">
        <v>0.7</v>
      </c>
      <c r="R41" s="2">
        <v>0.12</v>
      </c>
      <c r="S41" s="2">
        <v>0.18</v>
      </c>
      <c r="T41" s="2">
        <f t="shared" si="0"/>
        <v>0.57999999999999996</v>
      </c>
      <c r="U41">
        <f t="shared" si="1"/>
        <v>983.45353609999984</v>
      </c>
      <c r="V41" s="133">
        <f t="shared" si="2"/>
        <v>281.77320644215541</v>
      </c>
    </row>
    <row r="42" spans="1:24">
      <c r="A42">
        <v>2000</v>
      </c>
      <c r="B42" s="1" t="s">
        <v>44</v>
      </c>
      <c r="C42">
        <v>64113547</v>
      </c>
      <c r="F42">
        <v>81513130064.223801</v>
      </c>
      <c r="G42">
        <f t="shared" si="3"/>
        <v>0.57002188856100555</v>
      </c>
      <c r="H42">
        <v>2229.8875459999999</v>
      </c>
      <c r="I42">
        <v>9388.2206999999999</v>
      </c>
      <c r="K42">
        <v>15952.9146</v>
      </c>
      <c r="L42">
        <v>0.23751971899999999</v>
      </c>
      <c r="M42">
        <v>0.1036555</v>
      </c>
      <c r="N42">
        <v>0.20055980000000001</v>
      </c>
      <c r="O42" t="s">
        <v>69</v>
      </c>
      <c r="P42" t="s">
        <v>68</v>
      </c>
      <c r="Q42" s="3">
        <v>0.7</v>
      </c>
      <c r="R42" s="2">
        <v>0.12</v>
      </c>
      <c r="S42" s="2">
        <v>0.18</v>
      </c>
      <c r="T42" s="2">
        <f t="shared" si="0"/>
        <v>0.57999999999999996</v>
      </c>
      <c r="U42">
        <f t="shared" si="1"/>
        <v>1560.9212822</v>
      </c>
      <c r="V42" s="133">
        <f t="shared" si="2"/>
        <v>447.22580024825083</v>
      </c>
    </row>
    <row r="43" spans="1:24">
      <c r="A43">
        <v>2001</v>
      </c>
      <c r="B43" s="1" t="s">
        <v>45</v>
      </c>
      <c r="C43">
        <v>65072018</v>
      </c>
      <c r="F43">
        <v>115150858252.67647</v>
      </c>
      <c r="G43">
        <f t="shared" si="3"/>
        <v>0.58452212311003282</v>
      </c>
      <c r="H43">
        <v>3033.131691</v>
      </c>
      <c r="I43">
        <v>8347.5293999999994</v>
      </c>
      <c r="K43">
        <v>14056.129300000001</v>
      </c>
      <c r="L43">
        <v>0.36335681399999997</v>
      </c>
      <c r="M43">
        <v>0.1036555</v>
      </c>
      <c r="N43">
        <v>0.20055980000000001</v>
      </c>
      <c r="O43" t="s">
        <v>69</v>
      </c>
      <c r="P43" t="s">
        <v>68</v>
      </c>
      <c r="Q43" s="3">
        <v>0.7</v>
      </c>
      <c r="R43" s="2">
        <v>0.12</v>
      </c>
      <c r="S43" s="2">
        <v>0.18</v>
      </c>
      <c r="T43" s="2">
        <f t="shared" si="0"/>
        <v>0.57999999999999996</v>
      </c>
      <c r="U43">
        <f t="shared" si="1"/>
        <v>2123.1921837</v>
      </c>
      <c r="V43" s="133">
        <f t="shared" si="2"/>
        <v>608.32428532062181</v>
      </c>
    </row>
    <row r="44" spans="1:24">
      <c r="A44">
        <v>2002</v>
      </c>
      <c r="B44" s="1" t="s">
        <v>46</v>
      </c>
      <c r="C44">
        <v>65988663</v>
      </c>
      <c r="D44">
        <v>23325611</v>
      </c>
      <c r="E44">
        <v>42663052</v>
      </c>
      <c r="F44">
        <v>172194569584.74542</v>
      </c>
      <c r="G44">
        <f t="shared" si="3"/>
        <v>0.57783412612330676</v>
      </c>
      <c r="H44">
        <v>4517.8821099999996</v>
      </c>
      <c r="I44">
        <v>9037.8008000000009</v>
      </c>
      <c r="J44">
        <v>6984.9667579999996</v>
      </c>
      <c r="K44">
        <v>15079.032300000001</v>
      </c>
      <c r="L44">
        <v>0.49988733000000002</v>
      </c>
      <c r="M44">
        <v>0.1036555</v>
      </c>
      <c r="N44">
        <v>0.20055980000000001</v>
      </c>
      <c r="O44" t="s">
        <v>69</v>
      </c>
      <c r="P44" t="s">
        <v>68</v>
      </c>
      <c r="Q44" s="3">
        <v>0.7</v>
      </c>
      <c r="R44" s="2">
        <v>0.12</v>
      </c>
      <c r="S44" s="2">
        <v>0.18</v>
      </c>
      <c r="T44" s="2">
        <f t="shared" si="0"/>
        <v>0.57999999999999996</v>
      </c>
      <c r="U44">
        <f t="shared" si="1"/>
        <v>3162.5174769999994</v>
      </c>
      <c r="V44" s="133">
        <f t="shared" si="2"/>
        <v>906.105532405178</v>
      </c>
      <c r="W44">
        <f t="shared" ref="W44:W64" si="4">J44*T44</f>
        <v>4051.2807196399995</v>
      </c>
      <c r="X44">
        <f t="shared" ref="X44:X64" si="5">J44*M44</f>
        <v>724.03022178386891</v>
      </c>
    </row>
    <row r="45" spans="1:24">
      <c r="A45">
        <v>2003</v>
      </c>
      <c r="B45" s="1" t="s">
        <v>47</v>
      </c>
      <c r="C45">
        <v>66867327</v>
      </c>
      <c r="D45">
        <v>23636200</v>
      </c>
      <c r="E45">
        <v>43231127</v>
      </c>
      <c r="F45">
        <v>226714924039.57022</v>
      </c>
      <c r="G45">
        <f t="shared" si="3"/>
        <v>0.57396183301157022</v>
      </c>
      <c r="H45">
        <v>5906.8010899999999</v>
      </c>
      <c r="I45">
        <v>9584.1656999999996</v>
      </c>
      <c r="J45">
        <v>9136.9350610000001</v>
      </c>
      <c r="K45">
        <v>15832.7066</v>
      </c>
      <c r="L45">
        <v>0.61630832300000005</v>
      </c>
      <c r="M45">
        <v>0.1036555</v>
      </c>
      <c r="N45">
        <v>0.20055980000000001</v>
      </c>
      <c r="O45" t="s">
        <v>69</v>
      </c>
      <c r="P45" t="s">
        <v>68</v>
      </c>
      <c r="Q45" s="3">
        <v>0.7</v>
      </c>
      <c r="R45" s="2">
        <v>0.12</v>
      </c>
      <c r="S45" s="2">
        <v>0.18</v>
      </c>
      <c r="T45" s="2">
        <f t="shared" si="0"/>
        <v>0.57999999999999996</v>
      </c>
      <c r="U45">
        <f t="shared" si="1"/>
        <v>4134.7607629999993</v>
      </c>
      <c r="V45" s="133">
        <f t="shared" si="2"/>
        <v>1184.666845250182</v>
      </c>
      <c r="W45">
        <f t="shared" si="4"/>
        <v>5299.4223353799998</v>
      </c>
      <c r="X45">
        <f t="shared" si="5"/>
        <v>947.09357221548544</v>
      </c>
    </row>
    <row r="46" spans="1:24">
      <c r="A46">
        <v>2004</v>
      </c>
      <c r="B46" s="1" t="s">
        <v>48</v>
      </c>
      <c r="C46">
        <v>67785075</v>
      </c>
      <c r="D46">
        <v>23960605</v>
      </c>
      <c r="E46">
        <v>43824470</v>
      </c>
      <c r="F46">
        <v>283480243198.61981</v>
      </c>
      <c r="G46">
        <f t="shared" si="3"/>
        <v>0.57735283747173083</v>
      </c>
      <c r="H46">
        <v>7239.9123259999997</v>
      </c>
      <c r="I46">
        <v>10448.7228</v>
      </c>
      <c r="J46">
        <v>11203.78638</v>
      </c>
      <c r="K46">
        <v>17088.465800000002</v>
      </c>
      <c r="L46">
        <v>0.69289926300000004</v>
      </c>
      <c r="M46">
        <v>0.1036555</v>
      </c>
      <c r="N46">
        <v>0.20055980000000001</v>
      </c>
      <c r="O46" t="s">
        <v>69</v>
      </c>
      <c r="P46" t="s">
        <v>68</v>
      </c>
      <c r="Q46" s="3">
        <v>0.7</v>
      </c>
      <c r="R46" s="2">
        <v>0.12</v>
      </c>
      <c r="S46" s="2">
        <v>0.18</v>
      </c>
      <c r="T46" s="2">
        <f t="shared" si="0"/>
        <v>0.57999999999999996</v>
      </c>
      <c r="U46">
        <f t="shared" si="1"/>
        <v>5067.9386281999996</v>
      </c>
      <c r="V46" s="133">
        <f t="shared" si="2"/>
        <v>1452.0353681200947</v>
      </c>
      <c r="W46">
        <f t="shared" si="4"/>
        <v>6498.1961003999995</v>
      </c>
      <c r="X46">
        <f t="shared" si="5"/>
        <v>1161.33407911209</v>
      </c>
    </row>
    <row r="47" spans="1:24">
      <c r="A47">
        <v>2005</v>
      </c>
      <c r="B47" s="1" t="s">
        <v>49</v>
      </c>
      <c r="C47">
        <v>68704715</v>
      </c>
      <c r="D47">
        <v>24285679</v>
      </c>
      <c r="E47">
        <v>44419036</v>
      </c>
      <c r="F47">
        <v>332898533501.32361</v>
      </c>
      <c r="G47">
        <f t="shared" si="3"/>
        <v>0.57694719844250197</v>
      </c>
      <c r="H47">
        <v>8398.4483450000007</v>
      </c>
      <c r="I47">
        <v>11318.759</v>
      </c>
      <c r="J47">
        <v>12989.92621</v>
      </c>
      <c r="K47">
        <v>18335.786800000002</v>
      </c>
      <c r="L47">
        <v>0.74199374200000001</v>
      </c>
      <c r="M47">
        <v>0.1036555</v>
      </c>
      <c r="N47">
        <v>0.20055980000000001</v>
      </c>
      <c r="O47" t="s">
        <v>69</v>
      </c>
      <c r="P47" t="s">
        <v>68</v>
      </c>
      <c r="Q47" s="2">
        <v>0.77811992539999997</v>
      </c>
      <c r="R47" s="2">
        <v>0.12</v>
      </c>
      <c r="S47" s="2">
        <v>0.17585790000000001</v>
      </c>
      <c r="T47" s="2">
        <f t="shared" si="0"/>
        <v>0.65811992539999997</v>
      </c>
      <c r="U47">
        <f t="shared" si="1"/>
        <v>6534.9999996871538</v>
      </c>
      <c r="V47" s="133">
        <f t="shared" si="2"/>
        <v>1684.3911203835312</v>
      </c>
      <c r="W47">
        <f t="shared" si="4"/>
        <v>8548.9292682767045</v>
      </c>
      <c r="X47">
        <f t="shared" si="5"/>
        <v>1346.4772962606548</v>
      </c>
    </row>
    <row r="48" spans="1:24">
      <c r="A48">
        <v>2006</v>
      </c>
      <c r="B48" s="1" t="s">
        <v>50</v>
      </c>
      <c r="C48">
        <v>69601333</v>
      </c>
      <c r="D48">
        <v>24602614</v>
      </c>
      <c r="E48">
        <v>44998719</v>
      </c>
      <c r="F48">
        <v>388448392535.78546</v>
      </c>
      <c r="G48">
        <f t="shared" si="3"/>
        <v>0.57804820317825223</v>
      </c>
      <c r="H48">
        <v>9660.8494549999996</v>
      </c>
      <c r="I48">
        <v>11903.9665</v>
      </c>
      <c r="J48">
        <v>14933.758449999999</v>
      </c>
      <c r="K48">
        <v>19113.482800000002</v>
      </c>
      <c r="L48">
        <v>0.81156557799999995</v>
      </c>
      <c r="M48">
        <v>0.1036555</v>
      </c>
      <c r="N48">
        <v>0.20055980000000001</v>
      </c>
      <c r="O48" t="s">
        <v>69</v>
      </c>
      <c r="P48" t="s">
        <v>68</v>
      </c>
      <c r="Q48" s="2">
        <v>0.78699083709999995</v>
      </c>
      <c r="R48" s="2">
        <v>0.12</v>
      </c>
      <c r="S48" s="2">
        <v>0.17585790000000001</v>
      </c>
      <c r="T48" s="2">
        <f t="shared" si="0"/>
        <v>0.66699083709999996</v>
      </c>
      <c r="U48">
        <f t="shared" si="1"/>
        <v>7602.9999996875276</v>
      </c>
      <c r="V48" s="133">
        <f t="shared" si="2"/>
        <v>1937.5780345249091</v>
      </c>
      <c r="W48">
        <f t="shared" si="4"/>
        <v>9960.6800496146971</v>
      </c>
      <c r="X48">
        <f t="shared" si="5"/>
        <v>1547.9661990139748</v>
      </c>
    </row>
    <row r="49" spans="1:24">
      <c r="A49">
        <v>2007</v>
      </c>
      <c r="B49" s="1" t="s">
        <v>51</v>
      </c>
      <c r="C49">
        <v>70158112</v>
      </c>
      <c r="D49">
        <v>24799424</v>
      </c>
      <c r="E49">
        <v>45358688</v>
      </c>
      <c r="F49">
        <v>434618659534.0271</v>
      </c>
      <c r="G49">
        <f t="shared" si="3"/>
        <v>0.58026523302273314</v>
      </c>
      <c r="H49">
        <v>10672.9782</v>
      </c>
      <c r="I49">
        <v>12328.7642</v>
      </c>
      <c r="J49">
        <v>16512.8233</v>
      </c>
      <c r="K49">
        <v>19630.545999999998</v>
      </c>
      <c r="L49">
        <v>0.86569732600000004</v>
      </c>
      <c r="M49">
        <v>0.1036555</v>
      </c>
      <c r="N49">
        <v>0.20055980000000001</v>
      </c>
      <c r="O49" t="s">
        <v>69</v>
      </c>
      <c r="P49" t="s">
        <v>68</v>
      </c>
      <c r="Q49" s="2">
        <v>0.78787755790000003</v>
      </c>
      <c r="R49" s="2">
        <v>0.1326</v>
      </c>
      <c r="S49" s="2">
        <v>0.17585790000000001</v>
      </c>
      <c r="T49" s="2">
        <f t="shared" si="0"/>
        <v>0.65527755790000008</v>
      </c>
      <c r="U49">
        <f t="shared" si="1"/>
        <v>8408.9999997359373</v>
      </c>
      <c r="V49" s="133">
        <f t="shared" si="2"/>
        <v>2140.5703731963599</v>
      </c>
      <c r="W49">
        <f t="shared" si="4"/>
        <v>10820.48252605822</v>
      </c>
      <c r="X49">
        <f t="shared" si="5"/>
        <v>1711.6449555731499</v>
      </c>
    </row>
    <row r="50" spans="1:24">
      <c r="A50">
        <v>2008</v>
      </c>
      <c r="B50" s="1" t="s">
        <v>52</v>
      </c>
      <c r="C50">
        <v>71051678</v>
      </c>
      <c r="D50">
        <v>24973691</v>
      </c>
      <c r="E50">
        <v>46077987</v>
      </c>
      <c r="F50">
        <v>486634348526.11053</v>
      </c>
      <c r="G50">
        <f t="shared" si="3"/>
        <v>0.57795053269134267</v>
      </c>
      <c r="H50">
        <v>11846.71529</v>
      </c>
      <c r="I50">
        <v>12221.1639</v>
      </c>
      <c r="J50">
        <v>18273.367709999999</v>
      </c>
      <c r="K50">
        <v>19302.879499999999</v>
      </c>
      <c r="L50">
        <v>0.96936064200000005</v>
      </c>
      <c r="M50">
        <v>0.1036555</v>
      </c>
      <c r="N50">
        <v>0.20055980000000001</v>
      </c>
      <c r="O50" t="s">
        <v>69</v>
      </c>
      <c r="P50" t="s">
        <v>68</v>
      </c>
      <c r="Q50" s="2">
        <v>0.75877572640000002</v>
      </c>
      <c r="R50" s="2">
        <v>0.1376</v>
      </c>
      <c r="S50" s="2">
        <v>0.17585790000000001</v>
      </c>
      <c r="T50" s="2">
        <f t="shared" si="0"/>
        <v>0.62117572639999996</v>
      </c>
      <c r="U50">
        <f t="shared" si="1"/>
        <v>8988.9999996237366</v>
      </c>
      <c r="V50" s="133">
        <f t="shared" si="2"/>
        <v>2375.9748492193421</v>
      </c>
      <c r="W50">
        <f t="shared" si="4"/>
        <v>11350.972461033552</v>
      </c>
      <c r="X50">
        <f t="shared" si="5"/>
        <v>1894.1350666639048</v>
      </c>
    </row>
    <row r="51" spans="1:24">
      <c r="A51">
        <v>2009</v>
      </c>
      <c r="B51" s="1" t="s">
        <v>53</v>
      </c>
      <c r="C51">
        <v>72039206</v>
      </c>
      <c r="D51">
        <v>25093954</v>
      </c>
      <c r="E51">
        <v>46945252</v>
      </c>
      <c r="F51">
        <v>466106414218.87445</v>
      </c>
      <c r="G51">
        <f t="shared" si="3"/>
        <v>0.57473047375940134</v>
      </c>
      <c r="H51">
        <v>11262.33957</v>
      </c>
      <c r="I51">
        <v>11031.3856</v>
      </c>
      <c r="J51">
        <v>17275.442470000002</v>
      </c>
      <c r="K51">
        <v>17285.0409</v>
      </c>
      <c r="L51">
        <v>1.02093608</v>
      </c>
      <c r="M51">
        <v>0.1036555</v>
      </c>
      <c r="N51">
        <v>0.20055980000000001</v>
      </c>
      <c r="O51" t="s">
        <v>69</v>
      </c>
      <c r="P51" t="s">
        <v>68</v>
      </c>
      <c r="Q51" s="2">
        <v>0.8557724565</v>
      </c>
      <c r="R51" s="2">
        <v>0.1416</v>
      </c>
      <c r="S51" s="2">
        <v>0.18637310000000001</v>
      </c>
      <c r="T51" s="2">
        <f>Q51-R51-S51</f>
        <v>0.52779935650000009</v>
      </c>
      <c r="U51">
        <f t="shared" si="1"/>
        <v>9637.9999997560535</v>
      </c>
      <c r="V51" s="133">
        <f t="shared" si="2"/>
        <v>2258.772571691286</v>
      </c>
      <c r="W51">
        <f t="shared" si="4"/>
        <v>9117.9674189187735</v>
      </c>
      <c r="X51">
        <f t="shared" si="5"/>
        <v>1790.6946269490852</v>
      </c>
    </row>
    <row r="52" spans="1:24">
      <c r="A52">
        <v>2010</v>
      </c>
      <c r="B52" s="1" t="s">
        <v>54</v>
      </c>
      <c r="C52">
        <v>73142150</v>
      </c>
      <c r="D52">
        <v>25155889</v>
      </c>
      <c r="E52">
        <v>47986261</v>
      </c>
      <c r="F52">
        <v>535498663832.42725</v>
      </c>
      <c r="G52">
        <f t="shared" si="3"/>
        <v>0.55492089516313703</v>
      </c>
      <c r="H52">
        <v>13188.61969</v>
      </c>
      <c r="I52">
        <v>12094.4656</v>
      </c>
      <c r="J52">
        <v>20109.922709999999</v>
      </c>
      <c r="K52">
        <v>18803.679199999999</v>
      </c>
      <c r="L52">
        <v>1.090467337</v>
      </c>
      <c r="M52">
        <v>0.1036555</v>
      </c>
      <c r="N52">
        <v>0.20055980000000001</v>
      </c>
      <c r="O52" t="s">
        <v>70</v>
      </c>
      <c r="P52" t="s">
        <v>70</v>
      </c>
      <c r="Q52" s="2">
        <v>0.80448145820000005</v>
      </c>
      <c r="R52" s="2">
        <v>0.1361</v>
      </c>
      <c r="S52" s="2">
        <v>0.1813179</v>
      </c>
      <c r="T52" s="2">
        <f t="shared" ref="T52:T64" si="6">Q52-R52-S52</f>
        <v>0.48706355820000002</v>
      </c>
      <c r="U52">
        <f t="shared" si="1"/>
        <v>10609.999999856433</v>
      </c>
      <c r="V52" s="133">
        <f t="shared" si="2"/>
        <v>2645.1069273024618</v>
      </c>
      <c r="W52">
        <f t="shared" si="4"/>
        <v>9794.8105102595873</v>
      </c>
      <c r="X52">
        <f t="shared" si="5"/>
        <v>2084.5040934664048</v>
      </c>
    </row>
    <row r="53" spans="1:24">
      <c r="A53">
        <v>2011</v>
      </c>
      <c r="B53" s="1" t="s">
        <v>55</v>
      </c>
      <c r="C53">
        <v>74223629</v>
      </c>
      <c r="D53">
        <v>25204158</v>
      </c>
      <c r="E53">
        <v>49019471</v>
      </c>
      <c r="F53">
        <v>661615517095.84436</v>
      </c>
      <c r="G53">
        <f t="shared" si="3"/>
        <v>0.560691116182919</v>
      </c>
      <c r="H53">
        <v>15841.31652</v>
      </c>
      <c r="I53">
        <v>13444.761500000001</v>
      </c>
      <c r="J53">
        <v>24072.067200000001</v>
      </c>
      <c r="K53">
        <v>20748.516100000001</v>
      </c>
      <c r="L53">
        <v>1.1782519549999999</v>
      </c>
      <c r="M53">
        <v>8.0627000000000004E-2</v>
      </c>
      <c r="N53">
        <v>0.20732819999999999</v>
      </c>
      <c r="O53" t="s">
        <v>70</v>
      </c>
      <c r="P53" t="s">
        <v>70</v>
      </c>
      <c r="Q53" s="2">
        <v>0.74671824060000003</v>
      </c>
      <c r="R53" s="2">
        <v>0.13084029999999999</v>
      </c>
      <c r="S53" s="2">
        <v>0.19073100000000001</v>
      </c>
      <c r="T53" s="2">
        <f t="shared" si="6"/>
        <v>0.42514694060000002</v>
      </c>
      <c r="U53">
        <f t="shared" si="1"/>
        <v>11829.000000602115</v>
      </c>
      <c r="V53" s="133">
        <f t="shared" si="2"/>
        <v>3284.3516397218641</v>
      </c>
      <c r="W53">
        <f t="shared" si="4"/>
        <v>10234.16572399761</v>
      </c>
      <c r="X53">
        <f t="shared" si="5"/>
        <v>1940.8585621344002</v>
      </c>
    </row>
    <row r="54" spans="1:24">
      <c r="A54">
        <v>2012</v>
      </c>
      <c r="B54" s="1" t="s">
        <v>56</v>
      </c>
      <c r="C54">
        <v>75175827</v>
      </c>
      <c r="D54">
        <v>25262731</v>
      </c>
      <c r="E54">
        <v>49913096</v>
      </c>
      <c r="F54">
        <v>726098712211.54333</v>
      </c>
      <c r="G54">
        <f t="shared" si="3"/>
        <v>0.55007478197844195</v>
      </c>
      <c r="H54">
        <v>17585.972150000001</v>
      </c>
      <c r="I54">
        <v>13866.185600000001</v>
      </c>
      <c r="J54">
        <v>26445.965199999999</v>
      </c>
      <c r="K54">
        <v>21244.450499999999</v>
      </c>
      <c r="L54">
        <v>1.2682631440000001</v>
      </c>
      <c r="M54">
        <v>8.0170099999999994E-2</v>
      </c>
      <c r="N54">
        <v>0.22328290000000001</v>
      </c>
      <c r="O54" t="s">
        <v>70</v>
      </c>
      <c r="P54" t="s">
        <v>70</v>
      </c>
      <c r="Q54" s="2">
        <v>0.74752762530000005</v>
      </c>
      <c r="R54" s="2">
        <v>0.11</v>
      </c>
      <c r="S54" s="2">
        <v>0.19509989999999999</v>
      </c>
      <c r="T54" s="2">
        <f t="shared" si="6"/>
        <v>0.44242772530000007</v>
      </c>
      <c r="U54">
        <f t="shared" si="1"/>
        <v>13145.999999881438</v>
      </c>
      <c r="V54" s="133">
        <f t="shared" si="2"/>
        <v>3926.6468609712356</v>
      </c>
      <c r="W54">
        <f t="shared" si="4"/>
        <v>11700.42822679896</v>
      </c>
      <c r="X54">
        <f t="shared" si="5"/>
        <v>2120.1756746805199</v>
      </c>
    </row>
    <row r="55" spans="1:24">
      <c r="A55">
        <v>2013</v>
      </c>
      <c r="B55" s="1" t="s">
        <v>57</v>
      </c>
      <c r="C55">
        <v>76147624</v>
      </c>
      <c r="D55">
        <v>25327536</v>
      </c>
      <c r="E55">
        <v>50820088</v>
      </c>
      <c r="F55">
        <v>832387794226.74915</v>
      </c>
      <c r="G55">
        <f t="shared" si="3"/>
        <v>0.54404430995212361</v>
      </c>
      <c r="H55">
        <v>20107.915649999999</v>
      </c>
      <c r="I55">
        <v>14854.3408</v>
      </c>
      <c r="J55">
        <v>30106.205249999999</v>
      </c>
      <c r="K55">
        <v>22592.864799999999</v>
      </c>
      <c r="L55">
        <v>1.3536727019999999</v>
      </c>
      <c r="M55">
        <v>7.9990699999999998E-2</v>
      </c>
      <c r="N55">
        <v>0.2073585</v>
      </c>
      <c r="O55" t="s">
        <v>70</v>
      </c>
      <c r="P55" t="s">
        <v>70</v>
      </c>
      <c r="Q55" s="2">
        <v>0.72638060820000006</v>
      </c>
      <c r="R55" s="2">
        <v>0.1086831</v>
      </c>
      <c r="S55" s="2">
        <v>0.19263089999999999</v>
      </c>
      <c r="T55" s="2">
        <f t="shared" si="6"/>
        <v>0.42506660820000003</v>
      </c>
      <c r="U55">
        <f t="shared" si="1"/>
        <v>14605.999999481299</v>
      </c>
      <c r="V55" s="133">
        <f t="shared" si="2"/>
        <v>4169.5472273105252</v>
      </c>
      <c r="W55">
        <f t="shared" si="4"/>
        <v>12797.142551390534</v>
      </c>
      <c r="X55">
        <f t="shared" si="5"/>
        <v>2408.2164322911749</v>
      </c>
    </row>
    <row r="56" spans="1:24">
      <c r="A56">
        <v>2014</v>
      </c>
      <c r="B56" s="1" t="s">
        <v>58</v>
      </c>
      <c r="C56">
        <v>77181884</v>
      </c>
      <c r="D56">
        <v>25381351</v>
      </c>
      <c r="E56">
        <v>51800533</v>
      </c>
      <c r="F56">
        <v>933634311820.55334</v>
      </c>
      <c r="G56">
        <f t="shared" si="3"/>
        <v>0.54281064640729848</v>
      </c>
      <c r="H56">
        <v>22271.547559999999</v>
      </c>
      <c r="I56">
        <v>15223.3199</v>
      </c>
      <c r="J56">
        <v>33204.291550000002</v>
      </c>
      <c r="K56">
        <v>22979.797999999999</v>
      </c>
      <c r="L56">
        <v>1.4629888689999999</v>
      </c>
      <c r="M56">
        <v>5.9697699999999999E-2</v>
      </c>
      <c r="N56">
        <v>0.2441614</v>
      </c>
      <c r="O56" t="s">
        <v>70</v>
      </c>
      <c r="P56" t="s">
        <v>70</v>
      </c>
      <c r="Q56" s="2">
        <v>0.80263843150000003</v>
      </c>
      <c r="R56" s="2">
        <v>0.11382100000000001</v>
      </c>
      <c r="S56" s="2">
        <v>0.19062280000000001</v>
      </c>
      <c r="T56" s="2">
        <f t="shared" si="6"/>
        <v>0.49819463149999998</v>
      </c>
      <c r="U56">
        <f t="shared" si="1"/>
        <v>17876.000000636053</v>
      </c>
      <c r="V56" s="133">
        <f t="shared" si="2"/>
        <v>5437.8522324161841</v>
      </c>
      <c r="W56">
        <f t="shared" si="4"/>
        <v>16542.199792970816</v>
      </c>
      <c r="X56">
        <f t="shared" si="5"/>
        <v>1982.2198356644351</v>
      </c>
    </row>
    <row r="57" spans="1:24">
      <c r="A57">
        <v>2015</v>
      </c>
      <c r="B57" s="1" t="s">
        <v>59</v>
      </c>
      <c r="C57">
        <v>78218479</v>
      </c>
      <c r="D57">
        <v>25471720</v>
      </c>
      <c r="E57">
        <v>52746759</v>
      </c>
      <c r="F57">
        <v>1051155171499.5902</v>
      </c>
      <c r="G57">
        <f t="shared" si="3"/>
        <v>0.5363036589283624</v>
      </c>
      <c r="H57">
        <v>25004.321550000001</v>
      </c>
      <c r="I57">
        <v>15751.507</v>
      </c>
      <c r="J57">
        <v>37158.68116</v>
      </c>
      <c r="K57">
        <v>23608.249599999999</v>
      </c>
      <c r="L57">
        <v>1.5874240829999999</v>
      </c>
      <c r="M57">
        <v>5.9463200000000001E-2</v>
      </c>
      <c r="N57">
        <v>0.24630350000000001</v>
      </c>
      <c r="O57" t="s">
        <v>70</v>
      </c>
      <c r="P57" t="s">
        <v>70</v>
      </c>
      <c r="Q57" s="2">
        <v>0.76346802540000003</v>
      </c>
      <c r="R57" s="2">
        <v>0.1095566</v>
      </c>
      <c r="S57" s="2">
        <v>0.1924662</v>
      </c>
      <c r="T57" s="2">
        <f t="shared" si="6"/>
        <v>0.46144522539999999</v>
      </c>
      <c r="U57">
        <f t="shared" si="1"/>
        <v>19090.000000245167</v>
      </c>
      <c r="V57" s="133">
        <f t="shared" si="2"/>
        <v>6158.6519128904256</v>
      </c>
      <c r="W57">
        <f t="shared" si="4"/>
        <v>17146.696003442932</v>
      </c>
      <c r="X57">
        <f t="shared" si="5"/>
        <v>2209.5740895533122</v>
      </c>
    </row>
    <row r="58" spans="1:24">
      <c r="A58">
        <v>2016</v>
      </c>
      <c r="B58" s="1" t="s">
        <v>60</v>
      </c>
      <c r="C58">
        <v>79277962</v>
      </c>
      <c r="D58">
        <v>25549101</v>
      </c>
      <c r="E58">
        <v>53728861</v>
      </c>
      <c r="F58">
        <v>1099817372761.8232</v>
      </c>
      <c r="G58">
        <f t="shared" si="3"/>
        <v>0.49991698761901054</v>
      </c>
      <c r="H58">
        <v>27723.972020000001</v>
      </c>
      <c r="I58">
        <v>16092.8505</v>
      </c>
      <c r="J58">
        <v>40946.336089999997</v>
      </c>
      <c r="K58">
        <v>23958.511999999999</v>
      </c>
      <c r="L58">
        <v>1.722750859</v>
      </c>
      <c r="M58">
        <v>5.44141E-2</v>
      </c>
      <c r="N58">
        <v>0.24925900000000001</v>
      </c>
      <c r="O58" t="s">
        <v>70</v>
      </c>
      <c r="P58" t="s">
        <v>70</v>
      </c>
      <c r="Q58" s="2">
        <v>0.74693481819999996</v>
      </c>
      <c r="R58" s="2">
        <v>9.2790659999999997E-2</v>
      </c>
      <c r="S58" s="2">
        <v>0.19932630000000001</v>
      </c>
      <c r="T58" s="2">
        <f t="shared" si="6"/>
        <v>0.45481785819999992</v>
      </c>
      <c r="U58">
        <f t="shared" si="1"/>
        <v>20708.000000540585</v>
      </c>
      <c r="V58" s="133">
        <f t="shared" si="2"/>
        <v>6910.4495417331809</v>
      </c>
      <c r="W58">
        <f t="shared" si="4"/>
        <v>18623.124881591157</v>
      </c>
      <c r="X58">
        <f t="shared" si="5"/>
        <v>2228.0580266348688</v>
      </c>
    </row>
    <row r="59" spans="1:24">
      <c r="A59">
        <v>2017</v>
      </c>
      <c r="B59" s="1" t="s">
        <v>61</v>
      </c>
      <c r="C59">
        <v>80312698</v>
      </c>
      <c r="D59">
        <v>25560075</v>
      </c>
      <c r="E59">
        <v>54752623</v>
      </c>
      <c r="F59">
        <v>1386198476698.1033</v>
      </c>
      <c r="G59">
        <f t="shared" si="3"/>
        <v>0.53111052747053766</v>
      </c>
      <c r="H59">
        <v>32488.013289999999</v>
      </c>
      <c r="I59">
        <v>16989.395</v>
      </c>
      <c r="J59">
        <v>47668.949119999997</v>
      </c>
      <c r="K59">
        <v>25139.313300000002</v>
      </c>
      <c r="L59">
        <v>1.9122525130000001</v>
      </c>
      <c r="M59" s="132">
        <f>M58+(M58*((G58-G59)/G58))</f>
        <v>5.101879950237307E-2</v>
      </c>
      <c r="N59" s="132">
        <v>0.24925900000000001</v>
      </c>
      <c r="O59" s="132" t="s">
        <v>236</v>
      </c>
      <c r="P59" s="132" t="s">
        <v>236</v>
      </c>
      <c r="Q59" s="2">
        <v>0.74141191039999998</v>
      </c>
      <c r="R59" s="2">
        <v>9.5306730000000006E-2</v>
      </c>
      <c r="S59" s="2">
        <v>0.20237540000000001</v>
      </c>
      <c r="T59" s="2">
        <f t="shared" si="6"/>
        <v>0.4437297804</v>
      </c>
      <c r="U59">
        <f t="shared" si="1"/>
        <v>24086.999998439489</v>
      </c>
      <c r="V59" s="133">
        <f t="shared" si="2"/>
        <v>8097.9297046521096</v>
      </c>
      <c r="W59">
        <f t="shared" si="4"/>
        <v>21152.132324916372</v>
      </c>
      <c r="X59">
        <f t="shared" si="5"/>
        <v>2432.0125576421033</v>
      </c>
    </row>
    <row r="60" spans="1:24">
      <c r="A60">
        <v>2018</v>
      </c>
      <c r="B60" s="1" t="s">
        <v>62</v>
      </c>
      <c r="C60">
        <v>81407204</v>
      </c>
      <c r="D60">
        <v>25608596</v>
      </c>
      <c r="E60">
        <v>55798608</v>
      </c>
      <c r="F60">
        <v>1669280386658.894</v>
      </c>
      <c r="G60">
        <f t="shared" si="3"/>
        <v>0.53847754408351423</v>
      </c>
      <c r="H60">
        <v>38124.758589999998</v>
      </c>
      <c r="I60">
        <v>17194.076700000001</v>
      </c>
      <c r="J60">
        <v>55556.941489999997</v>
      </c>
      <c r="K60">
        <v>25301.646199999999</v>
      </c>
      <c r="L60">
        <v>2.2173193279999999</v>
      </c>
      <c r="M60" s="132">
        <f t="shared" ref="M60:M63" si="7">M59+(M$64-M$58)/6</f>
        <v>6.6508685744215978E-2</v>
      </c>
      <c r="N60" s="132">
        <v>0.24925900000000001</v>
      </c>
      <c r="O60" s="132" t="s">
        <v>236</v>
      </c>
      <c r="P60" s="132" t="s">
        <v>236</v>
      </c>
      <c r="Q60" s="2">
        <v>0.75436543239999998</v>
      </c>
      <c r="R60" s="2">
        <v>9.9433140000000003E-2</v>
      </c>
      <c r="S60" s="2">
        <v>0.21698390000000001</v>
      </c>
      <c r="T60" s="2">
        <f t="shared" si="6"/>
        <v>0.43794839239999994</v>
      </c>
      <c r="U60">
        <f t="shared" si="1"/>
        <v>28759.999998890962</v>
      </c>
      <c r="V60" s="133">
        <f t="shared" si="2"/>
        <v>9502.9392013848101</v>
      </c>
      <c r="W60">
        <f t="shared" si="4"/>
        <v>24331.073212206356</v>
      </c>
      <c r="X60">
        <f t="shared" si="5"/>
        <v>3695.0191624682038</v>
      </c>
    </row>
    <row r="61" spans="1:24">
      <c r="A61">
        <v>2019</v>
      </c>
      <c r="B61" s="1" t="s">
        <v>63</v>
      </c>
      <c r="C61">
        <v>82579440</v>
      </c>
      <c r="D61">
        <v>25543939</v>
      </c>
      <c r="E61">
        <v>57035501</v>
      </c>
      <c r="F61">
        <v>1843228111427.1208</v>
      </c>
      <c r="G61">
        <f t="shared" si="3"/>
        <v>0.51776070545705644</v>
      </c>
      <c r="H61">
        <v>43107.58223</v>
      </c>
      <c r="I61">
        <v>17179.9522</v>
      </c>
      <c r="J61">
        <v>62417.265339999998</v>
      </c>
      <c r="K61">
        <v>25137.390200000002</v>
      </c>
      <c r="L61">
        <v>2.5091794040000002</v>
      </c>
      <c r="M61" s="132">
        <f t="shared" si="7"/>
        <v>8.1998571986058894E-2</v>
      </c>
      <c r="N61" s="132">
        <v>0.24925900000000001</v>
      </c>
      <c r="O61" s="132" t="s">
        <v>236</v>
      </c>
      <c r="P61" s="132" t="s">
        <v>236</v>
      </c>
      <c r="Q61" s="2">
        <v>0.77431853689999997</v>
      </c>
      <c r="R61" s="2">
        <v>0.10158</v>
      </c>
      <c r="S61" s="2">
        <v>0.21019930000000001</v>
      </c>
      <c r="T61" s="2">
        <f t="shared" si="6"/>
        <v>0.46253923689999998</v>
      </c>
      <c r="U61">
        <f t="shared" si="1"/>
        <v>33379.00000163004</v>
      </c>
      <c r="V61" s="133">
        <f t="shared" si="2"/>
        <v>10744.95283906757</v>
      </c>
      <c r="W61">
        <f t="shared" si="4"/>
        <v>28870.434279748417</v>
      </c>
      <c r="X61">
        <f t="shared" si="5"/>
        <v>5118.1266251549287</v>
      </c>
    </row>
    <row r="62" spans="1:24">
      <c r="A62">
        <v>2020</v>
      </c>
      <c r="B62" s="1" t="s">
        <v>64</v>
      </c>
      <c r="C62">
        <v>83384680</v>
      </c>
      <c r="D62">
        <v>25298351</v>
      </c>
      <c r="E62">
        <v>58086329</v>
      </c>
      <c r="F62">
        <v>2212339749368.9399</v>
      </c>
      <c r="G62">
        <f t="shared" si="3"/>
        <v>0.52800471345320765</v>
      </c>
      <c r="H62">
        <v>50190.874389999997</v>
      </c>
      <c r="I62">
        <v>17458.961899999998</v>
      </c>
      <c r="J62">
        <v>72134.01281</v>
      </c>
      <c r="K62">
        <v>25409.254700000001</v>
      </c>
      <c r="L62">
        <v>2.87479145</v>
      </c>
      <c r="M62" s="132">
        <f t="shared" si="7"/>
        <v>9.7488458227901809E-2</v>
      </c>
      <c r="N62" s="132">
        <v>0.24925900000000001</v>
      </c>
      <c r="O62" s="132" t="s">
        <v>236</v>
      </c>
      <c r="P62" s="132" t="s">
        <v>236</v>
      </c>
      <c r="Q62" s="2">
        <v>0.74246564650000002</v>
      </c>
      <c r="R62" s="2">
        <v>0.1049057</v>
      </c>
      <c r="S62" s="2">
        <v>0.228522</v>
      </c>
      <c r="T62" s="2">
        <f t="shared" si="6"/>
        <v>0.40903794650000003</v>
      </c>
      <c r="U62">
        <f t="shared" si="1"/>
        <v>37265.000002371642</v>
      </c>
      <c r="V62" s="133">
        <f t="shared" si="2"/>
        <v>12510.52715957701</v>
      </c>
      <c r="W62">
        <f t="shared" si="4"/>
        <v>29505.548472607097</v>
      </c>
      <c r="X62">
        <f t="shared" si="5"/>
        <v>7032.2336946386185</v>
      </c>
    </row>
    <row r="63" spans="1:24">
      <c r="A63">
        <v>2021</v>
      </c>
      <c r="B63" s="1" t="s">
        <v>65</v>
      </c>
      <c r="C63">
        <v>84147318</v>
      </c>
      <c r="D63">
        <v>25205672</v>
      </c>
      <c r="E63">
        <v>58941646</v>
      </c>
      <c r="F63">
        <v>3392205711313.0029</v>
      </c>
      <c r="G63">
        <f t="shared" si="3"/>
        <v>0.55609929693655791</v>
      </c>
      <c r="H63">
        <v>72542.181320000003</v>
      </c>
      <c r="I63">
        <v>19595.143400000001</v>
      </c>
      <c r="J63">
        <v>103492.18949999999</v>
      </c>
      <c r="K63">
        <v>28367.710899999998</v>
      </c>
      <c r="L63">
        <v>3.7020490150000001</v>
      </c>
      <c r="M63" s="132">
        <f t="shared" si="7"/>
        <v>0.11297834446974472</v>
      </c>
      <c r="N63" s="132">
        <v>0.24925900000000001</v>
      </c>
      <c r="O63" s="132" t="s">
        <v>236</v>
      </c>
      <c r="P63" s="132" t="s">
        <v>236</v>
      </c>
      <c r="Q63" s="2">
        <v>0.64836760000000004</v>
      </c>
      <c r="R63" s="2">
        <v>7.7513349999999995E-2</v>
      </c>
      <c r="S63" s="2">
        <v>0.17529130000000001</v>
      </c>
      <c r="T63" s="2">
        <f t="shared" si="6"/>
        <v>0.39556294999999997</v>
      </c>
      <c r="U63">
        <f t="shared" si="1"/>
        <v>47034.000001213237</v>
      </c>
      <c r="V63" s="133">
        <f t="shared" si="2"/>
        <v>18081.79157364188</v>
      </c>
      <c r="W63">
        <f t="shared" si="4"/>
        <v>40937.675780579018</v>
      </c>
      <c r="X63">
        <f t="shared" si="5"/>
        <v>11692.376235259097</v>
      </c>
    </row>
    <row r="64" spans="1:24">
      <c r="A64">
        <v>2022</v>
      </c>
      <c r="B64" s="1" t="s">
        <v>66</v>
      </c>
      <c r="C64">
        <v>84979913</v>
      </c>
      <c r="D64">
        <v>25050220</v>
      </c>
      <c r="E64">
        <v>59929693</v>
      </c>
      <c r="F64">
        <v>7214888069566.8496</v>
      </c>
      <c r="G64">
        <f t="shared" si="3"/>
        <v>0.56810142280053932</v>
      </c>
      <c r="H64">
        <v>149858.9437</v>
      </c>
      <c r="I64">
        <v>20715.359899999999</v>
      </c>
      <c r="J64">
        <v>211914.98509999999</v>
      </c>
      <c r="K64">
        <v>29842.6908</v>
      </c>
      <c r="L64">
        <v>7.2341945499999998</v>
      </c>
      <c r="M64" s="132">
        <f>M65</f>
        <v>0.14735341745105746</v>
      </c>
      <c r="N64" s="132">
        <v>0.24925900000000001</v>
      </c>
      <c r="O64" s="132" t="s">
        <v>236</v>
      </c>
      <c r="P64" s="132" t="s">
        <v>236</v>
      </c>
      <c r="Q64" s="2">
        <v>0.60568957550000002</v>
      </c>
      <c r="R64" s="2">
        <v>0.1001018</v>
      </c>
      <c r="S64" s="2">
        <v>0.20009640000000001</v>
      </c>
      <c r="T64" s="2">
        <f t="shared" si="6"/>
        <v>0.3054913755</v>
      </c>
      <c r="U64">
        <f t="shared" si="1"/>
        <v>90767.999994531405</v>
      </c>
      <c r="V64" s="133">
        <f t="shared" si="2"/>
        <v>37353.690447718305</v>
      </c>
      <c r="W64">
        <f t="shared" si="4"/>
        <v>64738.200287261003</v>
      </c>
      <c r="X64">
        <f t="shared" si="5"/>
        <v>31226.39726357492</v>
      </c>
    </row>
    <row r="65" spans="1:22">
      <c r="A65">
        <v>2023</v>
      </c>
      <c r="B65" s="1" t="s">
        <v>67</v>
      </c>
      <c r="C65">
        <v>85326000</v>
      </c>
      <c r="F65">
        <v>11054833011124.68</v>
      </c>
      <c r="G65">
        <f t="shared" si="3"/>
        <v>0.49573242202352824</v>
      </c>
      <c r="H65">
        <v>261611.93539999999</v>
      </c>
      <c r="I65">
        <v>21561.266599999999</v>
      </c>
      <c r="K65">
        <v>30938.38</v>
      </c>
      <c r="L65">
        <v>12.133421480000001</v>
      </c>
      <c r="M65">
        <f>((accounts_2023!J45+accounts_2023!K45)*1000)/national_income_currentlcu_alt!B65</f>
        <v>0.14735341745105746</v>
      </c>
      <c r="N65" s="132">
        <v>0.24925900000000001</v>
      </c>
      <c r="O65" s="132" t="s">
        <v>235</v>
      </c>
      <c r="P65" s="132" t="s">
        <v>235</v>
      </c>
      <c r="T65" s="2"/>
      <c r="V65" s="133">
        <f t="shared" si="2"/>
        <v>65209.129405868596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E19B-B25E-284A-A70F-500CB32F75B1}">
  <dimension ref="A1:P96"/>
  <sheetViews>
    <sheetView topLeftCell="A56" zoomScale="63" workbookViewId="0">
      <selection activeCell="K44" sqref="K44"/>
    </sheetView>
  </sheetViews>
  <sheetFormatPr baseColWidth="10" defaultRowHeight="16"/>
  <cols>
    <col min="1" max="1" width="15.33203125" bestFit="1" customWidth="1"/>
    <col min="2" max="2" width="14.1640625" bestFit="1" customWidth="1"/>
    <col min="3" max="3" width="20.5" customWidth="1"/>
    <col min="4" max="4" width="20.83203125" customWidth="1"/>
    <col min="5" max="5" width="19.6640625" customWidth="1"/>
    <col min="6" max="6" width="16.1640625" customWidth="1"/>
    <col min="7" max="7" width="17.1640625" customWidth="1"/>
    <col min="8" max="8" width="23.6640625" customWidth="1"/>
    <col min="9" max="9" width="30.5" customWidth="1"/>
    <col min="10" max="10" width="28" customWidth="1"/>
    <col min="11" max="11" width="19.33203125" customWidth="1"/>
    <col min="12" max="12" width="21.5" customWidth="1"/>
    <col min="13" max="13" width="18" customWidth="1"/>
    <col min="14" max="14" width="19.6640625" customWidth="1"/>
    <col min="15" max="15" width="14.1640625" bestFit="1" customWidth="1"/>
    <col min="16" max="16" width="15.33203125" bestFit="1" customWidth="1"/>
  </cols>
  <sheetData>
    <row r="1" spans="1:16">
      <c r="A1" s="159" t="s">
        <v>71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</row>
    <row r="2" spans="1:16" ht="17" thickBot="1">
      <c r="A2" s="4"/>
      <c r="B2" s="5"/>
      <c r="C2" s="5"/>
      <c r="D2" s="5"/>
      <c r="E2" s="5"/>
      <c r="F2" s="5"/>
      <c r="G2" s="5"/>
      <c r="H2" s="6"/>
      <c r="I2" s="6"/>
      <c r="J2" s="5"/>
      <c r="K2" s="5"/>
      <c r="L2" s="5"/>
      <c r="M2" s="5"/>
      <c r="N2" s="5"/>
      <c r="O2" s="152" t="s">
        <v>72</v>
      </c>
      <c r="P2" s="152"/>
    </row>
    <row r="3" spans="1:16">
      <c r="A3" s="157" t="s">
        <v>73</v>
      </c>
      <c r="B3" s="158"/>
      <c r="C3" s="158"/>
      <c r="D3" s="158"/>
      <c r="E3" s="158"/>
      <c r="F3" s="158"/>
      <c r="G3" s="161"/>
      <c r="H3" s="162"/>
      <c r="I3" s="162"/>
      <c r="J3" s="163" t="s">
        <v>74</v>
      </c>
      <c r="K3" s="158"/>
      <c r="L3" s="158"/>
      <c r="M3" s="158"/>
      <c r="N3" s="158"/>
      <c r="O3" s="158"/>
      <c r="P3" s="164"/>
    </row>
    <row r="4" spans="1:16" ht="136">
      <c r="A4" s="7" t="s">
        <v>75</v>
      </c>
      <c r="B4" s="8" t="s">
        <v>76</v>
      </c>
      <c r="C4" s="8" t="s">
        <v>77</v>
      </c>
      <c r="D4" s="8" t="s">
        <v>78</v>
      </c>
      <c r="E4" s="8" t="s">
        <v>79</v>
      </c>
      <c r="F4" s="8" t="s">
        <v>80</v>
      </c>
      <c r="G4" s="8" t="s">
        <v>81</v>
      </c>
      <c r="H4" s="165" t="s">
        <v>82</v>
      </c>
      <c r="I4" s="166"/>
      <c r="J4" s="8" t="s">
        <v>81</v>
      </c>
      <c r="K4" s="8" t="s">
        <v>80</v>
      </c>
      <c r="L4" s="8" t="s">
        <v>79</v>
      </c>
      <c r="M4" s="8" t="s">
        <v>78</v>
      </c>
      <c r="N4" s="8" t="s">
        <v>77</v>
      </c>
      <c r="O4" s="8" t="s">
        <v>76</v>
      </c>
      <c r="P4" s="9" t="s">
        <v>75</v>
      </c>
    </row>
    <row r="5" spans="1:16">
      <c r="A5" s="10"/>
      <c r="B5" s="11"/>
      <c r="C5" s="11"/>
      <c r="D5" s="11"/>
      <c r="E5" s="11"/>
      <c r="F5" s="11"/>
      <c r="G5" s="11"/>
      <c r="H5" s="149" t="s">
        <v>83</v>
      </c>
      <c r="I5" s="150"/>
      <c r="J5" s="12"/>
      <c r="K5" s="12"/>
      <c r="L5" s="12"/>
      <c r="M5" s="12"/>
      <c r="N5" s="12"/>
      <c r="O5" s="12"/>
      <c r="P5" s="13"/>
    </row>
    <row r="6" spans="1:16" ht="17">
      <c r="A6" s="14">
        <v>0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6" t="s">
        <v>84</v>
      </c>
      <c r="I6" s="17" t="s">
        <v>85</v>
      </c>
      <c r="J6" s="18">
        <v>38873238816.103432</v>
      </c>
      <c r="K6" s="18">
        <v>1488821598.020354</v>
      </c>
      <c r="L6" s="18">
        <v>3704958097.0355234</v>
      </c>
      <c r="M6" s="18">
        <v>8641067762.728054</v>
      </c>
      <c r="N6" s="18">
        <v>52708086273.88736</v>
      </c>
      <c r="O6" s="19">
        <v>0</v>
      </c>
      <c r="P6" s="20">
        <v>0</v>
      </c>
    </row>
    <row r="7" spans="1:16" ht="17">
      <c r="A7" s="21">
        <v>0</v>
      </c>
      <c r="B7" s="22">
        <v>0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16" t="s">
        <v>86</v>
      </c>
      <c r="I7" s="17" t="s">
        <v>87</v>
      </c>
      <c r="J7" s="18">
        <v>38574015351.752457</v>
      </c>
      <c r="K7" s="18">
        <v>1478024786.2790818</v>
      </c>
      <c r="L7" s="18">
        <v>258983058.66636002</v>
      </c>
      <c r="M7" s="18">
        <v>7678835675.6233263</v>
      </c>
      <c r="N7" s="18">
        <v>47989858872.321228</v>
      </c>
      <c r="O7" s="23">
        <v>0</v>
      </c>
      <c r="P7" s="24">
        <v>0</v>
      </c>
    </row>
    <row r="8" spans="1:16" ht="34">
      <c r="A8" s="21">
        <v>0</v>
      </c>
      <c r="B8" s="22">
        <v>0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16" t="s">
        <v>88</v>
      </c>
      <c r="I8" s="17" t="s">
        <v>89</v>
      </c>
      <c r="J8" s="18">
        <v>299223464.35097826</v>
      </c>
      <c r="K8" s="18">
        <v>10796811.741272258</v>
      </c>
      <c r="L8" s="18">
        <v>146883666.3739188</v>
      </c>
      <c r="M8" s="18">
        <v>891254614.50262403</v>
      </c>
      <c r="N8" s="18">
        <v>1348158556.9687934</v>
      </c>
      <c r="O8" s="23">
        <v>0</v>
      </c>
      <c r="P8" s="24">
        <v>0</v>
      </c>
    </row>
    <row r="9" spans="1:16" ht="34">
      <c r="A9" s="21">
        <v>0</v>
      </c>
      <c r="B9" s="22">
        <v>0</v>
      </c>
      <c r="C9" s="22" t="s">
        <v>90</v>
      </c>
      <c r="D9" s="22">
        <v>0</v>
      </c>
      <c r="E9" s="22">
        <v>0</v>
      </c>
      <c r="F9" s="22">
        <v>0</v>
      </c>
      <c r="G9" s="22">
        <v>0</v>
      </c>
      <c r="H9" s="16" t="s">
        <v>91</v>
      </c>
      <c r="I9" s="17" t="s">
        <v>92</v>
      </c>
      <c r="J9" s="18">
        <v>0</v>
      </c>
      <c r="K9" s="18"/>
      <c r="L9" s="18">
        <v>3299091371.9952445</v>
      </c>
      <c r="M9" s="18">
        <v>70977472.602105558</v>
      </c>
      <c r="N9" s="18">
        <v>3370068844.5973501</v>
      </c>
      <c r="O9" s="25">
        <v>0</v>
      </c>
      <c r="P9" s="26">
        <v>0</v>
      </c>
    </row>
    <row r="10" spans="1:16" ht="34">
      <c r="A10" s="27">
        <v>0</v>
      </c>
      <c r="B10" s="25">
        <v>0</v>
      </c>
      <c r="C10" s="28">
        <v>29170846936.527538</v>
      </c>
      <c r="D10" s="18">
        <v>2188618335.7452588</v>
      </c>
      <c r="E10" s="18">
        <v>1216224892.7001994</v>
      </c>
      <c r="F10" s="18">
        <v>623289208.37875092</v>
      </c>
      <c r="G10" s="18">
        <v>25142714499.703331</v>
      </c>
      <c r="H10" s="16" t="s">
        <v>93</v>
      </c>
      <c r="I10" s="17" t="s">
        <v>94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5">
        <v>0</v>
      </c>
      <c r="P10" s="26">
        <v>0</v>
      </c>
    </row>
    <row r="11" spans="1:16" ht="34">
      <c r="A11" s="29">
        <v>0</v>
      </c>
      <c r="B11" s="30">
        <v>0</v>
      </c>
      <c r="C11" s="31">
        <v>23537239337.359825</v>
      </c>
      <c r="D11" s="32">
        <v>6452449426.9827967</v>
      </c>
      <c r="E11" s="32">
        <v>2488733204.3353243</v>
      </c>
      <c r="F11" s="32">
        <v>865532389.64160311</v>
      </c>
      <c r="G11" s="32">
        <v>13730524316.400101</v>
      </c>
      <c r="H11" s="33" t="s">
        <v>95</v>
      </c>
      <c r="I11" s="17" t="s">
        <v>96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5">
        <v>0</v>
      </c>
      <c r="P11" s="26">
        <v>0</v>
      </c>
    </row>
    <row r="12" spans="1:16" ht="68">
      <c r="A12" s="27">
        <v>0</v>
      </c>
      <c r="B12" s="25">
        <v>0</v>
      </c>
      <c r="C12" s="34">
        <v>0</v>
      </c>
      <c r="D12" s="22">
        <v>0</v>
      </c>
      <c r="E12" s="23">
        <v>0</v>
      </c>
      <c r="F12" s="23">
        <v>0</v>
      </c>
      <c r="G12" s="23">
        <v>0</v>
      </c>
      <c r="H12" s="16" t="s">
        <v>97</v>
      </c>
      <c r="I12" s="17" t="s">
        <v>98</v>
      </c>
      <c r="J12" s="23">
        <v>0</v>
      </c>
      <c r="K12" s="23">
        <v>0</v>
      </c>
      <c r="L12" s="23">
        <v>0</v>
      </c>
      <c r="M12" s="23">
        <v>0</v>
      </c>
      <c r="N12" s="28">
        <v>3008482459.459578</v>
      </c>
      <c r="O12" s="25">
        <v>0</v>
      </c>
      <c r="P12" s="26">
        <v>0</v>
      </c>
    </row>
    <row r="13" spans="1:16" ht="18">
      <c r="A13" s="29">
        <v>0</v>
      </c>
      <c r="B13" s="30" t="s">
        <v>90</v>
      </c>
      <c r="C13" s="31">
        <v>26545721796.819405</v>
      </c>
      <c r="D13" s="35">
        <v>0</v>
      </c>
      <c r="E13" s="36">
        <v>0</v>
      </c>
      <c r="F13" s="36">
        <v>0</v>
      </c>
      <c r="G13" s="36">
        <v>0</v>
      </c>
      <c r="H13" s="33" t="s">
        <v>99</v>
      </c>
      <c r="I13" s="37" t="s">
        <v>100</v>
      </c>
      <c r="J13" s="36">
        <v>0</v>
      </c>
      <c r="K13" s="36">
        <v>0</v>
      </c>
      <c r="L13" s="36">
        <v>0</v>
      </c>
      <c r="M13" s="23">
        <v>0</v>
      </c>
      <c r="N13" s="36">
        <v>0</v>
      </c>
      <c r="O13" s="30">
        <v>0</v>
      </c>
      <c r="P13" s="38">
        <v>0</v>
      </c>
    </row>
    <row r="14" spans="1:16" ht="34">
      <c r="A14" s="27">
        <v>0</v>
      </c>
      <c r="B14" s="25">
        <v>0</v>
      </c>
      <c r="C14" s="28">
        <v>5170478349.6256723</v>
      </c>
      <c r="D14" s="39" t="s">
        <v>101</v>
      </c>
      <c r="E14" s="40">
        <v>536982221.85847867</v>
      </c>
      <c r="F14" s="39" t="s">
        <v>101</v>
      </c>
      <c r="G14" s="39" t="s">
        <v>101</v>
      </c>
      <c r="H14" s="41" t="s">
        <v>102</v>
      </c>
      <c r="I14" s="37" t="s">
        <v>103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5">
        <v>0</v>
      </c>
      <c r="P14" s="26">
        <v>0</v>
      </c>
    </row>
    <row r="15" spans="1:16" ht="68">
      <c r="A15" s="29">
        <v>0</v>
      </c>
      <c r="B15" s="22">
        <v>0</v>
      </c>
      <c r="C15" s="31">
        <v>21375243447.193733</v>
      </c>
      <c r="D15" s="39" t="s">
        <v>101</v>
      </c>
      <c r="E15" s="42">
        <v>1951750982.4768457</v>
      </c>
      <c r="F15" s="39" t="s">
        <v>101</v>
      </c>
      <c r="G15" s="39" t="s">
        <v>101</v>
      </c>
      <c r="H15" s="33" t="s">
        <v>104</v>
      </c>
      <c r="I15" s="37" t="s">
        <v>105</v>
      </c>
      <c r="J15" s="36">
        <v>0</v>
      </c>
      <c r="K15" s="36">
        <v>0</v>
      </c>
      <c r="L15" s="36">
        <v>0</v>
      </c>
      <c r="M15" s="23">
        <v>0</v>
      </c>
      <c r="N15" s="36">
        <v>0</v>
      </c>
      <c r="O15" s="30">
        <v>0</v>
      </c>
      <c r="P15" s="38">
        <v>0</v>
      </c>
    </row>
    <row r="16" spans="1:16">
      <c r="A16" s="145"/>
      <c r="B16" s="146"/>
      <c r="C16" s="146"/>
      <c r="D16" s="146"/>
      <c r="E16" s="146"/>
      <c r="F16" s="146"/>
      <c r="G16" s="146"/>
      <c r="H16" s="149" t="s">
        <v>106</v>
      </c>
      <c r="I16" s="150"/>
      <c r="J16" s="135"/>
      <c r="K16" s="135"/>
      <c r="L16" s="135"/>
      <c r="M16" s="135"/>
      <c r="N16" s="135"/>
      <c r="O16" s="135"/>
      <c r="P16" s="136"/>
    </row>
    <row r="17" spans="1:16" ht="68">
      <c r="A17" s="29"/>
      <c r="B17" s="30"/>
      <c r="C17" s="30"/>
      <c r="D17" s="44"/>
      <c r="E17" s="30"/>
      <c r="F17" s="30"/>
      <c r="G17" s="30"/>
      <c r="H17" s="45" t="s">
        <v>107</v>
      </c>
      <c r="I17" s="37" t="s">
        <v>108</v>
      </c>
      <c r="J17" s="32">
        <v>13730524316.400101</v>
      </c>
      <c r="K17" s="32">
        <v>865532389.64160311</v>
      </c>
      <c r="L17" s="32">
        <v>2488733204.3353243</v>
      </c>
      <c r="M17" s="32">
        <v>6452449426.9827967</v>
      </c>
      <c r="N17" s="32">
        <v>23537239337.359825</v>
      </c>
      <c r="O17" s="30">
        <v>0</v>
      </c>
      <c r="P17" s="38">
        <v>0</v>
      </c>
    </row>
    <row r="18" spans="1:16" ht="34">
      <c r="A18" s="46">
        <v>7668405431.6234331</v>
      </c>
      <c r="B18" s="18">
        <v>7088671.6023382489</v>
      </c>
      <c r="C18" s="18">
        <v>7661316760.0210953</v>
      </c>
      <c r="D18" s="18">
        <v>107490682.61696994</v>
      </c>
      <c r="E18" s="18">
        <v>1934301958.0564401</v>
      </c>
      <c r="F18" s="18">
        <v>291289852.51200664</v>
      </c>
      <c r="G18" s="18">
        <v>5328234266.8356791</v>
      </c>
      <c r="H18" s="16" t="s">
        <v>109</v>
      </c>
      <c r="I18" s="17" t="s">
        <v>110</v>
      </c>
      <c r="J18" s="23">
        <v>0</v>
      </c>
      <c r="K18" s="23">
        <v>0</v>
      </c>
      <c r="L18" s="23">
        <v>0</v>
      </c>
      <c r="M18" s="25">
        <v>0</v>
      </c>
      <c r="N18" s="23">
        <v>0</v>
      </c>
      <c r="O18" s="25">
        <v>0</v>
      </c>
      <c r="P18" s="26">
        <v>0</v>
      </c>
    </row>
    <row r="19" spans="1:16" ht="34">
      <c r="A19" s="47">
        <v>0</v>
      </c>
      <c r="B19" s="48">
        <v>0</v>
      </c>
      <c r="C19" s="28">
        <v>3090447831.2528582</v>
      </c>
      <c r="D19" s="48">
        <v>0</v>
      </c>
      <c r="E19" s="48">
        <v>0</v>
      </c>
      <c r="F19" s="48">
        <v>0</v>
      </c>
      <c r="G19" s="48">
        <v>0</v>
      </c>
      <c r="H19" s="16" t="s">
        <v>111</v>
      </c>
      <c r="I19" s="17" t="s">
        <v>112</v>
      </c>
      <c r="J19" s="23">
        <v>0</v>
      </c>
      <c r="K19" s="23">
        <v>0</v>
      </c>
      <c r="L19" s="23">
        <v>0</v>
      </c>
      <c r="M19" s="25">
        <v>0</v>
      </c>
      <c r="N19" s="23">
        <v>0</v>
      </c>
      <c r="O19" s="25">
        <v>0</v>
      </c>
      <c r="P19" s="26">
        <v>0</v>
      </c>
    </row>
    <row r="20" spans="1:16" ht="34">
      <c r="A20" s="47">
        <v>0</v>
      </c>
      <c r="B20" s="48">
        <v>0</v>
      </c>
      <c r="C20" s="28">
        <v>118515954.87462857</v>
      </c>
      <c r="D20" s="18">
        <v>13921546.090850949</v>
      </c>
      <c r="E20" s="18">
        <v>17449024.420405596</v>
      </c>
      <c r="F20" s="18">
        <v>29318070.847082272</v>
      </c>
      <c r="G20" s="18">
        <v>57827313.516289748</v>
      </c>
      <c r="H20" s="16" t="s">
        <v>113</v>
      </c>
      <c r="I20" s="17" t="s">
        <v>114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5">
        <v>0</v>
      </c>
      <c r="P20" s="26">
        <v>0</v>
      </c>
    </row>
    <row r="21" spans="1:16" ht="51">
      <c r="A21" s="27">
        <v>0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16" t="s">
        <v>115</v>
      </c>
      <c r="I21" s="17" t="s">
        <v>116</v>
      </c>
      <c r="J21" s="23">
        <v>0</v>
      </c>
      <c r="K21" s="23">
        <v>0</v>
      </c>
      <c r="L21" s="23">
        <v>0</v>
      </c>
      <c r="M21" s="23">
        <v>0</v>
      </c>
      <c r="N21" s="28">
        <v>81965371.79328002</v>
      </c>
      <c r="O21" s="25">
        <v>0</v>
      </c>
      <c r="P21" s="26">
        <v>0</v>
      </c>
    </row>
    <row r="22" spans="1:16" ht="51">
      <c r="A22" s="27">
        <v>0</v>
      </c>
      <c r="B22" s="25">
        <v>0</v>
      </c>
      <c r="C22" s="25">
        <v>0</v>
      </c>
      <c r="D22" s="30">
        <v>0</v>
      </c>
      <c r="E22" s="25">
        <v>0</v>
      </c>
      <c r="F22" s="25">
        <v>0</v>
      </c>
      <c r="G22" s="25">
        <v>0</v>
      </c>
      <c r="H22" s="16" t="s">
        <v>117</v>
      </c>
      <c r="I22" s="17" t="s">
        <v>118</v>
      </c>
      <c r="J22" s="18">
        <v>393199648.76981002</v>
      </c>
      <c r="K22" s="18">
        <v>37143024.829849988</v>
      </c>
      <c r="L22" s="18">
        <v>0</v>
      </c>
      <c r="M22" s="18">
        <v>37562064.686620012</v>
      </c>
      <c r="N22" s="18">
        <v>467904738.28628004</v>
      </c>
      <c r="O22" s="25">
        <v>0</v>
      </c>
      <c r="P22" s="26">
        <v>0</v>
      </c>
    </row>
    <row r="23" spans="1:16" ht="68">
      <c r="A23" s="29">
        <v>0</v>
      </c>
      <c r="B23" s="30">
        <v>0</v>
      </c>
      <c r="C23" s="31">
        <v>16225311360.75038</v>
      </c>
      <c r="D23" s="32">
        <v>6368599262.9615955</v>
      </c>
      <c r="E23" s="32">
        <v>536982221.85847855</v>
      </c>
      <c r="F23" s="32">
        <v>582067491.11236417</v>
      </c>
      <c r="G23" s="32">
        <v>8737662384.8179417</v>
      </c>
      <c r="H23" s="45" t="s">
        <v>119</v>
      </c>
      <c r="I23" s="37" t="s">
        <v>120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6">
        <v>0</v>
      </c>
    </row>
    <row r="24" spans="1:16" ht="34">
      <c r="A24" s="29">
        <v>0</v>
      </c>
      <c r="B24" s="30">
        <v>0</v>
      </c>
      <c r="C24" s="28">
        <v>5170478349.6256723</v>
      </c>
      <c r="D24" s="39" t="s">
        <v>101</v>
      </c>
      <c r="E24" s="40">
        <v>536982221.85847867</v>
      </c>
      <c r="F24" s="39" t="s">
        <v>101</v>
      </c>
      <c r="G24" s="39" t="s">
        <v>101</v>
      </c>
      <c r="H24" s="41" t="s">
        <v>102</v>
      </c>
      <c r="I24" s="37" t="s">
        <v>121</v>
      </c>
      <c r="J24" s="25">
        <v>0</v>
      </c>
      <c r="K24" s="25">
        <v>0</v>
      </c>
      <c r="L24" s="25">
        <v>0</v>
      </c>
      <c r="M24" s="23">
        <v>0</v>
      </c>
      <c r="N24" s="25">
        <v>0</v>
      </c>
      <c r="O24" s="25">
        <v>0</v>
      </c>
      <c r="P24" s="26">
        <v>0</v>
      </c>
    </row>
    <row r="25" spans="1:16" ht="69" thickBot="1">
      <c r="A25" s="49">
        <v>0</v>
      </c>
      <c r="B25" s="50">
        <v>0</v>
      </c>
      <c r="C25" s="51">
        <v>11054833011.124706</v>
      </c>
      <c r="D25" s="52" t="s">
        <v>101</v>
      </c>
      <c r="E25" s="53">
        <v>0</v>
      </c>
      <c r="F25" s="52" t="s">
        <v>101</v>
      </c>
      <c r="G25" s="52" t="s">
        <v>101</v>
      </c>
      <c r="H25" s="54" t="s">
        <v>122</v>
      </c>
      <c r="I25" s="55" t="s">
        <v>123</v>
      </c>
      <c r="J25" s="50">
        <v>0</v>
      </c>
      <c r="K25" s="50">
        <v>0</v>
      </c>
      <c r="L25" s="50">
        <v>0</v>
      </c>
      <c r="M25" s="56">
        <v>0</v>
      </c>
      <c r="N25" s="50">
        <v>0</v>
      </c>
      <c r="O25" s="50">
        <v>0</v>
      </c>
      <c r="P25" s="57">
        <v>1</v>
      </c>
    </row>
    <row r="26" spans="1:16" ht="17" thickBot="1">
      <c r="A26" s="58"/>
      <c r="B26" s="58"/>
      <c r="C26" s="58"/>
      <c r="D26" s="58"/>
      <c r="E26" s="58"/>
      <c r="F26" s="58"/>
      <c r="G26" s="58"/>
      <c r="H26" s="59"/>
      <c r="I26" s="60"/>
      <c r="J26" s="5"/>
      <c r="K26" s="5"/>
      <c r="L26" s="5"/>
      <c r="M26" s="5"/>
      <c r="N26" s="5"/>
      <c r="O26" s="167" t="s">
        <v>124</v>
      </c>
      <c r="P26" s="167"/>
    </row>
    <row r="27" spans="1:16">
      <c r="A27" s="157" t="s">
        <v>73</v>
      </c>
      <c r="B27" s="158"/>
      <c r="C27" s="158"/>
      <c r="D27" s="158"/>
      <c r="E27" s="158"/>
      <c r="F27" s="158"/>
      <c r="G27" s="158"/>
      <c r="H27" s="154"/>
      <c r="I27" s="154"/>
      <c r="J27" s="155" t="s">
        <v>74</v>
      </c>
      <c r="K27" s="154"/>
      <c r="L27" s="154"/>
      <c r="M27" s="154"/>
      <c r="N27" s="154"/>
      <c r="O27" s="154"/>
      <c r="P27" s="156"/>
    </row>
    <row r="28" spans="1:16" ht="136">
      <c r="A28" s="7" t="s">
        <v>75</v>
      </c>
      <c r="B28" s="8" t="s">
        <v>76</v>
      </c>
      <c r="C28" s="8" t="s">
        <v>77</v>
      </c>
      <c r="D28" s="8" t="s">
        <v>78</v>
      </c>
      <c r="E28" s="8" t="s">
        <v>79</v>
      </c>
      <c r="F28" s="8" t="s">
        <v>80</v>
      </c>
      <c r="G28" s="8" t="s">
        <v>81</v>
      </c>
      <c r="H28" s="143" t="s">
        <v>82</v>
      </c>
      <c r="I28" s="151"/>
      <c r="J28" s="8" t="s">
        <v>81</v>
      </c>
      <c r="K28" s="8" t="s">
        <v>80</v>
      </c>
      <c r="L28" s="8" t="s">
        <v>79</v>
      </c>
      <c r="M28" s="8" t="s">
        <v>125</v>
      </c>
      <c r="N28" s="8" t="s">
        <v>77</v>
      </c>
      <c r="O28" s="8" t="s">
        <v>76</v>
      </c>
      <c r="P28" s="9" t="s">
        <v>75</v>
      </c>
    </row>
    <row r="29" spans="1:16">
      <c r="A29" s="61"/>
      <c r="B29" s="62"/>
      <c r="C29" s="62"/>
      <c r="D29" s="63"/>
      <c r="E29" s="62"/>
      <c r="F29" s="62"/>
      <c r="G29" s="62"/>
      <c r="H29" s="149" t="s">
        <v>126</v>
      </c>
      <c r="I29" s="150"/>
      <c r="J29" s="62"/>
      <c r="K29" s="62"/>
      <c r="L29" s="62"/>
      <c r="M29" s="62"/>
      <c r="N29" s="62"/>
      <c r="O29" s="62"/>
      <c r="P29" s="64"/>
    </row>
    <row r="30" spans="1:16" ht="68">
      <c r="A30" s="29">
        <v>0</v>
      </c>
      <c r="B30" s="30">
        <v>0</v>
      </c>
      <c r="C30" s="30">
        <v>0</v>
      </c>
      <c r="D30" s="25">
        <v>0</v>
      </c>
      <c r="E30" s="30">
        <v>0</v>
      </c>
      <c r="F30" s="30">
        <v>0</v>
      </c>
      <c r="G30" s="30">
        <v>0</v>
      </c>
      <c r="H30" s="65" t="s">
        <v>119</v>
      </c>
      <c r="I30" s="37" t="s">
        <v>120</v>
      </c>
      <c r="J30" s="32">
        <v>8737662384.8179417</v>
      </c>
      <c r="K30" s="32">
        <v>582067491.11236417</v>
      </c>
      <c r="L30" s="32">
        <v>536982221.85847855</v>
      </c>
      <c r="M30" s="32">
        <v>6368599262.9615955</v>
      </c>
      <c r="N30" s="32">
        <v>16225311360.75038</v>
      </c>
      <c r="O30" s="66">
        <v>0</v>
      </c>
      <c r="P30" s="67">
        <v>0</v>
      </c>
    </row>
    <row r="31" spans="1:16" ht="68">
      <c r="A31" s="29">
        <v>0</v>
      </c>
      <c r="B31" s="30">
        <v>0</v>
      </c>
      <c r="C31" s="30">
        <v>0</v>
      </c>
      <c r="D31" s="25">
        <v>0</v>
      </c>
      <c r="E31" s="30">
        <v>0</v>
      </c>
      <c r="F31" s="30">
        <v>0</v>
      </c>
      <c r="G31" s="30">
        <v>0</v>
      </c>
      <c r="H31" s="65" t="s">
        <v>122</v>
      </c>
      <c r="I31" s="17" t="s">
        <v>123</v>
      </c>
      <c r="J31" s="129"/>
      <c r="K31" s="129"/>
      <c r="L31" s="68">
        <v>0</v>
      </c>
      <c r="M31" s="31" t="s">
        <v>101</v>
      </c>
      <c r="N31" s="32">
        <v>11054833011.124706</v>
      </c>
      <c r="O31" s="66">
        <v>0</v>
      </c>
      <c r="P31" s="69">
        <v>0</v>
      </c>
    </row>
    <row r="32" spans="1:16" ht="34">
      <c r="A32" s="27">
        <v>0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70" t="s">
        <v>109</v>
      </c>
      <c r="I32" s="37" t="s">
        <v>110</v>
      </c>
      <c r="J32" s="25">
        <v>0</v>
      </c>
      <c r="K32" s="25">
        <v>0</v>
      </c>
      <c r="L32" s="25">
        <v>0</v>
      </c>
      <c r="M32" s="28">
        <v>7645485372.7222891</v>
      </c>
      <c r="N32" s="18">
        <v>7645485372.7222891</v>
      </c>
      <c r="O32" s="18">
        <v>22920058.901144318</v>
      </c>
      <c r="P32" s="71">
        <v>7668405431.6234331</v>
      </c>
    </row>
    <row r="33" spans="1:16" ht="68">
      <c r="A33" s="27">
        <v>0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72" t="s">
        <v>127</v>
      </c>
      <c r="I33" s="17" t="s">
        <v>128</v>
      </c>
      <c r="J33" s="25">
        <v>0</v>
      </c>
      <c r="K33" s="25">
        <v>0</v>
      </c>
      <c r="L33" s="73">
        <v>3208963786.1274862</v>
      </c>
      <c r="M33" s="30">
        <v>0</v>
      </c>
      <c r="N33" s="28">
        <v>3208963786.1274862</v>
      </c>
      <c r="O33" s="18">
        <v>0</v>
      </c>
      <c r="P33" s="71">
        <v>3208963786.1274862</v>
      </c>
    </row>
    <row r="34" spans="1:16" ht="34">
      <c r="A34" s="27">
        <v>0</v>
      </c>
      <c r="B34" s="25">
        <v>0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72" t="s">
        <v>129</v>
      </c>
      <c r="I34" s="37" t="s">
        <v>112</v>
      </c>
      <c r="J34" s="25">
        <v>0</v>
      </c>
      <c r="K34" s="25">
        <v>0</v>
      </c>
      <c r="L34" s="74">
        <v>3090447831.2528577</v>
      </c>
      <c r="M34" s="30">
        <v>0</v>
      </c>
      <c r="N34" s="28">
        <v>3090447831.2528577</v>
      </c>
      <c r="O34" s="18">
        <v>0</v>
      </c>
      <c r="P34" s="71">
        <v>3090447831.2528577</v>
      </c>
    </row>
    <row r="35" spans="1:16" ht="34">
      <c r="A35" s="27">
        <v>0</v>
      </c>
      <c r="B35" s="25">
        <v>0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72" t="s">
        <v>113</v>
      </c>
      <c r="I35" s="17" t="s">
        <v>130</v>
      </c>
      <c r="J35" s="25">
        <v>0</v>
      </c>
      <c r="K35" s="25">
        <v>0</v>
      </c>
      <c r="L35" s="75">
        <v>118515954.87462857</v>
      </c>
      <c r="M35" s="30">
        <v>0</v>
      </c>
      <c r="N35" s="28">
        <v>118515954.87462857</v>
      </c>
      <c r="O35" s="18">
        <v>0</v>
      </c>
      <c r="P35" s="71">
        <v>118515954.87462857</v>
      </c>
    </row>
    <row r="36" spans="1:16" ht="17">
      <c r="A36" s="46">
        <v>549870110.07956004</v>
      </c>
      <c r="B36" s="18">
        <v>0</v>
      </c>
      <c r="C36" s="18">
        <v>549870110.07956004</v>
      </c>
      <c r="D36" s="48">
        <v>0</v>
      </c>
      <c r="E36" s="28">
        <v>549870110.07956004</v>
      </c>
      <c r="F36" s="48">
        <v>0</v>
      </c>
      <c r="G36" s="48">
        <v>0</v>
      </c>
      <c r="H36" s="72" t="s">
        <v>131</v>
      </c>
      <c r="I36" s="37" t="s">
        <v>132</v>
      </c>
      <c r="J36" s="25">
        <v>0</v>
      </c>
      <c r="K36" s="25">
        <v>0</v>
      </c>
      <c r="L36" s="25">
        <v>0</v>
      </c>
      <c r="M36" s="30">
        <v>0</v>
      </c>
      <c r="N36" s="25">
        <v>0</v>
      </c>
      <c r="O36" s="25">
        <v>0</v>
      </c>
      <c r="P36" s="26">
        <v>0</v>
      </c>
    </row>
    <row r="37" spans="1:16" ht="51">
      <c r="A37" s="46">
        <v>81965371.79328002</v>
      </c>
      <c r="B37" s="18">
        <v>0</v>
      </c>
      <c r="C37" s="18">
        <v>81965371.79328002</v>
      </c>
      <c r="D37" s="48">
        <v>0</v>
      </c>
      <c r="E37" s="28">
        <v>81965371.79328002</v>
      </c>
      <c r="F37" s="48">
        <v>0</v>
      </c>
      <c r="G37" s="48">
        <v>0</v>
      </c>
      <c r="H37" s="72" t="s">
        <v>133</v>
      </c>
      <c r="I37" s="76" t="s">
        <v>134</v>
      </c>
      <c r="J37" s="25">
        <v>0</v>
      </c>
      <c r="K37" s="25">
        <v>0</v>
      </c>
      <c r="L37" s="25">
        <v>0</v>
      </c>
      <c r="M37" s="30">
        <v>0</v>
      </c>
      <c r="N37" s="25">
        <v>0</v>
      </c>
      <c r="O37" s="25">
        <v>0</v>
      </c>
      <c r="P37" s="26">
        <v>0</v>
      </c>
    </row>
    <row r="38" spans="1:16" ht="51">
      <c r="A38" s="46">
        <v>467904738.28628004</v>
      </c>
      <c r="B38" s="18">
        <v>0</v>
      </c>
      <c r="C38" s="18">
        <v>467904738.28628004</v>
      </c>
      <c r="D38" s="48">
        <v>0</v>
      </c>
      <c r="E38" s="28">
        <v>467904738.28628004</v>
      </c>
      <c r="F38" s="48">
        <v>0</v>
      </c>
      <c r="G38" s="48">
        <v>0</v>
      </c>
      <c r="H38" s="72" t="s">
        <v>117</v>
      </c>
      <c r="I38" s="76" t="s">
        <v>135</v>
      </c>
      <c r="J38" s="25">
        <v>0</v>
      </c>
      <c r="K38" s="25">
        <v>0</v>
      </c>
      <c r="L38" s="25">
        <v>0</v>
      </c>
      <c r="M38" s="30">
        <v>0</v>
      </c>
      <c r="N38" s="25">
        <v>0</v>
      </c>
      <c r="O38" s="25">
        <v>0</v>
      </c>
      <c r="P38" s="26">
        <v>0</v>
      </c>
    </row>
    <row r="39" spans="1:16" ht="34">
      <c r="A39" s="46">
        <v>8489632752.9469967</v>
      </c>
      <c r="B39" s="18">
        <v>258571982.71527117</v>
      </c>
      <c r="C39" s="18">
        <v>8231060770.2317257</v>
      </c>
      <c r="D39" s="18">
        <v>292571429.55994689</v>
      </c>
      <c r="E39" s="18">
        <v>1022348305.3752731</v>
      </c>
      <c r="F39" s="18">
        <v>2099808126.4983718</v>
      </c>
      <c r="G39" s="18">
        <v>4816332908.7981339</v>
      </c>
      <c r="H39" s="77" t="s">
        <v>136</v>
      </c>
      <c r="I39" s="17" t="s">
        <v>137</v>
      </c>
      <c r="J39" s="18">
        <v>1203758798.7829034</v>
      </c>
      <c r="K39" s="18">
        <v>2737567519.4279828</v>
      </c>
      <c r="L39" s="18">
        <v>375128948.68034691</v>
      </c>
      <c r="M39" s="18">
        <v>3663611077.19835</v>
      </c>
      <c r="N39" s="18">
        <v>7980066344.0895834</v>
      </c>
      <c r="O39" s="18">
        <v>509566408.85741282</v>
      </c>
      <c r="P39" s="71">
        <v>8489632752.9469967</v>
      </c>
    </row>
    <row r="40" spans="1:16" ht="34">
      <c r="A40" s="46">
        <v>5084096007.9597025</v>
      </c>
      <c r="B40" s="18">
        <v>201533406.88911074</v>
      </c>
      <c r="C40" s="18">
        <v>4882562601.0705919</v>
      </c>
      <c r="D40" s="18">
        <v>243316310.67989928</v>
      </c>
      <c r="E40" s="18">
        <v>1022348305.3752731</v>
      </c>
      <c r="F40" s="18">
        <v>1849024026.1908143</v>
      </c>
      <c r="G40" s="18">
        <v>1767873958.8246052</v>
      </c>
      <c r="H40" s="77" t="s">
        <v>138</v>
      </c>
      <c r="I40" s="76" t="s">
        <v>139</v>
      </c>
      <c r="J40" s="18">
        <v>512857285.37503099</v>
      </c>
      <c r="K40" s="18">
        <v>2685921468.2317133</v>
      </c>
      <c r="L40" s="18">
        <v>272599196.24840689</v>
      </c>
      <c r="M40" s="18">
        <v>1181453657.4206421</v>
      </c>
      <c r="N40" s="18">
        <v>4652831607.275794</v>
      </c>
      <c r="O40" s="18">
        <v>431264400.68390799</v>
      </c>
      <c r="P40" s="71">
        <v>5084096007.9597015</v>
      </c>
    </row>
    <row r="41" spans="1:16" ht="51">
      <c r="A41" s="46">
        <v>3160751835.2704353</v>
      </c>
      <c r="B41" s="18">
        <v>56959117.204379149</v>
      </c>
      <c r="C41" s="18">
        <v>3103792718.0660563</v>
      </c>
      <c r="D41" s="48">
        <v>0</v>
      </c>
      <c r="E41" s="48">
        <v>0</v>
      </c>
      <c r="F41" s="28">
        <v>80157761.636470854</v>
      </c>
      <c r="G41" s="18">
        <v>3023634956.4295855</v>
      </c>
      <c r="H41" s="77" t="s">
        <v>140</v>
      </c>
      <c r="I41" s="78" t="s">
        <v>141</v>
      </c>
      <c r="J41" s="18">
        <v>668544577.64790773</v>
      </c>
      <c r="K41" s="18">
        <v>45911153.087759994</v>
      </c>
      <c r="L41" s="18">
        <v>69819228.414067194</v>
      </c>
      <c r="M41" s="18">
        <v>2305545143.4232998</v>
      </c>
      <c r="N41" s="18">
        <v>3089820102.5730348</v>
      </c>
      <c r="O41" s="18">
        <v>70931732.69740127</v>
      </c>
      <c r="P41" s="71">
        <v>3160751835.2704358</v>
      </c>
    </row>
    <row r="42" spans="1:16" ht="85">
      <c r="A42" s="46">
        <v>7449734.0978848562</v>
      </c>
      <c r="B42" s="18">
        <v>79458.621781297174</v>
      </c>
      <c r="C42" s="18">
        <v>7370275.4761035591</v>
      </c>
      <c r="D42" s="48">
        <v>0</v>
      </c>
      <c r="E42" s="48">
        <v>0</v>
      </c>
      <c r="F42" s="75">
        <v>755925.68985677534</v>
      </c>
      <c r="G42" s="18">
        <v>6614349.786246784</v>
      </c>
      <c r="H42" s="77" t="s">
        <v>142</v>
      </c>
      <c r="I42" s="78" t="s">
        <v>143</v>
      </c>
      <c r="J42" s="18">
        <v>79458.621781297174</v>
      </c>
      <c r="K42" s="18">
        <v>0</v>
      </c>
      <c r="L42" s="79">
        <v>0</v>
      </c>
      <c r="M42" s="80">
        <v>0</v>
      </c>
      <c r="N42" s="28">
        <v>79458.621781297174</v>
      </c>
      <c r="O42" s="18">
        <v>7370275.4761035601</v>
      </c>
      <c r="P42" s="71">
        <v>7449734.0978848571</v>
      </c>
    </row>
    <row r="43" spans="1:16" ht="51">
      <c r="A43" s="46">
        <v>169870412.98122999</v>
      </c>
      <c r="B43" s="18">
        <v>0</v>
      </c>
      <c r="C43" s="18">
        <v>169870412.98122999</v>
      </c>
      <c r="D43" s="66">
        <v>0</v>
      </c>
      <c r="E43" s="28">
        <v>0</v>
      </c>
      <c r="F43" s="18">
        <v>169870412.98122999</v>
      </c>
      <c r="G43" s="18">
        <v>0</v>
      </c>
      <c r="H43" s="77" t="s">
        <v>144</v>
      </c>
      <c r="I43" s="78" t="s">
        <v>145</v>
      </c>
      <c r="J43" s="18">
        <v>22277477.138183035</v>
      </c>
      <c r="K43" s="18">
        <v>5734898.1085096132</v>
      </c>
      <c r="L43" s="18">
        <v>682924.10997281596</v>
      </c>
      <c r="M43" s="18">
        <v>141175113.62456453</v>
      </c>
      <c r="N43" s="18">
        <v>169870412.98122996</v>
      </c>
      <c r="O43" s="18">
        <v>0</v>
      </c>
      <c r="P43" s="71">
        <v>169870412.98122996</v>
      </c>
    </row>
    <row r="44" spans="1:16" ht="17">
      <c r="A44" s="46">
        <v>67464762.637743607</v>
      </c>
      <c r="B44" s="48">
        <v>0</v>
      </c>
      <c r="C44" s="28">
        <v>67464762.637743607</v>
      </c>
      <c r="D44" s="18">
        <v>49255118.880047604</v>
      </c>
      <c r="E44" s="18">
        <v>0</v>
      </c>
      <c r="F44" s="18">
        <v>0</v>
      </c>
      <c r="G44" s="18">
        <v>18209643.757695999</v>
      </c>
      <c r="H44" s="77" t="s">
        <v>146</v>
      </c>
      <c r="I44" s="81" t="s">
        <v>147</v>
      </c>
      <c r="J44" s="18">
        <v>0</v>
      </c>
      <c r="K44" s="18">
        <v>0</v>
      </c>
      <c r="L44" s="18">
        <v>32027599.907900002</v>
      </c>
      <c r="M44" s="18">
        <v>35437162.729843602</v>
      </c>
      <c r="N44" s="18">
        <v>67464762.637743607</v>
      </c>
      <c r="O44" s="48">
        <v>0</v>
      </c>
      <c r="P44" s="82">
        <v>67464762.637743607</v>
      </c>
    </row>
    <row r="45" spans="1:16" ht="18">
      <c r="A45" s="83">
        <v>0</v>
      </c>
      <c r="B45" s="66">
        <v>0</v>
      </c>
      <c r="C45" s="31">
        <v>26278895983.378448</v>
      </c>
      <c r="D45" s="32">
        <v>17385124283.322289</v>
      </c>
      <c r="E45" s="32">
        <v>2548856541.2114787</v>
      </c>
      <c r="F45" s="32">
        <v>1219826884.0419753</v>
      </c>
      <c r="G45" s="32">
        <v>5125088274.8027115</v>
      </c>
      <c r="H45" s="84" t="s">
        <v>148</v>
      </c>
      <c r="I45" s="85" t="s">
        <v>237</v>
      </c>
      <c r="J45" s="131">
        <f>(J30+J39-G39+J40-G40+J41-G41+J42-G42+J43)*(1-N48/N47)</f>
        <v>1427639006.4971385</v>
      </c>
      <c r="K45" s="131">
        <f>K30+K39-F39+K40-F40+K41-F41+K43-F43</f>
        <v>1858342202.6614428</v>
      </c>
      <c r="L45" s="30">
        <v>0</v>
      </c>
      <c r="M45" s="25">
        <v>0</v>
      </c>
      <c r="N45" s="30">
        <v>0</v>
      </c>
      <c r="O45" s="30">
        <v>0</v>
      </c>
      <c r="P45" s="38">
        <v>0</v>
      </c>
    </row>
    <row r="46" spans="1:16">
      <c r="A46" s="145"/>
      <c r="B46" s="146"/>
      <c r="C46" s="146"/>
      <c r="D46" s="146"/>
      <c r="E46" s="146"/>
      <c r="F46" s="146"/>
      <c r="G46" s="146"/>
      <c r="H46" s="149" t="s">
        <v>150</v>
      </c>
      <c r="I46" s="150"/>
      <c r="J46" s="146"/>
      <c r="K46" s="146"/>
      <c r="L46" s="146"/>
      <c r="M46" s="146"/>
      <c r="N46" s="146"/>
      <c r="O46" s="146"/>
      <c r="P46" s="147"/>
    </row>
    <row r="47" spans="1:16" ht="68">
      <c r="A47" s="86">
        <v>0</v>
      </c>
      <c r="B47" s="87"/>
      <c r="C47" s="87"/>
      <c r="D47" s="36"/>
      <c r="E47" s="36"/>
      <c r="F47" s="36">
        <v>0</v>
      </c>
      <c r="G47" s="36">
        <v>0</v>
      </c>
      <c r="H47" s="84" t="s">
        <v>148</v>
      </c>
      <c r="I47" s="85" t="s">
        <v>149</v>
      </c>
      <c r="J47" s="32">
        <v>5125088274.8027115</v>
      </c>
      <c r="K47" s="32">
        <v>1219826884.0419753</v>
      </c>
      <c r="L47" s="32">
        <v>2548856541.2114787</v>
      </c>
      <c r="M47" s="32">
        <v>17385124283.322289</v>
      </c>
      <c r="N47" s="32">
        <v>26278895983.378448</v>
      </c>
      <c r="O47" s="66">
        <v>0</v>
      </c>
      <c r="P47" s="67">
        <v>0</v>
      </c>
    </row>
    <row r="48" spans="1:16" ht="68">
      <c r="A48" s="46">
        <v>1769721471.2183814</v>
      </c>
      <c r="B48" s="18">
        <v>0</v>
      </c>
      <c r="C48" s="18">
        <v>1769721471.2183814</v>
      </c>
      <c r="D48" s="18">
        <v>827436104.67676353</v>
      </c>
      <c r="E48" s="18">
        <v>0</v>
      </c>
      <c r="F48" s="18">
        <v>206833596.19338205</v>
      </c>
      <c r="G48" s="18">
        <v>735451770.34823596</v>
      </c>
      <c r="H48" s="88" t="s">
        <v>151</v>
      </c>
      <c r="I48" s="17" t="s">
        <v>152</v>
      </c>
      <c r="J48" s="130"/>
      <c r="K48" s="48">
        <v>0</v>
      </c>
      <c r="L48" s="28">
        <v>1769721471.2183819</v>
      </c>
      <c r="M48" s="66">
        <v>0</v>
      </c>
      <c r="N48" s="28">
        <v>1769721471.2183819</v>
      </c>
      <c r="O48" s="18">
        <v>0</v>
      </c>
      <c r="P48" s="71">
        <v>1769721471.2183819</v>
      </c>
    </row>
    <row r="49" spans="1:16" ht="34">
      <c r="A49" s="46">
        <v>1663511406.0795999</v>
      </c>
      <c r="B49" s="18">
        <v>0</v>
      </c>
      <c r="C49" s="18">
        <v>1663511406.0795999</v>
      </c>
      <c r="D49" s="18">
        <v>721226039.53798199</v>
      </c>
      <c r="E49" s="18">
        <v>0</v>
      </c>
      <c r="F49" s="18">
        <v>206833596.19338205</v>
      </c>
      <c r="G49" s="18">
        <v>735451770.34823596</v>
      </c>
      <c r="H49" s="88" t="s">
        <v>153</v>
      </c>
      <c r="I49" s="17" t="s">
        <v>154</v>
      </c>
      <c r="J49" s="48">
        <v>0</v>
      </c>
      <c r="K49" s="48">
        <v>0</v>
      </c>
      <c r="L49" s="28">
        <v>1663511406.0796003</v>
      </c>
      <c r="M49" s="66">
        <v>0</v>
      </c>
      <c r="N49" s="28">
        <v>1663511406.0796003</v>
      </c>
      <c r="O49" s="18">
        <v>0</v>
      </c>
      <c r="P49" s="71">
        <v>1663511406.0796003</v>
      </c>
    </row>
    <row r="50" spans="1:16" ht="34">
      <c r="A50" s="46">
        <v>106210065.13878149</v>
      </c>
      <c r="B50" s="18">
        <v>0</v>
      </c>
      <c r="C50" s="18">
        <v>106210065.13878149</v>
      </c>
      <c r="D50" s="18">
        <v>106210065.13878149</v>
      </c>
      <c r="E50" s="18">
        <v>0</v>
      </c>
      <c r="F50" s="18">
        <v>0</v>
      </c>
      <c r="G50" s="18">
        <v>0</v>
      </c>
      <c r="H50" s="88" t="s">
        <v>155</v>
      </c>
      <c r="I50" s="17" t="s">
        <v>156</v>
      </c>
      <c r="J50" s="48">
        <v>0</v>
      </c>
      <c r="K50" s="48">
        <v>0</v>
      </c>
      <c r="L50" s="28">
        <v>106210065.13878149</v>
      </c>
      <c r="M50" s="66">
        <v>0</v>
      </c>
      <c r="N50" s="28">
        <v>106210065.13878149</v>
      </c>
      <c r="O50" s="18">
        <v>0</v>
      </c>
      <c r="P50" s="71">
        <v>106210065.13878149</v>
      </c>
    </row>
    <row r="51" spans="1:16" ht="34">
      <c r="A51" s="46">
        <v>1847289106.4502697</v>
      </c>
      <c r="B51" s="18">
        <v>0</v>
      </c>
      <c r="C51" s="18">
        <v>1847289106.4502697</v>
      </c>
      <c r="D51" s="18">
        <v>1847289106.4502697</v>
      </c>
      <c r="E51" s="48">
        <v>0</v>
      </c>
      <c r="F51" s="48">
        <v>0</v>
      </c>
      <c r="G51" s="48">
        <v>0</v>
      </c>
      <c r="H51" s="89" t="s">
        <v>157</v>
      </c>
      <c r="I51" s="17" t="s">
        <v>158</v>
      </c>
      <c r="J51" s="18">
        <v>0</v>
      </c>
      <c r="K51" s="18">
        <v>184093980.36539</v>
      </c>
      <c r="L51" s="18">
        <v>1663195126.0848799</v>
      </c>
      <c r="M51" s="18">
        <v>0</v>
      </c>
      <c r="N51" s="18">
        <v>1847289106.4502699</v>
      </c>
      <c r="O51" s="18">
        <v>0</v>
      </c>
      <c r="P51" s="71">
        <v>1847289106.4502699</v>
      </c>
    </row>
    <row r="52" spans="1:16" ht="68">
      <c r="A52" s="46">
        <v>2116634986.9885819</v>
      </c>
      <c r="B52" s="18">
        <v>0</v>
      </c>
      <c r="C52" s="18">
        <v>2116634986.9885819</v>
      </c>
      <c r="D52" s="18">
        <v>0</v>
      </c>
      <c r="E52" s="18">
        <v>2066977963.4809098</v>
      </c>
      <c r="F52" s="18">
        <v>49657023.507672034</v>
      </c>
      <c r="G52" s="18">
        <v>0</v>
      </c>
      <c r="H52" s="89" t="s">
        <v>159</v>
      </c>
      <c r="I52" s="17" t="s">
        <v>160</v>
      </c>
      <c r="J52" s="48">
        <v>0</v>
      </c>
      <c r="K52" s="48">
        <v>0</v>
      </c>
      <c r="L52" s="48">
        <v>0</v>
      </c>
      <c r="M52" s="28">
        <v>2116169514.0235615</v>
      </c>
      <c r="N52" s="18">
        <v>2116169514.0235615</v>
      </c>
      <c r="O52" s="18">
        <v>465472.96502020629</v>
      </c>
      <c r="P52" s="71">
        <v>2116634986.9885817</v>
      </c>
    </row>
    <row r="53" spans="1:16" ht="34">
      <c r="A53" s="46">
        <v>1917491143.0423529</v>
      </c>
      <c r="B53" s="18">
        <v>121329147.05273041</v>
      </c>
      <c r="C53" s="18">
        <v>1796161995.9896226</v>
      </c>
      <c r="D53" s="18">
        <v>548199631.91311574</v>
      </c>
      <c r="E53" s="18">
        <v>259235782.17208454</v>
      </c>
      <c r="F53" s="18">
        <v>510280501.69437891</v>
      </c>
      <c r="G53" s="18">
        <v>478446080.21004331</v>
      </c>
      <c r="H53" s="90" t="s">
        <v>161</v>
      </c>
      <c r="I53" s="17" t="s">
        <v>162</v>
      </c>
      <c r="J53" s="18">
        <v>90673164.933775991</v>
      </c>
      <c r="K53" s="18">
        <v>417743525.88282788</v>
      </c>
      <c r="L53" s="18">
        <v>367790456.84397036</v>
      </c>
      <c r="M53" s="18">
        <v>935173016.51836419</v>
      </c>
      <c r="N53" s="18">
        <v>1811380164.1789384</v>
      </c>
      <c r="O53" s="18">
        <v>106110978.8634147</v>
      </c>
      <c r="P53" s="71">
        <v>1917491143.0423532</v>
      </c>
    </row>
    <row r="54" spans="1:16" ht="51">
      <c r="A54" s="46">
        <v>371554102.93105173</v>
      </c>
      <c r="B54" s="18">
        <v>81214740.627993777</v>
      </c>
      <c r="C54" s="18">
        <v>290339362.30305797</v>
      </c>
      <c r="D54" s="18">
        <v>204787643.73177174</v>
      </c>
      <c r="E54" s="18">
        <v>1736643.6570778494</v>
      </c>
      <c r="F54" s="18">
        <v>25405635.274950389</v>
      </c>
      <c r="G54" s="18">
        <v>58409439.639258012</v>
      </c>
      <c r="H54" s="90" t="s">
        <v>163</v>
      </c>
      <c r="I54" s="17" t="s">
        <v>164</v>
      </c>
      <c r="J54" s="48">
        <v>0</v>
      </c>
      <c r="K54" s="28">
        <v>371554102.93105173</v>
      </c>
      <c r="L54" s="18">
        <v>0</v>
      </c>
      <c r="M54" s="91">
        <v>0</v>
      </c>
      <c r="N54" s="18">
        <v>371554102.93105173</v>
      </c>
      <c r="O54" s="18">
        <v>0</v>
      </c>
      <c r="P54" s="71">
        <v>371554102.93105173</v>
      </c>
    </row>
    <row r="55" spans="1:16" ht="34">
      <c r="A55" s="46">
        <v>388029941.1858601</v>
      </c>
      <c r="B55" s="18">
        <v>0</v>
      </c>
      <c r="C55" s="18">
        <v>388029941.1858601</v>
      </c>
      <c r="D55" s="48">
        <v>0</v>
      </c>
      <c r="E55" s="79">
        <v>0</v>
      </c>
      <c r="F55" s="28">
        <v>388029941.1858601</v>
      </c>
      <c r="G55" s="48">
        <v>0</v>
      </c>
      <c r="H55" s="90" t="s">
        <v>165</v>
      </c>
      <c r="I55" s="17" t="s">
        <v>166</v>
      </c>
      <c r="J55" s="18">
        <v>66094410.857553609</v>
      </c>
      <c r="K55" s="18">
        <v>28528627.485286165</v>
      </c>
      <c r="L55" s="18">
        <v>1965135.089344711</v>
      </c>
      <c r="M55" s="18">
        <v>231731698.62531444</v>
      </c>
      <c r="N55" s="18">
        <v>328319872.05749893</v>
      </c>
      <c r="O55" s="18">
        <v>59710069.128361203</v>
      </c>
      <c r="P55" s="71">
        <v>388029941.18586016</v>
      </c>
    </row>
    <row r="56" spans="1:16" ht="51">
      <c r="A56" s="46">
        <v>73741217.878733382</v>
      </c>
      <c r="B56" s="18">
        <v>27340308.143679868</v>
      </c>
      <c r="C56" s="18">
        <v>46400909.735053509</v>
      </c>
      <c r="D56" s="48">
        <v>0</v>
      </c>
      <c r="E56" s="28">
        <v>46400909.735053509</v>
      </c>
      <c r="F56" s="48">
        <v>0</v>
      </c>
      <c r="G56" s="48">
        <v>0</v>
      </c>
      <c r="H56" s="90" t="s">
        <v>167</v>
      </c>
      <c r="I56" s="17" t="s">
        <v>168</v>
      </c>
      <c r="J56" s="48">
        <v>0</v>
      </c>
      <c r="K56" s="48">
        <v>0</v>
      </c>
      <c r="L56" s="28">
        <v>27340308.143679868</v>
      </c>
      <c r="M56" s="48">
        <v>0</v>
      </c>
      <c r="N56" s="28">
        <v>27340308.143679868</v>
      </c>
      <c r="O56" s="18">
        <v>46400909.735053509</v>
      </c>
      <c r="P56" s="71">
        <v>73741217.878733382</v>
      </c>
    </row>
    <row r="57" spans="1:16" ht="34">
      <c r="A57" s="46">
        <v>1084165881.0467076</v>
      </c>
      <c r="B57" s="18">
        <v>12774098.28105676</v>
      </c>
      <c r="C57" s="18">
        <v>1071391782.765651</v>
      </c>
      <c r="D57" s="18">
        <v>343411988.18134403</v>
      </c>
      <c r="E57" s="18">
        <v>211098228.77995318</v>
      </c>
      <c r="F57" s="18">
        <v>96844925.233568445</v>
      </c>
      <c r="G57" s="18">
        <v>420036640.57078528</v>
      </c>
      <c r="H57" s="90" t="s">
        <v>169</v>
      </c>
      <c r="I57" s="17" t="s">
        <v>170</v>
      </c>
      <c r="J57" s="18">
        <v>24578754.076222375</v>
      </c>
      <c r="K57" s="18">
        <v>17660795.466489986</v>
      </c>
      <c r="L57" s="18">
        <v>338485013.61094576</v>
      </c>
      <c r="M57" s="18">
        <v>703441317.89304972</v>
      </c>
      <c r="N57" s="18">
        <v>1084165881.0467079</v>
      </c>
      <c r="O57" s="18">
        <v>0</v>
      </c>
      <c r="P57" s="71">
        <v>1084165881.0467079</v>
      </c>
    </row>
    <row r="58" spans="1:16" ht="35" thickBot="1">
      <c r="A58" s="92">
        <v>0</v>
      </c>
      <c r="B58" s="93">
        <v>0</v>
      </c>
      <c r="C58" s="51">
        <v>26293648678.602753</v>
      </c>
      <c r="D58" s="94">
        <v>17213541970.82407</v>
      </c>
      <c r="E58" s="94">
        <v>4023349849.7057171</v>
      </c>
      <c r="F58" s="94">
        <v>1054893268.8947601</v>
      </c>
      <c r="G58" s="94">
        <v>4001863589.1782084</v>
      </c>
      <c r="H58" s="95" t="s">
        <v>171</v>
      </c>
      <c r="I58" s="96" t="s">
        <v>172</v>
      </c>
      <c r="J58" s="97">
        <v>0</v>
      </c>
      <c r="K58" s="97">
        <v>0</v>
      </c>
      <c r="L58" s="97">
        <v>0</v>
      </c>
      <c r="M58" s="98">
        <v>0</v>
      </c>
      <c r="N58" s="97">
        <v>0</v>
      </c>
      <c r="O58" s="97">
        <v>0</v>
      </c>
      <c r="P58" s="99">
        <v>2</v>
      </c>
    </row>
    <row r="59" spans="1:16" ht="17" thickBot="1">
      <c r="A59" s="6"/>
      <c r="B59" s="6"/>
      <c r="C59" s="6"/>
      <c r="D59" s="6"/>
      <c r="E59" s="6"/>
      <c r="F59" s="6"/>
      <c r="G59" s="6"/>
      <c r="H59" s="100"/>
      <c r="I59" s="101"/>
      <c r="J59" s="6"/>
      <c r="K59" s="6"/>
      <c r="L59" s="6"/>
      <c r="M59" s="6"/>
      <c r="N59" s="6"/>
      <c r="O59" s="152" t="s">
        <v>124</v>
      </c>
      <c r="P59" s="152"/>
    </row>
    <row r="60" spans="1:16">
      <c r="A60" s="153" t="s">
        <v>73</v>
      </c>
      <c r="B60" s="154"/>
      <c r="C60" s="154"/>
      <c r="D60" s="154"/>
      <c r="E60" s="154"/>
      <c r="F60" s="154"/>
      <c r="G60" s="154"/>
      <c r="H60" s="154"/>
      <c r="I60" s="154"/>
      <c r="J60" s="155" t="s">
        <v>74</v>
      </c>
      <c r="K60" s="154"/>
      <c r="L60" s="154"/>
      <c r="M60" s="154"/>
      <c r="N60" s="154"/>
      <c r="O60" s="154"/>
      <c r="P60" s="156"/>
    </row>
    <row r="61" spans="1:16" ht="136">
      <c r="A61" s="7" t="s">
        <v>75</v>
      </c>
      <c r="B61" s="8" t="s">
        <v>76</v>
      </c>
      <c r="C61" s="8" t="s">
        <v>77</v>
      </c>
      <c r="D61" s="8" t="s">
        <v>78</v>
      </c>
      <c r="E61" s="8" t="s">
        <v>79</v>
      </c>
      <c r="F61" s="8" t="s">
        <v>80</v>
      </c>
      <c r="G61" s="8" t="s">
        <v>81</v>
      </c>
      <c r="H61" s="143" t="s">
        <v>82</v>
      </c>
      <c r="I61" s="151"/>
      <c r="J61" s="8" t="s">
        <v>81</v>
      </c>
      <c r="K61" s="8" t="s">
        <v>80</v>
      </c>
      <c r="L61" s="8" t="s">
        <v>79</v>
      </c>
      <c r="M61" s="8" t="s">
        <v>125</v>
      </c>
      <c r="N61" s="8" t="s">
        <v>77</v>
      </c>
      <c r="O61" s="8" t="s">
        <v>76</v>
      </c>
      <c r="P61" s="9" t="s">
        <v>75</v>
      </c>
    </row>
    <row r="62" spans="1:16">
      <c r="A62" s="61"/>
      <c r="B62" s="62"/>
      <c r="C62" s="62"/>
      <c r="D62" s="63"/>
      <c r="E62" s="62"/>
      <c r="F62" s="62"/>
      <c r="G62" s="62"/>
      <c r="H62" s="149" t="s">
        <v>173</v>
      </c>
      <c r="I62" s="150"/>
      <c r="J62" s="62"/>
      <c r="K62" s="62"/>
      <c r="L62" s="62"/>
      <c r="M62" s="62"/>
      <c r="N62" s="62"/>
      <c r="O62" s="62"/>
      <c r="P62" s="64"/>
    </row>
    <row r="63" spans="1:16" ht="34">
      <c r="A63" s="29">
        <v>0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102" t="s">
        <v>171</v>
      </c>
      <c r="I63" s="37" t="s">
        <v>174</v>
      </c>
      <c r="J63" s="32">
        <v>4001863589.1782084</v>
      </c>
      <c r="K63" s="32">
        <v>1054893268.8947601</v>
      </c>
      <c r="L63" s="32">
        <v>4023349849.7057171</v>
      </c>
      <c r="M63" s="32">
        <v>17213541970.82407</v>
      </c>
      <c r="N63" s="32">
        <v>26293648678.602753</v>
      </c>
      <c r="O63" s="30">
        <v>0</v>
      </c>
      <c r="P63" s="38">
        <v>0</v>
      </c>
    </row>
    <row r="64" spans="1:16" ht="34">
      <c r="A64" s="47">
        <v>0</v>
      </c>
      <c r="B64" s="48">
        <v>0</v>
      </c>
      <c r="C64" s="28">
        <v>19240542337.900196</v>
      </c>
      <c r="D64" s="18">
        <v>15763622156.734661</v>
      </c>
      <c r="E64" s="18">
        <v>3476920181.1655345</v>
      </c>
      <c r="F64" s="48">
        <v>0</v>
      </c>
      <c r="G64" s="48">
        <v>0</v>
      </c>
      <c r="H64" s="103" t="s">
        <v>175</v>
      </c>
      <c r="I64" s="17" t="s">
        <v>176</v>
      </c>
      <c r="J64" s="25">
        <v>0</v>
      </c>
      <c r="K64" s="25">
        <v>0</v>
      </c>
      <c r="L64" s="25">
        <v>0</v>
      </c>
      <c r="M64" s="30">
        <v>0</v>
      </c>
      <c r="N64" s="25">
        <v>0</v>
      </c>
      <c r="O64" s="25">
        <v>0</v>
      </c>
      <c r="P64" s="26">
        <v>0</v>
      </c>
    </row>
    <row r="65" spans="1:16" ht="51">
      <c r="A65" s="47">
        <v>0</v>
      </c>
      <c r="B65" s="48">
        <v>0</v>
      </c>
      <c r="C65" s="28">
        <v>17796819825.3932</v>
      </c>
      <c r="D65" s="18">
        <v>15763622156.734661</v>
      </c>
      <c r="E65" s="18">
        <v>2033197668.6585395</v>
      </c>
      <c r="F65" s="48">
        <v>0</v>
      </c>
      <c r="G65" s="48">
        <v>0</v>
      </c>
      <c r="H65" s="103" t="s">
        <v>177</v>
      </c>
      <c r="I65" s="17" t="s">
        <v>178</v>
      </c>
      <c r="J65" s="25">
        <v>0</v>
      </c>
      <c r="K65" s="25">
        <v>0</v>
      </c>
      <c r="L65" s="25">
        <v>0</v>
      </c>
      <c r="M65" s="30">
        <v>0</v>
      </c>
      <c r="N65" s="25">
        <v>0</v>
      </c>
      <c r="O65" s="25">
        <v>0</v>
      </c>
      <c r="P65" s="26">
        <v>0</v>
      </c>
    </row>
    <row r="66" spans="1:16" ht="51">
      <c r="A66" s="47">
        <v>0</v>
      </c>
      <c r="B66" s="48">
        <v>0</v>
      </c>
      <c r="C66" s="28">
        <v>1443722512.506995</v>
      </c>
      <c r="D66" s="48">
        <v>0</v>
      </c>
      <c r="E66" s="28">
        <v>1443722512.506995</v>
      </c>
      <c r="F66" s="48">
        <v>0</v>
      </c>
      <c r="G66" s="48">
        <v>0</v>
      </c>
      <c r="H66" s="103" t="s">
        <v>179</v>
      </c>
      <c r="I66" s="17" t="s">
        <v>180</v>
      </c>
      <c r="J66" s="25">
        <v>0</v>
      </c>
      <c r="K66" s="25">
        <v>0</v>
      </c>
      <c r="L66" s="25">
        <v>0</v>
      </c>
      <c r="M66" s="30">
        <v>0</v>
      </c>
      <c r="N66" s="25">
        <v>0</v>
      </c>
      <c r="O66" s="25">
        <v>0</v>
      </c>
      <c r="P66" s="26">
        <v>0</v>
      </c>
    </row>
    <row r="67" spans="1:16" ht="68">
      <c r="A67" s="46">
        <v>134436956.85771796</v>
      </c>
      <c r="B67" s="18">
        <v>0</v>
      </c>
      <c r="C67" s="18">
        <v>134436956.85771796</v>
      </c>
      <c r="D67" s="18">
        <v>0</v>
      </c>
      <c r="E67" s="18">
        <v>0</v>
      </c>
      <c r="F67" s="18">
        <v>134436956.85771796</v>
      </c>
      <c r="G67" s="18">
        <v>0</v>
      </c>
      <c r="H67" s="104" t="s">
        <v>181</v>
      </c>
      <c r="I67" s="17" t="s">
        <v>182</v>
      </c>
      <c r="J67" s="25">
        <v>0</v>
      </c>
      <c r="K67" s="25">
        <v>0</v>
      </c>
      <c r="L67" s="25">
        <v>0</v>
      </c>
      <c r="M67" s="28">
        <v>134436956.85771796</v>
      </c>
      <c r="N67" s="18">
        <v>134436956.85771796</v>
      </c>
      <c r="O67" s="18">
        <v>0</v>
      </c>
      <c r="P67" s="71">
        <v>134436956.85771796</v>
      </c>
    </row>
    <row r="68" spans="1:16" ht="34">
      <c r="A68" s="83">
        <v>0</v>
      </c>
      <c r="B68" s="66">
        <v>0</v>
      </c>
      <c r="C68" s="31">
        <v>7053106340.7025595</v>
      </c>
      <c r="D68" s="32">
        <v>1584356770.9471264</v>
      </c>
      <c r="E68" s="32">
        <v>546429668.54018259</v>
      </c>
      <c r="F68" s="32">
        <v>920456312.03704214</v>
      </c>
      <c r="G68" s="32">
        <v>4001863589.1782084</v>
      </c>
      <c r="H68" s="105" t="s">
        <v>183</v>
      </c>
      <c r="I68" s="17" t="s">
        <v>184</v>
      </c>
      <c r="J68" s="30">
        <v>0</v>
      </c>
      <c r="K68" s="30">
        <v>0</v>
      </c>
      <c r="L68" s="30">
        <v>0</v>
      </c>
      <c r="M68" s="25">
        <v>0</v>
      </c>
      <c r="N68" s="30">
        <v>0</v>
      </c>
      <c r="O68" s="30">
        <v>0</v>
      </c>
      <c r="P68" s="38">
        <v>0</v>
      </c>
    </row>
    <row r="69" spans="1:16">
      <c r="A69" s="148"/>
      <c r="B69" s="135"/>
      <c r="C69" s="135"/>
      <c r="D69" s="135"/>
      <c r="E69" s="135"/>
      <c r="F69" s="135"/>
      <c r="G69" s="135"/>
      <c r="H69" s="149" t="s">
        <v>185</v>
      </c>
      <c r="I69" s="150"/>
      <c r="J69" s="146"/>
      <c r="K69" s="146"/>
      <c r="L69" s="146"/>
      <c r="M69" s="146"/>
      <c r="N69" s="146"/>
      <c r="O69" s="146"/>
      <c r="P69" s="147"/>
    </row>
    <row r="70" spans="1:16" ht="34">
      <c r="A70" s="27">
        <v>0</v>
      </c>
      <c r="B70" s="28">
        <v>8472288951.4964523</v>
      </c>
      <c r="C70" s="25">
        <v>0</v>
      </c>
      <c r="D70" s="25">
        <v>0</v>
      </c>
      <c r="E70" s="25">
        <v>0</v>
      </c>
      <c r="F70" s="25">
        <v>0</v>
      </c>
      <c r="G70" s="25">
        <v>0</v>
      </c>
      <c r="H70" s="107" t="s">
        <v>186</v>
      </c>
      <c r="I70" s="17" t="s">
        <v>187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0</v>
      </c>
      <c r="P70" s="26">
        <v>0</v>
      </c>
    </row>
    <row r="71" spans="1:16" ht="17">
      <c r="A71" s="27">
        <v>0</v>
      </c>
      <c r="B71" s="28">
        <v>6361486333.5180235</v>
      </c>
      <c r="C71" s="25">
        <v>0</v>
      </c>
      <c r="D71" s="25">
        <v>0</v>
      </c>
      <c r="E71" s="25">
        <v>0</v>
      </c>
      <c r="F71" s="25">
        <v>0</v>
      </c>
      <c r="G71" s="25">
        <v>0</v>
      </c>
      <c r="H71" s="107" t="s">
        <v>188</v>
      </c>
      <c r="I71" s="17" t="s">
        <v>189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6">
        <v>0</v>
      </c>
    </row>
    <row r="72" spans="1:16" ht="34">
      <c r="A72" s="27">
        <v>0</v>
      </c>
      <c r="B72" s="28">
        <v>2110802617.9784293</v>
      </c>
      <c r="C72" s="25">
        <v>0</v>
      </c>
      <c r="D72" s="25">
        <v>0</v>
      </c>
      <c r="E72" s="25">
        <v>0</v>
      </c>
      <c r="F72" s="25">
        <v>0</v>
      </c>
      <c r="G72" s="25">
        <v>0</v>
      </c>
      <c r="H72" s="107" t="s">
        <v>190</v>
      </c>
      <c r="I72" s="17" t="s">
        <v>191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6">
        <v>0</v>
      </c>
    </row>
    <row r="73" spans="1:16" ht="34">
      <c r="A73" s="27">
        <v>0</v>
      </c>
      <c r="B73" s="25">
        <v>0</v>
      </c>
      <c r="C73" s="25">
        <v>0</v>
      </c>
      <c r="D73" s="25">
        <v>0</v>
      </c>
      <c r="E73" s="25">
        <v>0</v>
      </c>
      <c r="F73" s="25">
        <v>0</v>
      </c>
      <c r="G73" s="25">
        <v>0</v>
      </c>
      <c r="H73" s="107" t="s">
        <v>192</v>
      </c>
      <c r="I73" s="17" t="s">
        <v>193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  <c r="O73" s="28">
        <v>9121314151.0091953</v>
      </c>
      <c r="P73" s="26">
        <v>0</v>
      </c>
    </row>
    <row r="74" spans="1:16" ht="17">
      <c r="A74" s="27">
        <v>0</v>
      </c>
      <c r="B74" s="25">
        <v>0</v>
      </c>
      <c r="C74" s="25">
        <v>0</v>
      </c>
      <c r="D74" s="25">
        <v>0</v>
      </c>
      <c r="E74" s="25">
        <v>0</v>
      </c>
      <c r="F74" s="25">
        <v>0</v>
      </c>
      <c r="G74" s="25">
        <v>0</v>
      </c>
      <c r="H74" s="107" t="s">
        <v>194</v>
      </c>
      <c r="I74" s="17" t="s">
        <v>195</v>
      </c>
      <c r="J74" s="25">
        <v>0</v>
      </c>
      <c r="K74" s="25">
        <v>0</v>
      </c>
      <c r="L74" s="25">
        <v>0</v>
      </c>
      <c r="M74" s="25">
        <v>0</v>
      </c>
      <c r="N74" s="25">
        <v>0</v>
      </c>
      <c r="O74" s="28">
        <v>8334650050.3915281</v>
      </c>
      <c r="P74" s="26">
        <v>0</v>
      </c>
    </row>
    <row r="75" spans="1:16" ht="34">
      <c r="A75" s="27">
        <v>0</v>
      </c>
      <c r="B75" s="25">
        <v>0</v>
      </c>
      <c r="C75" s="25">
        <v>0</v>
      </c>
      <c r="D75" s="25">
        <v>0</v>
      </c>
      <c r="E75" s="25">
        <v>0</v>
      </c>
      <c r="F75" s="25">
        <v>0</v>
      </c>
      <c r="G75" s="25">
        <v>0</v>
      </c>
      <c r="H75" s="107" t="s">
        <v>196</v>
      </c>
      <c r="I75" s="17" t="s">
        <v>197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8">
        <v>786664100.6176672</v>
      </c>
      <c r="P75" s="26">
        <v>0</v>
      </c>
    </row>
    <row r="76" spans="1:16" ht="51">
      <c r="A76" s="29">
        <v>0</v>
      </c>
      <c r="B76" s="31">
        <v>649025199.512743</v>
      </c>
      <c r="C76" s="30">
        <v>0</v>
      </c>
      <c r="D76" s="25" t="s">
        <v>90</v>
      </c>
      <c r="E76" s="30">
        <v>0</v>
      </c>
      <c r="F76" s="30">
        <v>0</v>
      </c>
      <c r="G76" s="30">
        <v>0</v>
      </c>
      <c r="H76" s="108" t="s">
        <v>198</v>
      </c>
      <c r="I76" s="17" t="s">
        <v>199</v>
      </c>
      <c r="J76" s="30">
        <v>0</v>
      </c>
      <c r="K76" s="30">
        <v>0</v>
      </c>
      <c r="L76" s="30">
        <v>0</v>
      </c>
      <c r="M76" s="25">
        <v>0</v>
      </c>
      <c r="N76" s="30">
        <v>0</v>
      </c>
      <c r="O76" s="30">
        <v>0</v>
      </c>
      <c r="P76" s="38">
        <v>0</v>
      </c>
    </row>
    <row r="77" spans="1:16" ht="51">
      <c r="A77" s="109">
        <v>27702445745.334782</v>
      </c>
      <c r="B77" s="28">
        <v>386989801.37033981</v>
      </c>
      <c r="C77" s="18">
        <v>27315455943.964443</v>
      </c>
      <c r="D77" s="25">
        <v>0</v>
      </c>
      <c r="E77" s="30">
        <v>0</v>
      </c>
      <c r="F77" s="30">
        <v>0</v>
      </c>
      <c r="G77" s="30">
        <v>0</v>
      </c>
      <c r="H77" s="107" t="s">
        <v>200</v>
      </c>
      <c r="I77" s="17" t="s">
        <v>201</v>
      </c>
      <c r="J77" s="30">
        <v>0</v>
      </c>
      <c r="K77" s="30">
        <v>0</v>
      </c>
      <c r="L77" s="30">
        <v>0</v>
      </c>
      <c r="M77" s="25">
        <v>0</v>
      </c>
      <c r="N77" s="28">
        <v>27063382825.747791</v>
      </c>
      <c r="O77" s="18">
        <v>639062919.58699203</v>
      </c>
      <c r="P77" s="71">
        <v>27702445745.334782</v>
      </c>
    </row>
    <row r="78" spans="1:16" ht="35" thickBot="1">
      <c r="A78" s="49">
        <v>0</v>
      </c>
      <c r="B78" s="51">
        <v>901098317.72939515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110" t="s">
        <v>202</v>
      </c>
      <c r="I78" s="17" t="s">
        <v>203</v>
      </c>
      <c r="J78" s="50">
        <v>0</v>
      </c>
      <c r="K78" s="50">
        <v>0</v>
      </c>
      <c r="L78" s="50">
        <v>0</v>
      </c>
      <c r="M78" s="25">
        <v>0</v>
      </c>
      <c r="N78" s="50">
        <v>0</v>
      </c>
      <c r="O78" s="50">
        <v>0</v>
      </c>
      <c r="P78" s="111">
        <v>0</v>
      </c>
    </row>
    <row r="79" spans="1:16">
      <c r="A79" s="137" t="s">
        <v>204</v>
      </c>
      <c r="B79" s="138"/>
      <c r="C79" s="138"/>
      <c r="D79" s="138"/>
      <c r="E79" s="138"/>
      <c r="F79" s="139"/>
      <c r="G79" s="139"/>
      <c r="H79" s="140"/>
      <c r="I79" s="140"/>
      <c r="J79" s="141" t="s">
        <v>205</v>
      </c>
      <c r="K79" s="139"/>
      <c r="L79" s="139"/>
      <c r="M79" s="139"/>
      <c r="N79" s="139"/>
      <c r="O79" s="139"/>
      <c r="P79" s="142"/>
    </row>
    <row r="80" spans="1:16" ht="136">
      <c r="A80" s="7" t="s">
        <v>75</v>
      </c>
      <c r="B80" s="8" t="s">
        <v>206</v>
      </c>
      <c r="C80" s="8" t="s">
        <v>77</v>
      </c>
      <c r="D80" s="8" t="s">
        <v>78</v>
      </c>
      <c r="E80" s="8" t="s">
        <v>79</v>
      </c>
      <c r="F80" s="8" t="s">
        <v>80</v>
      </c>
      <c r="G80" s="8" t="s">
        <v>81</v>
      </c>
      <c r="H80" s="143" t="s">
        <v>207</v>
      </c>
      <c r="I80" s="144"/>
      <c r="J80" s="8" t="s">
        <v>81</v>
      </c>
      <c r="K80" s="8" t="s">
        <v>80</v>
      </c>
      <c r="L80" s="8" t="s">
        <v>79</v>
      </c>
      <c r="M80" s="8" t="s">
        <v>125</v>
      </c>
      <c r="N80" s="8" t="s">
        <v>77</v>
      </c>
      <c r="O80" s="8" t="s">
        <v>76</v>
      </c>
      <c r="P80" s="9" t="s">
        <v>75</v>
      </c>
    </row>
    <row r="81" spans="1:16">
      <c r="A81" s="145"/>
      <c r="B81" s="146"/>
      <c r="C81" s="146"/>
      <c r="D81" s="146"/>
      <c r="E81" s="146"/>
      <c r="F81" s="146"/>
      <c r="G81" s="146"/>
      <c r="H81" s="134" t="s">
        <v>208</v>
      </c>
      <c r="I81" s="134"/>
      <c r="J81" s="146"/>
      <c r="K81" s="146"/>
      <c r="L81" s="146"/>
      <c r="M81" s="146"/>
      <c r="N81" s="146"/>
      <c r="O81" s="146"/>
      <c r="P81" s="147"/>
    </row>
    <row r="82" spans="1:16" ht="68">
      <c r="A82" s="29">
        <v>0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112" t="s">
        <v>209</v>
      </c>
      <c r="I82" s="37" t="s">
        <v>210</v>
      </c>
      <c r="J82" s="32">
        <v>4001863589.1782084</v>
      </c>
      <c r="K82" s="32">
        <v>920456312.03704214</v>
      </c>
      <c r="L82" s="32">
        <v>9447446.6817039251</v>
      </c>
      <c r="M82" s="32">
        <v>1584356770.9471264</v>
      </c>
      <c r="N82" s="32">
        <v>6516124118.8440809</v>
      </c>
      <c r="O82" s="32">
        <v>901098317.72939515</v>
      </c>
      <c r="P82" s="113">
        <v>7417222436.5734758</v>
      </c>
    </row>
    <row r="83" spans="1:16" ht="34">
      <c r="A83" s="46">
        <v>916068622.7940774</v>
      </c>
      <c r="B83" s="18">
        <v>174166.62285575512</v>
      </c>
      <c r="C83" s="18">
        <v>915894456.17122173</v>
      </c>
      <c r="D83" s="18">
        <v>19677369.867713332</v>
      </c>
      <c r="E83" s="18">
        <v>884473105.86453748</v>
      </c>
      <c r="F83" s="18">
        <v>5440687.7279622667</v>
      </c>
      <c r="G83" s="18">
        <v>6303292.711008667</v>
      </c>
      <c r="H83" s="114" t="s">
        <v>211</v>
      </c>
      <c r="I83" s="17" t="s">
        <v>212</v>
      </c>
      <c r="J83" s="18">
        <v>126629378.87504905</v>
      </c>
      <c r="K83" s="18">
        <v>15625374.444867723</v>
      </c>
      <c r="L83" s="18">
        <v>31595516.929540016</v>
      </c>
      <c r="M83" s="18">
        <v>741247411.37455308</v>
      </c>
      <c r="N83" s="18">
        <v>915097681.62400985</v>
      </c>
      <c r="O83" s="18">
        <v>970941.17006742978</v>
      </c>
      <c r="P83" s="71">
        <v>916068622.7940774</v>
      </c>
    </row>
    <row r="84" spans="1:16" ht="34">
      <c r="A84" s="46">
        <v>14370342.655469999</v>
      </c>
      <c r="B84" s="18">
        <v>0</v>
      </c>
      <c r="C84" s="18">
        <v>14370342.655469999</v>
      </c>
      <c r="D84" s="18">
        <v>14370342.655469999</v>
      </c>
      <c r="E84" s="115">
        <v>0</v>
      </c>
      <c r="F84" s="18">
        <v>0</v>
      </c>
      <c r="G84" s="18">
        <v>0</v>
      </c>
      <c r="H84" s="114" t="s">
        <v>213</v>
      </c>
      <c r="I84" s="17" t="s">
        <v>214</v>
      </c>
      <c r="J84" s="48">
        <v>0</v>
      </c>
      <c r="K84" s="48">
        <v>0</v>
      </c>
      <c r="L84" s="18">
        <v>14370342.655469999</v>
      </c>
      <c r="M84" s="48">
        <v>0</v>
      </c>
      <c r="N84" s="18">
        <v>14370342.655469999</v>
      </c>
      <c r="O84" s="28">
        <v>0</v>
      </c>
      <c r="P84" s="71">
        <v>14370342.655469999</v>
      </c>
    </row>
    <row r="85" spans="1:16" ht="34">
      <c r="A85" s="46">
        <v>94554525.261433184</v>
      </c>
      <c r="B85" s="18">
        <v>174166.62285575512</v>
      </c>
      <c r="C85" s="18">
        <v>94380358.638577431</v>
      </c>
      <c r="D85" s="48">
        <v>0</v>
      </c>
      <c r="E85" s="18">
        <v>94380358.638577431</v>
      </c>
      <c r="F85" s="48">
        <v>0</v>
      </c>
      <c r="G85" s="48">
        <v>0</v>
      </c>
      <c r="H85" s="114" t="s">
        <v>215</v>
      </c>
      <c r="I85" s="37" t="s">
        <v>216</v>
      </c>
      <c r="J85" s="18">
        <v>47620104.152453065</v>
      </c>
      <c r="K85" s="18">
        <v>15625374.444867723</v>
      </c>
      <c r="L85" s="18">
        <v>174166.62285575509</v>
      </c>
      <c r="M85" s="18">
        <v>30163938.871189225</v>
      </c>
      <c r="N85" s="18">
        <v>93583584.09136577</v>
      </c>
      <c r="O85" s="18">
        <v>970941.17006742978</v>
      </c>
      <c r="P85" s="71">
        <v>94554525.261433199</v>
      </c>
    </row>
    <row r="86" spans="1:16" ht="34">
      <c r="A86" s="46">
        <v>807143754.87717426</v>
      </c>
      <c r="B86" s="18">
        <v>0</v>
      </c>
      <c r="C86" s="18">
        <v>807143754.87717426</v>
      </c>
      <c r="D86" s="18">
        <v>5307027.2122433325</v>
      </c>
      <c r="E86" s="18">
        <v>790092747.22596002</v>
      </c>
      <c r="F86" s="18">
        <v>5440687.7279622667</v>
      </c>
      <c r="G86" s="18">
        <v>6303292.711008667</v>
      </c>
      <c r="H86" s="114" t="s">
        <v>217</v>
      </c>
      <c r="I86" s="17" t="s">
        <v>218</v>
      </c>
      <c r="J86" s="18">
        <v>79009274.72259599</v>
      </c>
      <c r="K86" s="18">
        <v>0</v>
      </c>
      <c r="L86" s="18">
        <v>17051007.651214264</v>
      </c>
      <c r="M86" s="18">
        <v>711083472.50336397</v>
      </c>
      <c r="N86" s="18">
        <v>807143754.87717414</v>
      </c>
      <c r="O86" s="18">
        <v>0</v>
      </c>
      <c r="P86" s="71">
        <v>807143754.87717414</v>
      </c>
    </row>
    <row r="87" spans="1:16" ht="85">
      <c r="A87" s="116">
        <v>7417222436.5734768</v>
      </c>
      <c r="B87" s="32">
        <v>901895092.2766068</v>
      </c>
      <c r="C87" s="32">
        <v>6515327344.2968693</v>
      </c>
      <c r="D87" s="32">
        <v>2305926812.4539661</v>
      </c>
      <c r="E87" s="32">
        <v>-843430142.25329351</v>
      </c>
      <c r="F87" s="32">
        <v>930640998.75394762</v>
      </c>
      <c r="G87" s="32">
        <v>4122189675.3422489</v>
      </c>
      <c r="H87" s="102" t="s">
        <v>219</v>
      </c>
      <c r="I87" s="117" t="s">
        <v>220</v>
      </c>
      <c r="J87" s="118">
        <v>0</v>
      </c>
      <c r="K87" s="118">
        <v>0</v>
      </c>
      <c r="L87" s="118">
        <v>0</v>
      </c>
      <c r="M87" s="119">
        <v>0</v>
      </c>
      <c r="N87" s="118">
        <v>0</v>
      </c>
      <c r="O87" s="118">
        <v>0</v>
      </c>
      <c r="P87" s="120">
        <v>0</v>
      </c>
    </row>
    <row r="88" spans="1:16">
      <c r="A88" s="106"/>
      <c r="B88" s="43"/>
      <c r="C88" s="43"/>
      <c r="D88" s="43"/>
      <c r="E88" s="121"/>
      <c r="F88" s="43"/>
      <c r="G88" s="43"/>
      <c r="H88" s="134" t="s">
        <v>221</v>
      </c>
      <c r="I88" s="134"/>
      <c r="J88" s="135"/>
      <c r="K88" s="135"/>
      <c r="L88" s="135"/>
      <c r="M88" s="135"/>
      <c r="N88" s="135"/>
      <c r="O88" s="135"/>
      <c r="P88" s="136"/>
    </row>
    <row r="89" spans="1:16" ht="85">
      <c r="A89" s="122">
        <v>0</v>
      </c>
      <c r="B89" s="23">
        <v>0</v>
      </c>
      <c r="C89" s="23">
        <v>0</v>
      </c>
      <c r="D89" s="23">
        <v>0</v>
      </c>
      <c r="E89" s="23">
        <v>0</v>
      </c>
      <c r="F89" s="23">
        <v>0</v>
      </c>
      <c r="G89" s="23">
        <v>0</v>
      </c>
      <c r="H89" s="102" t="s">
        <v>219</v>
      </c>
      <c r="I89" s="117" t="s">
        <v>222</v>
      </c>
      <c r="J89" s="32">
        <v>4122189675.3422489</v>
      </c>
      <c r="K89" s="32">
        <v>930640998.75394762</v>
      </c>
      <c r="L89" s="32">
        <v>-843430142.25329351</v>
      </c>
      <c r="M89" s="32">
        <v>2305926812.4539661</v>
      </c>
      <c r="N89" s="32">
        <v>6515327344.2968693</v>
      </c>
      <c r="O89" s="32">
        <v>901895092.2766068</v>
      </c>
      <c r="P89" s="113">
        <v>7417222436.5734768</v>
      </c>
    </row>
    <row r="90" spans="1:16" ht="34">
      <c r="A90" s="122">
        <v>0</v>
      </c>
      <c r="B90" s="23">
        <v>0</v>
      </c>
      <c r="C90" s="28">
        <v>7954204658.4319477</v>
      </c>
      <c r="D90" s="18">
        <v>2114226538.3284662</v>
      </c>
      <c r="E90" s="18">
        <v>1042349675.8036743</v>
      </c>
      <c r="F90" s="18">
        <v>58878812.726609997</v>
      </c>
      <c r="G90" s="18">
        <v>4738749631.5731964</v>
      </c>
      <c r="H90" s="123" t="s">
        <v>223</v>
      </c>
      <c r="I90" s="17" t="s">
        <v>224</v>
      </c>
      <c r="J90" s="118">
        <v>0</v>
      </c>
      <c r="K90" s="118">
        <v>0</v>
      </c>
      <c r="L90" s="118">
        <v>0</v>
      </c>
      <c r="M90" s="118">
        <v>0</v>
      </c>
      <c r="N90" s="118">
        <v>0</v>
      </c>
      <c r="O90" s="118">
        <v>0</v>
      </c>
      <c r="P90" s="120">
        <v>0</v>
      </c>
    </row>
    <row r="91" spans="1:16" ht="51">
      <c r="A91" s="122">
        <v>0</v>
      </c>
      <c r="B91" s="23">
        <v>0</v>
      </c>
      <c r="C91" s="28">
        <v>8396484895.7301617</v>
      </c>
      <c r="D91" s="18">
        <v>2068086226.2917242</v>
      </c>
      <c r="E91" s="18">
        <v>1000584578.8930242</v>
      </c>
      <c r="F91" s="18">
        <v>58878812.726609997</v>
      </c>
      <c r="G91" s="18">
        <v>5268935277.8188028</v>
      </c>
      <c r="H91" s="123" t="s">
        <v>225</v>
      </c>
      <c r="I91" s="17" t="s">
        <v>226</v>
      </c>
      <c r="J91" s="118">
        <v>0</v>
      </c>
      <c r="K91" s="118">
        <v>0</v>
      </c>
      <c r="L91" s="118">
        <v>0</v>
      </c>
      <c r="M91" s="118">
        <v>0</v>
      </c>
      <c r="N91" s="118">
        <v>0</v>
      </c>
      <c r="O91" s="118">
        <v>0</v>
      </c>
      <c r="P91" s="120">
        <v>0</v>
      </c>
    </row>
    <row r="92" spans="1:16" ht="34">
      <c r="A92" s="122">
        <v>0</v>
      </c>
      <c r="B92" s="23">
        <v>0</v>
      </c>
      <c r="C92" s="28">
        <v>-502369138.76660985</v>
      </c>
      <c r="D92" s="18">
        <v>-13569823.798313269</v>
      </c>
      <c r="E92" s="18">
        <v>41386331.277310096</v>
      </c>
      <c r="F92" s="18">
        <v>0</v>
      </c>
      <c r="G92" s="18">
        <v>-530185646.24560666</v>
      </c>
      <c r="H92" s="123" t="s">
        <v>227</v>
      </c>
      <c r="I92" s="17" t="s">
        <v>228</v>
      </c>
      <c r="J92" s="118">
        <v>0</v>
      </c>
      <c r="K92" s="118">
        <v>0</v>
      </c>
      <c r="L92" s="118">
        <v>0</v>
      </c>
      <c r="M92" s="118">
        <v>0</v>
      </c>
      <c r="N92" s="118">
        <v>0</v>
      </c>
      <c r="O92" s="118">
        <v>0</v>
      </c>
      <c r="P92" s="120">
        <v>0</v>
      </c>
    </row>
    <row r="93" spans="1:16" ht="51">
      <c r="A93" s="122">
        <v>0</v>
      </c>
      <c r="B93" s="23">
        <v>0</v>
      </c>
      <c r="C93" s="28">
        <v>60088901.468395405</v>
      </c>
      <c r="D93" s="18">
        <v>59710135.835055403</v>
      </c>
      <c r="E93" s="18">
        <v>378765.63334</v>
      </c>
      <c r="F93" s="18">
        <v>0</v>
      </c>
      <c r="G93" s="18">
        <v>0</v>
      </c>
      <c r="H93" s="123" t="s">
        <v>229</v>
      </c>
      <c r="I93" s="17" t="s">
        <v>230</v>
      </c>
      <c r="J93" s="118">
        <v>0</v>
      </c>
      <c r="K93" s="118">
        <v>0</v>
      </c>
      <c r="L93" s="118">
        <v>0</v>
      </c>
      <c r="M93" s="118">
        <v>0</v>
      </c>
      <c r="N93" s="118">
        <v>0</v>
      </c>
      <c r="O93" s="118">
        <v>0</v>
      </c>
      <c r="P93" s="120">
        <v>0</v>
      </c>
    </row>
    <row r="94" spans="1:16" ht="34">
      <c r="A94" s="122">
        <v>0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41" t="s">
        <v>102</v>
      </c>
      <c r="I94" s="17" t="s">
        <v>121</v>
      </c>
      <c r="J94" s="39" t="s">
        <v>101</v>
      </c>
      <c r="K94" s="39" t="s">
        <v>101</v>
      </c>
      <c r="L94" s="40">
        <v>536982221.85847867</v>
      </c>
      <c r="M94" s="39" t="s">
        <v>101</v>
      </c>
      <c r="N94" s="18">
        <v>5170478349.6256723</v>
      </c>
      <c r="O94" s="118">
        <v>0</v>
      </c>
      <c r="P94" s="120">
        <v>0</v>
      </c>
    </row>
    <row r="95" spans="1:16" ht="102">
      <c r="A95" s="46">
        <v>0</v>
      </c>
      <c r="B95" s="18">
        <v>-4943750.052652902</v>
      </c>
      <c r="C95" s="18">
        <v>4943750.0526528992</v>
      </c>
      <c r="D95" s="18">
        <v>76732362.847284049</v>
      </c>
      <c r="E95" s="18">
        <v>-76083203.962004051</v>
      </c>
      <c r="F95" s="18">
        <v>0</v>
      </c>
      <c r="G95" s="18">
        <v>4294591.167372901</v>
      </c>
      <c r="H95" s="123" t="s">
        <v>231</v>
      </c>
      <c r="I95" s="37" t="s">
        <v>232</v>
      </c>
      <c r="J95" s="118">
        <v>0</v>
      </c>
      <c r="K95" s="118">
        <v>0</v>
      </c>
      <c r="L95" s="118">
        <v>0</v>
      </c>
      <c r="M95" s="118">
        <v>0</v>
      </c>
      <c r="N95" s="118">
        <v>0</v>
      </c>
      <c r="O95" s="118">
        <v>0</v>
      </c>
      <c r="P95" s="120">
        <v>0</v>
      </c>
    </row>
    <row r="96" spans="1:16" ht="69" thickBot="1">
      <c r="A96" s="124">
        <v>7.8678131103515625E-6</v>
      </c>
      <c r="B96" s="94">
        <v>906838842.32925975</v>
      </c>
      <c r="C96" s="94">
        <v>-906838842.32925189</v>
      </c>
      <c r="D96" s="94">
        <v>114967911.27821577</v>
      </c>
      <c r="E96" s="94">
        <v>-1272714392.236485</v>
      </c>
      <c r="F96" s="94">
        <v>871762186.02733767</v>
      </c>
      <c r="G96" s="94">
        <v>-620854547.39832044</v>
      </c>
      <c r="H96" s="125" t="s">
        <v>233</v>
      </c>
      <c r="I96" s="96" t="s">
        <v>234</v>
      </c>
      <c r="J96" s="126">
        <v>0</v>
      </c>
      <c r="K96" s="127">
        <v>0</v>
      </c>
      <c r="L96" s="127">
        <v>0</v>
      </c>
      <c r="M96" s="127">
        <v>0</v>
      </c>
      <c r="N96" s="127">
        <v>0</v>
      </c>
      <c r="O96" s="127">
        <v>0</v>
      </c>
      <c r="P96" s="128">
        <v>3</v>
      </c>
    </row>
  </sheetData>
  <mergeCells count="37">
    <mergeCell ref="A27:G27"/>
    <mergeCell ref="H27:I27"/>
    <mergeCell ref="J27:P27"/>
    <mergeCell ref="A1:P1"/>
    <mergeCell ref="O2:P2"/>
    <mergeCell ref="A3:G3"/>
    <mergeCell ref="H3:I3"/>
    <mergeCell ref="J3:P3"/>
    <mergeCell ref="H4:I4"/>
    <mergeCell ref="H5:I5"/>
    <mergeCell ref="A16:G16"/>
    <mergeCell ref="H16:I16"/>
    <mergeCell ref="J16:P16"/>
    <mergeCell ref="O26:P26"/>
    <mergeCell ref="A69:G69"/>
    <mergeCell ref="H69:I69"/>
    <mergeCell ref="J69:P69"/>
    <mergeCell ref="H28:I28"/>
    <mergeCell ref="H29:I29"/>
    <mergeCell ref="A46:G46"/>
    <mergeCell ref="H46:I46"/>
    <mergeCell ref="J46:P46"/>
    <mergeCell ref="O59:P59"/>
    <mergeCell ref="A60:G60"/>
    <mergeCell ref="H60:I60"/>
    <mergeCell ref="J60:P60"/>
    <mergeCell ref="H61:I61"/>
    <mergeCell ref="H62:I62"/>
    <mergeCell ref="H88:I88"/>
    <mergeCell ref="J88:P88"/>
    <mergeCell ref="A79:G79"/>
    <mergeCell ref="H79:I79"/>
    <mergeCell ref="J79:P79"/>
    <mergeCell ref="H80:I80"/>
    <mergeCell ref="A81:G81"/>
    <mergeCell ref="H81:I81"/>
    <mergeCell ref="J81:P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national_income_currentlcu</vt:lpstr>
      <vt:lpstr>national_income_currentlcu_alt</vt:lpstr>
      <vt:lpstr>accounts_2023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 Isik</dc:creator>
  <cp:lastModifiedBy>Enes Isik</cp:lastModifiedBy>
  <dcterms:created xsi:type="dcterms:W3CDTF">2025-06-20T17:38:14Z</dcterms:created>
  <dcterms:modified xsi:type="dcterms:W3CDTF">2025-11-10T17:09:36Z</dcterms:modified>
</cp:coreProperties>
</file>